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capacity'!$A$5:$P$180</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position'!$B$24</definedName>
    <definedName function="false" hidden="false" name="CostMine" vbProcedure="false">'4. My position'!$C$24</definedName>
    <definedName function="false" hidden="false" name="DirectionList" vbProcedure="false">Ref!$E$51:$E$54</definedName>
    <definedName function="false" hidden="false" name="DivisionList" vbProcedure="false">Ref!$Q$51:$Q$52</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position'!$B$25</definedName>
    <definedName function="false" hidden="false" name="HeadMine" vbProcedure="false">'4. My position'!$C$25</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position'!$B$26</definedName>
    <definedName function="false" hidden="false" name="MandateMine" vbProcedure="false">'4. My position'!$C$26</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capacity'!$J$6:$J$180</definedName>
    <definedName function="false" hidden="false" name="SeatDepartment" vbProcedure="false">'2. Current capacity'!$C$6:$C$180</definedName>
    <definedName function="false" hidden="false" name="SeatDirection" vbProcedure="false">'2. Current capacity'!$N$6:$N$180</definedName>
    <definedName function="false" hidden="false" name="SeatDivision" vbProcedure="false">'2. Current capacity'!$B$6:$B$180</definedName>
    <definedName function="false" hidden="false" name="SeatExits" vbProcedure="false">'2. Current capacity'!$O$6:$O$180</definedName>
    <definedName function="false" hidden="false" name="SeatFilled" vbProcedure="false">'2. Current capacity'!$K$6:$K$180</definedName>
    <definedName function="false" hidden="false" name="SeatLevel" vbProcedure="false">'2. Current capacity'!$G$6:$G$180</definedName>
    <definedName function="false" hidden="false" name="SeatMandate" vbProcedure="false">'2. Current capacity'!$I$6:$I$180</definedName>
    <definedName function="false" hidden="false" name="SeatProblem" vbProcedure="false">'2. Current capacity'!$P$6:$P$180</definedName>
    <definedName function="false" hidden="false" name="SeatSubUnit" vbProcedure="false">'2. Current capacity'!$E$6:$E$180</definedName>
    <definedName function="false" hidden="false" name="SeatTitle" vbProcedure="false">'2. Current capacity'!$F$6:$F$180</definedName>
    <definedName function="false" hidden="false" name="SeatUnit" vbProcedure="false">'2. Current capacity'!$D$6:$D$180</definedName>
    <definedName function="false" hidden="false" name="SeatVacant" vbProcedure="false">'2. Current capacity'!$L$6:$L$180</definedName>
    <definedName function="false" hidden="false" name="SeatWorkerType" vbProcedure="false">'2. Current capacity'!$M$6:$M$180</definedName>
    <definedName function="false" hidden="false" name="UnitList" vbProcedure="false">Ref!$S$51:$S$78</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<sst xmlns="http://schemas.openxmlformats.org/spreadsheetml/2006/main" count="1504" uniqueCount="386">
  <si>
    <t xml:space="preserve">2027 Capacity Exercise</t>
  </si>
  <si>
    <t xml:space="preserve">Compliance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</si>
  <si>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</si>
  <si>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</si>
  <si>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</si>
  <si>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</si>
  <si>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</si>
  <si>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</si>
  <si>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</si>
  <si>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</si>
  <si>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</si>
  <si>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</si>
  <si>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</si>
  <si>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</si>
  <si>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</si>
  <si>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</si>
  <si>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</si>
  <si>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</si>
  <si>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</si>
  <si>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</si>
  <si>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</si>
  <si>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</si>
  <si>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</si>
  <si>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</si>
  <si>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</si>
  <si>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Compliance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</si>
  <si>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</si>
  <si>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</si>
  <si>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</si>
  <si>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</si>
  <si>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</si>
  <si>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</si>
  <si>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</si>
  <si>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</si>
  <si>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</si>
  <si>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</si>
  <si>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</si>
  <si>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Compliance Group</t>
  </si>
  <si>
    <t xml:space="preserve">Division</t>
  </si>
  <si>
    <t xml:space="preserve">    Financial Crime Division</t>
  </si>
  <si>
    <t xml:space="preserve">Financial Crime Division</t>
  </si>
  <si>
    <t xml:space="preserve">Department</t>
  </si>
  <si>
    <t xml:space="preserve">        AML &amp; Sanctions</t>
  </si>
  <si>
    <t xml:space="preserve">AML &amp; Sanctions</t>
  </si>
  <si>
    <t xml:space="preserve">            AML &amp; Sanctions Unit 1</t>
  </si>
  <si>
    <t xml:space="preserve">AML &amp; Sanctions Unit 1</t>
  </si>
  <si>
    <t xml:space="preserve">Sub-unit</t>
  </si>
  <si>
    <t xml:space="preserve">                AML &amp; Sanctions Unit 1 - Team A</t>
  </si>
  <si>
    <t xml:space="preserve">AML &amp; Sanctions Unit 1 - Team A</t>
  </si>
  <si>
    <t xml:space="preserve">                AML &amp; Sanctions Unit 1 - Team B</t>
  </si>
  <si>
    <t xml:space="preserve">AML &amp; Sanctions Unit 1 - Team B</t>
  </si>
  <si>
    <t xml:space="preserve">            AML &amp; Sanctions Unit 2</t>
  </si>
  <si>
    <t xml:space="preserve">AML &amp; Sanctions Unit 2</t>
  </si>
  <si>
    <t xml:space="preserve">                AML &amp; Sanctions Unit 2 - Team A</t>
  </si>
  <si>
    <t xml:space="preserve">AML &amp; Sanctions Unit 2 - Team A</t>
  </si>
  <si>
    <t xml:space="preserve">                AML &amp; Sanctions Unit 2 - Team B</t>
  </si>
  <si>
    <t xml:space="preserve">AML &amp; Sanctions Unit 2 - Team B</t>
  </si>
  <si>
    <t xml:space="preserve">        Fraud Prevention</t>
  </si>
  <si>
    <t xml:space="preserve">Fraud Prevention</t>
  </si>
  <si>
    <t xml:space="preserve">            Fraud Prevention Unit 1</t>
  </si>
  <si>
    <t xml:space="preserve">Fraud Prevention Unit 1</t>
  </si>
  <si>
    <t xml:space="preserve">                Fraud Prevention Unit 1 - Team A</t>
  </si>
  <si>
    <t xml:space="preserve">Fraud Prevention Unit 1 - Team A</t>
  </si>
  <si>
    <t xml:space="preserve">                Fraud Prevention Unit 1 - Team B</t>
  </si>
  <si>
    <t xml:space="preserve">Fraud Prevention Unit 1 - Team B</t>
  </si>
  <si>
    <t xml:space="preserve">            Fraud Prevention Unit 2</t>
  </si>
  <si>
    <t xml:space="preserve">Fraud Prevention Unit 2</t>
  </si>
  <si>
    <t xml:space="preserve">                Fraud Prevention Unit 2 - Team A</t>
  </si>
  <si>
    <t xml:space="preserve">Fraud Prevention Unit 2 - Team A</t>
  </si>
  <si>
    <t xml:space="preserve">                Fraud Prevention Unit 2 - Team B</t>
  </si>
  <si>
    <t xml:space="preserve">Fraud Prevention Unit 2 - Team B</t>
  </si>
  <si>
    <t xml:space="preserve">    Regulatory Compliance Division</t>
  </si>
  <si>
    <t xml:space="preserve">Regulatory Compliance Division</t>
  </si>
  <si>
    <t xml:space="preserve">        Compliance Monitoring</t>
  </si>
  <si>
    <t xml:space="preserve">Compliance Monitoring</t>
  </si>
  <si>
    <t xml:space="preserve">            Compliance Monitoring Unit 1</t>
  </si>
  <si>
    <t xml:space="preserve">Compliance Monitoring Unit 1</t>
  </si>
  <si>
    <t xml:space="preserve">                Compliance Monitoring Unit 1 - Team A</t>
  </si>
  <si>
    <t xml:space="preserve">Compliance Monitoring Unit 1 - Team A</t>
  </si>
  <si>
    <t xml:space="preserve">                Compliance Monitoring Unit 1 - Team B</t>
  </si>
  <si>
    <t xml:space="preserve">Compliance Monitoring Unit 1 - Team B</t>
  </si>
  <si>
    <t xml:space="preserve">            Compliance Monitoring Unit 2</t>
  </si>
  <si>
    <t xml:space="preserve">Compliance Monitoring Unit 2</t>
  </si>
  <si>
    <t xml:space="preserve">                Compliance Monitoring Unit 2 - Team A</t>
  </si>
  <si>
    <t xml:space="preserve">Compliance Monitoring Unit 2 - Team A</t>
  </si>
  <si>
    <t xml:space="preserve">                Compliance Monitoring Unit 2 - Team B</t>
  </si>
  <si>
    <t xml:space="preserve">Compliance Monitoring Unit 2 - Team B</t>
  </si>
  <si>
    <t xml:space="preserve">        Regulatory Affairs</t>
  </si>
  <si>
    <t xml:space="preserve">Regulatory Affairs</t>
  </si>
  <si>
    <t xml:space="preserve">            Regulatory Affairs Unit 1</t>
  </si>
  <si>
    <t xml:space="preserve">Regulatory Affairs Unit 1</t>
  </si>
  <si>
    <t xml:space="preserve">                Regulatory Affairs Unit 1 - Team A</t>
  </si>
  <si>
    <t xml:space="preserve">Regulatory Affairs Unit 1 - Team A</t>
  </si>
  <si>
    <t xml:space="preserve">                Regulatory Affairs Unit 1 - Team B</t>
  </si>
  <si>
    <t xml:space="preserve">Regulatory Affairs Unit 1 - Team B</t>
  </si>
  <si>
    <t xml:space="preserve">            Regulatory Affairs Unit 2</t>
  </si>
  <si>
    <t xml:space="preserve">Regulatory Affairs Unit 2</t>
  </si>
  <si>
    <t xml:space="preserve">                Regulatory Affairs Unit 2 - Team A</t>
  </si>
  <si>
    <t xml:space="preserve">Regulatory Affairs Unit 2 - Team A</t>
  </si>
  <si>
    <t xml:space="preserve">                Regulatory Affairs Unit 2 - Team B</t>
  </si>
  <si>
    <t xml:space="preserve">Regulatory Affairs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</si>
  <si>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</si>
  <si>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</si>
  <si>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</si>
  <si>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</si>
  <si>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</si>
  <si>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</si>
  <si>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</si>
  <si>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</si>
  <si>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</si>
  <si>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</si>
  <si>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</si>
  <si>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</si>
  <si>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</si>
  <si>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</si>
  <si>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CC-1037</t>
  </si>
  <si>
    <t xml:space="preserve">Chief Compliance Officer</t>
  </si>
  <si>
    <t xml:space="preserve">Executive</t>
  </si>
  <si>
    <t xml:space="preserve">Permanent</t>
  </si>
  <si>
    <t xml:space="preserve">CC-1015</t>
  </si>
  <si>
    <t xml:space="preserve">General Manager - Financial Crime</t>
  </si>
  <si>
    <t xml:space="preserve">Leadership</t>
  </si>
  <si>
    <t xml:space="preserve">CC-1047</t>
  </si>
  <si>
    <t xml:space="preserve">Head of AML &amp; Sanctions</t>
  </si>
  <si>
    <t xml:space="preserve">CC-1004</t>
  </si>
  <si>
    <t xml:space="preserve">Manager AML &amp; Sanctions</t>
  </si>
  <si>
    <t xml:space="preserve">Management</t>
  </si>
  <si>
    <t xml:space="preserve">CC-1053</t>
  </si>
  <si>
    <t xml:space="preserve">Analyst AML &amp; Sanctions</t>
  </si>
  <si>
    <t xml:space="preserve">Professional</t>
  </si>
  <si>
    <t xml:space="preserve">CC-1059</t>
  </si>
  <si>
    <t xml:space="preserve">Associate AML &amp; Sanctions</t>
  </si>
  <si>
    <t xml:space="preserve">Insourced</t>
  </si>
  <si>
    <t xml:space="preserve">CC-1002</t>
  </si>
  <si>
    <t xml:space="preserve">Officer AML &amp; Sanctions</t>
  </si>
  <si>
    <t xml:space="preserve">Senior Analyst AML &amp; Sanctions</t>
  </si>
  <si>
    <t xml:space="preserve">CC-1011</t>
  </si>
  <si>
    <t xml:space="preserve">Senior Officer AML &amp; Sanctions</t>
  </si>
  <si>
    <t xml:space="preserve">CC-1018</t>
  </si>
  <si>
    <t xml:space="preserve">Team Lead AML &amp; Sanctions</t>
  </si>
  <si>
    <t xml:space="preserve">CC-1046</t>
  </si>
  <si>
    <t xml:space="preserve">CC-1055</t>
  </si>
  <si>
    <t xml:space="preserve">CC-1039</t>
  </si>
  <si>
    <t xml:space="preserve">Specialist AML &amp; Sanctions</t>
  </si>
  <si>
    <t xml:space="preserve">CC-1025</t>
  </si>
  <si>
    <t xml:space="preserve">CC-1031</t>
  </si>
  <si>
    <t xml:space="preserve">CC-1035</t>
  </si>
  <si>
    <t xml:space="preserve">CC-1020</t>
  </si>
  <si>
    <t xml:space="preserve">CC-1030</t>
  </si>
  <si>
    <t xml:space="preserve">CC-1000</t>
  </si>
  <si>
    <t xml:space="preserve">CC-1032</t>
  </si>
  <si>
    <t xml:space="preserve">CC-1041</t>
  </si>
  <si>
    <t xml:space="preserve">CC-1048</t>
  </si>
  <si>
    <t xml:space="preserve">CC-1044</t>
  </si>
  <si>
    <t xml:space="preserve">CC-1036</t>
  </si>
  <si>
    <t xml:space="preserve">CC-1022</t>
  </si>
  <si>
    <t xml:space="preserve">CC-1024</t>
  </si>
  <si>
    <t xml:space="preserve">Head of Fraud Prevention</t>
  </si>
  <si>
    <t xml:space="preserve">Manager Fraud Prevention</t>
  </si>
  <si>
    <t xml:space="preserve">CC-1021</t>
  </si>
  <si>
    <t xml:space="preserve">Analyst Fraud Prevention</t>
  </si>
  <si>
    <t xml:space="preserve">Associate Fraud Prevention</t>
  </si>
  <si>
    <t xml:space="preserve">CC-1026</t>
  </si>
  <si>
    <t xml:space="preserve">Senior Analyst Fraud Prevention</t>
  </si>
  <si>
    <t xml:space="preserve">CC-1008</t>
  </si>
  <si>
    <t xml:space="preserve">Senior Officer Fraud Prevention</t>
  </si>
  <si>
    <t xml:space="preserve">CC-1016</t>
  </si>
  <si>
    <t xml:space="preserve">Specialist Fraud Prevention</t>
  </si>
  <si>
    <t xml:space="preserve">Team Lead Fraud Prevention</t>
  </si>
  <si>
    <t xml:space="preserve">CC-1050</t>
  </si>
  <si>
    <t xml:space="preserve">CC-1060</t>
  </si>
  <si>
    <t xml:space="preserve">Officer Fraud Prevention</t>
  </si>
  <si>
    <t xml:space="preserve">CC-1010</t>
  </si>
  <si>
    <t xml:space="preserve">CC-1049</t>
  </si>
  <si>
    <t xml:space="preserve">CC-1054</t>
  </si>
  <si>
    <t xml:space="preserve">CC-1001</t>
  </si>
  <si>
    <t xml:space="preserve">CC-1042</t>
  </si>
  <si>
    <t xml:space="preserve">CC-1043</t>
  </si>
  <si>
    <t xml:space="preserve">CC-1045</t>
  </si>
  <si>
    <t xml:space="preserve">CC-1034</t>
  </si>
  <si>
    <t xml:space="preserve">CC-1023</t>
  </si>
  <si>
    <t xml:space="preserve">General Manager - Regulatory Compliance</t>
  </si>
  <si>
    <t xml:space="preserve">CC-1058</t>
  </si>
  <si>
    <t xml:space="preserve">Head of Compliance Monitoring</t>
  </si>
  <si>
    <t xml:space="preserve">Manager Compliance Monitoring</t>
  </si>
  <si>
    <t xml:space="preserve">Analyst Compliance Monitoring</t>
  </si>
  <si>
    <t xml:space="preserve">Associate Compliance Monitoring</t>
  </si>
  <si>
    <t xml:space="preserve">CC-1005</t>
  </si>
  <si>
    <t xml:space="preserve">Officer Compliance Monitoring</t>
  </si>
  <si>
    <t xml:space="preserve">CC-1013</t>
  </si>
  <si>
    <t xml:space="preserve">Senior Analyst Compliance Monitoring</t>
  </si>
  <si>
    <t xml:space="preserve">CC-1014</t>
  </si>
  <si>
    <t xml:space="preserve">Senior Officer Compliance Monitoring</t>
  </si>
  <si>
    <t xml:space="preserve">Team Lead Compliance Monitoring</t>
  </si>
  <si>
    <t xml:space="preserve">CC-1051</t>
  </si>
  <si>
    <t xml:space="preserve">CC-1057</t>
  </si>
  <si>
    <t xml:space="preserve">CC-1028</t>
  </si>
  <si>
    <t xml:space="preserve">Head of Regulatory Affairs</t>
  </si>
  <si>
    <t xml:space="preserve">Manager Regulatory Affairs</t>
  </si>
  <si>
    <t xml:space="preserve">CC-1029</t>
  </si>
  <si>
    <t xml:space="preserve">Analyst Regulatory Affairs</t>
  </si>
  <si>
    <t xml:space="preserve">CC-1027</t>
  </si>
  <si>
    <t xml:space="preserve">CC-1007</t>
  </si>
  <si>
    <t xml:space="preserve">Associate Regulatory Affairs</t>
  </si>
  <si>
    <t xml:space="preserve">CC-1017</t>
  </si>
  <si>
    <t xml:space="preserve">Senior Officer Regulatory Affairs</t>
  </si>
  <si>
    <t xml:space="preserve">CC-1038</t>
  </si>
  <si>
    <t xml:space="preserve">Team Lead Regulatory Affairs</t>
  </si>
  <si>
    <t xml:space="preserve">CC-1033</t>
  </si>
  <si>
    <t xml:space="preserve">Senior Analyst Regulatory Affairs</t>
  </si>
  <si>
    <t xml:space="preserve">Specialist Regulatory Affairs</t>
  </si>
  <si>
    <t xml:space="preserve">CC-1056</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</si>
  <si>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</si>
  <si>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</si>
  <si>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</si>
  <si>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</si>
  <si>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</si>
  <si>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</si>
  <si>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</si>
  <si>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</si>
  <si>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</si>
  <si>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</si>
  <si>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</si>
  <si>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</si>
  <si>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</si>
  <si>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</si>
  <si>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</si>
  <si>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</si>
  <si>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</si>
  <si>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</si>
  <si>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</si>
  <si>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</si>
  <si>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</si>
  <si>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</si>
  <si>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</si>
  <si>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</si>
  <si>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</si>
  <si>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</si>
  <si>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</si>
  <si>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</si>
  <si>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</si>
  <si>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</si>
  <si>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</si>
  <si>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</si>
  <si>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</si>
  <si>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</si>
  <si>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</si>
  <si>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</si>
  <si>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</si>
  <si>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</si>
  <si>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</si>
  <si>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</si>
  <si>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</si>
  <si>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</si>
  <si>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</si>
  <si>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</si>
  <si>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</si>
  <si>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</si>
  <si>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</si>
  <si>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</si>
  <si>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</si>
  <si>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</si>
  <si>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</si>
  <si>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</si>
  <si>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</si>
  <si>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</si>
  <si>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</si>
  <si>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</si>
  <si>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</si>
  <si>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</si>
  <si>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</si>
  <si>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</si>
  <si>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</si>
  <si>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</si>
  <si>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</si>
  <si>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</si>
  <si>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</si>
  <si>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</si>
  <si>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</si>
  <si>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</si>
  <si>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</si>
  <si>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</si>
  <si>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</si>
  <si>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</si>
  <si>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</si>
  <si>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</si>
  <si>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</si>
  <si>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</si>
  <si>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</si>
  <si>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</si>
  <si>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</si>
  <si>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</si>
  <si>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</si>
  <si>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</si>
  <si>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</si>
  <si>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</si>
  <si>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</si>
  <si>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</si>
  <si>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</si>
  <si>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</si>
  <si>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</si>
  <si>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</si>
  <si>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</si>
  <si>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</si>
  <si>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</si>
  <si>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</si>
  <si>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</si>
  <si>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</si>
  <si>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</si>
  <si>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Compliance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</si>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</sst>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position'!$A$30:$A$33</c:f>
              <c:strCache>
                <c:ptCount val="4"/>
                <c:pt idx="0">
                  <c:v>1. Regulatory</c:v>
                </c:pt>
                <c:pt idx="1">
                  <c:v>2. Strategic</c:v>
                </c:pt>
                <c:pt idx="2">
                  <c:v>3. Control</c:v>
                </c:pt>
                <c:pt idx="3">
                  <c:v>4. BAU</c:v>
                </c:pt>
              </c:strCache>
            </c:strRef>
          </c:cat>
          <c:val>
            <c:numRef>
              <c:f>'4. My position'!$C$30:$C$33</c:f>
              <c:numCache>
                <c:formatCode>#,##0;\(#,##0\);\-</c:formatCode>
                <c:ptCount val="4"/>
                <c:pt idx="0">
                  <c:v>0</c:v>
                </c:pt>
                <c:pt idx="1">
                  <c:v>0</c:v>
                </c:pt>
                <c:pt idx="2">
                  <c:v>0</c:v>
                </c:pt>
                <c:pt idx="3">
                  <c:v>0</c:v>
                </c:pt>
              </c:numCache>
            </c:numRef>
          </c:val>
        </c:ser>
        <c:gapWidth val="150"/>
        <c:overlap val="0"/>
        <c:axId val="96382777"/>
        <c:axId val="94931874"/>
      </c:barChart>
      <c:catAx>
        <c:axId val="9638277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31874"/>
        <c:crosses val="autoZero"/>
        <c:auto val="1"/>
        <c:lblAlgn val="ctr"/>
        <c:lblOffset val="100"/>
        <c:noMultiLvlLbl val="0"/>
      </c:catAx>
      <c:valAx>
        <c:axId val="9493187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382777"/>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position'!$A$37:$A$40</c:f>
              <c:strCache>
                <c:ptCount val="4"/>
                <c:pt idx="0">
                  <c:v>Q1</c:v>
                </c:pt>
                <c:pt idx="1">
                  <c:v>Q2</c:v>
                </c:pt>
                <c:pt idx="2">
                  <c:v>Q3</c:v>
                </c:pt>
                <c:pt idx="3">
                  <c:v>Q4</c:v>
                </c:pt>
              </c:strCache>
            </c:strRef>
          </c:cat>
          <c:val>
            <c:numRef>
              <c:f>'4. My position'!$B$37:$B$40</c:f>
              <c:numCache>
                <c:formatCode>#,##0.0;\(#,##0.0\);\-</c:formatCode>
                <c:ptCount val="4"/>
                <c:pt idx="0">
                  <c:v>0</c:v>
                </c:pt>
                <c:pt idx="1">
                  <c:v>0</c:v>
                </c:pt>
                <c:pt idx="2">
                  <c:v>0</c:v>
                </c:pt>
                <c:pt idx="3">
                  <c:v>0</c:v>
                </c:pt>
              </c:numCache>
            </c:numRef>
          </c:val>
        </c:ser>
        <c:gapWidth val="150"/>
        <c:overlap val="0"/>
        <c:axId val="62058888"/>
        <c:axId val="40696175"/>
      </c:barChart>
      <c:catAx>
        <c:axId val="620588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696175"/>
        <c:crosses val="autoZero"/>
        <c:auto val="1"/>
        <c:lblAlgn val="ctr"/>
        <c:lblOffset val="100"/>
        <c:noMultiLvlLbl val="0"/>
      </c:catAx>
      <c:valAx>
        <c:axId val="40696175"/>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0588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0</xdr:rowOff>
    </xdr:from>
    <xdr:to>
      <xdr:col>3</xdr:col>
      <xdr:colOff>247680</xdr:colOff>
      <xdr:row>57</xdr:row>
      <xdr:rowOff>21960</xdr:rowOff>
    </xdr:to>
    <xdr:graphicFrame>
      <xdr:nvGraphicFramePr>
        <xdr:cNvPr id="0" name="Chart 1"/>
        <xdr:cNvGraphicFramePr/>
      </xdr:nvGraphicFramePr>
      <xdr:xfrm>
        <a:off x="0" y="89247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42</xdr:row>
      <xdr:rowOff>0</xdr:rowOff>
    </xdr:from>
    <xdr:to>
      <xdr:col>6</xdr:col>
      <xdr:colOff>1652760</xdr:colOff>
      <xdr:row>57</xdr:row>
      <xdr:rowOff>21960</xdr:rowOff>
    </xdr:to>
    <xdr:graphicFrame>
      <xdr:nvGraphicFramePr>
        <xdr:cNvPr id="1" name="Chart 2"/>
        <xdr:cNvGraphicFramePr/>
      </xdr:nvGraphicFramePr>
      <xdr:xfrm>
        <a:off x="6756480" y="8924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135</v>
      </c>
      <c r="D5" s="15" t="n">
        <v>122</v>
      </c>
      <c r="E5" s="15" t="n">
        <v>13</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135</v>
      </c>
      <c r="I5" s="16" t="n">
        <f aca="false">$H5-$C5</f>
        <v>0</v>
      </c>
      <c r="J5" s="17" t="s">
        <v>37</v>
      </c>
    </row>
    <row r="6" customFormat="false" ht="15" hidden="false" customHeight="false" outlineLevel="1" collapsed="false">
      <c r="A6" s="13" t="s">
        <v>38</v>
      </c>
      <c r="B6" s="14" t="s">
        <v>39</v>
      </c>
      <c r="C6" s="15" t="n">
        <v>64</v>
      </c>
      <c r="D6" s="15" t="n">
        <v>59</v>
      </c>
      <c r="E6" s="15" t="n">
        <v>5</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64</v>
      </c>
      <c r="I6" s="16" t="n">
        <f aca="false">$H6-$C6</f>
        <v>0</v>
      </c>
      <c r="J6" s="17" t="s">
        <v>40</v>
      </c>
    </row>
    <row r="7" customFormat="false" ht="15" hidden="false" customHeight="false" outlineLevel="2" collapsed="false">
      <c r="A7" s="17" t="s">
        <v>41</v>
      </c>
      <c r="B7" s="18" t="s">
        <v>42</v>
      </c>
      <c r="C7" s="19" t="n">
        <v>31</v>
      </c>
      <c r="D7" s="19" t="n">
        <v>30</v>
      </c>
      <c r="E7" s="19" t="n">
        <v>1</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31</v>
      </c>
      <c r="I7" s="20" t="n">
        <f aca="false">$H7-$C7</f>
        <v>0</v>
      </c>
      <c r="J7" s="17" t="s">
        <v>43</v>
      </c>
    </row>
    <row r="8" customFormat="false" ht="15" hidden="false" customHeight="false" outlineLevel="3" collapsed="false">
      <c r="A8" s="17" t="s">
        <v>27</v>
      </c>
      <c r="B8" s="18" t="s">
        <v>44</v>
      </c>
      <c r="C8" s="19" t="n">
        <v>14</v>
      </c>
      <c r="D8" s="19" t="n">
        <v>13</v>
      </c>
      <c r="E8" s="19" t="n">
        <v>1</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14</v>
      </c>
      <c r="I8" s="20" t="n">
        <f aca="false">$H8-$C8</f>
        <v>0</v>
      </c>
      <c r="J8" s="17" t="s">
        <v>45</v>
      </c>
    </row>
    <row r="9" customFormat="false" ht="15" hidden="false" customHeight="false" outlineLevel="4" collapsed="false">
      <c r="A9" s="17" t="s">
        <v>46</v>
      </c>
      <c r="B9" s="18" t="s">
        <v>47</v>
      </c>
      <c r="C9" s="19" t="n">
        <v>7</v>
      </c>
      <c r="D9" s="19" t="n">
        <v>6</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7</v>
      </c>
      <c r="I9" s="20" t="n">
        <f aca="false">$H9-$C9</f>
        <v>0</v>
      </c>
      <c r="J9" s="17" t="s">
        <v>48</v>
      </c>
    </row>
    <row r="10" customFormat="false" ht="15" hidden="false" customHeight="false" outlineLevel="4" collapsed="false">
      <c r="A10" s="17" t="s">
        <v>46</v>
      </c>
      <c r="B10" s="18" t="s">
        <v>49</v>
      </c>
      <c r="C10" s="19" t="n">
        <v>6</v>
      </c>
      <c r="D10" s="19" t="n">
        <v>6</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6</v>
      </c>
      <c r="I10" s="20" t="n">
        <f aca="false">$H10-$C10</f>
        <v>0</v>
      </c>
      <c r="J10" s="17" t="s">
        <v>50</v>
      </c>
    </row>
    <row r="11" customFormat="false" ht="15" hidden="false" customHeight="false" outlineLevel="3" collapsed="false">
      <c r="A11" s="17" t="s">
        <v>27</v>
      </c>
      <c r="B11" s="18" t="s">
        <v>51</v>
      </c>
      <c r="C11" s="19" t="n">
        <v>16</v>
      </c>
      <c r="D11" s="19" t="n">
        <v>16</v>
      </c>
      <c r="E11" s="19" t="n">
        <v>0</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16</v>
      </c>
      <c r="I11" s="20" t="n">
        <f aca="false">$H11-$C11</f>
        <v>0</v>
      </c>
      <c r="J11" s="17" t="s">
        <v>52</v>
      </c>
    </row>
    <row r="12" customFormat="false" ht="15" hidden="false" customHeight="false" outlineLevel="4" collapsed="false">
      <c r="A12" s="17" t="s">
        <v>46</v>
      </c>
      <c r="B12" s="18" t="s">
        <v>53</v>
      </c>
      <c r="C12" s="19" t="n">
        <v>6</v>
      </c>
      <c r="D12" s="19" t="n">
        <v>6</v>
      </c>
      <c r="E12" s="19" t="n">
        <v>0</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6</v>
      </c>
      <c r="I12" s="20" t="n">
        <f aca="false">$H12-$C12</f>
        <v>0</v>
      </c>
      <c r="J12" s="17" t="s">
        <v>54</v>
      </c>
    </row>
    <row r="13" customFormat="false" ht="15" hidden="false" customHeight="false" outlineLevel="4" collapsed="false">
      <c r="A13" s="17" t="s">
        <v>46</v>
      </c>
      <c r="B13" s="18" t="s">
        <v>55</v>
      </c>
      <c r="C13" s="19" t="n">
        <v>9</v>
      </c>
      <c r="D13" s="19" t="n">
        <v>9</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9</v>
      </c>
      <c r="I13" s="20" t="n">
        <f aca="false">$H13-$C13</f>
        <v>0</v>
      </c>
      <c r="J13" s="17" t="s">
        <v>56</v>
      </c>
    </row>
    <row r="14" customFormat="false" ht="15" hidden="false" customHeight="false" outlineLevel="2" collapsed="false">
      <c r="A14" s="17" t="s">
        <v>41</v>
      </c>
      <c r="B14" s="18" t="s">
        <v>57</v>
      </c>
      <c r="C14" s="19" t="n">
        <v>32</v>
      </c>
      <c r="D14" s="19" t="n">
        <v>28</v>
      </c>
      <c r="E14" s="19" t="n">
        <v>4</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32</v>
      </c>
      <c r="I14" s="20" t="n">
        <f aca="false">$H14-$C14</f>
        <v>0</v>
      </c>
      <c r="J14" s="17" t="s">
        <v>58</v>
      </c>
    </row>
    <row r="15" customFormat="false" ht="15" hidden="false" customHeight="false" outlineLevel="3" collapsed="false">
      <c r="A15" s="17" t="s">
        <v>27</v>
      </c>
      <c r="B15" s="18" t="s">
        <v>59</v>
      </c>
      <c r="C15" s="19" t="n">
        <v>15</v>
      </c>
      <c r="D15" s="19" t="n">
        <v>12</v>
      </c>
      <c r="E15" s="19" t="n">
        <v>3</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15</v>
      </c>
      <c r="I15" s="20" t="n">
        <f aca="false">$H15-$C15</f>
        <v>0</v>
      </c>
      <c r="J15" s="17" t="s">
        <v>60</v>
      </c>
    </row>
    <row r="16" customFormat="false" ht="15" hidden="false" customHeight="false" outlineLevel="4" collapsed="false">
      <c r="A16" s="17" t="s">
        <v>46</v>
      </c>
      <c r="B16" s="18" t="s">
        <v>61</v>
      </c>
      <c r="C16" s="19" t="n">
        <v>8</v>
      </c>
      <c r="D16" s="19" t="n">
        <v>5</v>
      </c>
      <c r="E16" s="19" t="n">
        <v>3</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8</v>
      </c>
      <c r="I16" s="20" t="n">
        <f aca="false">$H16-$C16</f>
        <v>0</v>
      </c>
      <c r="J16" s="17" t="s">
        <v>62</v>
      </c>
    </row>
    <row r="17" customFormat="false" ht="15" hidden="false" customHeight="false" outlineLevel="4" collapsed="false">
      <c r="A17" s="17" t="s">
        <v>46</v>
      </c>
      <c r="B17" s="18" t="s">
        <v>63</v>
      </c>
      <c r="C17" s="19" t="n">
        <v>6</v>
      </c>
      <c r="D17" s="19" t="n">
        <v>6</v>
      </c>
      <c r="E17" s="19" t="n">
        <v>0</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6</v>
      </c>
      <c r="I17" s="20" t="n">
        <f aca="false">$H17-$C17</f>
        <v>0</v>
      </c>
      <c r="J17" s="17" t="s">
        <v>64</v>
      </c>
    </row>
    <row r="18" customFormat="false" ht="15" hidden="false" customHeight="false" outlineLevel="3" collapsed="false">
      <c r="A18" s="17" t="s">
        <v>27</v>
      </c>
      <c r="B18" s="18" t="s">
        <v>65</v>
      </c>
      <c r="C18" s="19" t="n">
        <v>16</v>
      </c>
      <c r="D18" s="19" t="n">
        <v>15</v>
      </c>
      <c r="E18" s="19" t="n">
        <v>1</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16</v>
      </c>
      <c r="I18" s="20" t="n">
        <f aca="false">$H18-$C18</f>
        <v>0</v>
      </c>
      <c r="J18" s="17" t="s">
        <v>66</v>
      </c>
    </row>
    <row r="19" customFormat="false" ht="15" hidden="false" customHeight="false" outlineLevel="4" collapsed="false">
      <c r="A19" s="17" t="s">
        <v>46</v>
      </c>
      <c r="B19" s="18" t="s">
        <v>67</v>
      </c>
      <c r="C19" s="19" t="n">
        <v>7</v>
      </c>
      <c r="D19" s="19" t="n">
        <v>6</v>
      </c>
      <c r="E19" s="19" t="n">
        <v>1</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7</v>
      </c>
      <c r="I19" s="20" t="n">
        <f aca="false">$H19-$C19</f>
        <v>0</v>
      </c>
      <c r="J19" s="17" t="s">
        <v>68</v>
      </c>
    </row>
    <row r="20" customFormat="false" ht="15" hidden="false" customHeight="false" outlineLevel="4" collapsed="false">
      <c r="A20" s="17" t="s">
        <v>46</v>
      </c>
      <c r="B20" s="18" t="s">
        <v>69</v>
      </c>
      <c r="C20" s="19" t="n">
        <v>8</v>
      </c>
      <c r="D20" s="19" t="n">
        <v>8</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8</v>
      </c>
      <c r="I20" s="20" t="n">
        <f aca="false">$H20-$C20</f>
        <v>0</v>
      </c>
      <c r="J20" s="17" t="s">
        <v>70</v>
      </c>
    </row>
    <row r="21" customFormat="false" ht="15" hidden="false" customHeight="false" outlineLevel="1" collapsed="false">
      <c r="A21" s="13" t="s">
        <v>38</v>
      </c>
      <c r="B21" s="14" t="s">
        <v>71</v>
      </c>
      <c r="C21" s="15" t="n">
        <v>70</v>
      </c>
      <c r="D21" s="15" t="n">
        <v>62</v>
      </c>
      <c r="E21" s="15" t="n">
        <v>8</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70</v>
      </c>
      <c r="I21" s="16" t="n">
        <f aca="false">$H21-$C21</f>
        <v>0</v>
      </c>
      <c r="J21" s="17" t="s">
        <v>72</v>
      </c>
    </row>
    <row r="22" customFormat="false" ht="15" hidden="false" customHeight="false" outlineLevel="2" collapsed="false">
      <c r="A22" s="17" t="s">
        <v>41</v>
      </c>
      <c r="B22" s="18" t="s">
        <v>73</v>
      </c>
      <c r="C22" s="19" t="n">
        <v>37</v>
      </c>
      <c r="D22" s="19" t="n">
        <v>31</v>
      </c>
      <c r="E22" s="19" t="n">
        <v>6</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37</v>
      </c>
      <c r="I22" s="20" t="n">
        <f aca="false">$H22-$C22</f>
        <v>0</v>
      </c>
      <c r="J22" s="17" t="s">
        <v>74</v>
      </c>
    </row>
    <row r="23" customFormat="false" ht="15" hidden="false" customHeight="false" outlineLevel="3" collapsed="false">
      <c r="A23" s="17" t="s">
        <v>27</v>
      </c>
      <c r="B23" s="18" t="s">
        <v>75</v>
      </c>
      <c r="C23" s="19" t="n">
        <v>17</v>
      </c>
      <c r="D23" s="19" t="n">
        <v>17</v>
      </c>
      <c r="E23" s="19" t="n">
        <v>0</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17</v>
      </c>
      <c r="I23" s="20" t="n">
        <f aca="false">$H23-$C23</f>
        <v>0</v>
      </c>
      <c r="J23" s="17" t="s">
        <v>76</v>
      </c>
    </row>
    <row r="24" customFormat="false" ht="15" hidden="false" customHeight="false" outlineLevel="4" collapsed="false">
      <c r="A24" s="17" t="s">
        <v>46</v>
      </c>
      <c r="B24" s="18" t="s">
        <v>77</v>
      </c>
      <c r="C24" s="19" t="n">
        <v>8</v>
      </c>
      <c r="D24" s="19" t="n">
        <v>8</v>
      </c>
      <c r="E24" s="19" t="n">
        <v>0</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8</v>
      </c>
      <c r="I24" s="20" t="n">
        <f aca="false">$H24-$C24</f>
        <v>0</v>
      </c>
      <c r="J24" s="17" t="s">
        <v>78</v>
      </c>
    </row>
    <row r="25" customFormat="false" ht="15" hidden="false" customHeight="false" outlineLevel="4" collapsed="false">
      <c r="A25" s="17" t="s">
        <v>46</v>
      </c>
      <c r="B25" s="18" t="s">
        <v>79</v>
      </c>
      <c r="C25" s="19" t="n">
        <v>8</v>
      </c>
      <c r="D25" s="19" t="n">
        <v>8</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8</v>
      </c>
      <c r="I25" s="20" t="n">
        <f aca="false">$H25-$C25</f>
        <v>0</v>
      </c>
      <c r="J25" s="17" t="s">
        <v>80</v>
      </c>
    </row>
    <row r="26" customFormat="false" ht="15" hidden="false" customHeight="false" outlineLevel="3" collapsed="false">
      <c r="A26" s="17" t="s">
        <v>27</v>
      </c>
      <c r="B26" s="18" t="s">
        <v>81</v>
      </c>
      <c r="C26" s="19" t="n">
        <v>19</v>
      </c>
      <c r="D26" s="19" t="n">
        <v>13</v>
      </c>
      <c r="E26" s="19" t="n">
        <v>6</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19</v>
      </c>
      <c r="I26" s="20" t="n">
        <f aca="false">$H26-$C26</f>
        <v>0</v>
      </c>
      <c r="J26" s="17" t="s">
        <v>82</v>
      </c>
    </row>
    <row r="27" customFormat="false" ht="15" hidden="false" customHeight="false" outlineLevel="4" collapsed="false">
      <c r="A27" s="17" t="s">
        <v>46</v>
      </c>
      <c r="B27" s="18" t="s">
        <v>83</v>
      </c>
      <c r="C27" s="19" t="n">
        <v>8</v>
      </c>
      <c r="D27" s="19" t="n">
        <v>6</v>
      </c>
      <c r="E27" s="19" t="n">
        <v>2</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84</v>
      </c>
    </row>
    <row r="28" customFormat="false" ht="15" hidden="false" customHeight="false" outlineLevel="4" collapsed="false">
      <c r="A28" s="17" t="s">
        <v>46</v>
      </c>
      <c r="B28" s="18" t="s">
        <v>85</v>
      </c>
      <c r="C28" s="19" t="n">
        <v>10</v>
      </c>
      <c r="D28" s="19" t="n">
        <v>6</v>
      </c>
      <c r="E28" s="19" t="n">
        <v>4</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10</v>
      </c>
      <c r="I28" s="20" t="n">
        <f aca="false">$H28-$C28</f>
        <v>0</v>
      </c>
      <c r="J28" s="17" t="s">
        <v>86</v>
      </c>
    </row>
    <row r="29" customFormat="false" ht="15" hidden="false" customHeight="false" outlineLevel="2" collapsed="false">
      <c r="A29" s="17" t="s">
        <v>41</v>
      </c>
      <c r="B29" s="18" t="s">
        <v>87</v>
      </c>
      <c r="C29" s="19" t="n">
        <v>32</v>
      </c>
      <c r="D29" s="19" t="n">
        <v>30</v>
      </c>
      <c r="E29" s="19" t="n">
        <v>2</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32</v>
      </c>
      <c r="I29" s="20" t="n">
        <f aca="false">$H29-$C29</f>
        <v>0</v>
      </c>
      <c r="J29" s="17" t="s">
        <v>88</v>
      </c>
    </row>
    <row r="30" customFormat="false" ht="15" hidden="false" customHeight="false" outlineLevel="3" collapsed="false">
      <c r="A30" s="17" t="s">
        <v>27</v>
      </c>
      <c r="B30" s="18" t="s">
        <v>89</v>
      </c>
      <c r="C30" s="19" t="n">
        <v>17</v>
      </c>
      <c r="D30" s="19" t="n">
        <v>16</v>
      </c>
      <c r="E30" s="19" t="n">
        <v>1</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17</v>
      </c>
      <c r="I30" s="20" t="n">
        <f aca="false">$H30-$C30</f>
        <v>0</v>
      </c>
      <c r="J30" s="17" t="s">
        <v>90</v>
      </c>
    </row>
    <row r="31" customFormat="false" ht="15" hidden="false" customHeight="false" outlineLevel="4" collapsed="false">
      <c r="A31" s="17" t="s">
        <v>46</v>
      </c>
      <c r="B31" s="18" t="s">
        <v>91</v>
      </c>
      <c r="C31" s="19" t="n">
        <v>8</v>
      </c>
      <c r="D31" s="19" t="n">
        <v>8</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92</v>
      </c>
    </row>
    <row r="32" customFormat="false" ht="15" hidden="false" customHeight="false" outlineLevel="4" collapsed="false">
      <c r="A32" s="17" t="s">
        <v>46</v>
      </c>
      <c r="B32" s="18" t="s">
        <v>93</v>
      </c>
      <c r="C32" s="19" t="n">
        <v>8</v>
      </c>
      <c r="D32" s="19" t="n">
        <v>7</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8</v>
      </c>
      <c r="I32" s="20" t="n">
        <f aca="false">$H32-$C32</f>
        <v>0</v>
      </c>
      <c r="J32" s="17" t="s">
        <v>94</v>
      </c>
    </row>
    <row r="33" customFormat="false" ht="15" hidden="false" customHeight="false" outlineLevel="3" collapsed="false">
      <c r="A33" s="17" t="s">
        <v>27</v>
      </c>
      <c r="B33" s="18" t="s">
        <v>95</v>
      </c>
      <c r="C33" s="19" t="n">
        <v>14</v>
      </c>
      <c r="D33" s="19" t="n">
        <v>13</v>
      </c>
      <c r="E33" s="19" t="n">
        <v>1</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14</v>
      </c>
      <c r="I33" s="20" t="n">
        <f aca="false">$H33-$C33</f>
        <v>0</v>
      </c>
      <c r="J33" s="17" t="s">
        <v>96</v>
      </c>
    </row>
    <row r="34" customFormat="false" ht="15" hidden="false" customHeight="false" outlineLevel="4" collapsed="false">
      <c r="A34" s="17" t="s">
        <v>46</v>
      </c>
      <c r="B34" s="18" t="s">
        <v>97</v>
      </c>
      <c r="C34" s="19" t="n">
        <v>7</v>
      </c>
      <c r="D34" s="19" t="n">
        <v>6</v>
      </c>
      <c r="E34" s="19" t="n">
        <v>1</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7</v>
      </c>
      <c r="I34" s="20" t="n">
        <f aca="false">$H34-$C34</f>
        <v>0</v>
      </c>
      <c r="J34" s="17" t="s">
        <v>98</v>
      </c>
    </row>
    <row r="35" customFormat="false" ht="15" hidden="false" customHeight="false" outlineLevel="4" collapsed="false">
      <c r="A35" s="17" t="s">
        <v>46</v>
      </c>
      <c r="B35" s="18" t="s">
        <v>99</v>
      </c>
      <c r="C35" s="19" t="n">
        <v>6</v>
      </c>
      <c r="D35" s="19" t="n">
        <v>6</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6</v>
      </c>
      <c r="I35" s="20" t="n">
        <f aca="false">$H35-$C35</f>
        <v>0</v>
      </c>
      <c r="J35" s="17" t="s">
        <v>100</v>
      </c>
    </row>
    <row r="37" customFormat="false" ht="25.5" hidden="false" customHeight="true" outlineLevel="0" collapsed="false">
      <c r="A37" s="11" t="s">
        <v>101</v>
      </c>
      <c r="B37" s="11"/>
      <c r="C37" s="11"/>
      <c r="D37" s="11"/>
      <c r="E37" s="11"/>
      <c r="F37" s="11"/>
      <c r="G37" s="11"/>
      <c r="H37" s="11"/>
      <c r="I37" s="11"/>
    </row>
  </sheetData>
  <mergeCells count="2">
    <mergeCell ref="A2:J2"/>
    <mergeCell ref="A37:I37"/>
  </mergeCells>
  <conditionalFormatting sqref="I5:I3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3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102</v>
      </c>
    </row>
    <row r="2" customFormat="false" ht="15" hidden="false" customHeight="false" outlineLevel="0" collapsed="false">
      <c r="A2" s="2" t="s">
        <v>103</v>
      </c>
      <c r="B2" s="2"/>
      <c r="C2" s="2"/>
      <c r="D2" s="2"/>
      <c r="E2" s="2"/>
      <c r="F2" s="2"/>
      <c r="G2" s="2"/>
      <c r="H2" s="2"/>
      <c r="I2" s="2"/>
      <c r="J2" s="2"/>
    </row>
    <row r="5" customFormat="false" ht="30" hidden="false" customHeight="true" outlineLevel="0" collapsed="false">
      <c r="A5" s="12" t="s">
        <v>104</v>
      </c>
      <c r="B5" s="12" t="s">
        <v>38</v>
      </c>
      <c r="C5" s="12" t="s">
        <v>41</v>
      </c>
      <c r="D5" s="12" t="s">
        <v>27</v>
      </c>
      <c r="E5" s="12" t="s">
        <v>105</v>
      </c>
      <c r="F5" s="12" t="s">
        <v>106</v>
      </c>
      <c r="G5" s="12" t="s">
        <v>107</v>
      </c>
      <c r="H5" s="12" t="s">
        <v>108</v>
      </c>
      <c r="I5" s="12" t="s">
        <v>109</v>
      </c>
      <c r="J5" s="12" t="s">
        <v>110</v>
      </c>
      <c r="K5" s="12" t="s">
        <v>29</v>
      </c>
      <c r="L5" s="12" t="s">
        <v>30</v>
      </c>
      <c r="M5" s="12" t="s">
        <v>111</v>
      </c>
      <c r="N5" s="12" t="s">
        <v>112</v>
      </c>
      <c r="O5" s="12" t="s">
        <v>113</v>
      </c>
      <c r="P5" s="12" t="s">
        <v>114</v>
      </c>
    </row>
    <row r="6" customFormat="false" ht="15" hidden="false" customHeight="false" outlineLevel="0" collapsed="false">
      <c r="A6" s="21" t="s">
        <v>115</v>
      </c>
      <c r="B6" s="21"/>
      <c r="C6" s="21"/>
      <c r="D6" s="21"/>
      <c r="E6" s="21"/>
      <c r="F6" s="21" t="s">
        <v>116</v>
      </c>
      <c r="G6" s="21"/>
      <c r="H6" s="21" t="s">
        <v>117</v>
      </c>
      <c r="I6" s="21"/>
      <c r="J6" s="22" t="n">
        <v>1</v>
      </c>
      <c r="K6" s="22" t="n">
        <v>1</v>
      </c>
      <c r="L6" s="22" t="n">
        <v>0</v>
      </c>
      <c r="M6" s="21" t="s">
        <v>118</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119</v>
      </c>
      <c r="B7" s="21" t="s">
        <v>40</v>
      </c>
      <c r="C7" s="21"/>
      <c r="D7" s="21"/>
      <c r="E7" s="21"/>
      <c r="F7" s="21" t="s">
        <v>120</v>
      </c>
      <c r="G7" s="21"/>
      <c r="H7" s="21" t="s">
        <v>121</v>
      </c>
      <c r="I7" s="21"/>
      <c r="J7" s="22" t="n">
        <v>1</v>
      </c>
      <c r="K7" s="22" t="n">
        <v>1</v>
      </c>
      <c r="L7" s="22" t="n">
        <v>0</v>
      </c>
      <c r="M7" s="21" t="s">
        <v>118</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122</v>
      </c>
      <c r="B8" s="21" t="s">
        <v>40</v>
      </c>
      <c r="C8" s="21" t="s">
        <v>43</v>
      </c>
      <c r="D8" s="21"/>
      <c r="E8" s="21"/>
      <c r="F8" s="21" t="s">
        <v>123</v>
      </c>
      <c r="G8" s="21"/>
      <c r="H8" s="21" t="s">
        <v>121</v>
      </c>
      <c r="I8" s="21"/>
      <c r="J8" s="22" t="n">
        <v>1</v>
      </c>
      <c r="K8" s="22" t="n">
        <v>1</v>
      </c>
      <c r="L8" s="22" t="n">
        <v>0</v>
      </c>
      <c r="M8" s="21" t="s">
        <v>118</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124</v>
      </c>
      <c r="B9" s="21" t="s">
        <v>40</v>
      </c>
      <c r="C9" s="21" t="s">
        <v>43</v>
      </c>
      <c r="D9" s="21" t="s">
        <v>45</v>
      </c>
      <c r="E9" s="21"/>
      <c r="F9" s="21" t="s">
        <v>125</v>
      </c>
      <c r="G9" s="21"/>
      <c r="H9" s="21" t="s">
        <v>126</v>
      </c>
      <c r="I9" s="21"/>
      <c r="J9" s="22" t="n">
        <v>1</v>
      </c>
      <c r="K9" s="22" t="n">
        <v>1</v>
      </c>
      <c r="L9" s="22" t="n">
        <v>0</v>
      </c>
      <c r="M9" s="21" t="s">
        <v>118</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127</v>
      </c>
      <c r="B10" s="21" t="s">
        <v>40</v>
      </c>
      <c r="C10" s="21" t="s">
        <v>43</v>
      </c>
      <c r="D10" s="21" t="s">
        <v>45</v>
      </c>
      <c r="E10" s="21" t="s">
        <v>48</v>
      </c>
      <c r="F10" s="21" t="s">
        <v>128</v>
      </c>
      <c r="G10" s="21"/>
      <c r="H10" s="21" t="s">
        <v>129</v>
      </c>
      <c r="I10" s="21"/>
      <c r="J10" s="22" t="n">
        <v>1</v>
      </c>
      <c r="K10" s="22" t="n">
        <v>1</v>
      </c>
      <c r="L10" s="22" t="n">
        <v>0</v>
      </c>
      <c r="M10" s="21" t="s">
        <v>118</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130</v>
      </c>
      <c r="B11" s="21" t="s">
        <v>40</v>
      </c>
      <c r="C11" s="21" t="s">
        <v>43</v>
      </c>
      <c r="D11" s="21" t="s">
        <v>45</v>
      </c>
      <c r="E11" s="21" t="s">
        <v>48</v>
      </c>
      <c r="F11" s="21" t="s">
        <v>131</v>
      </c>
      <c r="G11" s="21"/>
      <c r="H11" s="21" t="s">
        <v>129</v>
      </c>
      <c r="I11" s="21"/>
      <c r="J11" s="22" t="n">
        <v>1</v>
      </c>
      <c r="K11" s="22" t="n">
        <v>1</v>
      </c>
      <c r="L11" s="22" t="n">
        <v>0</v>
      </c>
      <c r="M11" s="21" t="s">
        <v>132</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133</v>
      </c>
      <c r="B12" s="21" t="s">
        <v>40</v>
      </c>
      <c r="C12" s="21" t="s">
        <v>43</v>
      </c>
      <c r="D12" s="21" t="s">
        <v>45</v>
      </c>
      <c r="E12" s="21" t="s">
        <v>48</v>
      </c>
      <c r="F12" s="21" t="s">
        <v>134</v>
      </c>
      <c r="G12" s="21"/>
      <c r="H12" s="21" t="s">
        <v>129</v>
      </c>
      <c r="I12" s="21"/>
      <c r="J12" s="22" t="n">
        <v>1</v>
      </c>
      <c r="K12" s="22" t="n">
        <v>0</v>
      </c>
      <c r="L12" s="22" t="n">
        <v>1</v>
      </c>
      <c r="M12" s="21" t="s">
        <v>118</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115</v>
      </c>
      <c r="B13" s="21" t="s">
        <v>40</v>
      </c>
      <c r="C13" s="21" t="s">
        <v>43</v>
      </c>
      <c r="D13" s="21" t="s">
        <v>45</v>
      </c>
      <c r="E13" s="21" t="s">
        <v>48</v>
      </c>
      <c r="F13" s="21" t="s">
        <v>135</v>
      </c>
      <c r="G13" s="21"/>
      <c r="H13" s="21" t="s">
        <v>129</v>
      </c>
      <c r="I13" s="21"/>
      <c r="J13" s="22" t="n">
        <v>1</v>
      </c>
      <c r="K13" s="22" t="n">
        <v>1</v>
      </c>
      <c r="L13" s="22" t="n">
        <v>0</v>
      </c>
      <c r="M13" s="21" t="s">
        <v>118</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119</v>
      </c>
      <c r="B14" s="21" t="s">
        <v>40</v>
      </c>
      <c r="C14" s="21" t="s">
        <v>43</v>
      </c>
      <c r="D14" s="21" t="s">
        <v>45</v>
      </c>
      <c r="E14" s="21" t="s">
        <v>48</v>
      </c>
      <c r="F14" s="21" t="s">
        <v>135</v>
      </c>
      <c r="G14" s="21"/>
      <c r="H14" s="21" t="s">
        <v>129</v>
      </c>
      <c r="I14" s="21"/>
      <c r="J14" s="22" t="n">
        <v>1</v>
      </c>
      <c r="K14" s="22" t="n">
        <v>1</v>
      </c>
      <c r="L14" s="22" t="n">
        <v>0</v>
      </c>
      <c r="M14" s="21" t="s">
        <v>118</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136</v>
      </c>
      <c r="B15" s="21" t="s">
        <v>40</v>
      </c>
      <c r="C15" s="21" t="s">
        <v>43</v>
      </c>
      <c r="D15" s="21" t="s">
        <v>45</v>
      </c>
      <c r="E15" s="21" t="s">
        <v>48</v>
      </c>
      <c r="F15" s="21" t="s">
        <v>137</v>
      </c>
      <c r="G15" s="21"/>
      <c r="H15" s="21" t="s">
        <v>129</v>
      </c>
      <c r="I15" s="21"/>
      <c r="J15" s="22" t="n">
        <v>1</v>
      </c>
      <c r="K15" s="22" t="n">
        <v>1</v>
      </c>
      <c r="L15" s="22" t="n">
        <v>0</v>
      </c>
      <c r="M15" s="21" t="s">
        <v>118</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138</v>
      </c>
      <c r="B16" s="21" t="s">
        <v>40</v>
      </c>
      <c r="C16" s="21" t="s">
        <v>43</v>
      </c>
      <c r="D16" s="21" t="s">
        <v>45</v>
      </c>
      <c r="E16" s="21" t="s">
        <v>48</v>
      </c>
      <c r="F16" s="21" t="s">
        <v>139</v>
      </c>
      <c r="G16" s="21"/>
      <c r="H16" s="21" t="s">
        <v>126</v>
      </c>
      <c r="I16" s="21"/>
      <c r="J16" s="22" t="n">
        <v>1</v>
      </c>
      <c r="K16" s="22" t="n">
        <v>1</v>
      </c>
      <c r="L16" s="22" t="n">
        <v>0</v>
      </c>
      <c r="M16" s="21" t="s">
        <v>118</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140</v>
      </c>
      <c r="B17" s="21" t="s">
        <v>40</v>
      </c>
      <c r="C17" s="21" t="s">
        <v>43</v>
      </c>
      <c r="D17" s="21" t="s">
        <v>45</v>
      </c>
      <c r="E17" s="21" t="s">
        <v>50</v>
      </c>
      <c r="F17" s="21" t="s">
        <v>135</v>
      </c>
      <c r="G17" s="21"/>
      <c r="H17" s="21" t="s">
        <v>129</v>
      </c>
      <c r="I17" s="21"/>
      <c r="J17" s="22" t="n">
        <v>1</v>
      </c>
      <c r="K17" s="22" t="n">
        <v>1</v>
      </c>
      <c r="L17" s="22" t="n">
        <v>0</v>
      </c>
      <c r="M17" s="21" t="s">
        <v>118</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141</v>
      </c>
      <c r="B18" s="21" t="s">
        <v>40</v>
      </c>
      <c r="C18" s="21" t="s">
        <v>43</v>
      </c>
      <c r="D18" s="21" t="s">
        <v>45</v>
      </c>
      <c r="E18" s="21" t="s">
        <v>50</v>
      </c>
      <c r="F18" s="21" t="s">
        <v>137</v>
      </c>
      <c r="G18" s="21"/>
      <c r="H18" s="21" t="s">
        <v>129</v>
      </c>
      <c r="I18" s="21"/>
      <c r="J18" s="22" t="n">
        <v>1</v>
      </c>
      <c r="K18" s="22" t="n">
        <v>1</v>
      </c>
      <c r="L18" s="22" t="n">
        <v>0</v>
      </c>
      <c r="M18" s="21" t="s">
        <v>118</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127</v>
      </c>
      <c r="B19" s="21" t="s">
        <v>40</v>
      </c>
      <c r="C19" s="21" t="s">
        <v>43</v>
      </c>
      <c r="D19" s="21" t="s">
        <v>45</v>
      </c>
      <c r="E19" s="21" t="s">
        <v>50</v>
      </c>
      <c r="F19" s="21" t="s">
        <v>137</v>
      </c>
      <c r="G19" s="21"/>
      <c r="H19" s="21" t="s">
        <v>129</v>
      </c>
      <c r="I19" s="21"/>
      <c r="J19" s="22" t="n">
        <v>1</v>
      </c>
      <c r="K19" s="22" t="n">
        <v>1</v>
      </c>
      <c r="L19" s="22" t="n">
        <v>0</v>
      </c>
      <c r="M19" s="21" t="s">
        <v>118</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142</v>
      </c>
      <c r="B20" s="21" t="s">
        <v>40</v>
      </c>
      <c r="C20" s="21" t="s">
        <v>43</v>
      </c>
      <c r="D20" s="21" t="s">
        <v>45</v>
      </c>
      <c r="E20" s="21" t="s">
        <v>50</v>
      </c>
      <c r="F20" s="21" t="s">
        <v>143</v>
      </c>
      <c r="G20" s="21"/>
      <c r="H20" s="21" t="s">
        <v>129</v>
      </c>
      <c r="I20" s="21"/>
      <c r="J20" s="22" t="n">
        <v>1</v>
      </c>
      <c r="K20" s="22" t="n">
        <v>1</v>
      </c>
      <c r="L20" s="22" t="n">
        <v>0</v>
      </c>
      <c r="M20" s="21" t="s">
        <v>118</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144</v>
      </c>
      <c r="B21" s="21" t="s">
        <v>40</v>
      </c>
      <c r="C21" s="21" t="s">
        <v>43</v>
      </c>
      <c r="D21" s="21" t="s">
        <v>45</v>
      </c>
      <c r="E21" s="21" t="s">
        <v>50</v>
      </c>
      <c r="F21" s="21" t="s">
        <v>143</v>
      </c>
      <c r="G21" s="21"/>
      <c r="H21" s="21" t="s">
        <v>129</v>
      </c>
      <c r="I21" s="21"/>
      <c r="J21" s="22" t="n">
        <v>1</v>
      </c>
      <c r="K21" s="22" t="n">
        <v>1</v>
      </c>
      <c r="L21" s="22" t="n">
        <v>0</v>
      </c>
      <c r="M21" s="21" t="s">
        <v>118</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145</v>
      </c>
      <c r="B22" s="21" t="s">
        <v>40</v>
      </c>
      <c r="C22" s="21" t="s">
        <v>43</v>
      </c>
      <c r="D22" s="21" t="s">
        <v>45</v>
      </c>
      <c r="E22" s="21" t="s">
        <v>50</v>
      </c>
      <c r="F22" s="21" t="s">
        <v>139</v>
      </c>
      <c r="G22" s="21"/>
      <c r="H22" s="21" t="s">
        <v>126</v>
      </c>
      <c r="I22" s="21"/>
      <c r="J22" s="22" t="n">
        <v>1</v>
      </c>
      <c r="K22" s="22" t="n">
        <v>1</v>
      </c>
      <c r="L22" s="22" t="n">
        <v>0</v>
      </c>
      <c r="M22" s="21" t="s">
        <v>132</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145</v>
      </c>
      <c r="B23" s="21" t="s">
        <v>40</v>
      </c>
      <c r="C23" s="21" t="s">
        <v>43</v>
      </c>
      <c r="D23" s="21" t="s">
        <v>52</v>
      </c>
      <c r="E23" s="21"/>
      <c r="F23" s="21" t="s">
        <v>125</v>
      </c>
      <c r="G23" s="21"/>
      <c r="H23" s="21" t="s">
        <v>126</v>
      </c>
      <c r="I23" s="21"/>
      <c r="J23" s="22" t="n">
        <v>1</v>
      </c>
      <c r="K23" s="22" t="n">
        <v>1</v>
      </c>
      <c r="L23" s="22" t="n">
        <v>0</v>
      </c>
      <c r="M23" s="21" t="s">
        <v>118</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146</v>
      </c>
      <c r="B24" s="21" t="s">
        <v>40</v>
      </c>
      <c r="C24" s="21" t="s">
        <v>43</v>
      </c>
      <c r="D24" s="21" t="s">
        <v>52</v>
      </c>
      <c r="E24" s="21" t="s">
        <v>54</v>
      </c>
      <c r="F24" s="21" t="s">
        <v>128</v>
      </c>
      <c r="G24" s="21"/>
      <c r="H24" s="21" t="s">
        <v>129</v>
      </c>
      <c r="I24" s="21"/>
      <c r="J24" s="22" t="n">
        <v>1</v>
      </c>
      <c r="K24" s="22" t="n">
        <v>1</v>
      </c>
      <c r="L24" s="22" t="n">
        <v>0</v>
      </c>
      <c r="M24" s="21" t="s">
        <v>118</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147</v>
      </c>
      <c r="B25" s="21" t="s">
        <v>40</v>
      </c>
      <c r="C25" s="21" t="s">
        <v>43</v>
      </c>
      <c r="D25" s="21" t="s">
        <v>52</v>
      </c>
      <c r="E25" s="21" t="s">
        <v>54</v>
      </c>
      <c r="F25" s="21" t="s">
        <v>131</v>
      </c>
      <c r="G25" s="21"/>
      <c r="H25" s="21" t="s">
        <v>129</v>
      </c>
      <c r="I25" s="21"/>
      <c r="J25" s="22" t="n">
        <v>1</v>
      </c>
      <c r="K25" s="22" t="n">
        <v>1</v>
      </c>
      <c r="L25" s="22" t="n">
        <v>0</v>
      </c>
      <c r="M25" s="21" t="s">
        <v>118</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122</v>
      </c>
      <c r="B26" s="21" t="s">
        <v>40</v>
      </c>
      <c r="C26" s="21" t="s">
        <v>43</v>
      </c>
      <c r="D26" s="21" t="s">
        <v>52</v>
      </c>
      <c r="E26" s="21" t="s">
        <v>54</v>
      </c>
      <c r="F26" s="21" t="s">
        <v>134</v>
      </c>
      <c r="G26" s="21"/>
      <c r="H26" s="21" t="s">
        <v>129</v>
      </c>
      <c r="I26" s="21"/>
      <c r="J26" s="22" t="n">
        <v>1</v>
      </c>
      <c r="K26" s="22" t="n">
        <v>1</v>
      </c>
      <c r="L26" s="22" t="n">
        <v>0</v>
      </c>
      <c r="M26" s="21" t="s">
        <v>118</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148</v>
      </c>
      <c r="B27" s="21" t="s">
        <v>40</v>
      </c>
      <c r="C27" s="21" t="s">
        <v>43</v>
      </c>
      <c r="D27" s="21" t="s">
        <v>52</v>
      </c>
      <c r="E27" s="21" t="s">
        <v>54</v>
      </c>
      <c r="F27" s="21" t="s">
        <v>137</v>
      </c>
      <c r="G27" s="21"/>
      <c r="H27" s="21" t="s">
        <v>129</v>
      </c>
      <c r="I27" s="21"/>
      <c r="J27" s="22" t="n">
        <v>1</v>
      </c>
      <c r="K27" s="22" t="n">
        <v>1</v>
      </c>
      <c r="L27" s="22" t="n">
        <v>0</v>
      </c>
      <c r="M27" s="21" t="s">
        <v>132</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149</v>
      </c>
      <c r="B28" s="21" t="s">
        <v>40</v>
      </c>
      <c r="C28" s="21" t="s">
        <v>43</v>
      </c>
      <c r="D28" s="21" t="s">
        <v>52</v>
      </c>
      <c r="E28" s="21" t="s">
        <v>54</v>
      </c>
      <c r="F28" s="21" t="s">
        <v>143</v>
      </c>
      <c r="G28" s="21"/>
      <c r="H28" s="21" t="s">
        <v>129</v>
      </c>
      <c r="I28" s="21"/>
      <c r="J28" s="22" t="n">
        <v>1</v>
      </c>
      <c r="K28" s="22" t="n">
        <v>1</v>
      </c>
      <c r="L28" s="22" t="n">
        <v>0</v>
      </c>
      <c r="M28" s="21" t="s">
        <v>118</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150</v>
      </c>
      <c r="B29" s="21" t="s">
        <v>40</v>
      </c>
      <c r="C29" s="21" t="s">
        <v>43</v>
      </c>
      <c r="D29" s="21" t="s">
        <v>52</v>
      </c>
      <c r="E29" s="21" t="s">
        <v>54</v>
      </c>
      <c r="F29" s="21" t="s">
        <v>139</v>
      </c>
      <c r="G29" s="21"/>
      <c r="H29" s="21" t="s">
        <v>126</v>
      </c>
      <c r="I29" s="21"/>
      <c r="J29" s="22" t="n">
        <v>1</v>
      </c>
      <c r="K29" s="22" t="n">
        <v>1</v>
      </c>
      <c r="L29" s="22" t="n">
        <v>0</v>
      </c>
      <c r="M29" s="21" t="s">
        <v>118</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141</v>
      </c>
      <c r="B30" s="21" t="s">
        <v>40</v>
      </c>
      <c r="C30" s="21" t="s">
        <v>43</v>
      </c>
      <c r="D30" s="21" t="s">
        <v>52</v>
      </c>
      <c r="E30" s="21" t="s">
        <v>56</v>
      </c>
      <c r="F30" s="21" t="s">
        <v>128</v>
      </c>
      <c r="G30" s="21"/>
      <c r="H30" s="21" t="s">
        <v>129</v>
      </c>
      <c r="I30" s="21"/>
      <c r="J30" s="22" t="n">
        <v>1</v>
      </c>
      <c r="K30" s="22" t="n">
        <v>1</v>
      </c>
      <c r="L30" s="22" t="n">
        <v>0</v>
      </c>
      <c r="M30" s="21" t="s">
        <v>118</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146</v>
      </c>
      <c r="B31" s="21" t="s">
        <v>40</v>
      </c>
      <c r="C31" s="21" t="s">
        <v>43</v>
      </c>
      <c r="D31" s="21" t="s">
        <v>52</v>
      </c>
      <c r="E31" s="21" t="s">
        <v>56</v>
      </c>
      <c r="F31" s="21" t="s">
        <v>128</v>
      </c>
      <c r="G31" s="21"/>
      <c r="H31" s="21" t="s">
        <v>129</v>
      </c>
      <c r="I31" s="21"/>
      <c r="J31" s="22" t="n">
        <v>1</v>
      </c>
      <c r="K31" s="22" t="n">
        <v>1</v>
      </c>
      <c r="L31" s="22" t="n">
        <v>0</v>
      </c>
      <c r="M31" s="21" t="s">
        <v>132</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151</v>
      </c>
      <c r="B32" s="21" t="s">
        <v>40</v>
      </c>
      <c r="C32" s="21" t="s">
        <v>43</v>
      </c>
      <c r="D32" s="21" t="s">
        <v>52</v>
      </c>
      <c r="E32" s="21" t="s">
        <v>56</v>
      </c>
      <c r="F32" s="21" t="s">
        <v>131</v>
      </c>
      <c r="G32" s="21"/>
      <c r="H32" s="21" t="s">
        <v>129</v>
      </c>
      <c r="I32" s="21"/>
      <c r="J32" s="22" t="n">
        <v>1</v>
      </c>
      <c r="K32" s="22" t="n">
        <v>1</v>
      </c>
      <c r="L32" s="22" t="n">
        <v>0</v>
      </c>
      <c r="M32" s="21" t="s">
        <v>132</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152</v>
      </c>
      <c r="B33" s="21" t="s">
        <v>40</v>
      </c>
      <c r="C33" s="21" t="s">
        <v>43</v>
      </c>
      <c r="D33" s="21" t="s">
        <v>52</v>
      </c>
      <c r="E33" s="21" t="s">
        <v>56</v>
      </c>
      <c r="F33" s="21" t="s">
        <v>135</v>
      </c>
      <c r="G33" s="21"/>
      <c r="H33" s="21" t="s">
        <v>129</v>
      </c>
      <c r="I33" s="21"/>
      <c r="J33" s="22" t="n">
        <v>1</v>
      </c>
      <c r="K33" s="22" t="n">
        <v>1</v>
      </c>
      <c r="L33" s="22" t="n">
        <v>0</v>
      </c>
      <c r="M33" s="21" t="s">
        <v>118</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153</v>
      </c>
      <c r="B34" s="21" t="s">
        <v>40</v>
      </c>
      <c r="C34" s="21" t="s">
        <v>43</v>
      </c>
      <c r="D34" s="21" t="s">
        <v>52</v>
      </c>
      <c r="E34" s="21" t="s">
        <v>56</v>
      </c>
      <c r="F34" s="21" t="s">
        <v>135</v>
      </c>
      <c r="G34" s="21"/>
      <c r="H34" s="21" t="s">
        <v>129</v>
      </c>
      <c r="I34" s="21"/>
      <c r="J34" s="22" t="n">
        <v>1</v>
      </c>
      <c r="K34" s="22" t="n">
        <v>1</v>
      </c>
      <c r="L34" s="22" t="n">
        <v>0</v>
      </c>
      <c r="M34" s="21" t="s">
        <v>118</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154</v>
      </c>
      <c r="B35" s="21" t="s">
        <v>40</v>
      </c>
      <c r="C35" s="21" t="s">
        <v>43</v>
      </c>
      <c r="D35" s="21" t="s">
        <v>52</v>
      </c>
      <c r="E35" s="21" t="s">
        <v>56</v>
      </c>
      <c r="F35" s="21" t="s">
        <v>137</v>
      </c>
      <c r="G35" s="21"/>
      <c r="H35" s="21" t="s">
        <v>129</v>
      </c>
      <c r="I35" s="21"/>
      <c r="J35" s="22" t="n">
        <v>1</v>
      </c>
      <c r="K35" s="22" t="n">
        <v>1</v>
      </c>
      <c r="L35" s="22" t="n">
        <v>0</v>
      </c>
      <c r="M35" s="21" t="s">
        <v>118</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155</v>
      </c>
      <c r="B36" s="21" t="s">
        <v>40</v>
      </c>
      <c r="C36" s="21" t="s">
        <v>43</v>
      </c>
      <c r="D36" s="21" t="s">
        <v>52</v>
      </c>
      <c r="E36" s="21" t="s">
        <v>56</v>
      </c>
      <c r="F36" s="21" t="s">
        <v>143</v>
      </c>
      <c r="G36" s="21"/>
      <c r="H36" s="21" t="s">
        <v>129</v>
      </c>
      <c r="I36" s="21"/>
      <c r="J36" s="22" t="n">
        <v>1</v>
      </c>
      <c r="K36" s="22" t="n">
        <v>1</v>
      </c>
      <c r="L36" s="22" t="n">
        <v>0</v>
      </c>
      <c r="M36" s="21" t="s">
        <v>118</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156</v>
      </c>
      <c r="B37" s="21" t="s">
        <v>40</v>
      </c>
      <c r="C37" s="21" t="s">
        <v>43</v>
      </c>
      <c r="D37" s="21" t="s">
        <v>52</v>
      </c>
      <c r="E37" s="21" t="s">
        <v>56</v>
      </c>
      <c r="F37" s="21" t="s">
        <v>143</v>
      </c>
      <c r="G37" s="21"/>
      <c r="H37" s="21" t="s">
        <v>129</v>
      </c>
      <c r="I37" s="21"/>
      <c r="J37" s="22" t="n">
        <v>1</v>
      </c>
      <c r="K37" s="22" t="n">
        <v>1</v>
      </c>
      <c r="L37" s="22" t="n">
        <v>0</v>
      </c>
      <c r="M37" s="21" t="s">
        <v>132</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130</v>
      </c>
      <c r="B38" s="21" t="s">
        <v>40</v>
      </c>
      <c r="C38" s="21" t="s">
        <v>43</v>
      </c>
      <c r="D38" s="21" t="s">
        <v>52</v>
      </c>
      <c r="E38" s="21" t="s">
        <v>56</v>
      </c>
      <c r="F38" s="21" t="s">
        <v>139</v>
      </c>
      <c r="G38" s="21"/>
      <c r="H38" s="21" t="s">
        <v>126</v>
      </c>
      <c r="I38" s="21"/>
      <c r="J38" s="22" t="n">
        <v>1</v>
      </c>
      <c r="K38" s="22" t="n">
        <v>1</v>
      </c>
      <c r="L38" s="22" t="n">
        <v>0</v>
      </c>
      <c r="M38" s="21" t="s">
        <v>118</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130</v>
      </c>
      <c r="B39" s="21" t="s">
        <v>40</v>
      </c>
      <c r="C39" s="21" t="s">
        <v>58</v>
      </c>
      <c r="D39" s="21"/>
      <c r="E39" s="21"/>
      <c r="F39" s="21" t="s">
        <v>157</v>
      </c>
      <c r="G39" s="21"/>
      <c r="H39" s="21" t="s">
        <v>121</v>
      </c>
      <c r="I39" s="21"/>
      <c r="J39" s="22" t="n">
        <v>1</v>
      </c>
      <c r="K39" s="22" t="n">
        <v>1</v>
      </c>
      <c r="L39" s="22" t="n">
        <v>0</v>
      </c>
      <c r="M39" s="21" t="s">
        <v>118</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150</v>
      </c>
      <c r="B40" s="21" t="s">
        <v>40</v>
      </c>
      <c r="C40" s="21" t="s">
        <v>58</v>
      </c>
      <c r="D40" s="21" t="s">
        <v>60</v>
      </c>
      <c r="E40" s="21"/>
      <c r="F40" s="21" t="s">
        <v>158</v>
      </c>
      <c r="G40" s="21"/>
      <c r="H40" s="21" t="s">
        <v>126</v>
      </c>
      <c r="I40" s="21"/>
      <c r="J40" s="22" t="n">
        <v>1</v>
      </c>
      <c r="K40" s="22" t="n">
        <v>1</v>
      </c>
      <c r="L40" s="22" t="n">
        <v>0</v>
      </c>
      <c r="M40" s="21" t="s">
        <v>118</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159</v>
      </c>
      <c r="B41" s="21" t="s">
        <v>40</v>
      </c>
      <c r="C41" s="21" t="s">
        <v>58</v>
      </c>
      <c r="D41" s="21" t="s">
        <v>60</v>
      </c>
      <c r="E41" s="21" t="s">
        <v>62</v>
      </c>
      <c r="F41" s="21" t="s">
        <v>160</v>
      </c>
      <c r="G41" s="21"/>
      <c r="H41" s="21" t="s">
        <v>129</v>
      </c>
      <c r="I41" s="21"/>
      <c r="J41" s="22" t="n">
        <v>1</v>
      </c>
      <c r="K41" s="22" t="n">
        <v>1</v>
      </c>
      <c r="L41" s="22" t="n">
        <v>0</v>
      </c>
      <c r="M41" s="21" t="s">
        <v>118</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136</v>
      </c>
      <c r="B42" s="21" t="s">
        <v>40</v>
      </c>
      <c r="C42" s="21" t="s">
        <v>58</v>
      </c>
      <c r="D42" s="21" t="s">
        <v>60</v>
      </c>
      <c r="E42" s="21" t="s">
        <v>62</v>
      </c>
      <c r="F42" s="21" t="s">
        <v>160</v>
      </c>
      <c r="G42" s="21"/>
      <c r="H42" s="21" t="s">
        <v>129</v>
      </c>
      <c r="I42" s="21"/>
      <c r="J42" s="22" t="n">
        <v>1</v>
      </c>
      <c r="K42" s="22" t="n">
        <v>0</v>
      </c>
      <c r="L42" s="22" t="n">
        <v>1</v>
      </c>
      <c r="M42" s="21" t="s">
        <v>118</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156</v>
      </c>
      <c r="B43" s="21" t="s">
        <v>40</v>
      </c>
      <c r="C43" s="21" t="s">
        <v>58</v>
      </c>
      <c r="D43" s="21" t="s">
        <v>60</v>
      </c>
      <c r="E43" s="21" t="s">
        <v>62</v>
      </c>
      <c r="F43" s="21" t="s">
        <v>161</v>
      </c>
      <c r="G43" s="21"/>
      <c r="H43" s="21" t="s">
        <v>129</v>
      </c>
      <c r="I43" s="21"/>
      <c r="J43" s="22" t="n">
        <v>1</v>
      </c>
      <c r="K43" s="22" t="n">
        <v>1</v>
      </c>
      <c r="L43" s="22" t="n">
        <v>0</v>
      </c>
      <c r="M43" s="21" t="s">
        <v>118</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162</v>
      </c>
      <c r="B44" s="21" t="s">
        <v>40</v>
      </c>
      <c r="C44" s="21" t="s">
        <v>58</v>
      </c>
      <c r="D44" s="21" t="s">
        <v>60</v>
      </c>
      <c r="E44" s="21" t="s">
        <v>62</v>
      </c>
      <c r="F44" s="21" t="s">
        <v>161</v>
      </c>
      <c r="G44" s="21"/>
      <c r="H44" s="21" t="s">
        <v>129</v>
      </c>
      <c r="I44" s="21"/>
      <c r="J44" s="22" t="n">
        <v>1</v>
      </c>
      <c r="K44" s="22" t="n">
        <v>0</v>
      </c>
      <c r="L44" s="22" t="n">
        <v>1</v>
      </c>
      <c r="M44" s="21" t="s">
        <v>132</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140</v>
      </c>
      <c r="B45" s="21" t="s">
        <v>40</v>
      </c>
      <c r="C45" s="21" t="s">
        <v>58</v>
      </c>
      <c r="D45" s="21" t="s">
        <v>60</v>
      </c>
      <c r="E45" s="21" t="s">
        <v>62</v>
      </c>
      <c r="F45" s="21" t="s">
        <v>163</v>
      </c>
      <c r="G45" s="21"/>
      <c r="H45" s="21" t="s">
        <v>129</v>
      </c>
      <c r="I45" s="21"/>
      <c r="J45" s="22" t="n">
        <v>1</v>
      </c>
      <c r="K45" s="22" t="n">
        <v>1</v>
      </c>
      <c r="L45" s="22" t="n">
        <v>0</v>
      </c>
      <c r="M45" s="21" t="s">
        <v>118</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164</v>
      </c>
      <c r="B46" s="21" t="s">
        <v>40</v>
      </c>
      <c r="C46" s="21" t="s">
        <v>58</v>
      </c>
      <c r="D46" s="21" t="s">
        <v>60</v>
      </c>
      <c r="E46" s="21" t="s">
        <v>62</v>
      </c>
      <c r="F46" s="21" t="s">
        <v>165</v>
      </c>
      <c r="G46" s="21"/>
      <c r="H46" s="21" t="s">
        <v>129</v>
      </c>
      <c r="I46" s="21"/>
      <c r="J46" s="22" t="n">
        <v>1</v>
      </c>
      <c r="K46" s="22" t="n">
        <v>1</v>
      </c>
      <c r="L46" s="22" t="n">
        <v>0</v>
      </c>
      <c r="M46" s="21" t="s">
        <v>118</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166</v>
      </c>
      <c r="B47" s="21" t="s">
        <v>40</v>
      </c>
      <c r="C47" s="21" t="s">
        <v>58</v>
      </c>
      <c r="D47" s="21" t="s">
        <v>60</v>
      </c>
      <c r="E47" s="21" t="s">
        <v>62</v>
      </c>
      <c r="F47" s="21" t="s">
        <v>167</v>
      </c>
      <c r="G47" s="21"/>
      <c r="H47" s="21" t="s">
        <v>129</v>
      </c>
      <c r="I47" s="21"/>
      <c r="J47" s="22" t="n">
        <v>1</v>
      </c>
      <c r="K47" s="22" t="n">
        <v>0</v>
      </c>
      <c r="L47" s="22" t="n">
        <v>1</v>
      </c>
      <c r="M47" s="21" t="s">
        <v>118</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155</v>
      </c>
      <c r="B48" s="21" t="s">
        <v>40</v>
      </c>
      <c r="C48" s="21" t="s">
        <v>58</v>
      </c>
      <c r="D48" s="21" t="s">
        <v>60</v>
      </c>
      <c r="E48" s="21" t="s">
        <v>62</v>
      </c>
      <c r="F48" s="21" t="s">
        <v>168</v>
      </c>
      <c r="G48" s="21"/>
      <c r="H48" s="21" t="s">
        <v>126</v>
      </c>
      <c r="I48" s="21"/>
      <c r="J48" s="22" t="n">
        <v>1</v>
      </c>
      <c r="K48" s="22" t="n">
        <v>1</v>
      </c>
      <c r="L48" s="22" t="n">
        <v>0</v>
      </c>
      <c r="M48" s="21" t="s">
        <v>118</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169</v>
      </c>
      <c r="B49" s="21" t="s">
        <v>40</v>
      </c>
      <c r="C49" s="21" t="s">
        <v>58</v>
      </c>
      <c r="D49" s="21" t="s">
        <v>60</v>
      </c>
      <c r="E49" s="21" t="s">
        <v>64</v>
      </c>
      <c r="F49" s="21" t="s">
        <v>160</v>
      </c>
      <c r="G49" s="21"/>
      <c r="H49" s="21" t="s">
        <v>129</v>
      </c>
      <c r="I49" s="21"/>
      <c r="J49" s="22" t="n">
        <v>1</v>
      </c>
      <c r="K49" s="22" t="n">
        <v>1</v>
      </c>
      <c r="L49" s="22" t="n">
        <v>0</v>
      </c>
      <c r="M49" s="21" t="s">
        <v>118</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170</v>
      </c>
      <c r="B50" s="21" t="s">
        <v>40</v>
      </c>
      <c r="C50" s="21" t="s">
        <v>58</v>
      </c>
      <c r="D50" s="21" t="s">
        <v>60</v>
      </c>
      <c r="E50" s="21" t="s">
        <v>64</v>
      </c>
      <c r="F50" s="21" t="s">
        <v>171</v>
      </c>
      <c r="G50" s="21"/>
      <c r="H50" s="21" t="s">
        <v>129</v>
      </c>
      <c r="I50" s="21"/>
      <c r="J50" s="22" t="n">
        <v>1</v>
      </c>
      <c r="K50" s="22" t="n">
        <v>1</v>
      </c>
      <c r="L50" s="22" t="n">
        <v>0</v>
      </c>
      <c r="M50" s="21" t="s">
        <v>118</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156</v>
      </c>
      <c r="B51" s="21" t="s">
        <v>40</v>
      </c>
      <c r="C51" s="21" t="s">
        <v>58</v>
      </c>
      <c r="D51" s="21" t="s">
        <v>60</v>
      </c>
      <c r="E51" s="21" t="s">
        <v>64</v>
      </c>
      <c r="F51" s="21" t="s">
        <v>163</v>
      </c>
      <c r="G51" s="21"/>
      <c r="H51" s="21" t="s">
        <v>129</v>
      </c>
      <c r="I51" s="21"/>
      <c r="J51" s="22" t="n">
        <v>1</v>
      </c>
      <c r="K51" s="22" t="n">
        <v>1</v>
      </c>
      <c r="L51" s="22" t="n">
        <v>0</v>
      </c>
      <c r="M51" s="21" t="s">
        <v>118</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142</v>
      </c>
      <c r="B52" s="21" t="s">
        <v>40</v>
      </c>
      <c r="C52" s="21" t="s">
        <v>58</v>
      </c>
      <c r="D52" s="21" t="s">
        <v>60</v>
      </c>
      <c r="E52" s="21" t="s">
        <v>64</v>
      </c>
      <c r="F52" s="21" t="s">
        <v>163</v>
      </c>
      <c r="G52" s="21"/>
      <c r="H52" s="21" t="s">
        <v>129</v>
      </c>
      <c r="I52" s="21"/>
      <c r="J52" s="22" t="n">
        <v>1</v>
      </c>
      <c r="K52" s="22" t="n">
        <v>1</v>
      </c>
      <c r="L52" s="22" t="n">
        <v>0</v>
      </c>
      <c r="M52" s="21" t="s">
        <v>118</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130</v>
      </c>
      <c r="B53" s="21" t="s">
        <v>40</v>
      </c>
      <c r="C53" s="21" t="s">
        <v>58</v>
      </c>
      <c r="D53" s="21" t="s">
        <v>60</v>
      </c>
      <c r="E53" s="21" t="s">
        <v>64</v>
      </c>
      <c r="F53" s="21" t="s">
        <v>165</v>
      </c>
      <c r="G53" s="21"/>
      <c r="H53" s="21" t="s">
        <v>129</v>
      </c>
      <c r="I53" s="21"/>
      <c r="J53" s="22" t="n">
        <v>1</v>
      </c>
      <c r="K53" s="22" t="n">
        <v>1</v>
      </c>
      <c r="L53" s="22" t="n">
        <v>0</v>
      </c>
      <c r="M53" s="21" t="s">
        <v>118</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172</v>
      </c>
      <c r="B54" s="21" t="s">
        <v>40</v>
      </c>
      <c r="C54" s="21" t="s">
        <v>58</v>
      </c>
      <c r="D54" s="21" t="s">
        <v>60</v>
      </c>
      <c r="E54" s="21" t="s">
        <v>64</v>
      </c>
      <c r="F54" s="21" t="s">
        <v>168</v>
      </c>
      <c r="G54" s="21"/>
      <c r="H54" s="21" t="s">
        <v>126</v>
      </c>
      <c r="I54" s="21"/>
      <c r="J54" s="22" t="n">
        <v>1</v>
      </c>
      <c r="K54" s="22" t="n">
        <v>1</v>
      </c>
      <c r="L54" s="22" t="n">
        <v>0</v>
      </c>
      <c r="M54" s="21" t="s">
        <v>118</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153</v>
      </c>
      <c r="B55" s="21" t="s">
        <v>40</v>
      </c>
      <c r="C55" s="21" t="s">
        <v>58</v>
      </c>
      <c r="D55" s="21" t="s">
        <v>66</v>
      </c>
      <c r="E55" s="21"/>
      <c r="F55" s="21" t="s">
        <v>158</v>
      </c>
      <c r="G55" s="21"/>
      <c r="H55" s="21" t="s">
        <v>126</v>
      </c>
      <c r="I55" s="21"/>
      <c r="J55" s="22" t="n">
        <v>1</v>
      </c>
      <c r="K55" s="22" t="n">
        <v>1</v>
      </c>
      <c r="L55" s="22" t="n">
        <v>0</v>
      </c>
      <c r="M55" s="21" t="s">
        <v>132</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154</v>
      </c>
      <c r="B56" s="21" t="s">
        <v>40</v>
      </c>
      <c r="C56" s="21" t="s">
        <v>58</v>
      </c>
      <c r="D56" s="21" t="s">
        <v>66</v>
      </c>
      <c r="E56" s="21" t="s">
        <v>68</v>
      </c>
      <c r="F56" s="21" t="s">
        <v>160</v>
      </c>
      <c r="G56" s="21"/>
      <c r="H56" s="21" t="s">
        <v>129</v>
      </c>
      <c r="I56" s="21"/>
      <c r="J56" s="22" t="n">
        <v>1</v>
      </c>
      <c r="K56" s="22" t="n">
        <v>1</v>
      </c>
      <c r="L56" s="22" t="n">
        <v>0</v>
      </c>
      <c r="M56" s="21" t="s">
        <v>118</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173</v>
      </c>
      <c r="B57" s="21" t="s">
        <v>40</v>
      </c>
      <c r="C57" s="21" t="s">
        <v>58</v>
      </c>
      <c r="D57" s="21" t="s">
        <v>66</v>
      </c>
      <c r="E57" s="21" t="s">
        <v>68</v>
      </c>
      <c r="F57" s="21" t="s">
        <v>161</v>
      </c>
      <c r="G57" s="21"/>
      <c r="H57" s="21" t="s">
        <v>129</v>
      </c>
      <c r="I57" s="21"/>
      <c r="J57" s="22" t="n">
        <v>1</v>
      </c>
      <c r="K57" s="22" t="n">
        <v>1</v>
      </c>
      <c r="L57" s="22" t="n">
        <v>0</v>
      </c>
      <c r="M57" s="21" t="s">
        <v>118</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174</v>
      </c>
      <c r="B58" s="21" t="s">
        <v>40</v>
      </c>
      <c r="C58" s="21" t="s">
        <v>58</v>
      </c>
      <c r="D58" s="21" t="s">
        <v>66</v>
      </c>
      <c r="E58" s="21" t="s">
        <v>68</v>
      </c>
      <c r="F58" s="21" t="s">
        <v>161</v>
      </c>
      <c r="G58" s="21"/>
      <c r="H58" s="21" t="s">
        <v>129</v>
      </c>
      <c r="I58" s="21"/>
      <c r="J58" s="22" t="n">
        <v>1</v>
      </c>
      <c r="K58" s="22" t="n">
        <v>1</v>
      </c>
      <c r="L58" s="22" t="n">
        <v>0</v>
      </c>
      <c r="M58" s="21" t="s">
        <v>132</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172</v>
      </c>
      <c r="B59" s="21" t="s">
        <v>40</v>
      </c>
      <c r="C59" s="21" t="s">
        <v>58</v>
      </c>
      <c r="D59" s="21" t="s">
        <v>66</v>
      </c>
      <c r="E59" s="21" t="s">
        <v>68</v>
      </c>
      <c r="F59" s="21" t="s">
        <v>161</v>
      </c>
      <c r="G59" s="21"/>
      <c r="H59" s="21" t="s">
        <v>129</v>
      </c>
      <c r="I59" s="21"/>
      <c r="J59" s="22" t="n">
        <v>1</v>
      </c>
      <c r="K59" s="22" t="n">
        <v>1</v>
      </c>
      <c r="L59" s="22" t="n">
        <v>0</v>
      </c>
      <c r="M59" s="21" t="s">
        <v>118</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175</v>
      </c>
      <c r="B60" s="21" t="s">
        <v>40</v>
      </c>
      <c r="C60" s="21" t="s">
        <v>58</v>
      </c>
      <c r="D60" s="21" t="s">
        <v>66</v>
      </c>
      <c r="E60" s="21" t="s">
        <v>68</v>
      </c>
      <c r="F60" s="21" t="s">
        <v>171</v>
      </c>
      <c r="G60" s="21"/>
      <c r="H60" s="21" t="s">
        <v>129</v>
      </c>
      <c r="I60" s="21"/>
      <c r="J60" s="22" t="n">
        <v>1</v>
      </c>
      <c r="K60" s="22" t="n">
        <v>0</v>
      </c>
      <c r="L60" s="22" t="n">
        <v>1</v>
      </c>
      <c r="M60" s="21" t="s">
        <v>132</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159</v>
      </c>
      <c r="B61" s="21" t="s">
        <v>40</v>
      </c>
      <c r="C61" s="21" t="s">
        <v>58</v>
      </c>
      <c r="D61" s="21" t="s">
        <v>66</v>
      </c>
      <c r="E61" s="21" t="s">
        <v>68</v>
      </c>
      <c r="F61" s="21" t="s">
        <v>163</v>
      </c>
      <c r="G61" s="21"/>
      <c r="H61" s="21" t="s">
        <v>129</v>
      </c>
      <c r="I61" s="21"/>
      <c r="J61" s="22" t="n">
        <v>1</v>
      </c>
      <c r="K61" s="22" t="n">
        <v>1</v>
      </c>
      <c r="L61" s="22" t="n">
        <v>0</v>
      </c>
      <c r="M61" s="21" t="s">
        <v>118</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124</v>
      </c>
      <c r="B62" s="21" t="s">
        <v>40</v>
      </c>
      <c r="C62" s="21" t="s">
        <v>58</v>
      </c>
      <c r="D62" s="21" t="s">
        <v>66</v>
      </c>
      <c r="E62" s="21" t="s">
        <v>68</v>
      </c>
      <c r="F62" s="21" t="s">
        <v>168</v>
      </c>
      <c r="G62" s="21"/>
      <c r="H62" s="21" t="s">
        <v>126</v>
      </c>
      <c r="I62" s="21"/>
      <c r="J62" s="22" t="n">
        <v>1</v>
      </c>
      <c r="K62" s="22" t="n">
        <v>1</v>
      </c>
      <c r="L62" s="22" t="n">
        <v>0</v>
      </c>
      <c r="M62" s="21" t="s">
        <v>118</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124</v>
      </c>
      <c r="B63" s="21" t="s">
        <v>40</v>
      </c>
      <c r="C63" s="21" t="s">
        <v>58</v>
      </c>
      <c r="D63" s="21" t="s">
        <v>66</v>
      </c>
      <c r="E63" s="21" t="s">
        <v>70</v>
      </c>
      <c r="F63" s="21" t="s">
        <v>161</v>
      </c>
      <c r="G63" s="21"/>
      <c r="H63" s="21" t="s">
        <v>129</v>
      </c>
      <c r="I63" s="21"/>
      <c r="J63" s="22" t="n">
        <v>1</v>
      </c>
      <c r="K63" s="22" t="n">
        <v>1</v>
      </c>
      <c r="L63" s="22" t="n">
        <v>0</v>
      </c>
      <c r="M63" s="21" t="s">
        <v>118</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176</v>
      </c>
      <c r="B64" s="21" t="s">
        <v>40</v>
      </c>
      <c r="C64" s="21" t="s">
        <v>58</v>
      </c>
      <c r="D64" s="21" t="s">
        <v>66</v>
      </c>
      <c r="E64" s="21" t="s">
        <v>70</v>
      </c>
      <c r="F64" s="21" t="s">
        <v>161</v>
      </c>
      <c r="G64" s="21"/>
      <c r="H64" s="21" t="s">
        <v>129</v>
      </c>
      <c r="I64" s="21"/>
      <c r="J64" s="22" t="n">
        <v>1</v>
      </c>
      <c r="K64" s="22" t="n">
        <v>1</v>
      </c>
      <c r="L64" s="22" t="n">
        <v>0</v>
      </c>
      <c r="M64" s="21" t="s">
        <v>118</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164</v>
      </c>
      <c r="B65" s="21" t="s">
        <v>40</v>
      </c>
      <c r="C65" s="21" t="s">
        <v>58</v>
      </c>
      <c r="D65" s="21" t="s">
        <v>66</v>
      </c>
      <c r="E65" s="21" t="s">
        <v>70</v>
      </c>
      <c r="F65" s="21" t="s">
        <v>161</v>
      </c>
      <c r="G65" s="21"/>
      <c r="H65" s="21" t="s">
        <v>129</v>
      </c>
      <c r="I65" s="21"/>
      <c r="J65" s="22" t="n">
        <v>1</v>
      </c>
      <c r="K65" s="22" t="n">
        <v>1</v>
      </c>
      <c r="L65" s="22" t="n">
        <v>0</v>
      </c>
      <c r="M65" s="21" t="s">
        <v>132</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177</v>
      </c>
      <c r="B66" s="21" t="s">
        <v>40</v>
      </c>
      <c r="C66" s="21" t="s">
        <v>58</v>
      </c>
      <c r="D66" s="21" t="s">
        <v>66</v>
      </c>
      <c r="E66" s="21" t="s">
        <v>70</v>
      </c>
      <c r="F66" s="21" t="s">
        <v>163</v>
      </c>
      <c r="G66" s="21"/>
      <c r="H66" s="21" t="s">
        <v>129</v>
      </c>
      <c r="I66" s="21"/>
      <c r="J66" s="22" t="n">
        <v>1</v>
      </c>
      <c r="K66" s="22" t="n">
        <v>1</v>
      </c>
      <c r="L66" s="22" t="n">
        <v>0</v>
      </c>
      <c r="M66" s="21" t="s">
        <v>118</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149</v>
      </c>
      <c r="B67" s="21" t="s">
        <v>40</v>
      </c>
      <c r="C67" s="21" t="s">
        <v>58</v>
      </c>
      <c r="D67" s="21" t="s">
        <v>66</v>
      </c>
      <c r="E67" s="21" t="s">
        <v>70</v>
      </c>
      <c r="F67" s="21" t="s">
        <v>165</v>
      </c>
      <c r="G67" s="21"/>
      <c r="H67" s="21" t="s">
        <v>129</v>
      </c>
      <c r="I67" s="21"/>
      <c r="J67" s="22" t="n">
        <v>1</v>
      </c>
      <c r="K67" s="22" t="n">
        <v>1</v>
      </c>
      <c r="L67" s="22" t="n">
        <v>0</v>
      </c>
      <c r="M67" s="21" t="s">
        <v>118</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178</v>
      </c>
      <c r="B68" s="21" t="s">
        <v>40</v>
      </c>
      <c r="C68" s="21" t="s">
        <v>58</v>
      </c>
      <c r="D68" s="21" t="s">
        <v>66</v>
      </c>
      <c r="E68" s="21" t="s">
        <v>70</v>
      </c>
      <c r="F68" s="21" t="s">
        <v>165</v>
      </c>
      <c r="G68" s="21"/>
      <c r="H68" s="21" t="s">
        <v>129</v>
      </c>
      <c r="I68" s="21"/>
      <c r="J68" s="22" t="n">
        <v>1</v>
      </c>
      <c r="K68" s="22" t="n">
        <v>1</v>
      </c>
      <c r="L68" s="22" t="n">
        <v>0</v>
      </c>
      <c r="M68" s="21" t="s">
        <v>118</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179</v>
      </c>
      <c r="B69" s="21" t="s">
        <v>40</v>
      </c>
      <c r="C69" s="21" t="s">
        <v>58</v>
      </c>
      <c r="D69" s="21" t="s">
        <v>66</v>
      </c>
      <c r="E69" s="21" t="s">
        <v>70</v>
      </c>
      <c r="F69" s="21" t="s">
        <v>167</v>
      </c>
      <c r="G69" s="21"/>
      <c r="H69" s="21" t="s">
        <v>129</v>
      </c>
      <c r="I69" s="21"/>
      <c r="J69" s="22" t="n">
        <v>1</v>
      </c>
      <c r="K69" s="22" t="n">
        <v>1</v>
      </c>
      <c r="L69" s="22" t="n">
        <v>0</v>
      </c>
      <c r="M69" s="21" t="s">
        <v>118</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175</v>
      </c>
      <c r="B70" s="21" t="s">
        <v>40</v>
      </c>
      <c r="C70" s="21" t="s">
        <v>58</v>
      </c>
      <c r="D70" s="21" t="s">
        <v>66</v>
      </c>
      <c r="E70" s="21" t="s">
        <v>70</v>
      </c>
      <c r="F70" s="21" t="s">
        <v>168</v>
      </c>
      <c r="G70" s="21"/>
      <c r="H70" s="21" t="s">
        <v>126</v>
      </c>
      <c r="I70" s="21"/>
      <c r="J70" s="22" t="n">
        <v>1</v>
      </c>
      <c r="K70" s="22" t="n">
        <v>1</v>
      </c>
      <c r="L70" s="22" t="n">
        <v>0</v>
      </c>
      <c r="M70" s="21" t="s">
        <v>118</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180</v>
      </c>
      <c r="B71" s="21" t="s">
        <v>72</v>
      </c>
      <c r="C71" s="21"/>
      <c r="D71" s="21"/>
      <c r="E71" s="21"/>
      <c r="F71" s="21" t="s">
        <v>181</v>
      </c>
      <c r="G71" s="21"/>
      <c r="H71" s="21" t="s">
        <v>121</v>
      </c>
      <c r="I71" s="21"/>
      <c r="J71" s="22" t="n">
        <v>1</v>
      </c>
      <c r="K71" s="22" t="n">
        <v>1</v>
      </c>
      <c r="L71" s="22" t="n">
        <v>0</v>
      </c>
      <c r="M71" s="21" t="s">
        <v>118</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182</v>
      </c>
      <c r="B72" s="21" t="s">
        <v>72</v>
      </c>
      <c r="C72" s="21" t="s">
        <v>74</v>
      </c>
      <c r="D72" s="21"/>
      <c r="E72" s="21"/>
      <c r="F72" s="21" t="s">
        <v>183</v>
      </c>
      <c r="G72" s="21"/>
      <c r="H72" s="21" t="s">
        <v>121</v>
      </c>
      <c r="I72" s="21"/>
      <c r="J72" s="22" t="n">
        <v>1</v>
      </c>
      <c r="K72" s="22" t="n">
        <v>1</v>
      </c>
      <c r="L72" s="22" t="n">
        <v>0</v>
      </c>
      <c r="M72" s="21" t="s">
        <v>118</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177</v>
      </c>
      <c r="B73" s="21" t="s">
        <v>72</v>
      </c>
      <c r="C73" s="21" t="s">
        <v>74</v>
      </c>
      <c r="D73" s="21" t="s">
        <v>76</v>
      </c>
      <c r="E73" s="21"/>
      <c r="F73" s="21" t="s">
        <v>184</v>
      </c>
      <c r="G73" s="21"/>
      <c r="H73" s="21" t="s">
        <v>126</v>
      </c>
      <c r="I73" s="21"/>
      <c r="J73" s="22" t="n">
        <v>1</v>
      </c>
      <c r="K73" s="22" t="n">
        <v>1</v>
      </c>
      <c r="L73" s="22" t="n">
        <v>0</v>
      </c>
      <c r="M73" s="21" t="s">
        <v>118</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152</v>
      </c>
      <c r="B74" s="21" t="s">
        <v>72</v>
      </c>
      <c r="C74" s="21" t="s">
        <v>74</v>
      </c>
      <c r="D74" s="21" t="s">
        <v>76</v>
      </c>
      <c r="E74" s="21" t="s">
        <v>78</v>
      </c>
      <c r="F74" s="21" t="s">
        <v>185</v>
      </c>
      <c r="G74" s="21"/>
      <c r="H74" s="21" t="s">
        <v>129</v>
      </c>
      <c r="I74" s="21"/>
      <c r="J74" s="22" t="n">
        <v>1</v>
      </c>
      <c r="K74" s="22" t="n">
        <v>1</v>
      </c>
      <c r="L74" s="22" t="n">
        <v>0</v>
      </c>
      <c r="M74" s="21" t="s">
        <v>118</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176</v>
      </c>
      <c r="B75" s="21" t="s">
        <v>72</v>
      </c>
      <c r="C75" s="21" t="s">
        <v>74</v>
      </c>
      <c r="D75" s="21" t="s">
        <v>76</v>
      </c>
      <c r="E75" s="21" t="s">
        <v>78</v>
      </c>
      <c r="F75" s="21" t="s">
        <v>185</v>
      </c>
      <c r="G75" s="21"/>
      <c r="H75" s="21" t="s">
        <v>129</v>
      </c>
      <c r="I75" s="21"/>
      <c r="J75" s="22" t="n">
        <v>1</v>
      </c>
      <c r="K75" s="22" t="n">
        <v>1</v>
      </c>
      <c r="L75" s="22" t="n">
        <v>0</v>
      </c>
      <c r="M75" s="21" t="s">
        <v>118</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170</v>
      </c>
      <c r="B76" s="21" t="s">
        <v>72</v>
      </c>
      <c r="C76" s="21" t="s">
        <v>74</v>
      </c>
      <c r="D76" s="21" t="s">
        <v>76</v>
      </c>
      <c r="E76" s="21" t="s">
        <v>78</v>
      </c>
      <c r="F76" s="21" t="s">
        <v>186</v>
      </c>
      <c r="G76" s="21"/>
      <c r="H76" s="21" t="s">
        <v>129</v>
      </c>
      <c r="I76" s="21"/>
      <c r="J76" s="22" t="n">
        <v>1</v>
      </c>
      <c r="K76" s="22" t="n">
        <v>1</v>
      </c>
      <c r="L76" s="22" t="n">
        <v>0</v>
      </c>
      <c r="M76" s="21" t="s">
        <v>118</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187</v>
      </c>
      <c r="B77" s="21" t="s">
        <v>72</v>
      </c>
      <c r="C77" s="21" t="s">
        <v>74</v>
      </c>
      <c r="D77" s="21" t="s">
        <v>76</v>
      </c>
      <c r="E77" s="21" t="s">
        <v>78</v>
      </c>
      <c r="F77" s="21" t="s">
        <v>186</v>
      </c>
      <c r="G77" s="21"/>
      <c r="H77" s="21" t="s">
        <v>129</v>
      </c>
      <c r="I77" s="21"/>
      <c r="J77" s="22" t="n">
        <v>1</v>
      </c>
      <c r="K77" s="22" t="n">
        <v>1</v>
      </c>
      <c r="L77" s="22" t="n">
        <v>0</v>
      </c>
      <c r="M77" s="21" t="s">
        <v>118</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172</v>
      </c>
      <c r="B78" s="21" t="s">
        <v>72</v>
      </c>
      <c r="C78" s="21" t="s">
        <v>74</v>
      </c>
      <c r="D78" s="21" t="s">
        <v>76</v>
      </c>
      <c r="E78" s="21" t="s">
        <v>78</v>
      </c>
      <c r="F78" s="21" t="s">
        <v>188</v>
      </c>
      <c r="G78" s="21"/>
      <c r="H78" s="21" t="s">
        <v>129</v>
      </c>
      <c r="I78" s="21"/>
      <c r="J78" s="22" t="n">
        <v>1</v>
      </c>
      <c r="K78" s="22" t="n">
        <v>1</v>
      </c>
      <c r="L78" s="22" t="n">
        <v>0</v>
      </c>
      <c r="M78" s="21" t="s">
        <v>118</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189</v>
      </c>
      <c r="B79" s="21" t="s">
        <v>72</v>
      </c>
      <c r="C79" s="21" t="s">
        <v>74</v>
      </c>
      <c r="D79" s="21" t="s">
        <v>76</v>
      </c>
      <c r="E79" s="21" t="s">
        <v>78</v>
      </c>
      <c r="F79" s="21" t="s">
        <v>190</v>
      </c>
      <c r="G79" s="21"/>
      <c r="H79" s="21" t="s">
        <v>129</v>
      </c>
      <c r="I79" s="21"/>
      <c r="J79" s="22" t="n">
        <v>1</v>
      </c>
      <c r="K79" s="22" t="n">
        <v>1</v>
      </c>
      <c r="L79" s="22" t="n">
        <v>0</v>
      </c>
      <c r="M79" s="21" t="s">
        <v>118</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191</v>
      </c>
      <c r="B80" s="21" t="s">
        <v>72</v>
      </c>
      <c r="C80" s="21" t="s">
        <v>74</v>
      </c>
      <c r="D80" s="21" t="s">
        <v>76</v>
      </c>
      <c r="E80" s="21" t="s">
        <v>78</v>
      </c>
      <c r="F80" s="21" t="s">
        <v>192</v>
      </c>
      <c r="G80" s="21"/>
      <c r="H80" s="21" t="s">
        <v>129</v>
      </c>
      <c r="I80" s="21"/>
      <c r="J80" s="22" t="n">
        <v>1</v>
      </c>
      <c r="K80" s="22" t="n">
        <v>1</v>
      </c>
      <c r="L80" s="22" t="n">
        <v>0</v>
      </c>
      <c r="M80" s="21" t="s">
        <v>118</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155</v>
      </c>
      <c r="B81" s="21" t="s">
        <v>72</v>
      </c>
      <c r="C81" s="21" t="s">
        <v>74</v>
      </c>
      <c r="D81" s="21" t="s">
        <v>76</v>
      </c>
      <c r="E81" s="21" t="s">
        <v>78</v>
      </c>
      <c r="F81" s="21" t="s">
        <v>193</v>
      </c>
      <c r="G81" s="21"/>
      <c r="H81" s="21" t="s">
        <v>126</v>
      </c>
      <c r="I81" s="21"/>
      <c r="J81" s="22" t="n">
        <v>1</v>
      </c>
      <c r="K81" s="22" t="n">
        <v>1</v>
      </c>
      <c r="L81" s="22" t="n">
        <v>0</v>
      </c>
      <c r="M81" s="21" t="s">
        <v>118</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194</v>
      </c>
      <c r="B82" s="21" t="s">
        <v>72</v>
      </c>
      <c r="C82" s="21" t="s">
        <v>74</v>
      </c>
      <c r="D82" s="21" t="s">
        <v>76</v>
      </c>
      <c r="E82" s="21" t="s">
        <v>80</v>
      </c>
      <c r="F82" s="21" t="s">
        <v>185</v>
      </c>
      <c r="G82" s="21"/>
      <c r="H82" s="21" t="s">
        <v>129</v>
      </c>
      <c r="I82" s="21"/>
      <c r="J82" s="22" t="n">
        <v>1</v>
      </c>
      <c r="K82" s="22" t="n">
        <v>1</v>
      </c>
      <c r="L82" s="22" t="n">
        <v>0</v>
      </c>
      <c r="M82" s="21" t="s">
        <v>118</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170</v>
      </c>
      <c r="B83" s="21" t="s">
        <v>72</v>
      </c>
      <c r="C83" s="21" t="s">
        <v>74</v>
      </c>
      <c r="D83" s="21" t="s">
        <v>76</v>
      </c>
      <c r="E83" s="21" t="s">
        <v>80</v>
      </c>
      <c r="F83" s="21" t="s">
        <v>185</v>
      </c>
      <c r="G83" s="21"/>
      <c r="H83" s="21" t="s">
        <v>129</v>
      </c>
      <c r="I83" s="21"/>
      <c r="J83" s="22" t="n">
        <v>1</v>
      </c>
      <c r="K83" s="22" t="n">
        <v>1</v>
      </c>
      <c r="L83" s="22" t="n">
        <v>0</v>
      </c>
      <c r="M83" s="21" t="s">
        <v>118</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156</v>
      </c>
      <c r="B84" s="21" t="s">
        <v>72</v>
      </c>
      <c r="C84" s="21" t="s">
        <v>74</v>
      </c>
      <c r="D84" s="21" t="s">
        <v>76</v>
      </c>
      <c r="E84" s="21" t="s">
        <v>80</v>
      </c>
      <c r="F84" s="21" t="s">
        <v>185</v>
      </c>
      <c r="G84" s="21"/>
      <c r="H84" s="21" t="s">
        <v>129</v>
      </c>
      <c r="I84" s="21"/>
      <c r="J84" s="22" t="n">
        <v>1</v>
      </c>
      <c r="K84" s="22" t="n">
        <v>1</v>
      </c>
      <c r="L84" s="22" t="n">
        <v>0</v>
      </c>
      <c r="M84" s="21" t="s">
        <v>118</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127</v>
      </c>
      <c r="B85" s="21" t="s">
        <v>72</v>
      </c>
      <c r="C85" s="21" t="s">
        <v>74</v>
      </c>
      <c r="D85" s="21" t="s">
        <v>76</v>
      </c>
      <c r="E85" s="21" t="s">
        <v>80</v>
      </c>
      <c r="F85" s="21" t="s">
        <v>188</v>
      </c>
      <c r="G85" s="21"/>
      <c r="H85" s="21" t="s">
        <v>129</v>
      </c>
      <c r="I85" s="21"/>
      <c r="J85" s="22" t="n">
        <v>1</v>
      </c>
      <c r="K85" s="22" t="n">
        <v>1</v>
      </c>
      <c r="L85" s="22" t="n">
        <v>0</v>
      </c>
      <c r="M85" s="21" t="s">
        <v>118</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173</v>
      </c>
      <c r="B86" s="21" t="s">
        <v>72</v>
      </c>
      <c r="C86" s="21" t="s">
        <v>74</v>
      </c>
      <c r="D86" s="21" t="s">
        <v>76</v>
      </c>
      <c r="E86" s="21" t="s">
        <v>80</v>
      </c>
      <c r="F86" s="21" t="s">
        <v>188</v>
      </c>
      <c r="G86" s="21"/>
      <c r="H86" s="21" t="s">
        <v>129</v>
      </c>
      <c r="I86" s="21"/>
      <c r="J86" s="22" t="n">
        <v>1</v>
      </c>
      <c r="K86" s="22" t="n">
        <v>1</v>
      </c>
      <c r="L86" s="22" t="n">
        <v>0</v>
      </c>
      <c r="M86" s="21" t="s">
        <v>118</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174</v>
      </c>
      <c r="B87" s="21" t="s">
        <v>72</v>
      </c>
      <c r="C87" s="21" t="s">
        <v>74</v>
      </c>
      <c r="D87" s="21" t="s">
        <v>76</v>
      </c>
      <c r="E87" s="21" t="s">
        <v>80</v>
      </c>
      <c r="F87" s="21" t="s">
        <v>192</v>
      </c>
      <c r="G87" s="21"/>
      <c r="H87" s="21" t="s">
        <v>129</v>
      </c>
      <c r="I87" s="21"/>
      <c r="J87" s="22" t="n">
        <v>1</v>
      </c>
      <c r="K87" s="22" t="n">
        <v>1</v>
      </c>
      <c r="L87" s="22" t="n">
        <v>0</v>
      </c>
      <c r="M87" s="21" t="s">
        <v>132</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124</v>
      </c>
      <c r="B88" s="21" t="s">
        <v>72</v>
      </c>
      <c r="C88" s="21" t="s">
        <v>74</v>
      </c>
      <c r="D88" s="21" t="s">
        <v>76</v>
      </c>
      <c r="E88" s="21" t="s">
        <v>80</v>
      </c>
      <c r="F88" s="21" t="s">
        <v>192</v>
      </c>
      <c r="G88" s="21"/>
      <c r="H88" s="21" t="s">
        <v>129</v>
      </c>
      <c r="I88" s="21"/>
      <c r="J88" s="22" t="n">
        <v>1</v>
      </c>
      <c r="K88" s="22" t="n">
        <v>1</v>
      </c>
      <c r="L88" s="22" t="n">
        <v>0</v>
      </c>
      <c r="M88" s="21" t="s">
        <v>118</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179</v>
      </c>
      <c r="B89" s="21" t="s">
        <v>72</v>
      </c>
      <c r="C89" s="21" t="s">
        <v>74</v>
      </c>
      <c r="D89" s="21" t="s">
        <v>76</v>
      </c>
      <c r="E89" s="21" t="s">
        <v>80</v>
      </c>
      <c r="F89" s="21" t="s">
        <v>193</v>
      </c>
      <c r="G89" s="21"/>
      <c r="H89" s="21" t="s">
        <v>126</v>
      </c>
      <c r="I89" s="21"/>
      <c r="J89" s="22" t="n">
        <v>1</v>
      </c>
      <c r="K89" s="22" t="n">
        <v>1</v>
      </c>
      <c r="L89" s="22" t="n">
        <v>0</v>
      </c>
      <c r="M89" s="21" t="s">
        <v>118</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195</v>
      </c>
      <c r="B90" s="21" t="s">
        <v>72</v>
      </c>
      <c r="C90" s="21" t="s">
        <v>74</v>
      </c>
      <c r="D90" s="21" t="s">
        <v>82</v>
      </c>
      <c r="E90" s="21"/>
      <c r="F90" s="21" t="s">
        <v>184</v>
      </c>
      <c r="G90" s="21"/>
      <c r="H90" s="21" t="s">
        <v>126</v>
      </c>
      <c r="I90" s="21"/>
      <c r="J90" s="22" t="n">
        <v>1</v>
      </c>
      <c r="K90" s="22" t="n">
        <v>1</v>
      </c>
      <c r="L90" s="22" t="n">
        <v>0</v>
      </c>
      <c r="M90" s="21" t="s">
        <v>118</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146</v>
      </c>
      <c r="B91" s="21" t="s">
        <v>72</v>
      </c>
      <c r="C91" s="21" t="s">
        <v>74</v>
      </c>
      <c r="D91" s="21" t="s">
        <v>82</v>
      </c>
      <c r="E91" s="21" t="s">
        <v>84</v>
      </c>
      <c r="F91" s="21" t="s">
        <v>185</v>
      </c>
      <c r="G91" s="21"/>
      <c r="H91" s="21" t="s">
        <v>129</v>
      </c>
      <c r="I91" s="21"/>
      <c r="J91" s="22" t="n">
        <v>1</v>
      </c>
      <c r="K91" s="22" t="n">
        <v>0</v>
      </c>
      <c r="L91" s="22" t="n">
        <v>1</v>
      </c>
      <c r="M91" s="21" t="s">
        <v>118</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140</v>
      </c>
      <c r="B92" s="21" t="s">
        <v>72</v>
      </c>
      <c r="C92" s="21" t="s">
        <v>74</v>
      </c>
      <c r="D92" s="21" t="s">
        <v>82</v>
      </c>
      <c r="E92" s="21" t="s">
        <v>84</v>
      </c>
      <c r="F92" s="21" t="s">
        <v>185</v>
      </c>
      <c r="G92" s="21"/>
      <c r="H92" s="21" t="s">
        <v>129</v>
      </c>
      <c r="I92" s="21"/>
      <c r="J92" s="22" t="n">
        <v>1</v>
      </c>
      <c r="K92" s="22" t="n">
        <v>1</v>
      </c>
      <c r="L92" s="22" t="n">
        <v>0</v>
      </c>
      <c r="M92" s="21" t="s">
        <v>118</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174</v>
      </c>
      <c r="B93" s="21" t="s">
        <v>72</v>
      </c>
      <c r="C93" s="21" t="s">
        <v>74</v>
      </c>
      <c r="D93" s="21" t="s">
        <v>82</v>
      </c>
      <c r="E93" s="21" t="s">
        <v>84</v>
      </c>
      <c r="F93" s="21" t="s">
        <v>186</v>
      </c>
      <c r="G93" s="21"/>
      <c r="H93" s="21" t="s">
        <v>129</v>
      </c>
      <c r="I93" s="21"/>
      <c r="J93" s="22" t="n">
        <v>1</v>
      </c>
      <c r="K93" s="22" t="n">
        <v>1</v>
      </c>
      <c r="L93" s="22" t="n">
        <v>0</v>
      </c>
      <c r="M93" s="21" t="s">
        <v>118</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196</v>
      </c>
      <c r="B94" s="21" t="s">
        <v>72</v>
      </c>
      <c r="C94" s="21" t="s">
        <v>74</v>
      </c>
      <c r="D94" s="21" t="s">
        <v>82</v>
      </c>
      <c r="E94" s="21" t="s">
        <v>84</v>
      </c>
      <c r="F94" s="21" t="s">
        <v>188</v>
      </c>
      <c r="G94" s="21"/>
      <c r="H94" s="21" t="s">
        <v>129</v>
      </c>
      <c r="I94" s="21"/>
      <c r="J94" s="22" t="n">
        <v>1</v>
      </c>
      <c r="K94" s="22" t="n">
        <v>1</v>
      </c>
      <c r="L94" s="22" t="n">
        <v>0</v>
      </c>
      <c r="M94" s="21" t="s">
        <v>118</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124</v>
      </c>
      <c r="B95" s="21" t="s">
        <v>72</v>
      </c>
      <c r="C95" s="21" t="s">
        <v>74</v>
      </c>
      <c r="D95" s="21" t="s">
        <v>82</v>
      </c>
      <c r="E95" s="21" t="s">
        <v>84</v>
      </c>
      <c r="F95" s="21" t="s">
        <v>192</v>
      </c>
      <c r="G95" s="21"/>
      <c r="H95" s="21" t="s">
        <v>129</v>
      </c>
      <c r="I95" s="21"/>
      <c r="J95" s="22" t="n">
        <v>1</v>
      </c>
      <c r="K95" s="22" t="n">
        <v>1</v>
      </c>
      <c r="L95" s="22" t="n">
        <v>0</v>
      </c>
      <c r="M95" s="21" t="s">
        <v>118</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191</v>
      </c>
      <c r="B96" s="21" t="s">
        <v>72</v>
      </c>
      <c r="C96" s="21" t="s">
        <v>74</v>
      </c>
      <c r="D96" s="21" t="s">
        <v>82</v>
      </c>
      <c r="E96" s="21" t="s">
        <v>84</v>
      </c>
      <c r="F96" s="21" t="s">
        <v>192</v>
      </c>
      <c r="G96" s="21"/>
      <c r="H96" s="21" t="s">
        <v>129</v>
      </c>
      <c r="I96" s="21"/>
      <c r="J96" s="22" t="n">
        <v>1</v>
      </c>
      <c r="K96" s="22" t="n">
        <v>1</v>
      </c>
      <c r="L96" s="22" t="n">
        <v>0</v>
      </c>
      <c r="M96" s="21" t="s">
        <v>118</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176</v>
      </c>
      <c r="B97" s="21" t="s">
        <v>72</v>
      </c>
      <c r="C97" s="21" t="s">
        <v>74</v>
      </c>
      <c r="D97" s="21" t="s">
        <v>82</v>
      </c>
      <c r="E97" s="21" t="s">
        <v>84</v>
      </c>
      <c r="F97" s="21" t="s">
        <v>192</v>
      </c>
      <c r="G97" s="21"/>
      <c r="H97" s="21" t="s">
        <v>129</v>
      </c>
      <c r="I97" s="21"/>
      <c r="J97" s="22" t="n">
        <v>1</v>
      </c>
      <c r="K97" s="22" t="n">
        <v>0</v>
      </c>
      <c r="L97" s="22" t="n">
        <v>1</v>
      </c>
      <c r="M97" s="21" t="s">
        <v>118</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156</v>
      </c>
      <c r="B98" s="21" t="s">
        <v>72</v>
      </c>
      <c r="C98" s="21" t="s">
        <v>74</v>
      </c>
      <c r="D98" s="21" t="s">
        <v>82</v>
      </c>
      <c r="E98" s="21" t="s">
        <v>84</v>
      </c>
      <c r="F98" s="21" t="s">
        <v>193</v>
      </c>
      <c r="G98" s="21"/>
      <c r="H98" s="21" t="s">
        <v>126</v>
      </c>
      <c r="I98" s="21"/>
      <c r="J98" s="22" t="n">
        <v>1</v>
      </c>
      <c r="K98" s="22" t="n">
        <v>1</v>
      </c>
      <c r="L98" s="22" t="n">
        <v>0</v>
      </c>
      <c r="M98" s="21" t="s">
        <v>118</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173</v>
      </c>
      <c r="B99" s="21" t="s">
        <v>72</v>
      </c>
      <c r="C99" s="21" t="s">
        <v>74</v>
      </c>
      <c r="D99" s="21" t="s">
        <v>82</v>
      </c>
      <c r="E99" s="21" t="s">
        <v>86</v>
      </c>
      <c r="F99" s="21" t="s">
        <v>186</v>
      </c>
      <c r="G99" s="21"/>
      <c r="H99" s="21" t="s">
        <v>129</v>
      </c>
      <c r="I99" s="21"/>
      <c r="J99" s="22" t="n">
        <v>1</v>
      </c>
      <c r="K99" s="22" t="n">
        <v>0</v>
      </c>
      <c r="L99" s="22" t="n">
        <v>1</v>
      </c>
      <c r="M99" s="21" t="s">
        <v>118</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151</v>
      </c>
      <c r="B100" s="21" t="s">
        <v>72</v>
      </c>
      <c r="C100" s="21" t="s">
        <v>74</v>
      </c>
      <c r="D100" s="21" t="s">
        <v>82</v>
      </c>
      <c r="E100" s="21" t="s">
        <v>86</v>
      </c>
      <c r="F100" s="21" t="s">
        <v>186</v>
      </c>
      <c r="G100" s="21"/>
      <c r="H100" s="21" t="s">
        <v>129</v>
      </c>
      <c r="I100" s="21"/>
      <c r="J100" s="22" t="n">
        <v>1</v>
      </c>
      <c r="K100" s="22" t="n">
        <v>1</v>
      </c>
      <c r="L100" s="22" t="n">
        <v>0</v>
      </c>
      <c r="M100" s="21" t="s">
        <v>132</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166</v>
      </c>
      <c r="B101" s="21" t="s">
        <v>72</v>
      </c>
      <c r="C101" s="21" t="s">
        <v>74</v>
      </c>
      <c r="D101" s="21" t="s">
        <v>82</v>
      </c>
      <c r="E101" s="21" t="s">
        <v>86</v>
      </c>
      <c r="F101" s="21" t="s">
        <v>188</v>
      </c>
      <c r="G101" s="21"/>
      <c r="H101" s="21" t="s">
        <v>129</v>
      </c>
      <c r="I101" s="21"/>
      <c r="J101" s="22" t="n">
        <v>1</v>
      </c>
      <c r="K101" s="22" t="n">
        <v>1</v>
      </c>
      <c r="L101" s="22" t="n">
        <v>0</v>
      </c>
      <c r="M101" s="21" t="s">
        <v>132</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149</v>
      </c>
      <c r="B102" s="21" t="s">
        <v>72</v>
      </c>
      <c r="C102" s="21" t="s">
        <v>74</v>
      </c>
      <c r="D102" s="21" t="s">
        <v>82</v>
      </c>
      <c r="E102" s="21" t="s">
        <v>86</v>
      </c>
      <c r="F102" s="21" t="s">
        <v>188</v>
      </c>
      <c r="G102" s="21"/>
      <c r="H102" s="21" t="s">
        <v>129</v>
      </c>
      <c r="I102" s="21"/>
      <c r="J102" s="22" t="n">
        <v>1</v>
      </c>
      <c r="K102" s="22" t="n">
        <v>0</v>
      </c>
      <c r="L102" s="22" t="n">
        <v>1</v>
      </c>
      <c r="M102" s="21" t="s">
        <v>118</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122</v>
      </c>
      <c r="B103" s="21" t="s">
        <v>72</v>
      </c>
      <c r="C103" s="21" t="s">
        <v>74</v>
      </c>
      <c r="D103" s="21" t="s">
        <v>82</v>
      </c>
      <c r="E103" s="21" t="s">
        <v>86</v>
      </c>
      <c r="F103" s="21" t="s">
        <v>188</v>
      </c>
      <c r="G103" s="21"/>
      <c r="H103" s="21" t="s">
        <v>129</v>
      </c>
      <c r="I103" s="21"/>
      <c r="J103" s="22" t="n">
        <v>1</v>
      </c>
      <c r="K103" s="22" t="n">
        <v>1</v>
      </c>
      <c r="L103" s="22" t="n">
        <v>0</v>
      </c>
      <c r="M103" s="21" t="s">
        <v>118</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149</v>
      </c>
      <c r="B104" s="21" t="s">
        <v>72</v>
      </c>
      <c r="C104" s="21" t="s">
        <v>74</v>
      </c>
      <c r="D104" s="21" t="s">
        <v>82</v>
      </c>
      <c r="E104" s="21" t="s">
        <v>86</v>
      </c>
      <c r="F104" s="21" t="s">
        <v>190</v>
      </c>
      <c r="G104" s="21"/>
      <c r="H104" s="21" t="s">
        <v>129</v>
      </c>
      <c r="I104" s="21"/>
      <c r="J104" s="22" t="n">
        <v>1</v>
      </c>
      <c r="K104" s="22" t="n">
        <v>1</v>
      </c>
      <c r="L104" s="22" t="n">
        <v>0</v>
      </c>
      <c r="M104" s="21" t="s">
        <v>118</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195</v>
      </c>
      <c r="B105" s="21" t="s">
        <v>72</v>
      </c>
      <c r="C105" s="21" t="s">
        <v>74</v>
      </c>
      <c r="D105" s="21" t="s">
        <v>82</v>
      </c>
      <c r="E105" s="21" t="s">
        <v>86</v>
      </c>
      <c r="F105" s="21" t="s">
        <v>190</v>
      </c>
      <c r="G105" s="21"/>
      <c r="H105" s="21" t="s">
        <v>129</v>
      </c>
      <c r="I105" s="21"/>
      <c r="J105" s="22" t="n">
        <v>1</v>
      </c>
      <c r="K105" s="22" t="n">
        <v>1</v>
      </c>
      <c r="L105" s="22" t="n">
        <v>0</v>
      </c>
      <c r="M105" s="21" t="s">
        <v>118</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154</v>
      </c>
      <c r="B106" s="21" t="s">
        <v>72</v>
      </c>
      <c r="C106" s="21" t="s">
        <v>74</v>
      </c>
      <c r="D106" s="21" t="s">
        <v>82</v>
      </c>
      <c r="E106" s="21" t="s">
        <v>86</v>
      </c>
      <c r="F106" s="21" t="s">
        <v>192</v>
      </c>
      <c r="G106" s="21"/>
      <c r="H106" s="21" t="s">
        <v>129</v>
      </c>
      <c r="I106" s="21"/>
      <c r="J106" s="22" t="n">
        <v>1</v>
      </c>
      <c r="K106" s="22" t="n">
        <v>0</v>
      </c>
      <c r="L106" s="22" t="n">
        <v>1</v>
      </c>
      <c r="M106" s="21" t="s">
        <v>118</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149</v>
      </c>
      <c r="B107" s="21" t="s">
        <v>72</v>
      </c>
      <c r="C107" s="21" t="s">
        <v>74</v>
      </c>
      <c r="D107" s="21" t="s">
        <v>82</v>
      </c>
      <c r="E107" s="21" t="s">
        <v>86</v>
      </c>
      <c r="F107" s="21" t="s">
        <v>192</v>
      </c>
      <c r="G107" s="21"/>
      <c r="H107" s="21" t="s">
        <v>129</v>
      </c>
      <c r="I107" s="21"/>
      <c r="J107" s="22" t="n">
        <v>1</v>
      </c>
      <c r="K107" s="22" t="n">
        <v>0</v>
      </c>
      <c r="L107" s="22" t="n">
        <v>1</v>
      </c>
      <c r="M107" s="21" t="s">
        <v>118</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155</v>
      </c>
      <c r="B108" s="21" t="s">
        <v>72</v>
      </c>
      <c r="C108" s="21" t="s">
        <v>74</v>
      </c>
      <c r="D108" s="21" t="s">
        <v>82</v>
      </c>
      <c r="E108" s="21" t="s">
        <v>86</v>
      </c>
      <c r="F108" s="21" t="s">
        <v>193</v>
      </c>
      <c r="G108" s="21"/>
      <c r="H108" s="21" t="s">
        <v>126</v>
      </c>
      <c r="I108" s="21"/>
      <c r="J108" s="22" t="n">
        <v>1</v>
      </c>
      <c r="K108" s="22" t="n">
        <v>1</v>
      </c>
      <c r="L108" s="22" t="n">
        <v>0</v>
      </c>
      <c r="M108" s="21" t="s">
        <v>118</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136</v>
      </c>
      <c r="B109" s="21" t="s">
        <v>72</v>
      </c>
      <c r="C109" s="21" t="s">
        <v>88</v>
      </c>
      <c r="D109" s="21"/>
      <c r="E109" s="21"/>
      <c r="F109" s="21" t="s">
        <v>197</v>
      </c>
      <c r="G109" s="21"/>
      <c r="H109" s="21" t="s">
        <v>121</v>
      </c>
      <c r="I109" s="21"/>
      <c r="J109" s="22" t="n">
        <v>1</v>
      </c>
      <c r="K109" s="22" t="n">
        <v>1</v>
      </c>
      <c r="L109" s="22" t="n">
        <v>0</v>
      </c>
      <c r="M109" s="21" t="s">
        <v>118</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124</v>
      </c>
      <c r="B110" s="21" t="s">
        <v>72</v>
      </c>
      <c r="C110" s="21" t="s">
        <v>88</v>
      </c>
      <c r="D110" s="21" t="s">
        <v>90</v>
      </c>
      <c r="E110" s="21"/>
      <c r="F110" s="21" t="s">
        <v>198</v>
      </c>
      <c r="G110" s="21"/>
      <c r="H110" s="21" t="s">
        <v>126</v>
      </c>
      <c r="I110" s="21"/>
      <c r="J110" s="22" t="n">
        <v>1</v>
      </c>
      <c r="K110" s="22" t="n">
        <v>1</v>
      </c>
      <c r="L110" s="22" t="n">
        <v>0</v>
      </c>
      <c r="M110" s="21" t="s">
        <v>118</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199</v>
      </c>
      <c r="B111" s="21" t="s">
        <v>72</v>
      </c>
      <c r="C111" s="21" t="s">
        <v>88</v>
      </c>
      <c r="D111" s="21" t="s">
        <v>90</v>
      </c>
      <c r="E111" s="21" t="s">
        <v>92</v>
      </c>
      <c r="F111" s="21" t="s">
        <v>200</v>
      </c>
      <c r="G111" s="21"/>
      <c r="H111" s="21" t="s">
        <v>129</v>
      </c>
      <c r="I111" s="21"/>
      <c r="J111" s="22" t="n">
        <v>1</v>
      </c>
      <c r="K111" s="22" t="n">
        <v>1</v>
      </c>
      <c r="L111" s="22" t="n">
        <v>0</v>
      </c>
      <c r="M111" s="21" t="s">
        <v>118</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201</v>
      </c>
      <c r="B112" s="21" t="s">
        <v>72</v>
      </c>
      <c r="C112" s="21" t="s">
        <v>88</v>
      </c>
      <c r="D112" s="21" t="s">
        <v>90</v>
      </c>
      <c r="E112" s="21" t="s">
        <v>92</v>
      </c>
      <c r="F112" s="21" t="s">
        <v>200</v>
      </c>
      <c r="G112" s="21"/>
      <c r="H112" s="21" t="s">
        <v>129</v>
      </c>
      <c r="I112" s="21"/>
      <c r="J112" s="22" t="n">
        <v>1</v>
      </c>
      <c r="K112" s="22" t="n">
        <v>1</v>
      </c>
      <c r="L112" s="22" t="n">
        <v>0</v>
      </c>
      <c r="M112" s="21" t="s">
        <v>118</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202</v>
      </c>
      <c r="B113" s="21" t="s">
        <v>72</v>
      </c>
      <c r="C113" s="21" t="s">
        <v>88</v>
      </c>
      <c r="D113" s="21" t="s">
        <v>90</v>
      </c>
      <c r="E113" s="21" t="s">
        <v>92</v>
      </c>
      <c r="F113" s="21" t="s">
        <v>203</v>
      </c>
      <c r="G113" s="21"/>
      <c r="H113" s="21" t="s">
        <v>129</v>
      </c>
      <c r="I113" s="21"/>
      <c r="J113" s="22" t="n">
        <v>1</v>
      </c>
      <c r="K113" s="22" t="n">
        <v>1</v>
      </c>
      <c r="L113" s="22" t="n">
        <v>0</v>
      </c>
      <c r="M113" s="21" t="s">
        <v>118</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204</v>
      </c>
      <c r="B114" s="21" t="s">
        <v>72</v>
      </c>
      <c r="C114" s="21" t="s">
        <v>88</v>
      </c>
      <c r="D114" s="21" t="s">
        <v>90</v>
      </c>
      <c r="E114" s="21" t="s">
        <v>92</v>
      </c>
      <c r="F114" s="21" t="s">
        <v>203</v>
      </c>
      <c r="G114" s="21"/>
      <c r="H114" s="21" t="s">
        <v>129</v>
      </c>
      <c r="I114" s="21"/>
      <c r="J114" s="22" t="n">
        <v>1</v>
      </c>
      <c r="K114" s="22" t="n">
        <v>1</v>
      </c>
      <c r="L114" s="22" t="n">
        <v>0</v>
      </c>
      <c r="M114" s="21" t="s">
        <v>118</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170</v>
      </c>
      <c r="B115" s="21" t="s">
        <v>72</v>
      </c>
      <c r="C115" s="21" t="s">
        <v>88</v>
      </c>
      <c r="D115" s="21" t="s">
        <v>90</v>
      </c>
      <c r="E115" s="21" t="s">
        <v>92</v>
      </c>
      <c r="F115" s="21" t="s">
        <v>205</v>
      </c>
      <c r="G115" s="21"/>
      <c r="H115" s="21" t="s">
        <v>129</v>
      </c>
      <c r="I115" s="21"/>
      <c r="J115" s="22" t="n">
        <v>1</v>
      </c>
      <c r="K115" s="22" t="n">
        <v>1</v>
      </c>
      <c r="L115" s="22" t="n">
        <v>0</v>
      </c>
      <c r="M115" s="21" t="s">
        <v>118</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146</v>
      </c>
      <c r="B116" s="21" t="s">
        <v>72</v>
      </c>
      <c r="C116" s="21" t="s">
        <v>88</v>
      </c>
      <c r="D116" s="21" t="s">
        <v>90</v>
      </c>
      <c r="E116" s="21" t="s">
        <v>92</v>
      </c>
      <c r="F116" s="21" t="s">
        <v>205</v>
      </c>
      <c r="G116" s="21"/>
      <c r="H116" s="21" t="s">
        <v>129</v>
      </c>
      <c r="I116" s="21"/>
      <c r="J116" s="22" t="n">
        <v>1</v>
      </c>
      <c r="K116" s="22" t="n">
        <v>1</v>
      </c>
      <c r="L116" s="22" t="n">
        <v>0</v>
      </c>
      <c r="M116" s="21" t="s">
        <v>118</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206</v>
      </c>
      <c r="B117" s="21" t="s">
        <v>72</v>
      </c>
      <c r="C117" s="21" t="s">
        <v>88</v>
      </c>
      <c r="D117" s="21" t="s">
        <v>90</v>
      </c>
      <c r="E117" s="21" t="s">
        <v>92</v>
      </c>
      <c r="F117" s="21" t="s">
        <v>205</v>
      </c>
      <c r="G117" s="21"/>
      <c r="H117" s="21" t="s">
        <v>129</v>
      </c>
      <c r="I117" s="21"/>
      <c r="J117" s="22" t="n">
        <v>1</v>
      </c>
      <c r="K117" s="22" t="n">
        <v>1</v>
      </c>
      <c r="L117" s="22" t="n">
        <v>0</v>
      </c>
      <c r="M117" s="21" t="s">
        <v>118</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142</v>
      </c>
      <c r="B118" s="21" t="s">
        <v>72</v>
      </c>
      <c r="C118" s="21" t="s">
        <v>88</v>
      </c>
      <c r="D118" s="21" t="s">
        <v>90</v>
      </c>
      <c r="E118" s="21" t="s">
        <v>92</v>
      </c>
      <c r="F118" s="21" t="s">
        <v>207</v>
      </c>
      <c r="G118" s="21"/>
      <c r="H118" s="21" t="s">
        <v>126</v>
      </c>
      <c r="I118" s="21"/>
      <c r="J118" s="22" t="n">
        <v>1</v>
      </c>
      <c r="K118" s="22" t="n">
        <v>1</v>
      </c>
      <c r="L118" s="22" t="n">
        <v>0</v>
      </c>
      <c r="M118" s="21" t="s">
        <v>118</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133</v>
      </c>
      <c r="B119" s="21" t="s">
        <v>72</v>
      </c>
      <c r="C119" s="21" t="s">
        <v>88</v>
      </c>
      <c r="D119" s="21" t="s">
        <v>90</v>
      </c>
      <c r="E119" s="21" t="s">
        <v>94</v>
      </c>
      <c r="F119" s="21" t="s">
        <v>200</v>
      </c>
      <c r="G119" s="21"/>
      <c r="H119" s="21" t="s">
        <v>129</v>
      </c>
      <c r="I119" s="21"/>
      <c r="J119" s="22" t="n">
        <v>1</v>
      </c>
      <c r="K119" s="22" t="n">
        <v>1</v>
      </c>
      <c r="L119" s="22" t="n">
        <v>0</v>
      </c>
      <c r="M119" s="21" t="s">
        <v>118</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153</v>
      </c>
      <c r="B120" s="21" t="s">
        <v>72</v>
      </c>
      <c r="C120" s="21" t="s">
        <v>88</v>
      </c>
      <c r="D120" s="21" t="s">
        <v>90</v>
      </c>
      <c r="E120" s="21" t="s">
        <v>94</v>
      </c>
      <c r="F120" s="21" t="s">
        <v>200</v>
      </c>
      <c r="G120" s="21"/>
      <c r="H120" s="21" t="s">
        <v>129</v>
      </c>
      <c r="I120" s="21"/>
      <c r="J120" s="22" t="n">
        <v>1</v>
      </c>
      <c r="K120" s="22" t="n">
        <v>1</v>
      </c>
      <c r="L120" s="22" t="n">
        <v>0</v>
      </c>
      <c r="M120" s="21" t="s">
        <v>118</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127</v>
      </c>
      <c r="B121" s="21" t="s">
        <v>72</v>
      </c>
      <c r="C121" s="21" t="s">
        <v>88</v>
      </c>
      <c r="D121" s="21" t="s">
        <v>90</v>
      </c>
      <c r="E121" s="21" t="s">
        <v>94</v>
      </c>
      <c r="F121" s="21" t="s">
        <v>203</v>
      </c>
      <c r="G121" s="21"/>
      <c r="H121" s="21" t="s">
        <v>129</v>
      </c>
      <c r="I121" s="21"/>
      <c r="J121" s="22" t="n">
        <v>1</v>
      </c>
      <c r="K121" s="22" t="n">
        <v>1</v>
      </c>
      <c r="L121" s="22" t="n">
        <v>0</v>
      </c>
      <c r="M121" s="21" t="s">
        <v>118</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208</v>
      </c>
      <c r="B122" s="21" t="s">
        <v>72</v>
      </c>
      <c r="C122" s="21" t="s">
        <v>88</v>
      </c>
      <c r="D122" s="21" t="s">
        <v>90</v>
      </c>
      <c r="E122" s="21" t="s">
        <v>94</v>
      </c>
      <c r="F122" s="21" t="s">
        <v>209</v>
      </c>
      <c r="G122" s="21"/>
      <c r="H122" s="21" t="s">
        <v>129</v>
      </c>
      <c r="I122" s="21"/>
      <c r="J122" s="22" t="n">
        <v>1</v>
      </c>
      <c r="K122" s="22" t="n">
        <v>1</v>
      </c>
      <c r="L122" s="22" t="n">
        <v>0</v>
      </c>
      <c r="M122" s="21" t="s">
        <v>132</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177</v>
      </c>
      <c r="B123" s="21" t="s">
        <v>72</v>
      </c>
      <c r="C123" s="21" t="s">
        <v>88</v>
      </c>
      <c r="D123" s="21" t="s">
        <v>90</v>
      </c>
      <c r="E123" s="21" t="s">
        <v>94</v>
      </c>
      <c r="F123" s="21" t="s">
        <v>209</v>
      </c>
      <c r="G123" s="21"/>
      <c r="H123" s="21" t="s">
        <v>129</v>
      </c>
      <c r="I123" s="21"/>
      <c r="J123" s="22" t="n">
        <v>1</v>
      </c>
      <c r="K123" s="22" t="n">
        <v>1</v>
      </c>
      <c r="L123" s="22" t="n">
        <v>0</v>
      </c>
      <c r="M123" s="21" t="s">
        <v>118</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142</v>
      </c>
      <c r="B124" s="21" t="s">
        <v>72</v>
      </c>
      <c r="C124" s="21" t="s">
        <v>88</v>
      </c>
      <c r="D124" s="21" t="s">
        <v>90</v>
      </c>
      <c r="E124" s="21" t="s">
        <v>94</v>
      </c>
      <c r="F124" s="21" t="s">
        <v>209</v>
      </c>
      <c r="G124" s="21"/>
      <c r="H124" s="21" t="s">
        <v>129</v>
      </c>
      <c r="I124" s="21"/>
      <c r="J124" s="22" t="n">
        <v>1</v>
      </c>
      <c r="K124" s="22" t="n">
        <v>0</v>
      </c>
      <c r="L124" s="22" t="n">
        <v>1</v>
      </c>
      <c r="M124" s="21" t="s">
        <v>118</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206</v>
      </c>
      <c r="B125" s="21" t="s">
        <v>72</v>
      </c>
      <c r="C125" s="21" t="s">
        <v>88</v>
      </c>
      <c r="D125" s="21" t="s">
        <v>90</v>
      </c>
      <c r="E125" s="21" t="s">
        <v>94</v>
      </c>
      <c r="F125" s="21" t="s">
        <v>210</v>
      </c>
      <c r="G125" s="21"/>
      <c r="H125" s="21" t="s">
        <v>129</v>
      </c>
      <c r="I125" s="21"/>
      <c r="J125" s="22" t="n">
        <v>1</v>
      </c>
      <c r="K125" s="22" t="n">
        <v>1</v>
      </c>
      <c r="L125" s="22" t="n">
        <v>0</v>
      </c>
      <c r="M125" s="21" t="s">
        <v>118</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187</v>
      </c>
      <c r="B126" s="21" t="s">
        <v>72</v>
      </c>
      <c r="C126" s="21" t="s">
        <v>88</v>
      </c>
      <c r="D126" s="21" t="s">
        <v>90</v>
      </c>
      <c r="E126" s="21" t="s">
        <v>94</v>
      </c>
      <c r="F126" s="21" t="s">
        <v>207</v>
      </c>
      <c r="G126" s="21"/>
      <c r="H126" s="21" t="s">
        <v>126</v>
      </c>
      <c r="I126" s="21"/>
      <c r="J126" s="22" t="n">
        <v>1</v>
      </c>
      <c r="K126" s="22" t="n">
        <v>1</v>
      </c>
      <c r="L126" s="22" t="n">
        <v>0</v>
      </c>
      <c r="M126" s="21" t="s">
        <v>118</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152</v>
      </c>
      <c r="B127" s="21" t="s">
        <v>72</v>
      </c>
      <c r="C127" s="21" t="s">
        <v>88</v>
      </c>
      <c r="D127" s="21" t="s">
        <v>96</v>
      </c>
      <c r="E127" s="21"/>
      <c r="F127" s="21" t="s">
        <v>198</v>
      </c>
      <c r="G127" s="21"/>
      <c r="H127" s="21" t="s">
        <v>126</v>
      </c>
      <c r="I127" s="21"/>
      <c r="J127" s="22" t="n">
        <v>1</v>
      </c>
      <c r="K127" s="22" t="n">
        <v>1</v>
      </c>
      <c r="L127" s="22" t="n">
        <v>0</v>
      </c>
      <c r="M127" s="21" t="s">
        <v>118</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156</v>
      </c>
      <c r="B128" s="21" t="s">
        <v>72</v>
      </c>
      <c r="C128" s="21" t="s">
        <v>88</v>
      </c>
      <c r="D128" s="21" t="s">
        <v>96</v>
      </c>
      <c r="E128" s="21" t="s">
        <v>98</v>
      </c>
      <c r="F128" s="21" t="s">
        <v>200</v>
      </c>
      <c r="G128" s="21"/>
      <c r="H128" s="21" t="s">
        <v>129</v>
      </c>
      <c r="I128" s="21"/>
      <c r="J128" s="22" t="n">
        <v>1</v>
      </c>
      <c r="K128" s="22" t="n">
        <v>1</v>
      </c>
      <c r="L128" s="22" t="n">
        <v>0</v>
      </c>
      <c r="M128" s="21" t="s">
        <v>118</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211</v>
      </c>
      <c r="B129" s="21" t="s">
        <v>72</v>
      </c>
      <c r="C129" s="21" t="s">
        <v>88</v>
      </c>
      <c r="D129" s="21" t="s">
        <v>96</v>
      </c>
      <c r="E129" s="21" t="s">
        <v>98</v>
      </c>
      <c r="F129" s="21" t="s">
        <v>200</v>
      </c>
      <c r="G129" s="21"/>
      <c r="H129" s="21" t="s">
        <v>129</v>
      </c>
      <c r="I129" s="21"/>
      <c r="J129" s="22" t="n">
        <v>1</v>
      </c>
      <c r="K129" s="22" t="n">
        <v>0</v>
      </c>
      <c r="L129" s="22" t="n">
        <v>1</v>
      </c>
      <c r="M129" s="21" t="s">
        <v>132</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166</v>
      </c>
      <c r="B130" s="21" t="s">
        <v>72</v>
      </c>
      <c r="C130" s="21" t="s">
        <v>88</v>
      </c>
      <c r="D130" s="21" t="s">
        <v>96</v>
      </c>
      <c r="E130" s="21" t="s">
        <v>98</v>
      </c>
      <c r="F130" s="21" t="s">
        <v>200</v>
      </c>
      <c r="G130" s="21"/>
      <c r="H130" s="21" t="s">
        <v>129</v>
      </c>
      <c r="I130" s="21"/>
      <c r="J130" s="22" t="n">
        <v>1</v>
      </c>
      <c r="K130" s="22" t="n">
        <v>1</v>
      </c>
      <c r="L130" s="22" t="n">
        <v>0</v>
      </c>
      <c r="M130" s="21" t="s">
        <v>118</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179</v>
      </c>
      <c r="B131" s="21" t="s">
        <v>72</v>
      </c>
      <c r="C131" s="21" t="s">
        <v>88</v>
      </c>
      <c r="D131" s="21" t="s">
        <v>96</v>
      </c>
      <c r="E131" s="21" t="s">
        <v>98</v>
      </c>
      <c r="F131" s="21" t="s">
        <v>203</v>
      </c>
      <c r="G131" s="21"/>
      <c r="H131" s="21" t="s">
        <v>129</v>
      </c>
      <c r="I131" s="21"/>
      <c r="J131" s="22" t="n">
        <v>1</v>
      </c>
      <c r="K131" s="22" t="n">
        <v>1</v>
      </c>
      <c r="L131" s="22" t="n">
        <v>0</v>
      </c>
      <c r="M131" s="21" t="s">
        <v>118</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178</v>
      </c>
      <c r="B132" s="21" t="s">
        <v>72</v>
      </c>
      <c r="C132" s="21" t="s">
        <v>88</v>
      </c>
      <c r="D132" s="21" t="s">
        <v>96</v>
      </c>
      <c r="E132" s="21" t="s">
        <v>98</v>
      </c>
      <c r="F132" s="21" t="s">
        <v>203</v>
      </c>
      <c r="G132" s="21"/>
      <c r="H132" s="21" t="s">
        <v>129</v>
      </c>
      <c r="I132" s="21"/>
      <c r="J132" s="22" t="n">
        <v>1</v>
      </c>
      <c r="K132" s="22" t="n">
        <v>1</v>
      </c>
      <c r="L132" s="22" t="n">
        <v>0</v>
      </c>
      <c r="M132" s="21" t="s">
        <v>118</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189</v>
      </c>
      <c r="B133" s="21" t="s">
        <v>72</v>
      </c>
      <c r="C133" s="21" t="s">
        <v>88</v>
      </c>
      <c r="D133" s="21" t="s">
        <v>96</v>
      </c>
      <c r="E133" s="21" t="s">
        <v>98</v>
      </c>
      <c r="F133" s="21" t="s">
        <v>210</v>
      </c>
      <c r="G133" s="21"/>
      <c r="H133" s="21" t="s">
        <v>129</v>
      </c>
      <c r="I133" s="21"/>
      <c r="J133" s="22" t="n">
        <v>1</v>
      </c>
      <c r="K133" s="22" t="n">
        <v>1</v>
      </c>
      <c r="L133" s="22" t="n">
        <v>0</v>
      </c>
      <c r="M133" s="21" t="s">
        <v>118</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180</v>
      </c>
      <c r="B134" s="21" t="s">
        <v>72</v>
      </c>
      <c r="C134" s="21" t="s">
        <v>88</v>
      </c>
      <c r="D134" s="21" t="s">
        <v>96</v>
      </c>
      <c r="E134" s="21" t="s">
        <v>98</v>
      </c>
      <c r="F134" s="21" t="s">
        <v>207</v>
      </c>
      <c r="G134" s="21"/>
      <c r="H134" s="21" t="s">
        <v>126</v>
      </c>
      <c r="I134" s="21"/>
      <c r="J134" s="22" t="n">
        <v>1</v>
      </c>
      <c r="K134" s="22" t="n">
        <v>1</v>
      </c>
      <c r="L134" s="22" t="n">
        <v>0</v>
      </c>
      <c r="M134" s="21" t="s">
        <v>118</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141</v>
      </c>
      <c r="B135" s="21" t="s">
        <v>72</v>
      </c>
      <c r="C135" s="21" t="s">
        <v>88</v>
      </c>
      <c r="D135" s="21" t="s">
        <v>96</v>
      </c>
      <c r="E135" s="21" t="s">
        <v>100</v>
      </c>
      <c r="F135" s="21" t="s">
        <v>200</v>
      </c>
      <c r="G135" s="21"/>
      <c r="H135" s="21" t="s">
        <v>129</v>
      </c>
      <c r="I135" s="21"/>
      <c r="J135" s="22" t="n">
        <v>1</v>
      </c>
      <c r="K135" s="22" t="n">
        <v>1</v>
      </c>
      <c r="L135" s="22" t="n">
        <v>0</v>
      </c>
      <c r="M135" s="21" t="s">
        <v>118</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159</v>
      </c>
      <c r="B136" s="21" t="s">
        <v>72</v>
      </c>
      <c r="C136" s="21" t="s">
        <v>88</v>
      </c>
      <c r="D136" s="21" t="s">
        <v>96</v>
      </c>
      <c r="E136" s="21" t="s">
        <v>100</v>
      </c>
      <c r="F136" s="21" t="s">
        <v>200</v>
      </c>
      <c r="G136" s="21"/>
      <c r="H136" s="21" t="s">
        <v>129</v>
      </c>
      <c r="I136" s="21"/>
      <c r="J136" s="22" t="n">
        <v>1</v>
      </c>
      <c r="K136" s="22" t="n">
        <v>1</v>
      </c>
      <c r="L136" s="22" t="n">
        <v>0</v>
      </c>
      <c r="M136" s="21" t="s">
        <v>118</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174</v>
      </c>
      <c r="B137" s="21" t="s">
        <v>72</v>
      </c>
      <c r="C137" s="21" t="s">
        <v>88</v>
      </c>
      <c r="D137" s="21" t="s">
        <v>96</v>
      </c>
      <c r="E137" s="21" t="s">
        <v>100</v>
      </c>
      <c r="F137" s="21" t="s">
        <v>200</v>
      </c>
      <c r="G137" s="21"/>
      <c r="H137" s="21" t="s">
        <v>129</v>
      </c>
      <c r="I137" s="21"/>
      <c r="J137" s="22" t="n">
        <v>1</v>
      </c>
      <c r="K137" s="22" t="n">
        <v>1</v>
      </c>
      <c r="L137" s="22" t="n">
        <v>0</v>
      </c>
      <c r="M137" s="21" t="s">
        <v>118</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133</v>
      </c>
      <c r="B138" s="21" t="s">
        <v>72</v>
      </c>
      <c r="C138" s="21" t="s">
        <v>88</v>
      </c>
      <c r="D138" s="21" t="s">
        <v>96</v>
      </c>
      <c r="E138" s="21" t="s">
        <v>100</v>
      </c>
      <c r="F138" s="21" t="s">
        <v>205</v>
      </c>
      <c r="G138" s="21"/>
      <c r="H138" s="21" t="s">
        <v>129</v>
      </c>
      <c r="I138" s="21"/>
      <c r="J138" s="22" t="n">
        <v>1</v>
      </c>
      <c r="K138" s="22" t="n">
        <v>1</v>
      </c>
      <c r="L138" s="22" t="n">
        <v>0</v>
      </c>
      <c r="M138" s="21" t="s">
        <v>118</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150</v>
      </c>
      <c r="B139" s="21" t="s">
        <v>72</v>
      </c>
      <c r="C139" s="21" t="s">
        <v>88</v>
      </c>
      <c r="D139" s="21" t="s">
        <v>96</v>
      </c>
      <c r="E139" s="21" t="s">
        <v>100</v>
      </c>
      <c r="F139" s="21" t="s">
        <v>210</v>
      </c>
      <c r="G139" s="21"/>
      <c r="H139" s="21" t="s">
        <v>129</v>
      </c>
      <c r="I139" s="21"/>
      <c r="J139" s="22" t="n">
        <v>1</v>
      </c>
      <c r="K139" s="22" t="n">
        <v>1</v>
      </c>
      <c r="L139" s="22" t="n">
        <v>0</v>
      </c>
      <c r="M139" s="21" t="s">
        <v>118</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146</v>
      </c>
      <c r="B140" s="21" t="s">
        <v>72</v>
      </c>
      <c r="C140" s="21" t="s">
        <v>88</v>
      </c>
      <c r="D140" s="21" t="s">
        <v>96</v>
      </c>
      <c r="E140" s="21" t="s">
        <v>100</v>
      </c>
      <c r="F140" s="21" t="s">
        <v>207</v>
      </c>
      <c r="G140" s="21"/>
      <c r="H140" s="21" t="s">
        <v>126</v>
      </c>
      <c r="I140" s="21"/>
      <c r="J140" s="22" t="n">
        <v>1</v>
      </c>
      <c r="K140" s="22" t="n">
        <v>1</v>
      </c>
      <c r="L140" s="22" t="n">
        <v>0</v>
      </c>
      <c r="M140" s="21" t="s">
        <v>118</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c r="B141" s="21"/>
      <c r="C141" s="21"/>
      <c r="D141" s="21"/>
      <c r="E141" s="21"/>
      <c r="F141" s="21"/>
      <c r="G141" s="21"/>
      <c r="H141" s="21"/>
      <c r="I141" s="21"/>
      <c r="J141" s="22"/>
      <c r="K141" s="22"/>
      <c r="L141" s="22"/>
      <c r="M141" s="21"/>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
      </c>
    </row>
    <row r="142" customFormat="false" ht="15" hidden="false" customHeight="false" outlineLevel="0" collapsed="false">
      <c r="A142" s="21"/>
      <c r="B142" s="21"/>
      <c r="C142" s="21"/>
      <c r="D142" s="21"/>
      <c r="E142" s="21"/>
      <c r="F142" s="21"/>
      <c r="G142" s="21"/>
      <c r="H142" s="21"/>
      <c r="I142" s="21"/>
      <c r="J142" s="22"/>
      <c r="K142" s="22"/>
      <c r="L142" s="22"/>
      <c r="M142" s="21"/>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
      </c>
    </row>
    <row r="143" customFormat="false" ht="15" hidden="false" customHeight="false" outlineLevel="0" collapsed="false">
      <c r="A143" s="21"/>
      <c r="B143" s="21"/>
      <c r="C143" s="21"/>
      <c r="D143" s="21"/>
      <c r="E143" s="21"/>
      <c r="F143" s="21"/>
      <c r="G143" s="21"/>
      <c r="H143" s="21"/>
      <c r="I143" s="21"/>
      <c r="J143" s="22"/>
      <c r="K143" s="22"/>
      <c r="L143" s="22"/>
      <c r="M143" s="21"/>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
      </c>
    </row>
    <row r="144" customFormat="false" ht="15" hidden="false" customHeight="false" outlineLevel="0" collapsed="false">
      <c r="A144" s="21"/>
      <c r="B144" s="21"/>
      <c r="C144" s="21"/>
      <c r="D144" s="21"/>
      <c r="E144" s="21"/>
      <c r="F144" s="21"/>
      <c r="G144" s="21"/>
      <c r="H144" s="21"/>
      <c r="I144" s="21"/>
      <c r="J144" s="22"/>
      <c r="K144" s="22"/>
      <c r="L144" s="22"/>
      <c r="M144" s="21"/>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
      </c>
    </row>
    <row r="145" customFormat="false" ht="15" hidden="false" customHeight="false" outlineLevel="0" collapsed="false">
      <c r="A145" s="21"/>
      <c r="B145" s="21"/>
      <c r="C145" s="21"/>
      <c r="D145" s="21"/>
      <c r="E145" s="21"/>
      <c r="F145" s="21"/>
      <c r="G145" s="21"/>
      <c r="H145" s="21"/>
      <c r="I145" s="21"/>
      <c r="J145" s="22"/>
      <c r="K145" s="22"/>
      <c r="L145" s="22"/>
      <c r="M145" s="21"/>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
      </c>
    </row>
    <row r="146" customFormat="false" ht="15" hidden="false" customHeight="false" outlineLevel="0" collapsed="false">
      <c r="A146" s="21"/>
      <c r="B146" s="21"/>
      <c r="C146" s="21"/>
      <c r="D146" s="21"/>
      <c r="E146" s="21"/>
      <c r="F146" s="21"/>
      <c r="G146" s="21"/>
      <c r="H146" s="21"/>
      <c r="I146" s="21"/>
      <c r="J146" s="22"/>
      <c r="K146" s="22"/>
      <c r="L146" s="22"/>
      <c r="M146" s="21"/>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
      </c>
    </row>
    <row r="147" customFormat="false" ht="15" hidden="false" customHeight="false" outlineLevel="0" collapsed="false">
      <c r="A147" s="21"/>
      <c r="B147" s="21"/>
      <c r="C147" s="21"/>
      <c r="D147" s="21"/>
      <c r="E147" s="21"/>
      <c r="F147" s="21"/>
      <c r="G147" s="21"/>
      <c r="H147" s="21"/>
      <c r="I147" s="21"/>
      <c r="J147" s="22"/>
      <c r="K147" s="22"/>
      <c r="L147" s="22"/>
      <c r="M147" s="21"/>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
      </c>
    </row>
    <row r="148" customFormat="false" ht="15" hidden="false" customHeight="false" outlineLevel="0" collapsed="false">
      <c r="A148" s="21"/>
      <c r="B148" s="21"/>
      <c r="C148" s="21"/>
      <c r="D148" s="21"/>
      <c r="E148" s="21"/>
      <c r="F148" s="21"/>
      <c r="G148" s="21"/>
      <c r="H148" s="21"/>
      <c r="I148" s="21"/>
      <c r="J148" s="22"/>
      <c r="K148" s="22"/>
      <c r="L148" s="22"/>
      <c r="M148" s="21"/>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
      </c>
    </row>
    <row r="149" customFormat="false" ht="15" hidden="false" customHeight="false" outlineLevel="0" collapsed="false">
      <c r="A149" s="21"/>
      <c r="B149" s="21"/>
      <c r="C149" s="21"/>
      <c r="D149" s="21"/>
      <c r="E149" s="21"/>
      <c r="F149" s="21"/>
      <c r="G149" s="21"/>
      <c r="H149" s="21"/>
      <c r="I149" s="21"/>
      <c r="J149" s="22"/>
      <c r="K149" s="22"/>
      <c r="L149" s="22"/>
      <c r="M149" s="21"/>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
      </c>
    </row>
    <row r="150" customFormat="false" ht="15" hidden="false" customHeight="false" outlineLevel="0" collapsed="false">
      <c r="A150" s="21"/>
      <c r="B150" s="21"/>
      <c r="C150" s="21"/>
      <c r="D150" s="21"/>
      <c r="E150" s="21"/>
      <c r="F150" s="21"/>
      <c r="G150" s="21"/>
      <c r="H150" s="21"/>
      <c r="I150" s="21"/>
      <c r="J150" s="22"/>
      <c r="K150" s="22"/>
      <c r="L150" s="22"/>
      <c r="M150" s="21"/>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
      </c>
    </row>
    <row r="151" customFormat="false" ht="15" hidden="false" customHeight="false" outlineLevel="0" collapsed="false">
      <c r="A151" s="21"/>
      <c r="B151" s="21"/>
      <c r="C151" s="21"/>
      <c r="D151" s="21"/>
      <c r="E151" s="21"/>
      <c r="F151" s="21"/>
      <c r="G151" s="21"/>
      <c r="H151" s="21"/>
      <c r="I151" s="21"/>
      <c r="J151" s="22"/>
      <c r="K151" s="22"/>
      <c r="L151" s="22"/>
      <c r="M151" s="21"/>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
      </c>
    </row>
    <row r="152" customFormat="false" ht="15" hidden="false" customHeight="false" outlineLevel="0" collapsed="false">
      <c r="A152" s="21"/>
      <c r="B152" s="21"/>
      <c r="C152" s="21"/>
      <c r="D152" s="21"/>
      <c r="E152" s="21"/>
      <c r="F152" s="21"/>
      <c r="G152" s="21"/>
      <c r="H152" s="21"/>
      <c r="I152" s="21"/>
      <c r="J152" s="22"/>
      <c r="K152" s="22"/>
      <c r="L152" s="22"/>
      <c r="M152" s="21"/>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
      </c>
    </row>
    <row r="153" customFormat="false" ht="15" hidden="false" customHeight="false" outlineLevel="0" collapsed="false">
      <c r="A153" s="21"/>
      <c r="B153" s="21"/>
      <c r="C153" s="21"/>
      <c r="D153" s="21"/>
      <c r="E153" s="21"/>
      <c r="F153" s="21"/>
      <c r="G153" s="21"/>
      <c r="H153" s="21"/>
      <c r="I153" s="21"/>
      <c r="J153" s="22"/>
      <c r="K153" s="22"/>
      <c r="L153" s="22"/>
      <c r="M153" s="21"/>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
      </c>
    </row>
    <row r="154" customFormat="false" ht="15" hidden="false" customHeight="false" outlineLevel="0" collapsed="false">
      <c r="A154" s="21"/>
      <c r="B154" s="21"/>
      <c r="C154" s="21"/>
      <c r="D154" s="21"/>
      <c r="E154" s="21"/>
      <c r="F154" s="21"/>
      <c r="G154" s="21"/>
      <c r="H154" s="21"/>
      <c r="I154" s="21"/>
      <c r="J154" s="22"/>
      <c r="K154" s="22"/>
      <c r="L154" s="22"/>
      <c r="M154" s="21"/>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
      </c>
    </row>
    <row r="155" customFormat="false" ht="15" hidden="false" customHeight="false" outlineLevel="0" collapsed="false">
      <c r="A155" s="21"/>
      <c r="B155" s="21"/>
      <c r="C155" s="21"/>
      <c r="D155" s="21"/>
      <c r="E155" s="21"/>
      <c r="F155" s="21"/>
      <c r="G155" s="21"/>
      <c r="H155" s="21"/>
      <c r="I155" s="21"/>
      <c r="J155" s="22"/>
      <c r="K155" s="22"/>
      <c r="L155" s="22"/>
      <c r="M155" s="21"/>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
      </c>
    </row>
    <row r="156" customFormat="false" ht="15" hidden="false" customHeight="false" outlineLevel="0" collapsed="false">
      <c r="A156" s="21"/>
      <c r="B156" s="21"/>
      <c r="C156" s="21"/>
      <c r="D156" s="21"/>
      <c r="E156" s="21"/>
      <c r="F156" s="21"/>
      <c r="G156" s="21"/>
      <c r="H156" s="21"/>
      <c r="I156" s="21"/>
      <c r="J156" s="22"/>
      <c r="K156" s="22"/>
      <c r="L156" s="22"/>
      <c r="M156" s="21"/>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
      </c>
    </row>
    <row r="157" customFormat="false" ht="15" hidden="false" customHeight="false" outlineLevel="0" collapsed="false">
      <c r="A157" s="21"/>
      <c r="B157" s="21"/>
      <c r="C157" s="21"/>
      <c r="D157" s="21"/>
      <c r="E157" s="21"/>
      <c r="F157" s="21"/>
      <c r="G157" s="21"/>
      <c r="H157" s="21"/>
      <c r="I157" s="21"/>
      <c r="J157" s="22"/>
      <c r="K157" s="22"/>
      <c r="L157" s="22"/>
      <c r="M157" s="21"/>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
      </c>
    </row>
    <row r="158" customFormat="false" ht="15" hidden="false" customHeight="false" outlineLevel="0" collapsed="false">
      <c r="A158" s="21"/>
      <c r="B158" s="21"/>
      <c r="C158" s="21"/>
      <c r="D158" s="21"/>
      <c r="E158" s="21"/>
      <c r="F158" s="21"/>
      <c r="G158" s="21"/>
      <c r="H158" s="21"/>
      <c r="I158" s="21"/>
      <c r="J158" s="22"/>
      <c r="K158" s="22"/>
      <c r="L158" s="22"/>
      <c r="M158" s="21"/>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
      </c>
    </row>
    <row r="159" customFormat="false" ht="15" hidden="false" customHeight="false" outlineLevel="0" collapsed="false">
      <c r="A159" s="21"/>
      <c r="B159" s="21"/>
      <c r="C159" s="21"/>
      <c r="D159" s="21"/>
      <c r="E159" s="21"/>
      <c r="F159" s="21"/>
      <c r="G159" s="21"/>
      <c r="H159" s="21"/>
      <c r="I159" s="21"/>
      <c r="J159" s="22"/>
      <c r="K159" s="22"/>
      <c r="L159" s="22"/>
      <c r="M159" s="21"/>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
      </c>
    </row>
    <row r="160" customFormat="false" ht="15" hidden="false" customHeight="false" outlineLevel="0" collapsed="false">
      <c r="A160" s="21"/>
      <c r="B160" s="21"/>
      <c r="C160" s="21"/>
      <c r="D160" s="21"/>
      <c r="E160" s="21"/>
      <c r="F160" s="21"/>
      <c r="G160" s="21"/>
      <c r="H160" s="21"/>
      <c r="I160" s="21"/>
      <c r="J160" s="22"/>
      <c r="K160" s="22"/>
      <c r="L160" s="22"/>
      <c r="M160" s="21"/>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
      </c>
    </row>
    <row r="161" customFormat="false" ht="15" hidden="false" customHeight="false" outlineLevel="0" collapsed="false">
      <c r="A161" s="21"/>
      <c r="B161" s="21"/>
      <c r="C161" s="21"/>
      <c r="D161" s="21"/>
      <c r="E161" s="21"/>
      <c r="F161" s="21"/>
      <c r="G161" s="21"/>
      <c r="H161" s="21"/>
      <c r="I161" s="21"/>
      <c r="J161" s="22"/>
      <c r="K161" s="22"/>
      <c r="L161" s="22"/>
      <c r="M161" s="21"/>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
      </c>
    </row>
    <row r="162" customFormat="false" ht="15" hidden="false" customHeight="false" outlineLevel="0" collapsed="false">
      <c r="A162" s="21"/>
      <c r="B162" s="21"/>
      <c r="C162" s="21"/>
      <c r="D162" s="21"/>
      <c r="E162" s="21"/>
      <c r="F162" s="21"/>
      <c r="G162" s="21"/>
      <c r="H162" s="21"/>
      <c r="I162" s="21"/>
      <c r="J162" s="22"/>
      <c r="K162" s="22"/>
      <c r="L162" s="22"/>
      <c r="M162" s="21"/>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
      </c>
    </row>
    <row r="163" customFormat="false" ht="15" hidden="false" customHeight="false" outlineLevel="0" collapsed="false">
      <c r="A163" s="21"/>
      <c r="B163" s="21"/>
      <c r="C163" s="21"/>
      <c r="D163" s="21"/>
      <c r="E163" s="21"/>
      <c r="F163" s="21"/>
      <c r="G163" s="21"/>
      <c r="H163" s="21"/>
      <c r="I163" s="21"/>
      <c r="J163" s="22"/>
      <c r="K163" s="22"/>
      <c r="L163" s="22"/>
      <c r="M163" s="21"/>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
      </c>
    </row>
    <row r="164" customFormat="false" ht="15" hidden="false" customHeight="false" outlineLevel="0" collapsed="false">
      <c r="A164" s="21"/>
      <c r="B164" s="21"/>
      <c r="C164" s="21"/>
      <c r="D164" s="21"/>
      <c r="E164" s="21"/>
      <c r="F164" s="21"/>
      <c r="G164" s="21"/>
      <c r="H164" s="21"/>
      <c r="I164" s="21"/>
      <c r="J164" s="22"/>
      <c r="K164" s="22"/>
      <c r="L164" s="22"/>
      <c r="M164" s="21"/>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
      </c>
    </row>
    <row r="165" customFormat="false" ht="15" hidden="false" customHeight="false" outlineLevel="0" collapsed="false">
      <c r="A165" s="21"/>
      <c r="B165" s="21"/>
      <c r="C165" s="21"/>
      <c r="D165" s="21"/>
      <c r="E165" s="21"/>
      <c r="F165" s="21"/>
      <c r="G165" s="21"/>
      <c r="H165" s="21"/>
      <c r="I165" s="21"/>
      <c r="J165" s="22"/>
      <c r="K165" s="22"/>
      <c r="L165" s="22"/>
      <c r="M165" s="21"/>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
      </c>
    </row>
    <row r="166" customFormat="false" ht="15" hidden="false" customHeight="false" outlineLevel="0" collapsed="false">
      <c r="A166" s="21"/>
      <c r="B166" s="21"/>
      <c r="C166" s="21"/>
      <c r="D166" s="21"/>
      <c r="E166" s="21"/>
      <c r="F166" s="21"/>
      <c r="G166" s="21"/>
      <c r="H166" s="21"/>
      <c r="I166" s="21"/>
      <c r="J166" s="22"/>
      <c r="K166" s="22"/>
      <c r="L166" s="22"/>
      <c r="M166" s="21"/>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
      </c>
    </row>
    <row r="167" customFormat="false" ht="15" hidden="false" customHeight="false" outlineLevel="0" collapsed="false">
      <c r="A167" s="21"/>
      <c r="B167" s="21"/>
      <c r="C167" s="21"/>
      <c r="D167" s="21"/>
      <c r="E167" s="21"/>
      <c r="F167" s="21"/>
      <c r="G167" s="21"/>
      <c r="H167" s="21"/>
      <c r="I167" s="21"/>
      <c r="J167" s="22"/>
      <c r="K167" s="22"/>
      <c r="L167" s="22"/>
      <c r="M167" s="21"/>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
      </c>
    </row>
    <row r="168" customFormat="false" ht="15" hidden="false" customHeight="false" outlineLevel="0" collapsed="false">
      <c r="A168" s="21"/>
      <c r="B168" s="21"/>
      <c r="C168" s="21"/>
      <c r="D168" s="21"/>
      <c r="E168" s="21"/>
      <c r="F168" s="21"/>
      <c r="G168" s="21"/>
      <c r="H168" s="21"/>
      <c r="I168" s="21"/>
      <c r="J168" s="22"/>
      <c r="K168" s="22"/>
      <c r="L168" s="22"/>
      <c r="M168" s="21"/>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
      </c>
    </row>
    <row r="169" customFormat="false" ht="15" hidden="false" customHeight="false" outlineLevel="0" collapsed="false">
      <c r="A169" s="21"/>
      <c r="B169" s="21"/>
      <c r="C169" s="21"/>
      <c r="D169" s="21"/>
      <c r="E169" s="21"/>
      <c r="F169" s="21"/>
      <c r="G169" s="21"/>
      <c r="H169" s="21"/>
      <c r="I169" s="21"/>
      <c r="J169" s="22"/>
      <c r="K169" s="22"/>
      <c r="L169" s="22"/>
      <c r="M169" s="21"/>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
      </c>
    </row>
    <row r="170" customFormat="false" ht="15" hidden="false" customHeight="false" outlineLevel="0" collapsed="false">
      <c r="A170" s="21"/>
      <c r="B170" s="21"/>
      <c r="C170" s="21"/>
      <c r="D170" s="21"/>
      <c r="E170" s="21"/>
      <c r="F170" s="21"/>
      <c r="G170" s="21"/>
      <c r="H170" s="21"/>
      <c r="I170" s="21"/>
      <c r="J170" s="22"/>
      <c r="K170" s="22"/>
      <c r="L170" s="22"/>
      <c r="M170" s="21"/>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
      </c>
    </row>
    <row r="171" customFormat="false" ht="15" hidden="false" customHeight="false" outlineLevel="0" collapsed="false">
      <c r="A171" s="21"/>
      <c r="B171" s="21"/>
      <c r="C171" s="21"/>
      <c r="D171" s="21"/>
      <c r="E171" s="21"/>
      <c r="F171" s="21"/>
      <c r="G171" s="21"/>
      <c r="H171" s="21"/>
      <c r="I171" s="21"/>
      <c r="J171" s="22"/>
      <c r="K171" s="22"/>
      <c r="L171" s="22"/>
      <c r="M171" s="21"/>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
      </c>
    </row>
    <row r="172" customFormat="false" ht="15" hidden="false" customHeight="false" outlineLevel="0" collapsed="false">
      <c r="A172" s="21"/>
      <c r="B172" s="21"/>
      <c r="C172" s="21"/>
      <c r="D172" s="21"/>
      <c r="E172" s="21"/>
      <c r="F172" s="21"/>
      <c r="G172" s="21"/>
      <c r="H172" s="21"/>
      <c r="I172" s="21"/>
      <c r="J172" s="22"/>
      <c r="K172" s="22"/>
      <c r="L172" s="22"/>
      <c r="M172" s="21"/>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
      </c>
    </row>
    <row r="173" customFormat="false" ht="15" hidden="false" customHeight="false" outlineLevel="0" collapsed="false">
      <c r="A173" s="21"/>
      <c r="B173" s="21"/>
      <c r="C173" s="21"/>
      <c r="D173" s="21"/>
      <c r="E173" s="21"/>
      <c r="F173" s="21"/>
      <c r="G173" s="21"/>
      <c r="H173" s="21"/>
      <c r="I173" s="21"/>
      <c r="J173" s="22"/>
      <c r="K173" s="22"/>
      <c r="L173" s="22"/>
      <c r="M173" s="21"/>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
      </c>
    </row>
    <row r="174" customFormat="false" ht="15" hidden="false" customHeight="false" outlineLevel="0" collapsed="false">
      <c r="A174" s="21"/>
      <c r="B174" s="21"/>
      <c r="C174" s="21"/>
      <c r="D174" s="21"/>
      <c r="E174" s="21"/>
      <c r="F174" s="21"/>
      <c r="G174" s="21"/>
      <c r="H174" s="21"/>
      <c r="I174" s="21"/>
      <c r="J174" s="22"/>
      <c r="K174" s="22"/>
      <c r="L174" s="22"/>
      <c r="M174" s="21"/>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
      </c>
    </row>
    <row r="175" customFormat="false" ht="15" hidden="false" customHeight="false" outlineLevel="0" collapsed="false">
      <c r="A175" s="21"/>
      <c r="B175" s="21"/>
      <c r="C175" s="21"/>
      <c r="D175" s="21"/>
      <c r="E175" s="21"/>
      <c r="F175" s="21"/>
      <c r="G175" s="21"/>
      <c r="H175" s="21"/>
      <c r="I175" s="21"/>
      <c r="J175" s="22"/>
      <c r="K175" s="22"/>
      <c r="L175" s="22"/>
      <c r="M175" s="21"/>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
      </c>
    </row>
    <row r="176" customFormat="false" ht="15" hidden="false" customHeight="false" outlineLevel="0" collapsed="false">
      <c r="A176" s="21"/>
      <c r="B176" s="21"/>
      <c r="C176" s="21"/>
      <c r="D176" s="21"/>
      <c r="E176" s="21"/>
      <c r="F176" s="21"/>
      <c r="G176" s="21"/>
      <c r="H176" s="21"/>
      <c r="I176" s="21"/>
      <c r="J176" s="22"/>
      <c r="K176" s="22"/>
      <c r="L176" s="22"/>
      <c r="M176" s="21"/>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
      </c>
    </row>
    <row r="177" customFormat="false" ht="15" hidden="false" customHeight="false" outlineLevel="0" collapsed="false">
      <c r="A177" s="21"/>
      <c r="B177" s="21"/>
      <c r="C177" s="21"/>
      <c r="D177" s="21"/>
      <c r="E177" s="21"/>
      <c r="F177" s="21"/>
      <c r="G177" s="21"/>
      <c r="H177" s="21"/>
      <c r="I177" s="21"/>
      <c r="J177" s="22"/>
      <c r="K177" s="22"/>
      <c r="L177" s="22"/>
      <c r="M177" s="21"/>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
      </c>
    </row>
    <row r="178" customFormat="false" ht="15" hidden="false" customHeight="false" outlineLevel="0" collapsed="false">
      <c r="A178" s="21"/>
      <c r="B178" s="21"/>
      <c r="C178" s="21"/>
      <c r="D178" s="21"/>
      <c r="E178" s="21"/>
      <c r="F178" s="21"/>
      <c r="G178" s="21"/>
      <c r="H178" s="21"/>
      <c r="I178" s="21"/>
      <c r="J178" s="22"/>
      <c r="K178" s="22"/>
      <c r="L178" s="22"/>
      <c r="M178" s="21"/>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
      </c>
    </row>
    <row r="179" customFormat="false" ht="15" hidden="false" customHeight="false" outlineLevel="0" collapsed="false">
      <c r="A179" s="21"/>
      <c r="B179" s="21"/>
      <c r="C179" s="21"/>
      <c r="D179" s="21"/>
      <c r="E179" s="21"/>
      <c r="F179" s="21"/>
      <c r="G179" s="21"/>
      <c r="H179" s="21"/>
      <c r="I179" s="21"/>
      <c r="J179" s="22"/>
      <c r="K179" s="22"/>
      <c r="L179" s="22"/>
      <c r="M179" s="21"/>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
      </c>
    </row>
    <row r="180" customFormat="false" ht="15" hidden="false" customHeight="false" outlineLevel="0" collapsed="false">
      <c r="A180" s="21"/>
      <c r="B180" s="21"/>
      <c r="C180" s="21"/>
      <c r="D180" s="21"/>
      <c r="E180" s="21"/>
      <c r="F180" s="21"/>
      <c r="G180" s="21"/>
      <c r="H180" s="21"/>
      <c r="I180" s="21"/>
      <c r="J180" s="22"/>
      <c r="K180" s="22"/>
      <c r="L180" s="22"/>
      <c r="M180" s="21"/>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
      </c>
    </row>
  </sheetData>
  <sheetProtection sheet="true" sort="false" autoFilter="false"/>
  <autoFilter ref="A5:P180"/>
  <mergeCells count="1">
    <mergeCell ref="A2:J2"/>
  </mergeCells>
  <conditionalFormatting sqref="A6:P180">
    <cfRule type="expression" priority="2" aboveAverage="0" equalAverage="0" bottom="0" percent="0" rank="0" text="" dxfId="11">
      <formula>$N6="Exit"</formula>
    </cfRule>
  </conditionalFormatting>
  <conditionalFormatting sqref="P6:P180">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180" type="list">
      <formula1>CareerLevels</formula1>
      <formula2>0</formula2>
    </dataValidation>
    <dataValidation allowBlank="true" error="Pick a value from the list." errorStyle="stop" operator="between" showDropDown="false" showErrorMessage="true" showInputMessage="false" sqref="H6:H180" type="list">
      <formula1>JobFamilies</formula1>
      <formula2>0</formula2>
    </dataValidation>
    <dataValidation allowBlank="true" error="Pick a value from the list." errorStyle="stop" operator="between" showDropDown="false" showErrorMessage="true" showInputMessage="false" sqref="I6:I180" type="list">
      <formula1>YesNo</formula1>
      <formula2>0</formula2>
    </dataValidation>
    <dataValidation allowBlank="true" error="Pick a value from the list." errorStyle="stop" operator="between" showDropDown="false" showErrorMessage="true" showInputMessage="false" sqref="M6:M180" type="list">
      <formula1>WorkerTypes</formula1>
      <formula2>0</formula2>
    </dataValidation>
    <dataValidation allowBlank="true" error="Pick a value from the list." errorStyle="stop" operator="between" showDropDown="false" showErrorMessage="true" showInputMessage="false" sqref="N6:N180"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212</v>
      </c>
    </row>
    <row r="2" customFormat="false" ht="15" hidden="false" customHeight="false" outlineLevel="0" collapsed="false">
      <c r="A2" s="2" t="s">
        <v>213</v>
      </c>
      <c r="B2" s="2"/>
      <c r="C2" s="2"/>
      <c r="D2" s="2"/>
      <c r="E2" s="2"/>
      <c r="F2" s="2"/>
      <c r="G2" s="2"/>
      <c r="H2" s="2"/>
      <c r="I2" s="2"/>
      <c r="J2" s="2"/>
    </row>
    <row r="4" customFormat="false" ht="15" hidden="false" customHeight="false" outlineLevel="0" collapsed="false">
      <c r="L4" s="24" t="s">
        <v>214</v>
      </c>
      <c r="M4" s="24"/>
      <c r="N4" s="24"/>
      <c r="O4" s="24"/>
    </row>
    <row r="5" customFormat="false" ht="30" hidden="false" customHeight="true" outlineLevel="0" collapsed="false">
      <c r="A5" s="12" t="s">
        <v>215</v>
      </c>
      <c r="B5" s="12" t="s">
        <v>38</v>
      </c>
      <c r="C5" s="12" t="s">
        <v>41</v>
      </c>
      <c r="D5" s="12" t="s">
        <v>27</v>
      </c>
      <c r="E5" s="12" t="s">
        <v>105</v>
      </c>
      <c r="F5" s="12" t="s">
        <v>216</v>
      </c>
      <c r="G5" s="12" t="s">
        <v>107</v>
      </c>
      <c r="H5" s="12" t="s">
        <v>108</v>
      </c>
      <c r="I5" s="12" t="s">
        <v>111</v>
      </c>
      <c r="J5" s="12" t="s">
        <v>217</v>
      </c>
      <c r="K5" s="12" t="s">
        <v>218</v>
      </c>
      <c r="L5" s="12" t="s">
        <v>219</v>
      </c>
      <c r="M5" s="12" t="s">
        <v>220</v>
      </c>
      <c r="N5" s="12" t="s">
        <v>221</v>
      </c>
      <c r="O5" s="12" t="s">
        <v>222</v>
      </c>
      <c r="P5" s="12" t="s">
        <v>223</v>
      </c>
      <c r="Q5" s="12" t="s">
        <v>224</v>
      </c>
      <c r="R5" s="12" t="s">
        <v>225</v>
      </c>
      <c r="S5" s="12" t="s">
        <v>114</v>
      </c>
      <c r="T5" s="12" t="s">
        <v>226</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227</v>
      </c>
    </row>
    <row r="2" customFormat="false" ht="15" hidden="false" customHeight="false" outlineLevel="0" collapsed="false">
      <c r="A2" s="2" t="s">
        <v>228</v>
      </c>
      <c r="B2" s="2"/>
      <c r="C2" s="2"/>
      <c r="D2" s="2"/>
      <c r="E2" s="2"/>
      <c r="F2" s="2"/>
      <c r="G2" s="2"/>
      <c r="H2" s="2"/>
      <c r="I2" s="2"/>
      <c r="J2" s="2"/>
    </row>
    <row r="4" customFormat="false" ht="15" hidden="false" customHeight="false" outlineLevel="0" collapsed="false">
      <c r="A4" s="3" t="s">
        <v>229</v>
      </c>
    </row>
    <row r="5" customFormat="false" ht="27.75" hidden="false" customHeight="true" outlineLevel="0" collapsed="false">
      <c r="A5" s="12" t="s">
        <v>38</v>
      </c>
      <c r="B5" s="12" t="s">
        <v>217</v>
      </c>
      <c r="C5" s="12" t="s">
        <v>113</v>
      </c>
      <c r="D5" s="12" t="s">
        <v>218</v>
      </c>
      <c r="E5" s="12" t="s">
        <v>230</v>
      </c>
      <c r="F5" s="12" t="s">
        <v>34</v>
      </c>
      <c r="G5" s="12"/>
    </row>
    <row r="6" customFormat="false" ht="15" hidden="false" customHeight="false" outlineLevel="0" collapsed="false">
      <c r="A6" s="9" t="s">
        <v>40</v>
      </c>
      <c r="B6" s="25" t="n">
        <f aca="false">SUMIFS(SeatApproved,SeatDivision,"Financial Crime Division")</f>
        <v>64</v>
      </c>
      <c r="C6" s="25" t="n">
        <f aca="false">SUMIFS(SeatExits,SeatDivision,"Financial Crime Division")</f>
        <v>0</v>
      </c>
      <c r="D6" s="25" t="n">
        <f aca="false">SUMIFS(AskTotal,AskDivision,"Financial Crime Division")</f>
        <v>0</v>
      </c>
      <c r="E6" s="25" t="n">
        <f aca="false">$B6-$C6+$D6</f>
        <v>64</v>
      </c>
      <c r="F6" s="25" t="n">
        <f aca="false">$E6-$B6</f>
        <v>0</v>
      </c>
    </row>
    <row r="7" customFormat="false" ht="15" hidden="false" customHeight="false" outlineLevel="0" collapsed="false">
      <c r="A7" s="9" t="s">
        <v>72</v>
      </c>
      <c r="B7" s="25" t="n">
        <f aca="false">SUMIFS(SeatApproved,SeatDivision,"Regulatory Compliance Division")</f>
        <v>70</v>
      </c>
      <c r="C7" s="25" t="n">
        <f aca="false">SUMIFS(SeatExits,SeatDivision,"Regulatory Compliance Division")</f>
        <v>0</v>
      </c>
      <c r="D7" s="25" t="n">
        <f aca="false">SUMIFS(AskTotal,AskDivision,"Regulatory Compliance Division")</f>
        <v>0</v>
      </c>
      <c r="E7" s="25" t="n">
        <f aca="false">$B7-$C7+$D7</f>
        <v>70</v>
      </c>
      <c r="F7" s="25" t="n">
        <f aca="false">$E7-$B7</f>
        <v>0</v>
      </c>
    </row>
    <row r="8" customFormat="false" ht="15" hidden="false" customHeight="false" outlineLevel="0" collapsed="false">
      <c r="A8" s="9" t="s">
        <v>231</v>
      </c>
      <c r="B8" s="25" t="n">
        <f aca="false">SUMIFS(SeatApproved,SeatDivision,"")</f>
        <v>1</v>
      </c>
      <c r="C8" s="25" t="n">
        <f aca="false">SUMIFS(SeatExits,SeatDivision,"")</f>
        <v>0</v>
      </c>
      <c r="D8" s="25" t="n">
        <f aca="false">SUMIFS(AskTotal,AskDivision,"")</f>
        <v>0</v>
      </c>
      <c r="E8" s="25" t="n">
        <f aca="false">$B8-$C8+$D8</f>
        <v>1</v>
      </c>
      <c r="F8" s="25" t="n">
        <f aca="false">$E8-$B8</f>
        <v>0</v>
      </c>
    </row>
    <row r="9" customFormat="false" ht="15" hidden="false" customHeight="false" outlineLevel="0" collapsed="false">
      <c r="A9" s="26" t="s">
        <v>232</v>
      </c>
      <c r="B9" s="16" t="n">
        <f aca="false">SUM(B6:B8)</f>
        <v>135</v>
      </c>
      <c r="C9" s="16" t="n">
        <f aca="false">SUM(C6:C8)</f>
        <v>0</v>
      </c>
      <c r="D9" s="16" t="n">
        <f aca="false">SUM(D6:D8)</f>
        <v>0</v>
      </c>
      <c r="E9" s="16" t="n">
        <f aca="false">SUM(E6:E8)</f>
        <v>135</v>
      </c>
      <c r="F9" s="16" t="n">
        <f aca="false">SUM(F6:F8)</f>
        <v>0</v>
      </c>
    </row>
    <row r="11" customFormat="false" ht="15" hidden="false" customHeight="false" outlineLevel="0" collapsed="false">
      <c r="A11" s="3" t="s">
        <v>233</v>
      </c>
      <c r="G11" s="27" t="s">
        <v>234</v>
      </c>
    </row>
    <row r="12" customFormat="false" ht="27.75" hidden="false" customHeight="true" outlineLevel="0" collapsed="false">
      <c r="A12" s="12" t="s">
        <v>38</v>
      </c>
      <c r="B12" s="12" t="s">
        <v>217</v>
      </c>
      <c r="C12" s="12" t="s">
        <v>113</v>
      </c>
      <c r="D12" s="12" t="s">
        <v>218</v>
      </c>
      <c r="E12" s="12" t="s">
        <v>230</v>
      </c>
      <c r="F12" s="12" t="s">
        <v>34</v>
      </c>
      <c r="G12" s="12"/>
    </row>
    <row r="13" customFormat="false" ht="15" hidden="false" customHeight="false" outlineLevel="0" collapsed="false">
      <c r="A13" s="9" t="s">
        <v>40</v>
      </c>
      <c r="B13" s="28" t="n">
        <f aca="false">SUMIFS(SeatApproved,SeatDivision,"Financial Crime Division",SeatLevel,INDEX(LevelList,1),SeatMandate,"Yes")*(INDEX(LevelBasic,1)+INDEX(LevelHousing,1)+INDEX(LevelTransport,1)+INDEX(LevelBasic,1)*INDEX(LevelBonus,1)+(INDEX(LevelBasic,1)+INDEX(LevelHousing,1))*GosiSaudi)+SUMIFS(SeatApproved,SeatDivision,"Financial Crime Division",SeatLevel,INDEX(LevelList,1),SeatMandate,"No")*(INDEX(LevelBasic,1)+INDEX(LevelHousing,1)+INDEX(LevelTransport,1)+INDEX(LevelBasic,1)*INDEX(LevelBonus,1)+(INDEX(LevelBasic,1)+INDEX(LevelHousing,1))*GosiOther)+SUMIFS(SeatApproved,SeatDivision,"Financial Crime Division",SeatLevel,INDEX(LevelList,2),SeatMandate,"Yes")*(INDEX(LevelBasic,2)+INDEX(LevelHousing,2)+INDEX(LevelTransport,2)+INDEX(LevelBasic,2)*INDEX(LevelBonus,2)+(INDEX(LevelBasic,2)+INDEX(LevelHousing,2))*GosiSaudi)+SUMIFS(SeatApproved,SeatDivision,"Financial Crime Division",SeatLevel,INDEX(LevelList,2),SeatMandate,"No")*(INDEX(LevelBasic,2)+INDEX(LevelHousing,2)+INDEX(LevelTransport,2)+INDEX(LevelBasic,2)*INDEX(LevelBonus,2)+(INDEX(LevelBasic,2)+INDEX(LevelHousing,2))*GosiOther)+SUMIFS(SeatApproved,SeatDivision,"Financial Crime Division",SeatLevel,INDEX(LevelList,3),SeatMandate,"Yes")*(INDEX(LevelBasic,3)+INDEX(LevelHousing,3)+INDEX(LevelTransport,3)+INDEX(LevelBasic,3)*INDEX(LevelBonus,3)+(INDEX(LevelBasic,3)+INDEX(LevelHousing,3))*GosiSaudi)+SUMIFS(SeatApproved,SeatDivision,"Financial Crime Division",SeatLevel,INDEX(LevelList,3),SeatMandate,"No")*(INDEX(LevelBasic,3)+INDEX(LevelHousing,3)+INDEX(LevelTransport,3)+INDEX(LevelBasic,3)*INDEX(LevelBonus,3)+(INDEX(LevelBasic,3)+INDEX(LevelHousing,3))*GosiOther)+SUMIFS(SeatApproved,SeatDivision,"Financial Crime Division",SeatLevel,INDEX(LevelList,4),SeatMandate,"Yes")*(INDEX(LevelBasic,4)+INDEX(LevelHousing,4)+INDEX(LevelTransport,4)+INDEX(LevelBasic,4)*INDEX(LevelBonus,4)+(INDEX(LevelBasic,4)+INDEX(LevelHousing,4))*GosiSaudi)+SUMIFS(SeatApproved,SeatDivision,"Financial Crime Division",SeatLevel,INDEX(LevelList,4),SeatMandate,"No")*(INDEX(LevelBasic,4)+INDEX(LevelHousing,4)+INDEX(LevelTransport,4)+INDEX(LevelBasic,4)*INDEX(LevelBonus,4)+(INDEX(LevelBasic,4)+INDEX(LevelHousing,4))*GosiOther)+SUMIFS(SeatApproved,SeatDivision,"Financial Crime Division",SeatLevel,INDEX(LevelList,5),SeatMandate,"Yes")*(INDEX(LevelBasic,5)+INDEX(LevelHousing,5)+INDEX(LevelTransport,5)+INDEX(LevelBasic,5)*INDEX(LevelBonus,5)+(INDEX(LevelBasic,5)+INDEX(LevelHousing,5))*GosiSaudi)+SUMIFS(SeatApproved,SeatDivision,"Financial Crime Division",SeatLevel,INDEX(LevelList,5),SeatMandate,"No")*(INDEX(LevelBasic,5)+INDEX(LevelHousing,5)+INDEX(LevelTransport,5)+INDEX(LevelBasic,5)*INDEX(LevelBonus,5)+(INDEX(LevelBasic,5)+INDEX(LevelHousing,5))*GosiOther)+SUMIFS(SeatApproved,SeatDivision,"Financial Crime Division",SeatLevel,INDEX(LevelList,6),SeatMandate,"Yes")*(INDEX(LevelBasic,6)+INDEX(LevelHousing,6)+INDEX(LevelTransport,6)+INDEX(LevelBasic,6)*INDEX(LevelBonus,6)+(INDEX(LevelBasic,6)+INDEX(LevelHousing,6))*GosiSaudi)+SUMIFS(SeatApproved,SeatDivision,"Financial Crime Division",SeatLevel,INDEX(LevelList,6),SeatMandate,"No")*(INDEX(LevelBasic,6)+INDEX(LevelHousing,6)+INDEX(LevelTransport,6)+INDEX(LevelBasic,6)*INDEX(LevelBonus,6)+(INDEX(LevelBasic,6)+INDEX(LevelHousing,6))*GosiOther)</f>
        <v>0</v>
      </c>
      <c r="C13" s="28" t="n">
        <f aca="false">SUMIFS(SeatExits,SeatDivision,"Financial Crime Division",SeatLevel,INDEX(LevelList,1),SeatMandate,"Yes")*(INDEX(LevelBasic,1)+INDEX(LevelHousing,1)+INDEX(LevelTransport,1)+INDEX(LevelBasic,1)*INDEX(LevelBonus,1)+(INDEX(LevelBasic,1)+INDEX(LevelHousing,1))*GosiSaudi)+SUMIFS(SeatExits,SeatDivision,"Financial Crime Division",SeatLevel,INDEX(LevelList,1),SeatMandate,"No")*(INDEX(LevelBasic,1)+INDEX(LevelHousing,1)+INDEX(LevelTransport,1)+INDEX(LevelBasic,1)*INDEX(LevelBonus,1)+(INDEX(LevelBasic,1)+INDEX(LevelHousing,1))*GosiOther)+SUMIFS(SeatExits,SeatDivision,"Financial Crime Division",SeatLevel,INDEX(LevelList,2),SeatMandate,"Yes")*(INDEX(LevelBasic,2)+INDEX(LevelHousing,2)+INDEX(LevelTransport,2)+INDEX(LevelBasic,2)*INDEX(LevelBonus,2)+(INDEX(LevelBasic,2)+INDEX(LevelHousing,2))*GosiSaudi)+SUMIFS(SeatExits,SeatDivision,"Financial Crime Division",SeatLevel,INDEX(LevelList,2),SeatMandate,"No")*(INDEX(LevelBasic,2)+INDEX(LevelHousing,2)+INDEX(LevelTransport,2)+INDEX(LevelBasic,2)*INDEX(LevelBonus,2)+(INDEX(LevelBasic,2)+INDEX(LevelHousing,2))*GosiOther)+SUMIFS(SeatExits,SeatDivision,"Financial Crime Division",SeatLevel,INDEX(LevelList,3),SeatMandate,"Yes")*(INDEX(LevelBasic,3)+INDEX(LevelHousing,3)+INDEX(LevelTransport,3)+INDEX(LevelBasic,3)*INDEX(LevelBonus,3)+(INDEX(LevelBasic,3)+INDEX(LevelHousing,3))*GosiSaudi)+SUMIFS(SeatExits,SeatDivision,"Financial Crime Division",SeatLevel,INDEX(LevelList,3),SeatMandate,"No")*(INDEX(LevelBasic,3)+INDEX(LevelHousing,3)+INDEX(LevelTransport,3)+INDEX(LevelBasic,3)*INDEX(LevelBonus,3)+(INDEX(LevelBasic,3)+INDEX(LevelHousing,3))*GosiOther)+SUMIFS(SeatExits,SeatDivision,"Financial Crime Division",SeatLevel,INDEX(LevelList,4),SeatMandate,"Yes")*(INDEX(LevelBasic,4)+INDEX(LevelHousing,4)+INDEX(LevelTransport,4)+INDEX(LevelBasic,4)*INDEX(LevelBonus,4)+(INDEX(LevelBasic,4)+INDEX(LevelHousing,4))*GosiSaudi)+SUMIFS(SeatExits,SeatDivision,"Financial Crime Division",SeatLevel,INDEX(LevelList,4),SeatMandate,"No")*(INDEX(LevelBasic,4)+INDEX(LevelHousing,4)+INDEX(LevelTransport,4)+INDEX(LevelBasic,4)*INDEX(LevelBonus,4)+(INDEX(LevelBasic,4)+INDEX(LevelHousing,4))*GosiOther)+SUMIFS(SeatExits,SeatDivision,"Financial Crime Division",SeatLevel,INDEX(LevelList,5),SeatMandate,"Yes")*(INDEX(LevelBasic,5)+INDEX(LevelHousing,5)+INDEX(LevelTransport,5)+INDEX(LevelBasic,5)*INDEX(LevelBonus,5)+(INDEX(LevelBasic,5)+INDEX(LevelHousing,5))*GosiSaudi)+SUMIFS(SeatExits,SeatDivision,"Financial Crime Division",SeatLevel,INDEX(LevelList,5),SeatMandate,"No")*(INDEX(LevelBasic,5)+INDEX(LevelHousing,5)+INDEX(LevelTransport,5)+INDEX(LevelBasic,5)*INDEX(LevelBonus,5)+(INDEX(LevelBasic,5)+INDEX(LevelHousing,5))*GosiOther)+SUMIFS(SeatExits,SeatDivision,"Financial Crime Division",SeatLevel,INDEX(LevelList,6),SeatMandate,"Yes")*(INDEX(LevelBasic,6)+INDEX(LevelHousing,6)+INDEX(LevelTransport,6)+INDEX(LevelBasic,6)*INDEX(LevelBonus,6)+(INDEX(LevelBasic,6)+INDEX(LevelHousing,6))*GosiSaudi)+SUMIFS(SeatExits,SeatDivision,"Financial Crime Division",SeatLevel,INDEX(LevelList,6),SeatMandate,"No")*(INDEX(LevelBasic,6)+INDEX(LevelHousing,6)+INDEX(LevelTransport,6)+INDEX(LevelBasic,6)*INDEX(LevelBonus,6)+(INDEX(LevelBasic,6)+INDEX(LevelHousing,6))*GosiOther)</f>
        <v>0</v>
      </c>
      <c r="D13" s="28" t="n">
        <f aca="false">SUMIFS(AskTotal,AskDivision,"Financial Crime Division",AskLevel,INDEX(LevelList,1))*(INDEX(LevelBasic,1)+INDEX(LevelHousing,1)+INDEX(LevelTransport,1)+INDEX(LevelBasic,1)*INDEX(LevelBonus,1)+(INDEX(LevelBasic,1)+INDEX(LevelHousing,1))*GosiSaudi)+SUMIFS(AskTotal,AskDivision,"Financial Crime Division",AskLevel,INDEX(LevelList,2))*(INDEX(LevelBasic,2)+INDEX(LevelHousing,2)+INDEX(LevelTransport,2)+INDEX(LevelBasic,2)*INDEX(LevelBonus,2)+(INDEX(LevelBasic,2)+INDEX(LevelHousing,2))*GosiSaudi)+SUMIFS(AskTotal,AskDivision,"Financial Crime Division",AskLevel,INDEX(LevelList,3))*(INDEX(LevelBasic,3)+INDEX(LevelHousing,3)+INDEX(LevelTransport,3)+INDEX(LevelBasic,3)*INDEX(LevelBonus,3)+(INDEX(LevelBasic,3)+INDEX(LevelHousing,3))*GosiSaudi)+SUMIFS(AskTotal,AskDivision,"Financial Crime Division",AskLevel,INDEX(LevelList,4))*(INDEX(LevelBasic,4)+INDEX(LevelHousing,4)+INDEX(LevelTransport,4)+INDEX(LevelBasic,4)*INDEX(LevelBonus,4)+(INDEX(LevelBasic,4)+INDEX(LevelHousing,4))*GosiSaudi)+SUMIFS(AskTotal,AskDivision,"Financial Crime Division",AskLevel,INDEX(LevelList,5))*(INDEX(LevelBasic,5)+INDEX(LevelHousing,5)+INDEX(LevelTransport,5)+INDEX(LevelBasic,5)*INDEX(LevelBonus,5)+(INDEX(LevelBasic,5)+INDEX(LevelHousing,5))*GosiSaudi)+SUMIFS(AskTotal,AskDivision,"Financial Crime Division",AskLevel,INDEX(LevelList,6))*(INDEX(LevelBasic,6)+INDEX(LevelHousing,6)+INDEX(LevelTransport,6)+INDEX(LevelBasic,6)*INDEX(LevelBonus,6)+(INDEX(LevelBasic,6)+INDEX(LevelHousing,6))*GosiSaudi)</f>
        <v>0</v>
      </c>
      <c r="E13" s="28" t="n">
        <f aca="false">$B13-$C13+$D13</f>
        <v>0</v>
      </c>
      <c r="F13" s="28" t="n">
        <f aca="false">$E13-$B13</f>
        <v>0</v>
      </c>
    </row>
    <row r="14" customFormat="false" ht="15" hidden="false" customHeight="false" outlineLevel="0" collapsed="false">
      <c r="A14" s="9" t="s">
        <v>72</v>
      </c>
      <c r="B14" s="28" t="n">
        <f aca="false">SUMIFS(SeatApproved,SeatDivision,"Regulatory Compliance Division",SeatLevel,INDEX(LevelList,1),SeatMandate,"Yes")*(INDEX(LevelBasic,1)+INDEX(LevelHousing,1)+INDEX(LevelTransport,1)+INDEX(LevelBasic,1)*INDEX(LevelBonus,1)+(INDEX(LevelBasic,1)+INDEX(LevelHousing,1))*GosiSaudi)+SUMIFS(SeatApproved,SeatDivision,"Regulatory Compliance Division",SeatLevel,INDEX(LevelList,1),SeatMandate,"No")*(INDEX(LevelBasic,1)+INDEX(LevelHousing,1)+INDEX(LevelTransport,1)+INDEX(LevelBasic,1)*INDEX(LevelBonus,1)+(INDEX(LevelBasic,1)+INDEX(LevelHousing,1))*GosiOther)+SUMIFS(SeatApproved,SeatDivision,"Regulatory Compliance Division",SeatLevel,INDEX(LevelList,2),SeatMandate,"Yes")*(INDEX(LevelBasic,2)+INDEX(LevelHousing,2)+INDEX(LevelTransport,2)+INDEX(LevelBasic,2)*INDEX(LevelBonus,2)+(INDEX(LevelBasic,2)+INDEX(LevelHousing,2))*GosiSaudi)+SUMIFS(SeatApproved,SeatDivision,"Regulatory Compliance Division",SeatLevel,INDEX(LevelList,2),SeatMandate,"No")*(INDEX(LevelBasic,2)+INDEX(LevelHousing,2)+INDEX(LevelTransport,2)+INDEX(LevelBasic,2)*INDEX(LevelBonus,2)+(INDEX(LevelBasic,2)+INDEX(LevelHousing,2))*GosiOther)+SUMIFS(SeatApproved,SeatDivision,"Regulatory Compliance Division",SeatLevel,INDEX(LevelList,3),SeatMandate,"Yes")*(INDEX(LevelBasic,3)+INDEX(LevelHousing,3)+INDEX(LevelTransport,3)+INDEX(LevelBasic,3)*INDEX(LevelBonus,3)+(INDEX(LevelBasic,3)+INDEX(LevelHousing,3))*GosiSaudi)+SUMIFS(SeatApproved,SeatDivision,"Regulatory Compliance Division",SeatLevel,INDEX(LevelList,3),SeatMandate,"No")*(INDEX(LevelBasic,3)+INDEX(LevelHousing,3)+INDEX(LevelTransport,3)+INDEX(LevelBasic,3)*INDEX(LevelBonus,3)+(INDEX(LevelBasic,3)+INDEX(LevelHousing,3))*GosiOther)+SUMIFS(SeatApproved,SeatDivision,"Regulatory Compliance Division",SeatLevel,INDEX(LevelList,4),SeatMandate,"Yes")*(INDEX(LevelBasic,4)+INDEX(LevelHousing,4)+INDEX(LevelTransport,4)+INDEX(LevelBasic,4)*INDEX(LevelBonus,4)+(INDEX(LevelBasic,4)+INDEX(LevelHousing,4))*GosiSaudi)+SUMIFS(SeatApproved,SeatDivision,"Regulatory Compliance Division",SeatLevel,INDEX(LevelList,4),SeatMandate,"No")*(INDEX(LevelBasic,4)+INDEX(LevelHousing,4)+INDEX(LevelTransport,4)+INDEX(LevelBasic,4)*INDEX(LevelBonus,4)+(INDEX(LevelBasic,4)+INDEX(LevelHousing,4))*GosiOther)+SUMIFS(SeatApproved,SeatDivision,"Regulatory Compliance Division",SeatLevel,INDEX(LevelList,5),SeatMandate,"Yes")*(INDEX(LevelBasic,5)+INDEX(LevelHousing,5)+INDEX(LevelTransport,5)+INDEX(LevelBasic,5)*INDEX(LevelBonus,5)+(INDEX(LevelBasic,5)+INDEX(LevelHousing,5))*GosiSaudi)+SUMIFS(SeatApproved,SeatDivision,"Regulatory Compliance Division",SeatLevel,INDEX(LevelList,5),SeatMandate,"No")*(INDEX(LevelBasic,5)+INDEX(LevelHousing,5)+INDEX(LevelTransport,5)+INDEX(LevelBasic,5)*INDEX(LevelBonus,5)+(INDEX(LevelBasic,5)+INDEX(LevelHousing,5))*GosiOther)+SUMIFS(SeatApproved,SeatDivision,"Regulatory Compliance Division",SeatLevel,INDEX(LevelList,6),SeatMandate,"Yes")*(INDEX(LevelBasic,6)+INDEX(LevelHousing,6)+INDEX(LevelTransport,6)+INDEX(LevelBasic,6)*INDEX(LevelBonus,6)+(INDEX(LevelBasic,6)+INDEX(LevelHousing,6))*GosiSaudi)+SUMIFS(SeatApproved,SeatDivision,"Regulatory Compliance Division",SeatLevel,INDEX(LevelList,6),SeatMandate,"No")*(INDEX(LevelBasic,6)+INDEX(LevelHousing,6)+INDEX(LevelTransport,6)+INDEX(LevelBasic,6)*INDEX(LevelBonus,6)+(INDEX(LevelBasic,6)+INDEX(LevelHousing,6))*GosiOther)</f>
        <v>0</v>
      </c>
      <c r="C14" s="28" t="n">
        <f aca="false">SUMIFS(SeatExits,SeatDivision,"Regulatory Compliance Division",SeatLevel,INDEX(LevelList,1),SeatMandate,"Yes")*(INDEX(LevelBasic,1)+INDEX(LevelHousing,1)+INDEX(LevelTransport,1)+INDEX(LevelBasic,1)*INDEX(LevelBonus,1)+(INDEX(LevelBasic,1)+INDEX(LevelHousing,1))*GosiSaudi)+SUMIFS(SeatExits,SeatDivision,"Regulatory Compliance Division",SeatLevel,INDEX(LevelList,1),SeatMandate,"No")*(INDEX(LevelBasic,1)+INDEX(LevelHousing,1)+INDEX(LevelTransport,1)+INDEX(LevelBasic,1)*INDEX(LevelBonus,1)+(INDEX(LevelBasic,1)+INDEX(LevelHousing,1))*GosiOther)+SUMIFS(SeatExits,SeatDivision,"Regulatory Compliance Division",SeatLevel,INDEX(LevelList,2),SeatMandate,"Yes")*(INDEX(LevelBasic,2)+INDEX(LevelHousing,2)+INDEX(LevelTransport,2)+INDEX(LevelBasic,2)*INDEX(LevelBonus,2)+(INDEX(LevelBasic,2)+INDEX(LevelHousing,2))*GosiSaudi)+SUMIFS(SeatExits,SeatDivision,"Regulatory Compliance Division",SeatLevel,INDEX(LevelList,2),SeatMandate,"No")*(INDEX(LevelBasic,2)+INDEX(LevelHousing,2)+INDEX(LevelTransport,2)+INDEX(LevelBasic,2)*INDEX(LevelBonus,2)+(INDEX(LevelBasic,2)+INDEX(LevelHousing,2))*GosiOther)+SUMIFS(SeatExits,SeatDivision,"Regulatory Compliance Division",SeatLevel,INDEX(LevelList,3),SeatMandate,"Yes")*(INDEX(LevelBasic,3)+INDEX(LevelHousing,3)+INDEX(LevelTransport,3)+INDEX(LevelBasic,3)*INDEX(LevelBonus,3)+(INDEX(LevelBasic,3)+INDEX(LevelHousing,3))*GosiSaudi)+SUMIFS(SeatExits,SeatDivision,"Regulatory Compliance Division",SeatLevel,INDEX(LevelList,3),SeatMandate,"No")*(INDEX(LevelBasic,3)+INDEX(LevelHousing,3)+INDEX(LevelTransport,3)+INDEX(LevelBasic,3)*INDEX(LevelBonus,3)+(INDEX(LevelBasic,3)+INDEX(LevelHousing,3))*GosiOther)+SUMIFS(SeatExits,SeatDivision,"Regulatory Compliance Division",SeatLevel,INDEX(LevelList,4),SeatMandate,"Yes")*(INDEX(LevelBasic,4)+INDEX(LevelHousing,4)+INDEX(LevelTransport,4)+INDEX(LevelBasic,4)*INDEX(LevelBonus,4)+(INDEX(LevelBasic,4)+INDEX(LevelHousing,4))*GosiSaudi)+SUMIFS(SeatExits,SeatDivision,"Regulatory Compliance Division",SeatLevel,INDEX(LevelList,4),SeatMandate,"No")*(INDEX(LevelBasic,4)+INDEX(LevelHousing,4)+INDEX(LevelTransport,4)+INDEX(LevelBasic,4)*INDEX(LevelBonus,4)+(INDEX(LevelBasic,4)+INDEX(LevelHousing,4))*GosiOther)+SUMIFS(SeatExits,SeatDivision,"Regulatory Compliance Division",SeatLevel,INDEX(LevelList,5),SeatMandate,"Yes")*(INDEX(LevelBasic,5)+INDEX(LevelHousing,5)+INDEX(LevelTransport,5)+INDEX(LevelBasic,5)*INDEX(LevelBonus,5)+(INDEX(LevelBasic,5)+INDEX(LevelHousing,5))*GosiSaudi)+SUMIFS(SeatExits,SeatDivision,"Regulatory Compliance Division",SeatLevel,INDEX(LevelList,5),SeatMandate,"No")*(INDEX(LevelBasic,5)+INDEX(LevelHousing,5)+INDEX(LevelTransport,5)+INDEX(LevelBasic,5)*INDEX(LevelBonus,5)+(INDEX(LevelBasic,5)+INDEX(LevelHousing,5))*GosiOther)+SUMIFS(SeatExits,SeatDivision,"Regulatory Compliance Division",SeatLevel,INDEX(LevelList,6),SeatMandate,"Yes")*(INDEX(LevelBasic,6)+INDEX(LevelHousing,6)+INDEX(LevelTransport,6)+INDEX(LevelBasic,6)*INDEX(LevelBonus,6)+(INDEX(LevelBasic,6)+INDEX(LevelHousing,6))*GosiSaudi)+SUMIFS(SeatExits,SeatDivision,"Regulatory Compliance Division",SeatLevel,INDEX(LevelList,6),SeatMandate,"No")*(INDEX(LevelBasic,6)+INDEX(LevelHousing,6)+INDEX(LevelTransport,6)+INDEX(LevelBasic,6)*INDEX(LevelBonus,6)+(INDEX(LevelBasic,6)+INDEX(LevelHousing,6))*GosiOther)</f>
        <v>0</v>
      </c>
      <c r="D14" s="28" t="n">
        <f aca="false">SUMIFS(AskTotal,AskDivision,"Regulatory Compliance Division",AskLevel,INDEX(LevelList,1))*(INDEX(LevelBasic,1)+INDEX(LevelHousing,1)+INDEX(LevelTransport,1)+INDEX(LevelBasic,1)*INDEX(LevelBonus,1)+(INDEX(LevelBasic,1)+INDEX(LevelHousing,1))*GosiSaudi)+SUMIFS(AskTotal,AskDivision,"Regulatory Compliance Division",AskLevel,INDEX(LevelList,2))*(INDEX(LevelBasic,2)+INDEX(LevelHousing,2)+INDEX(LevelTransport,2)+INDEX(LevelBasic,2)*INDEX(LevelBonus,2)+(INDEX(LevelBasic,2)+INDEX(LevelHousing,2))*GosiSaudi)+SUMIFS(AskTotal,AskDivision,"Regulatory Compliance Division",AskLevel,INDEX(LevelList,3))*(INDEX(LevelBasic,3)+INDEX(LevelHousing,3)+INDEX(LevelTransport,3)+INDEX(LevelBasic,3)*INDEX(LevelBonus,3)+(INDEX(LevelBasic,3)+INDEX(LevelHousing,3))*GosiSaudi)+SUMIFS(AskTotal,AskDivision,"Regulatory Compliance Division",AskLevel,INDEX(LevelList,4))*(INDEX(LevelBasic,4)+INDEX(LevelHousing,4)+INDEX(LevelTransport,4)+INDEX(LevelBasic,4)*INDEX(LevelBonus,4)+(INDEX(LevelBasic,4)+INDEX(LevelHousing,4))*GosiSaudi)+SUMIFS(AskTotal,AskDivision,"Regulatory Compliance Division",AskLevel,INDEX(LevelList,5))*(INDEX(LevelBasic,5)+INDEX(LevelHousing,5)+INDEX(LevelTransport,5)+INDEX(LevelBasic,5)*INDEX(LevelBonus,5)+(INDEX(LevelBasic,5)+INDEX(LevelHousing,5))*GosiSaudi)+SUMIFS(AskTotal,AskDivision,"Regulatory Compliance Division",AskLevel,INDEX(LevelList,6))*(INDEX(LevelBasic,6)+INDEX(LevelHousing,6)+INDEX(LevelTransport,6)+INDEX(LevelBasic,6)*INDEX(LevelBonus,6)+(INDEX(LevelBasic,6)+INDEX(LevelHousing,6))*GosiSaudi)</f>
        <v>0</v>
      </c>
      <c r="E14" s="28" t="n">
        <f aca="false">$B14-$C14+$D14</f>
        <v>0</v>
      </c>
      <c r="F14" s="28" t="n">
        <f aca="false">$E14-$B14</f>
        <v>0</v>
      </c>
    </row>
    <row r="15" customFormat="false" ht="15" hidden="false" customHeight="false" outlineLevel="0" collapsed="false">
      <c r="A15" s="9" t="s">
        <v>231</v>
      </c>
      <c r="B15"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5"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5"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26" t="s">
        <v>232</v>
      </c>
      <c r="B16" s="15" t="n">
        <f aca="false">SUM(B13:B15)</f>
        <v>0</v>
      </c>
      <c r="C16" s="15" t="n">
        <f aca="false">SUM(C13:C15)</f>
        <v>0</v>
      </c>
      <c r="D16" s="15" t="n">
        <f aca="false">SUM(D13:D15)</f>
        <v>0</v>
      </c>
      <c r="E16" s="15" t="n">
        <f aca="false">SUM(E13:E15)</f>
        <v>0</v>
      </c>
      <c r="F16" s="15" t="n">
        <f aca="false">SUM(F13:F15)</f>
        <v>0</v>
      </c>
    </row>
    <row r="18" customFormat="false" ht="15" hidden="false" customHeight="false" outlineLevel="0" collapsed="false">
      <c r="A18" s="3" t="s">
        <v>235</v>
      </c>
    </row>
    <row r="19" customFormat="false" ht="15" hidden="false" customHeight="false" outlineLevel="0" collapsed="false">
      <c r="A19" s="6" t="s">
        <v>236</v>
      </c>
      <c r="B19"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9" s="29" t="s">
        <v>237</v>
      </c>
    </row>
    <row r="20" customFormat="false" ht="15" hidden="false" customHeight="false" outlineLevel="0" collapsed="false">
      <c r="A20" s="6" t="s">
        <v>238</v>
      </c>
      <c r="B20"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0" s="29" t="s">
        <v>239</v>
      </c>
    </row>
    <row r="22" customFormat="false" ht="15" hidden="false" customHeight="false" outlineLevel="0" collapsed="false">
      <c r="A22" s="3" t="s">
        <v>240</v>
      </c>
    </row>
    <row r="23" customFormat="false" ht="27.75" hidden="false" customHeight="true" outlineLevel="0" collapsed="false">
      <c r="A23" s="12" t="s">
        <v>241</v>
      </c>
      <c r="B23" s="12" t="s">
        <v>242</v>
      </c>
      <c r="C23" s="12" t="s">
        <v>243</v>
      </c>
      <c r="D23" s="12" t="s">
        <v>244</v>
      </c>
      <c r="E23" s="12" t="s">
        <v>245</v>
      </c>
      <c r="F23" s="12"/>
      <c r="G23" s="12"/>
    </row>
    <row r="24" customFormat="false" ht="15" hidden="false" customHeight="false" outlineLevel="0" collapsed="false">
      <c r="A24" s="30" t="s">
        <v>246</v>
      </c>
      <c r="B24" s="31" t="n">
        <f aca="false">CostEnvelope</f>
        <v>1904</v>
      </c>
      <c r="C24" s="32" t="n">
        <f aca="false">$F$16</f>
        <v>0</v>
      </c>
      <c r="D24" s="28" t="n">
        <f aca="false">$B24-$C24</f>
        <v>1904</v>
      </c>
      <c r="E24" s="33" t="str">
        <f aca="false">IF($D24&gt;=0,"Within envelope","Over envelope")</f>
        <v>Within envelope</v>
      </c>
      <c r="G24" s="34" t="s">
        <v>247</v>
      </c>
    </row>
    <row r="25" customFormat="false" ht="15" hidden="false" customHeight="false" outlineLevel="0" collapsed="false">
      <c r="A25" s="30" t="s">
        <v>248</v>
      </c>
      <c r="B25" s="35" t="n">
        <f aca="false">HeadEnvelope</f>
        <v>7</v>
      </c>
      <c r="C25" s="36" t="n">
        <f aca="false">$F$9</f>
        <v>0</v>
      </c>
      <c r="D25" s="25" t="n">
        <f aca="false">$B25-$C25</f>
        <v>7</v>
      </c>
      <c r="E25" s="33" t="str">
        <f aca="false">IF($D25&gt;=0,"Within envelope","Over envelope")</f>
        <v>Within envelope</v>
      </c>
      <c r="G25" s="34" t="s">
        <v>249</v>
      </c>
    </row>
    <row r="26" customFormat="false" ht="15" hidden="false" customHeight="false" outlineLevel="0" collapsed="false">
      <c r="A26" s="30" t="s">
        <v>250</v>
      </c>
      <c r="B26" s="37" t="n">
        <f aca="false">SaudiTarget</f>
        <v>0.63</v>
      </c>
      <c r="C26" s="38" t="n">
        <f aca="false">IFERROR(SUMIFS(SeatApproved,SeatMandate,"Yes")/SUM(SeatApproved),0)</f>
        <v>0</v>
      </c>
      <c r="D26" s="39" t="n">
        <f aca="false">$C26-$B26</f>
        <v>-0.63</v>
      </c>
      <c r="E26" s="33" t="str">
        <f aca="false">IF($C26&gt;=$B26,"At or above target","Below target")</f>
        <v>Below target</v>
      </c>
      <c r="G26" s="34" t="s">
        <v>251</v>
      </c>
    </row>
    <row r="28" customFormat="false" ht="15" hidden="false" customHeight="false" outlineLevel="0" collapsed="false">
      <c r="A28" s="3" t="s">
        <v>252</v>
      </c>
      <c r="G28" s="27" t="s">
        <v>253</v>
      </c>
    </row>
    <row r="29" customFormat="false" ht="27.75" hidden="false" customHeight="true" outlineLevel="0" collapsed="false">
      <c r="A29" s="12" t="s">
        <v>254</v>
      </c>
      <c r="B29" s="12" t="s">
        <v>218</v>
      </c>
      <c r="C29" s="12" t="s">
        <v>255</v>
      </c>
      <c r="D29" s="12" t="s">
        <v>256</v>
      </c>
      <c r="E29" s="12" t="s">
        <v>257</v>
      </c>
      <c r="F29" s="12"/>
      <c r="G29" s="12"/>
    </row>
    <row r="30" customFormat="false" ht="15" hidden="false" customHeight="false" outlineLevel="0" collapsed="false">
      <c r="A30" s="9" t="s">
        <v>258</v>
      </c>
      <c r="B30" s="25" t="n">
        <f aca="false">SUMIFS(AskTotal,AskCategory,"Regulatory")</f>
        <v>0</v>
      </c>
      <c r="C30"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0" s="28" t="n">
        <f aca="false">SUM($C$30:$C30)</f>
        <v>0</v>
      </c>
      <c r="E30" s="33" t="str">
        <f aca="false">IF($D30&lt;=CostEnvelope,"Yes","No")</f>
        <v>Yes</v>
      </c>
      <c r="G30" s="34" t="s">
        <v>259</v>
      </c>
    </row>
    <row r="31" customFormat="false" ht="15" hidden="false" customHeight="false" outlineLevel="0" collapsed="false">
      <c r="A31" s="9" t="s">
        <v>260</v>
      </c>
      <c r="B31" s="25" t="n">
        <f aca="false">SUMIFS(AskTotal,AskCategory,"Strategic")</f>
        <v>0</v>
      </c>
      <c r="C31"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1" s="28" t="n">
        <f aca="false">SUM($C$30:$C31)</f>
        <v>0</v>
      </c>
      <c r="E31" s="33" t="str">
        <f aca="false">IF($D31&lt;=CostEnvelope,"Yes","No")</f>
        <v>Yes</v>
      </c>
      <c r="G31" s="34" t="s">
        <v>261</v>
      </c>
    </row>
    <row r="32" customFormat="false" ht="15" hidden="false" customHeight="false" outlineLevel="0" collapsed="false">
      <c r="A32" s="9" t="s">
        <v>262</v>
      </c>
      <c r="B32" s="25" t="n">
        <f aca="false">SUMIFS(AskTotal,AskCategory,"Control")</f>
        <v>0</v>
      </c>
      <c r="C32"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2" s="28" t="n">
        <f aca="false">SUM($C$30:$C32)</f>
        <v>0</v>
      </c>
      <c r="E32" s="33" t="str">
        <f aca="false">IF($D32&lt;=CostEnvelope,"Yes","No")</f>
        <v>Yes</v>
      </c>
      <c r="G32" s="34" t="s">
        <v>263</v>
      </c>
    </row>
    <row r="33" customFormat="false" ht="15" hidden="false" customHeight="false" outlineLevel="0" collapsed="false">
      <c r="A33" s="9" t="s">
        <v>264</v>
      </c>
      <c r="B33" s="25" t="n">
        <f aca="false">SUMIFS(AskTotal,AskCategory,"BAU")</f>
        <v>0</v>
      </c>
      <c r="C33"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3" s="28" t="n">
        <f aca="false">SUM($C$30:$C33)</f>
        <v>0</v>
      </c>
      <c r="E33" s="33" t="str">
        <f aca="false">IF($D33&lt;=CostEnvelope,"Yes","No")</f>
        <v>Yes</v>
      </c>
      <c r="G33" s="34" t="s">
        <v>265</v>
      </c>
    </row>
    <row r="35" customFormat="false" ht="15" hidden="false" customHeight="false" outlineLevel="0" collapsed="false">
      <c r="A35" s="3" t="s">
        <v>266</v>
      </c>
    </row>
    <row r="36" customFormat="false" ht="27.75" hidden="false" customHeight="true" outlineLevel="0" collapsed="false">
      <c r="A36" s="12" t="s">
        <v>214</v>
      </c>
      <c r="B36" s="12" t="s">
        <v>218</v>
      </c>
      <c r="C36" s="12" t="s">
        <v>267</v>
      </c>
      <c r="D36" s="12" t="s">
        <v>268</v>
      </c>
      <c r="E36" s="12"/>
      <c r="F36" s="12"/>
      <c r="G36" s="12"/>
    </row>
    <row r="37" customFormat="false" ht="15" hidden="false" customHeight="false" outlineLevel="0" collapsed="false">
      <c r="A37" s="9" t="s">
        <v>219</v>
      </c>
      <c r="B37" s="25" t="n">
        <f aca="false">SUM(AskQ1)</f>
        <v>0</v>
      </c>
      <c r="C37" s="40" t="n">
        <v>1</v>
      </c>
      <c r="D37"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38" customFormat="false" ht="15" hidden="false" customHeight="false" outlineLevel="0" collapsed="false">
      <c r="A38" s="9" t="s">
        <v>220</v>
      </c>
      <c r="B38" s="25" t="n">
        <f aca="false">SUM(AskQ2)</f>
        <v>0</v>
      </c>
      <c r="C38" s="40" t="n">
        <v>0.75</v>
      </c>
      <c r="D38"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39" customFormat="false" ht="15" hidden="false" customHeight="false" outlineLevel="0" collapsed="false">
      <c r="A39" s="9" t="s">
        <v>221</v>
      </c>
      <c r="B39" s="25" t="n">
        <f aca="false">SUM(AskQ3)</f>
        <v>0</v>
      </c>
      <c r="C39" s="40" t="n">
        <v>0.5</v>
      </c>
      <c r="D39"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0" customFormat="false" ht="15" hidden="false" customHeight="false" outlineLevel="0" collapsed="false">
      <c r="A40" s="9" t="s">
        <v>222</v>
      </c>
      <c r="B40" s="25" t="n">
        <f aca="false">SUM(AskQ4)</f>
        <v>0</v>
      </c>
      <c r="C40" s="40" t="n">
        <v>0.25</v>
      </c>
      <c r="D40"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2" customFormat="false" ht="15" hidden="false" customHeight="false" outlineLevel="0" collapsed="false">
      <c r="A62" s="3" t="s">
        <v>269</v>
      </c>
      <c r="G62" s="27" t="s">
        <v>270</v>
      </c>
    </row>
    <row r="63" customFormat="false" ht="27.75" hidden="false" customHeight="true" outlineLevel="0" collapsed="false">
      <c r="A63" s="12" t="s">
        <v>38</v>
      </c>
      <c r="B63" s="12" t="s">
        <v>217</v>
      </c>
      <c r="C63" s="12" t="s">
        <v>113</v>
      </c>
      <c r="D63" s="12" t="s">
        <v>218</v>
      </c>
      <c r="E63" s="12" t="s">
        <v>230</v>
      </c>
      <c r="F63" s="12" t="s">
        <v>271</v>
      </c>
      <c r="G63" s="12" t="s">
        <v>255</v>
      </c>
    </row>
    <row r="64" customFormat="false" ht="15" hidden="false" customHeight="false" outlineLevel="0" collapsed="false">
      <c r="A64" s="10" t="str">
        <f aca="false">$A6</f>
        <v>Financial Crime Division</v>
      </c>
      <c r="B64" s="25" t="n">
        <f aca="false">$B6</f>
        <v>64</v>
      </c>
      <c r="C64" s="25" t="n">
        <f aca="false">$C6</f>
        <v>0</v>
      </c>
      <c r="D64" s="25" t="n">
        <f aca="false">$D6</f>
        <v>0</v>
      </c>
      <c r="E64" s="25" t="n">
        <f aca="false">$E6</f>
        <v>64</v>
      </c>
      <c r="F64" s="25" t="n">
        <f aca="false">SUMIFS(SeatApproved,SeatDivision,"Financial Crime Division",SeatMandate,"Yes")</f>
        <v>0</v>
      </c>
      <c r="G64" s="28" t="n">
        <f aca="false">$E13</f>
        <v>0</v>
      </c>
    </row>
    <row r="65" customFormat="false" ht="15" hidden="false" customHeight="false" outlineLevel="0" collapsed="false">
      <c r="A65" s="10" t="str">
        <f aca="false">$A7</f>
        <v>Regulatory Compliance Division</v>
      </c>
      <c r="B65" s="25" t="n">
        <f aca="false">$B7</f>
        <v>70</v>
      </c>
      <c r="C65" s="25" t="n">
        <f aca="false">$C7</f>
        <v>0</v>
      </c>
      <c r="D65" s="25" t="n">
        <f aca="false">$D7</f>
        <v>0</v>
      </c>
      <c r="E65" s="25" t="n">
        <f aca="false">$E7</f>
        <v>70</v>
      </c>
      <c r="F65" s="25" t="n">
        <f aca="false">SUMIFS(SeatApproved,SeatDivision,"Regulatory Compliance Division",SeatMandate,"Yes")</f>
        <v>0</v>
      </c>
      <c r="G65" s="28" t="n">
        <f aca="false">$E14</f>
        <v>0</v>
      </c>
    </row>
    <row r="66" customFormat="false" ht="15" hidden="false" customHeight="false" outlineLevel="0" collapsed="false">
      <c r="A66" s="10" t="str">
        <f aca="false">$A8</f>
        <v>Reporting to the group directly</v>
      </c>
      <c r="B66" s="25" t="n">
        <f aca="false">$B8</f>
        <v>1</v>
      </c>
      <c r="C66" s="25" t="n">
        <f aca="false">$C8</f>
        <v>0</v>
      </c>
      <c r="D66" s="25" t="n">
        <f aca="false">$D8</f>
        <v>0</v>
      </c>
      <c r="E66" s="25" t="n">
        <f aca="false">$E8</f>
        <v>1</v>
      </c>
      <c r="F66" s="25" t="n">
        <f aca="false">SUMIFS(SeatApproved,SeatDivision,"",SeatMandate,"Yes")</f>
        <v>0</v>
      </c>
      <c r="G66" s="28" t="n">
        <f aca="false">$E15</f>
        <v>0</v>
      </c>
    </row>
  </sheetData>
  <sheetProtection sheet="true" sort="false" autoFilter="false"/>
  <mergeCells count="1">
    <mergeCell ref="A2:J2"/>
  </mergeCells>
  <conditionalFormatting sqref="F6:F8">
    <cfRule type="cellIs" priority="2" operator="lessThan" aboveAverage="0" equalAverage="0" bottom="0" percent="0" rank="0" text="" dxfId="14">
      <formula>0</formula>
    </cfRule>
  </conditionalFormatting>
  <conditionalFormatting sqref="E24:E26">
    <cfRule type="expression" priority="3" aboveAverage="0" equalAverage="0" bottom="0" percent="0" rank="0" text="" dxfId="1">
      <formula>OR($E24="Over envelope",$E24="Below target")</formula>
    </cfRule>
    <cfRule type="expression" priority="4" aboveAverage="0" equalAverage="0" bottom="0" percent="0" rank="0" text="" dxfId="0">
      <formula>OR($E24="Within envelope",$E24="At or above target")</formula>
    </cfRule>
  </conditionalFormatting>
  <conditionalFormatting sqref="E30:E33">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272</v>
      </c>
    </row>
    <row r="2" customFormat="false" ht="15" hidden="false" customHeight="false" outlineLevel="0" collapsed="false">
      <c r="A2" s="2" t="s">
        <v>273</v>
      </c>
      <c r="B2" s="2"/>
      <c r="C2" s="2"/>
      <c r="D2" s="2"/>
      <c r="E2" s="2"/>
      <c r="F2" s="2"/>
      <c r="G2" s="2"/>
      <c r="H2" s="2"/>
      <c r="I2" s="2"/>
      <c r="J2" s="2"/>
    </row>
    <row r="4" customFormat="false" ht="15" hidden="false" customHeight="false" outlineLevel="0" collapsed="false">
      <c r="A4" s="3" t="s">
        <v>274</v>
      </c>
    </row>
    <row r="5" customFormat="false" ht="27.75" hidden="false" customHeight="true" outlineLevel="0" collapsed="false">
      <c r="A5" s="12" t="s">
        <v>275</v>
      </c>
      <c r="B5" s="12" t="s">
        <v>276</v>
      </c>
      <c r="C5" s="12" t="s">
        <v>245</v>
      </c>
      <c r="D5" s="12" t="s">
        <v>2</v>
      </c>
    </row>
    <row r="6" customFormat="false" ht="25.5" hidden="false" customHeight="true" outlineLevel="0" collapsed="false">
      <c r="A6" s="9" t="s">
        <v>277</v>
      </c>
      <c r="B6" s="28" t="n">
        <f aca="false">COUNTIF(SeatProblem,"?*")</f>
        <v>135</v>
      </c>
      <c r="C6" s="41" t="str">
        <f aca="false">IF($B6=0,"OK","Fix")</f>
        <v>Fix</v>
      </c>
      <c r="D6" s="42" t="s">
        <v>278</v>
      </c>
    </row>
    <row r="7" customFormat="false" ht="25.5" hidden="false" customHeight="true" outlineLevel="0" collapsed="false">
      <c r="A7" s="9" t="s">
        <v>279</v>
      </c>
      <c r="B7" s="28" t="n">
        <f aca="false">SUMPRODUCT((SeatTitle&lt;&gt;"")*(SeatLevel=""))</f>
        <v>135</v>
      </c>
      <c r="C7" s="41" t="str">
        <f aca="false">IF($B7=0,"OK","Fix")</f>
        <v>Fix</v>
      </c>
      <c r="D7" s="42" t="s">
        <v>280</v>
      </c>
    </row>
    <row r="8" customFormat="false" ht="25.5" hidden="false" customHeight="true" outlineLevel="0" collapsed="false">
      <c r="A8" s="9" t="s">
        <v>281</v>
      </c>
      <c r="B8" s="28" t="n">
        <f aca="false">SUMPRODUCT((SeatTitle&lt;&gt;"")*(SeatDirection=""))</f>
        <v>135</v>
      </c>
      <c r="C8" s="41" t="str">
        <f aca="false">IF($B8=0,"OK","Fix")</f>
        <v>Fix</v>
      </c>
      <c r="D8" s="42" t="s">
        <v>282</v>
      </c>
    </row>
    <row r="9" customFormat="false" ht="25.5" hidden="false" customHeight="true" outlineLevel="0" collapsed="false">
      <c r="A9" s="9" t="s">
        <v>283</v>
      </c>
      <c r="B9" s="28" t="n">
        <f aca="false">COUNTIF(AskProblem,"?*")</f>
        <v>0</v>
      </c>
      <c r="C9" s="41" t="str">
        <f aca="false">IF($B9=0,"OK","Fix")</f>
        <v>OK</v>
      </c>
      <c r="D9" s="42" t="s">
        <v>284</v>
      </c>
    </row>
    <row r="10" customFormat="false" ht="25.5" hidden="false" customHeight="true" outlineLevel="0" collapsed="false">
      <c r="A10" s="9" t="s">
        <v>285</v>
      </c>
      <c r="B10" s="28" t="n">
        <f aca="false">SUMPRODUCT((AskTitle&lt;&gt;"")*(N(AskTotal)&lt;=0))</f>
        <v>0</v>
      </c>
      <c r="C10" s="41" t="str">
        <f aca="false">IF($B10=0,"OK","Fix")</f>
        <v>OK</v>
      </c>
      <c r="D10" s="42" t="s">
        <v>286</v>
      </c>
    </row>
    <row r="11" customFormat="false" ht="25.5" hidden="false" customHeight="true" outlineLevel="0" collapsed="false">
      <c r="A11" s="9" t="s">
        <v>287</v>
      </c>
      <c r="B11" s="28" t="n">
        <f aca="false">SUMPRODUCT((AskUnit&lt;&gt;"")*(COUNTIF(UnitList,AskUnit)=0))</f>
        <v>0</v>
      </c>
      <c r="C11" s="41" t="str">
        <f aca="false">IF($B11=0,"OK","Fix")</f>
        <v>OK</v>
      </c>
      <c r="D11" s="42" t="s">
        <v>288</v>
      </c>
    </row>
    <row r="13" customFormat="false" ht="15" hidden="false" customHeight="false" outlineLevel="0" collapsed="false">
      <c r="A13" s="3" t="s">
        <v>289</v>
      </c>
    </row>
    <row r="14" customFormat="false" ht="27.75" hidden="false" customHeight="true" outlineLevel="0" collapsed="false">
      <c r="A14" s="12" t="s">
        <v>275</v>
      </c>
      <c r="B14" s="12" t="s">
        <v>276</v>
      </c>
      <c r="C14" s="12" t="s">
        <v>245</v>
      </c>
      <c r="D14" s="12" t="s">
        <v>2</v>
      </c>
    </row>
    <row r="15" customFormat="false" ht="25.5" hidden="false" customHeight="true" outlineLevel="0" collapsed="false">
      <c r="A15" s="9" t="s">
        <v>290</v>
      </c>
      <c r="B15" s="28" t="n">
        <f aca="false">IF(CostMine&gt;CostLimit,1,0)</f>
        <v>0</v>
      </c>
      <c r="C15" s="41" t="str">
        <f aca="false">IF($B15=0,"OK","Review")</f>
        <v>OK</v>
      </c>
      <c r="D15" s="42" t="s">
        <v>291</v>
      </c>
    </row>
    <row r="16" customFormat="false" ht="25.5" hidden="false" customHeight="true" outlineLevel="0" collapsed="false">
      <c r="A16" s="9" t="s">
        <v>292</v>
      </c>
      <c r="B16" s="28" t="n">
        <f aca="false">IF(HeadMine&gt;HeadLimit,1,0)</f>
        <v>0</v>
      </c>
      <c r="C16" s="41" t="str">
        <f aca="false">IF($B16=0,"OK","Review")</f>
        <v>OK</v>
      </c>
      <c r="D16" s="42" t="s">
        <v>293</v>
      </c>
    </row>
    <row r="17" customFormat="false" ht="25.5" hidden="false" customHeight="true" outlineLevel="0" collapsed="false">
      <c r="A17" s="9" t="s">
        <v>294</v>
      </c>
      <c r="B17" s="28" t="n">
        <f aca="false">IF(MandateMine&lt;MandateLimit,1,0)</f>
        <v>1</v>
      </c>
      <c r="C17" s="41" t="str">
        <f aca="false">IF($B17=0,"OK","Review")</f>
        <v>Review</v>
      </c>
      <c r="D17" s="42" t="s">
        <v>295</v>
      </c>
    </row>
    <row r="19" customFormat="false" ht="15" hidden="false" customHeight="false" outlineLevel="0" collapsed="false">
      <c r="A19" s="3" t="s">
        <v>296</v>
      </c>
      <c r="D19" s="27" t="s">
        <v>297</v>
      </c>
    </row>
    <row r="20" customFormat="false" ht="27.75" hidden="false" customHeight="true" outlineLevel="0" collapsed="false">
      <c r="A20" s="12" t="s">
        <v>298</v>
      </c>
      <c r="B20" s="12" t="s">
        <v>27</v>
      </c>
      <c r="C20" s="12" t="s">
        <v>216</v>
      </c>
      <c r="D20" s="12" t="s">
        <v>299</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300</v>
      </c>
    </row>
    <row r="43" customFormat="false" ht="15" hidden="false" customHeight="false" outlineLevel="0" collapsed="false">
      <c r="A43" s="6" t="s">
        <v>301</v>
      </c>
      <c r="B43" s="44" t="str">
        <f aca="false">IF(SUM($B$6:$B$11)=0,"Yes","No")</f>
        <v>No</v>
      </c>
      <c r="C43" s="29" t="s">
        <v>302</v>
      </c>
    </row>
    <row r="44" customFormat="false" ht="15" hidden="false" customHeight="false" outlineLevel="0" collapsed="false">
      <c r="A44" s="6" t="s">
        <v>303</v>
      </c>
      <c r="B44" s="21"/>
    </row>
    <row r="45" customFormat="false" ht="15" hidden="false" customHeight="false" outlineLevel="0" collapsed="false">
      <c r="A45" s="6" t="s">
        <v>304</v>
      </c>
      <c r="B45" s="21"/>
    </row>
    <row r="46" customFormat="false" ht="15" hidden="false" customHeight="false" outlineLevel="0" collapsed="false">
      <c r="A46" s="6" t="s">
        <v>305</v>
      </c>
      <c r="B46" s="21"/>
    </row>
    <row r="47" customFormat="false" ht="15" hidden="false" customHeight="false" outlineLevel="0" collapsed="false">
      <c r="A47" s="3" t="s">
        <v>306</v>
      </c>
      <c r="B47" s="45" t="s">
        <v>307</v>
      </c>
      <c r="C47" s="29" t="s">
        <v>308</v>
      </c>
    </row>
    <row r="49" customFormat="false" ht="25.5" hidden="false" customHeight="true" outlineLevel="0" collapsed="false">
      <c r="A49" s="11" t="s">
        <v>309</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310</v>
      </c>
    </row>
    <row r="2" customFormat="false" ht="15" hidden="false" customHeight="false" outlineLevel="0" collapsed="false">
      <c r="A2" s="2" t="s">
        <v>311</v>
      </c>
      <c r="B2" s="2"/>
      <c r="C2" s="2"/>
      <c r="D2" s="2"/>
      <c r="E2" s="2"/>
      <c r="F2" s="2"/>
      <c r="G2" s="2"/>
      <c r="H2" s="2"/>
      <c r="I2" s="2"/>
      <c r="J2" s="2"/>
    </row>
    <row r="4" customFormat="false" ht="15" hidden="false" customHeight="false" outlineLevel="0" collapsed="false">
      <c r="A4" s="3" t="s">
        <v>312</v>
      </c>
    </row>
    <row r="5" customFormat="false" ht="15" hidden="false" customHeight="false" outlineLevel="0" collapsed="false">
      <c r="A5" s="6" t="s">
        <v>313</v>
      </c>
      <c r="B5" s="46" t="n">
        <v>2027</v>
      </c>
    </row>
    <row r="6" customFormat="false" ht="15" hidden="false" customHeight="false" outlineLevel="0" collapsed="false">
      <c r="A6" s="6" t="s">
        <v>314</v>
      </c>
      <c r="B6" s="46" t="n">
        <v>2026</v>
      </c>
    </row>
    <row r="7" customFormat="false" ht="15" hidden="false" customHeight="false" outlineLevel="0" collapsed="false">
      <c r="A7" s="6" t="s">
        <v>315</v>
      </c>
      <c r="B7" s="47" t="n">
        <v>0.09</v>
      </c>
    </row>
    <row r="8" customFormat="false" ht="15" hidden="false" customHeight="false" outlineLevel="0" collapsed="false">
      <c r="A8" s="6" t="s">
        <v>316</v>
      </c>
      <c r="B8" s="47" t="n">
        <v>0.03</v>
      </c>
    </row>
    <row r="9" customFormat="false" ht="15" hidden="false" customHeight="false" outlineLevel="0" collapsed="false">
      <c r="A9" s="6" t="s">
        <v>317</v>
      </c>
      <c r="B9" s="47" t="n">
        <v>0.04</v>
      </c>
    </row>
    <row r="10" customFormat="false" ht="15" hidden="false" customHeight="false" outlineLevel="0" collapsed="false">
      <c r="A10" s="6" t="s">
        <v>318</v>
      </c>
      <c r="B10" s="47" t="n">
        <v>0.1175</v>
      </c>
    </row>
    <row r="11" customFormat="false" ht="15" hidden="false" customHeight="false" outlineLevel="0" collapsed="false">
      <c r="A11" s="6" t="s">
        <v>319</v>
      </c>
      <c r="B11" s="47" t="n">
        <v>0.02</v>
      </c>
    </row>
    <row r="12" customFormat="false" ht="15" hidden="false" customHeight="false" outlineLevel="0" collapsed="false">
      <c r="A12" s="6" t="s">
        <v>36</v>
      </c>
      <c r="B12" s="46" t="s">
        <v>37</v>
      </c>
    </row>
    <row r="14" customFormat="false" ht="15" hidden="false" customHeight="false" outlineLevel="0" collapsed="false">
      <c r="A14" s="3" t="s">
        <v>320</v>
      </c>
    </row>
    <row r="15" customFormat="false" ht="15" hidden="false" customHeight="false" outlineLevel="0" collapsed="false">
      <c r="A15" s="6" t="s">
        <v>321</v>
      </c>
      <c r="B15" s="48" t="n">
        <v>1904</v>
      </c>
      <c r="C15" s="29" t="s">
        <v>322</v>
      </c>
    </row>
    <row r="16" customFormat="false" ht="15" hidden="false" customHeight="false" outlineLevel="0" collapsed="false">
      <c r="A16" s="6" t="s">
        <v>323</v>
      </c>
      <c r="B16" s="48" t="n">
        <v>7</v>
      </c>
      <c r="C16" s="29" t="s">
        <v>324</v>
      </c>
    </row>
    <row r="17" customFormat="false" ht="15" hidden="false" customHeight="false" outlineLevel="0" collapsed="false">
      <c r="A17" s="6" t="s">
        <v>325</v>
      </c>
      <c r="B17" s="47" t="n">
        <v>0.63</v>
      </c>
      <c r="C17" s="29" t="s">
        <v>326</v>
      </c>
    </row>
    <row r="19" customFormat="false" ht="15" hidden="false" customHeight="false" outlineLevel="0" collapsed="false">
      <c r="A19" s="3" t="s">
        <v>327</v>
      </c>
      <c r="G19" s="27" t="s">
        <v>328</v>
      </c>
    </row>
    <row r="20" customFormat="false" ht="30" hidden="false" customHeight="true" outlineLevel="0" collapsed="false">
      <c r="A20" s="12" t="s">
        <v>329</v>
      </c>
      <c r="B20" s="12" t="s">
        <v>330</v>
      </c>
      <c r="C20" s="12" t="s">
        <v>331</v>
      </c>
      <c r="D20" s="12" t="s">
        <v>332</v>
      </c>
      <c r="E20" s="12" t="s">
        <v>333</v>
      </c>
      <c r="F20" s="12" t="s">
        <v>334</v>
      </c>
      <c r="G20" s="12" t="s">
        <v>335</v>
      </c>
    </row>
    <row r="21" customFormat="false" ht="15" hidden="false" customHeight="false" outlineLevel="0" collapsed="false">
      <c r="A21" s="0" t="s">
        <v>117</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336</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126</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129</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337</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338</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339</v>
      </c>
    </row>
    <row r="29" customFormat="false" ht="30" hidden="false" customHeight="true" outlineLevel="0" collapsed="false">
      <c r="A29" s="12" t="s">
        <v>224</v>
      </c>
      <c r="B29" s="12" t="s">
        <v>223</v>
      </c>
      <c r="C29" s="12" t="s">
        <v>340</v>
      </c>
    </row>
    <row r="30" customFormat="false" ht="15" hidden="false" customHeight="false" outlineLevel="0" collapsed="false">
      <c r="A30" s="0" t="s">
        <v>341</v>
      </c>
      <c r="B30" s="0" t="s">
        <v>342</v>
      </c>
      <c r="C30" s="0" t="n">
        <v>1</v>
      </c>
    </row>
    <row r="31" customFormat="false" ht="15" hidden="false" customHeight="false" outlineLevel="0" collapsed="false">
      <c r="A31" s="0" t="s">
        <v>343</v>
      </c>
      <c r="B31" s="0" t="s">
        <v>342</v>
      </c>
      <c r="C31" s="0" t="n">
        <v>1</v>
      </c>
    </row>
    <row r="32" customFormat="false" ht="15" hidden="false" customHeight="false" outlineLevel="0" collapsed="false">
      <c r="A32" s="0" t="s">
        <v>344</v>
      </c>
      <c r="B32" s="0" t="s">
        <v>342</v>
      </c>
      <c r="C32" s="0" t="n">
        <v>1</v>
      </c>
    </row>
    <row r="33" customFormat="false" ht="15" hidden="false" customHeight="false" outlineLevel="0" collapsed="false">
      <c r="A33" s="0" t="s">
        <v>345</v>
      </c>
      <c r="B33" s="0" t="s">
        <v>342</v>
      </c>
      <c r="C33" s="0" t="n">
        <v>1</v>
      </c>
    </row>
    <row r="34" customFormat="false" ht="15" hidden="false" customHeight="false" outlineLevel="0" collapsed="false">
      <c r="A34" s="0" t="s">
        <v>346</v>
      </c>
      <c r="B34" s="0" t="s">
        <v>347</v>
      </c>
      <c r="C34" s="0" t="n">
        <v>2</v>
      </c>
    </row>
    <row r="35" customFormat="false" ht="15" hidden="false" customHeight="false" outlineLevel="0" collapsed="false">
      <c r="A35" s="0" t="s">
        <v>348</v>
      </c>
      <c r="B35" s="0" t="s">
        <v>347</v>
      </c>
      <c r="C35" s="0" t="n">
        <v>2</v>
      </c>
    </row>
    <row r="36" customFormat="false" ht="15" hidden="false" customHeight="false" outlineLevel="0" collapsed="false">
      <c r="A36" s="0" t="s">
        <v>349</v>
      </c>
      <c r="B36" s="0" t="s">
        <v>347</v>
      </c>
      <c r="C36" s="0" t="n">
        <v>2</v>
      </c>
    </row>
    <row r="37" customFormat="false" ht="15" hidden="false" customHeight="false" outlineLevel="0" collapsed="false">
      <c r="A37" s="0" t="s">
        <v>350</v>
      </c>
      <c r="B37" s="0" t="s">
        <v>347</v>
      </c>
      <c r="C37" s="0" t="n">
        <v>2</v>
      </c>
    </row>
    <row r="38" customFormat="false" ht="15" hidden="false" customHeight="false" outlineLevel="0" collapsed="false">
      <c r="A38" s="0" t="s">
        <v>351</v>
      </c>
      <c r="B38" s="0" t="s">
        <v>347</v>
      </c>
      <c r="C38" s="0" t="n">
        <v>2</v>
      </c>
    </row>
    <row r="39" customFormat="false" ht="15" hidden="false" customHeight="false" outlineLevel="0" collapsed="false">
      <c r="A39" s="0" t="s">
        <v>352</v>
      </c>
      <c r="B39" s="0" t="s">
        <v>353</v>
      </c>
      <c r="C39" s="0" t="n">
        <v>3</v>
      </c>
    </row>
    <row r="40" customFormat="false" ht="15" hidden="false" customHeight="false" outlineLevel="0" collapsed="false">
      <c r="A40" s="0" t="s">
        <v>354</v>
      </c>
      <c r="B40" s="0" t="s">
        <v>353</v>
      </c>
      <c r="C40" s="0" t="n">
        <v>3</v>
      </c>
    </row>
    <row r="41" customFormat="false" ht="15" hidden="false" customHeight="false" outlineLevel="0" collapsed="false">
      <c r="A41" s="0" t="s">
        <v>355</v>
      </c>
      <c r="B41" s="0" t="s">
        <v>353</v>
      </c>
      <c r="C41" s="0" t="n">
        <v>3</v>
      </c>
    </row>
    <row r="42" customFormat="false" ht="15" hidden="false" customHeight="false" outlineLevel="0" collapsed="false">
      <c r="A42" s="0" t="s">
        <v>356</v>
      </c>
      <c r="B42" s="0" t="s">
        <v>357</v>
      </c>
      <c r="C42" s="0" t="n">
        <v>4</v>
      </c>
    </row>
    <row r="43" customFormat="false" ht="15" hidden="false" customHeight="false" outlineLevel="0" collapsed="false">
      <c r="A43" s="0" t="s">
        <v>358</v>
      </c>
      <c r="B43" s="0" t="s">
        <v>357</v>
      </c>
      <c r="C43" s="0" t="n">
        <v>4</v>
      </c>
    </row>
    <row r="44" customFormat="false" ht="15" hidden="false" customHeight="false" outlineLevel="0" collapsed="false">
      <c r="A44" s="0" t="s">
        <v>359</v>
      </c>
      <c r="B44" s="0" t="s">
        <v>357</v>
      </c>
      <c r="C44" s="0" t="n">
        <v>4</v>
      </c>
    </row>
    <row r="45" customFormat="false" ht="15" hidden="false" customHeight="false" outlineLevel="0" collapsed="false">
      <c r="A45" s="0" t="s">
        <v>360</v>
      </c>
      <c r="B45" s="0" t="s">
        <v>357</v>
      </c>
      <c r="C45" s="0" t="n">
        <v>4</v>
      </c>
    </row>
    <row r="46" customFormat="false" ht="15" hidden="false" customHeight="false" outlineLevel="0" collapsed="false">
      <c r="A46" s="0" t="s">
        <v>361</v>
      </c>
      <c r="B46" s="0" t="s">
        <v>357</v>
      </c>
      <c r="C46" s="0" t="n">
        <v>4</v>
      </c>
    </row>
    <row r="47" customFormat="false" ht="15" hidden="false" customHeight="false" outlineLevel="0" collapsed="false">
      <c r="A47" s="0" t="s">
        <v>362</v>
      </c>
      <c r="B47" s="0" t="s">
        <v>357</v>
      </c>
      <c r="C47" s="0" t="n">
        <v>4</v>
      </c>
    </row>
    <row r="48" customFormat="false" ht="15" hidden="false" customHeight="false" outlineLevel="0" collapsed="false">
      <c r="A48" s="0" t="s">
        <v>363</v>
      </c>
      <c r="B48" s="0" t="s">
        <v>357</v>
      </c>
      <c r="C48" s="0" t="n">
        <v>4</v>
      </c>
    </row>
    <row r="50" customFormat="false" ht="15" hidden="false" customHeight="false" outlineLevel="0" collapsed="false">
      <c r="A50" s="6" t="s">
        <v>364</v>
      </c>
      <c r="C50" s="6" t="s">
        <v>365</v>
      </c>
      <c r="E50" s="6" t="s">
        <v>366</v>
      </c>
      <c r="G50" s="6" t="s">
        <v>367</v>
      </c>
      <c r="I50" s="6" t="s">
        <v>223</v>
      </c>
      <c r="K50" s="6" t="s">
        <v>368</v>
      </c>
      <c r="M50" s="6" t="s">
        <v>369</v>
      </c>
      <c r="O50" s="6" t="s">
        <v>370</v>
      </c>
      <c r="Q50" s="6" t="s">
        <v>371</v>
      </c>
      <c r="S50" s="6" t="s">
        <v>372</v>
      </c>
    </row>
    <row r="51" customFormat="false" ht="15" hidden="false" customHeight="false" outlineLevel="0" collapsed="false">
      <c r="A51" s="0" t="s">
        <v>219</v>
      </c>
      <c r="C51" s="0" t="s">
        <v>118</v>
      </c>
      <c r="E51" s="0" t="s">
        <v>373</v>
      </c>
      <c r="G51" s="0" t="s">
        <v>36</v>
      </c>
      <c r="I51" s="0" t="s">
        <v>342</v>
      </c>
      <c r="K51" s="0" t="s">
        <v>374</v>
      </c>
      <c r="M51" s="0" t="s">
        <v>117</v>
      </c>
      <c r="O51" s="0" t="s">
        <v>117</v>
      </c>
      <c r="Q51" s="0" t="s">
        <v>40</v>
      </c>
      <c r="S51" s="0" t="s">
        <v>43</v>
      </c>
    </row>
    <row r="52" customFormat="false" ht="15" hidden="false" customHeight="false" outlineLevel="0" collapsed="false">
      <c r="A52" s="0" t="s">
        <v>220</v>
      </c>
      <c r="C52" s="0" t="s">
        <v>132</v>
      </c>
      <c r="E52" s="0" t="s">
        <v>375</v>
      </c>
      <c r="G52" s="0" t="s">
        <v>38</v>
      </c>
      <c r="I52" s="0" t="s">
        <v>347</v>
      </c>
      <c r="K52" s="0" t="s">
        <v>376</v>
      </c>
      <c r="M52" s="0" t="s">
        <v>336</v>
      </c>
      <c r="O52" s="0" t="s">
        <v>121</v>
      </c>
      <c r="Q52" s="0" t="s">
        <v>72</v>
      </c>
      <c r="S52" s="0" t="s">
        <v>45</v>
      </c>
    </row>
    <row r="53" customFormat="false" ht="15" hidden="false" customHeight="false" outlineLevel="0" collapsed="false">
      <c r="A53" s="0" t="s">
        <v>221</v>
      </c>
      <c r="C53" s="0" t="s">
        <v>377</v>
      </c>
      <c r="E53" s="0" t="s">
        <v>378</v>
      </c>
      <c r="G53" s="0" t="s">
        <v>41</v>
      </c>
      <c r="I53" s="0" t="s">
        <v>353</v>
      </c>
      <c r="M53" s="0" t="s">
        <v>126</v>
      </c>
      <c r="O53" s="0" t="s">
        <v>126</v>
      </c>
      <c r="S53" s="0" t="s">
        <v>48</v>
      </c>
    </row>
    <row r="54" customFormat="false" ht="15" hidden="false" customHeight="false" outlineLevel="0" collapsed="false">
      <c r="A54" s="0" t="s">
        <v>222</v>
      </c>
      <c r="E54" s="0" t="s">
        <v>379</v>
      </c>
      <c r="G54" s="0" t="s">
        <v>27</v>
      </c>
      <c r="I54" s="0" t="s">
        <v>357</v>
      </c>
      <c r="M54" s="0" t="s">
        <v>129</v>
      </c>
      <c r="O54" s="0" t="s">
        <v>129</v>
      </c>
      <c r="S54" s="0" t="s">
        <v>50</v>
      </c>
    </row>
    <row r="55" customFormat="false" ht="15" hidden="false" customHeight="false" outlineLevel="0" collapsed="false">
      <c r="G55" s="0" t="s">
        <v>46</v>
      </c>
      <c r="M55" s="0" t="s">
        <v>337</v>
      </c>
      <c r="S55" s="0" t="s">
        <v>52</v>
      </c>
    </row>
    <row r="56" customFormat="false" ht="15" hidden="false" customHeight="false" outlineLevel="0" collapsed="false">
      <c r="G56" s="0" t="s">
        <v>380</v>
      </c>
      <c r="M56" s="0" t="s">
        <v>338</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74</v>
      </c>
    </row>
    <row r="66" customFormat="false" ht="15" hidden="false" customHeight="false" outlineLevel="0" collapsed="false">
      <c r="S66" s="0" t="s">
        <v>76</v>
      </c>
    </row>
    <row r="67" customFormat="false" ht="15" hidden="false" customHeight="false" outlineLevel="0" collapsed="false">
      <c r="S67" s="0" t="s">
        <v>78</v>
      </c>
    </row>
    <row r="68" customFormat="false" ht="15" hidden="false" customHeight="false" outlineLevel="0" collapsed="false">
      <c r="S68" s="0" t="s">
        <v>80</v>
      </c>
    </row>
    <row r="69" customFormat="false" ht="15" hidden="false" customHeight="false" outlineLevel="0" collapsed="false">
      <c r="S69" s="0" t="s">
        <v>82</v>
      </c>
    </row>
    <row r="70" customFormat="false" ht="15" hidden="false" customHeight="false" outlineLevel="0" collapsed="false">
      <c r="S70" s="0" t="s">
        <v>84</v>
      </c>
    </row>
    <row r="71" customFormat="false" ht="15" hidden="false" customHeight="false" outlineLevel="0" collapsed="false">
      <c r="S71" s="0" t="s">
        <v>86</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81" customFormat="false" ht="15" hidden="false" customHeight="false" outlineLevel="0" collapsed="false">
      <c r="A81" s="3" t="s">
        <v>381</v>
      </c>
    </row>
    <row r="82" customFormat="false" ht="15" hidden="false" customHeight="false" outlineLevel="0" collapsed="false">
      <c r="A82" s="6" t="s">
        <v>373</v>
      </c>
      <c r="B82" s="17" t="s">
        <v>382</v>
      </c>
    </row>
    <row r="83" customFormat="false" ht="15" hidden="false" customHeight="false" outlineLevel="0" collapsed="false">
      <c r="A83" s="6" t="s">
        <v>375</v>
      </c>
      <c r="B83" s="17" t="s">
        <v>383</v>
      </c>
    </row>
    <row r="84" customFormat="false" ht="15" hidden="false" customHeight="false" outlineLevel="0" collapsed="false">
      <c r="A84" s="6" t="s">
        <v>378</v>
      </c>
      <c r="B84" s="17" t="s">
        <v>384</v>
      </c>
    </row>
    <row r="85" customFormat="false" ht="15" hidden="false" customHeight="false" outlineLevel="0" collapsed="false">
      <c r="A85" s="6" t="s">
        <v>379</v>
      </c>
      <c r="B85" s="17" t="s">
        <v>385</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2026-09-07T11:45:02Z</dcterms:created>
  <dc:creator>Capacity exercise toolkit</dc:creator>
  <dc:description/>
  <dc:language>en-US</dc:language>
  <cp:lastModifiedBy/>
  <dcterms:modified xsi:type="dcterms:W3CDTF">2026-09-07T11:45:15Z</dcterms:modified>
  <cp:revision>1</cp:revision>
  <dc:subject/>
  <dc:title>2027 Capacity Exercise - Compliance Group</dc:title>
</cp:coreProperties>
</file>

<file path=docProps/custom.xml><?xml version="1.0" encoding="utf-8"?>
<Properties xmlns="http://schemas.openxmlformats.org/officeDocument/2006/custom-properties" xmlns:vt="http://schemas.openxmlformats.org/officeDocument/2006/docPropsVTypes"/>
</file>