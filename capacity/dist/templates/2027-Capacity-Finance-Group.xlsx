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Attrition &amp; pipeline" sheetId="4" state="visible" r:id="rId6"/>
    <sheet name="4. Structure changes" sheetId="5" state="visible" r:id="rId7"/>
    <sheet name="5. Capacity asks" sheetId="6" state="visible" r:id="rId8"/>
    <sheet name="6. My position" sheetId="7" state="visible" r:id="rId9"/>
    <sheet name="7. Check &amp; submit"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capacity'!$4:$4</definedName>
    <definedName function="false" hidden="false" localSheetId="3" name="_xlnm.Print_Titles" vbProcedure="false">'3. Attrition &amp; pipeline'!$76:$76</definedName>
    <definedName function="false" hidden="false" localSheetId="4" name="_xlnm.Print_Titles" vbProcedure="false">'4. Structure changes'!$4:$4</definedName>
    <definedName function="false" hidden="false" localSheetId="5" name="_xlnm.Print_Titles" vbProcedure="false">'5. Capacity asks'!$5:$5</definedName>
    <definedName function="false" hidden="true" localSheetId="5" name="_xlnm._FilterDatabase" vbProcedure="false">'5. Capacity asks'!$A$5:$T$305</definedName>
    <definedName function="false" hidden="false" name="AskNatureList" vbProcedure="false">Ref!$I$56:$I$58</definedName>
    <definedName function="false" hidden="false" name="AttritionDefault" vbProcedure="false">Ref!$B$7</definedName>
    <definedName function="false" hidden="false" name="BaseYear" vbProcedure="false">Ref!$B$6</definedName>
    <definedName function="false" hidden="false" name="CategoryList" vbProcedure="false">Ref!$O$56:$O$61</definedName>
    <definedName function="false" hidden="false" name="CostEnvelope" vbProcedure="false">Ref!$B$17</definedName>
    <definedName function="false" hidden="false" name="DriverCategory" vbProcedure="false">Ref!$B$35:$B$53</definedName>
    <definedName function="false" hidden="false" name="DriverList" vbProcedure="false">Ref!$A$35:$A$53</definedName>
    <definedName function="false" hidden="false" name="DriverRank" vbProcedure="false">Ref!$C$35:$C$53</definedName>
    <definedName function="false" hidden="false" name="GosiOther" vbProcedure="false">Ref!$B$11</definedName>
    <definedName function="false" hidden="false" name="GosiSaudi" vbProcedure="false">Ref!$B$10</definedName>
    <definedName function="false" hidden="false" name="GradeBasic" vbProcedure="false">Ref!$B$23:$B$31</definedName>
    <definedName function="false" hidden="false" name="GradeBonus" vbProcedure="false">Ref!$E$23:$E$31</definedName>
    <definedName function="false" hidden="false" name="GradeHousing" vbProcedure="false">Ref!$C$23:$C$31</definedName>
    <definedName function="false" hidden="false" name="GradeList" vbProcedure="false">Ref!$A$23:$A$31</definedName>
    <definedName function="false" hidden="false" name="GradeRank" vbProcedure="false">Ref!$F$23:$F$31</definedName>
    <definedName function="false" hidden="false" name="GradeTransport" vbProcedure="false">Ref!$D$23:$D$31</definedName>
    <definedName function="false" hidden="false" name="GroupName" vbProcedure="false">Ref!$B$14</definedName>
    <definedName function="false" hidden="false" name="HeadEnvelope" vbProcedure="false">Ref!$B$18</definedName>
    <definedName function="false" hidden="false" name="LadderLevels" vbProcedure="false">Ref!$M$56:$M$61</definedName>
    <definedName function="false" hidden="false" name="OneOffJunior" vbProcedure="false">Ref!$B$12</definedName>
    <definedName function="false" hidden="false" name="OneOffSenior" vbProcedure="false">Ref!$B$13</definedName>
    <definedName function="false" hidden="false" name="PlanYear" vbProcedure="false">Ref!$B$5</definedName>
    <definedName function="false" hidden="false" name="ProductivityDefault" vbProcedure="false">Ref!$B$8</definedName>
    <definedName function="false" hidden="false" name="QuarterList" vbProcedure="false">Ref!$C$56:$C$59</definedName>
    <definedName function="false" hidden="false" name="SalaryInflation" vbProcedure="false">Ref!$B$9</definedName>
    <definedName function="false" hidden="false" name="SaudiBasisList" vbProcedure="false">Ref!$G$56:$G$58</definedName>
    <definedName function="false" hidden="false" name="SaudiTarget" vbProcedure="false">Ref!$B$19</definedName>
    <definedName function="false" hidden="false" name="StructureActions" vbProcedure="false">Ref!$K$56:$K$60</definedName>
    <definedName function="false" hidden="false" name="UnitList" vbProcedure="false">Ref!$S$56:$S$94</definedName>
    <definedName function="false" hidden="false" name="WorkforceTypes" vbProcedure="false">Ref!$E$56:$E$58</definedName>
    <definedName function="false" hidden="false" name="WorkloadDrivers" vbProcedure="false">Ref!$A$56:$A$70</definedName>
    <definedName function="false" hidden="false" name="YesNo" vbProcedure="false">Ref!$Q$56:$Q$57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<sst xmlns="http://schemas.openxmlformats.org/spreadsheetml/2006/main" count="697" uniqueCount="478">
  <si>
    <t xml:space="preserve">2027 Capacity Exercise</t>
  </si>
  <si>
    <t xml:space="preserve">Finance Group — what to do, in the order to do it</t>
  </si>
  <si>
    <t xml:space="preserve">What to do</t>
  </si>
  <si>
    <t xml:space="preserve">1. My structure</t>
  </si>
  <si>
    <t xml:space="preserve">Your group as it stands today, down to section level. Collapse and expand with the +/- buttons in the left margin. Nothing to fill in — read it and check it looks right.</t>
  </si>
  <si>
    <t xml:space="preserve">2. Current capacity</t>
  </si>
  <si>
    <t xml:space="preserve">For each unit: what is approved, filled and vacant today, what drives its workload, and how much of that work one person gets through. This is what your ask will be argued against, so it is worth getting right.</t>
  </si>
  <si>
    <t xml:space="preserve">3. Attrition &amp; pipeline</t>
  </si>
  <si>
    <t xml:space="preserve">Who you already know is leaving, and what is already in recruitment. Confirm each 2026 vacancy you still need — anything you do not confirm will lapse.</t>
  </si>
  <si>
    <t xml:space="preserve">4. Structure changes</t>
  </si>
  <si>
    <t xml:space="preserve">New units, moves, closures, merges and renames. Give a new unit a temporary ID here and you can then ask for positions into it on the next sheet.</t>
  </si>
  <si>
    <t xml:space="preserve">5. Capacity asks</t>
  </si>
  <si>
    <t xml:space="preserve">One row per position you want. The cost is worked out for you as you type. Every row needs a driver, because that is what decides the order things get funded in.</t>
  </si>
  <si>
    <t xml:space="preserve">6. My position</t>
  </si>
  <si>
    <t xml:space="preserve">Where your ask lands against your cost envelope, your headcount envelope and your Saudization target. Read this before you submit, not after.</t>
  </si>
  <si>
    <t xml:space="preserve">7.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</si>
  <si>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</si>
  <si>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</si>
  <si>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</si>
  <si>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</si>
  <si>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</si>
  <si>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</si>
  <si>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</si>
  <si>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</si>
  <si>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Two things worth knowing</t>
  </si>
  <si>
    <t xml:space="preserve">The cost shown to you is a loaded cost — basic, housing, transport, employer GOSI and target bonus — in SAR thousands. It is the same rate table the centre will price your ask with, so there are no surprises on the way back.</t>
  </si>
  <si>
    <t xml:space="preserve">A position asked for in Q1 costs a full year; one asked for in Q4 costs a quarter of a year. Moving a start date is the cheapest concession you can offer, and it is usually the first thing you will be asked for.</t>
  </si>
  <si>
    <t xml:space="preserve">My structure</t>
  </si>
  <si>
    <t xml:space="preserve">Finance Group as it stands in 2026. Use the +/- buttons on the left to collapse and expand. 2027 fills in from your asks.</t>
  </si>
  <si>
    <t xml:space="preserve">Level</t>
  </si>
  <si>
    <t xml:space="preserve">Unit</t>
  </si>
  <si>
    <t xml:space="preserve">2026 approved</t>
  </si>
  <si>
    <t xml:space="preserve">Filled</t>
  </si>
  <si>
    <t xml:space="preserve">Vacant</t>
  </si>
  <si>
    <t xml:space="preserve">2027 asked</t>
  </si>
  <si>
    <t xml:space="preserve">2027 total</t>
  </si>
  <si>
    <t xml:space="preserve">Change</t>
  </si>
  <si>
    <t xml:space="preserve">Group</t>
  </si>
  <si>
    <t xml:space="preserve">Finance Group</t>
  </si>
  <si>
    <t xml:space="preserve">Division</t>
  </si>
  <si>
    <t xml:space="preserve">    Financial Control Division</t>
  </si>
  <si>
    <t xml:space="preserve">Department</t>
  </si>
  <si>
    <t xml:space="preserve">        Financial Control</t>
  </si>
  <si>
    <t xml:space="preserve">            Financial Control Unit 1</t>
  </si>
  <si>
    <t xml:space="preserve">Sub-unit</t>
  </si>
  <si>
    <t xml:space="preserve">                Financial Control Unit 1 - Team A</t>
  </si>
  <si>
    <t xml:space="preserve">                Financial Control Unit 1 - Team B</t>
  </si>
  <si>
    <t xml:space="preserve">            Financial Control Unit 2</t>
  </si>
  <si>
    <t xml:space="preserve">                Financial Control Unit 2 - Team A</t>
  </si>
  <si>
    <t xml:space="preserve">                Financial Control Unit 2 - Team B</t>
  </si>
  <si>
    <t xml:space="preserve">        Regulatory Reporting</t>
  </si>
  <si>
    <t xml:space="preserve">            Regulatory Reporting Unit 1</t>
  </si>
  <si>
    <t xml:space="preserve">                Regulatory Reporting Unit 1 - Team A</t>
  </si>
  <si>
    <t xml:space="preserve">                Regulatory Reporting Unit 1 - Team B</t>
  </si>
  <si>
    <t xml:space="preserve">            Regulatory Reporting Unit 2</t>
  </si>
  <si>
    <t xml:space="preserve">                Regulatory Reporting Unit 2 - Team A</t>
  </si>
  <si>
    <t xml:space="preserve">                Regulatory Reporting Unit 2 - Team B</t>
  </si>
  <si>
    <t xml:space="preserve">    Planning &amp; Performance Division</t>
  </si>
  <si>
    <t xml:space="preserve">        Cost &amp; Performance</t>
  </si>
  <si>
    <t xml:space="preserve">            Cost &amp; Performance Unit 1</t>
  </si>
  <si>
    <t xml:space="preserve">                Cost &amp; Performance Unit 1 - Team A</t>
  </si>
  <si>
    <t xml:space="preserve">                Cost &amp; Performance Unit 1 - Team B</t>
  </si>
  <si>
    <t xml:space="preserve">            Cost &amp; Performance Unit 2</t>
  </si>
  <si>
    <t xml:space="preserve">                Cost &amp; Performance Unit 2 - Team A</t>
  </si>
  <si>
    <t xml:space="preserve">                Cost &amp; Performance Unit 2 - Team B</t>
  </si>
  <si>
    <t xml:space="preserve">        Financial Planning</t>
  </si>
  <si>
    <t xml:space="preserve">            Financial Planning Unit 1</t>
  </si>
  <si>
    <t xml:space="preserve">                Financial Planning Unit 1 - Team A</t>
  </si>
  <si>
    <t xml:space="preserve">                Financial Planning Unit 1 - Team B</t>
  </si>
  <si>
    <t xml:space="preserve">            Financial Planning Unit 2</t>
  </si>
  <si>
    <t xml:space="preserve">                Financial Planning Unit 2 - Team A</t>
  </si>
  <si>
    <t xml:space="preserve">                Financial Planning Unit 2 - Team B</t>
  </si>
  <si>
    <t xml:space="preserve">    Tax &amp; Zakat Division</t>
  </si>
  <si>
    <t xml:space="preserve">        Tax &amp; Zakat</t>
  </si>
  <si>
    <t xml:space="preserve">            Tax &amp; Zakat Unit 1</t>
  </si>
  <si>
    <t xml:space="preserve">                Tax &amp; Zakat Unit 1 - Team A</t>
  </si>
  <si>
    <t xml:space="preserve">                Tax &amp; Zakat Unit 1 - Team B</t>
  </si>
  <si>
    <t xml:space="preserve">            Tax &amp; Zakat Unit 2</t>
  </si>
  <si>
    <t xml:space="preserve">                Tax &amp; Zakat Unit 2 - Team A</t>
  </si>
  <si>
    <t xml:space="preserve">                Tax &amp; Zakat Unit 2 - Team B</t>
  </si>
  <si>
    <t xml:space="preserve">Current capacity</t>
  </si>
  <si>
    <t xml:space="preserve">What each unit has today, what drives its work, and how much of that work one person gets through. The yellow cells are yours.</t>
  </si>
  <si>
    <t xml:space="preserve">Approved</t>
  </si>
  <si>
    <t xml:space="preserve">Workload driver</t>
  </si>
  <si>
    <t xml:space="preserve">2026 volume</t>
  </si>
  <si>
    <t xml:space="preserve">2027 expected volume</t>
  </si>
  <si>
    <t xml:space="preserve">Volume growth</t>
  </si>
  <si>
    <t xml:space="preserve">FTE on this work</t>
  </si>
  <si>
    <t xml:space="preserve">Output per FTE (2026)</t>
  </si>
  <si>
    <t xml:space="preserve">Productivity uplift</t>
  </si>
  <si>
    <t xml:space="preserve">2027 FTE required</t>
  </si>
  <si>
    <t xml:space="preserve">Gap vs filled</t>
  </si>
  <si>
    <t xml:space="preserve">Overtime / insourced cover</t>
  </si>
  <si>
    <t xml:space="preserve">How stretched (1-5)</t>
  </si>
  <si>
    <t xml:space="preserve">Financial Control</t>
  </si>
  <si>
    <t xml:space="preserve">Financial Control Unit 1</t>
  </si>
  <si>
    <t xml:space="preserve">Financial Control Unit 2</t>
  </si>
  <si>
    <t xml:space="preserve">Regulatory Reporting</t>
  </si>
  <si>
    <t xml:space="preserve">Regulatory Reporting Unit 1</t>
  </si>
  <si>
    <t xml:space="preserve">Regulatory Reporting Unit 2</t>
  </si>
  <si>
    <t xml:space="preserve">Cost &amp; Performance</t>
  </si>
  <si>
    <t xml:space="preserve">Cost &amp; Performance Unit 1</t>
  </si>
  <si>
    <t xml:space="preserve">Cost &amp; Performance Unit 2</t>
  </si>
  <si>
    <t xml:space="preserve">Financial Planning</t>
  </si>
  <si>
    <t xml:space="preserve">Financial Planning Unit 1</t>
  </si>
  <si>
    <t xml:space="preserve">Financial Planning Unit 2</t>
  </si>
  <si>
    <t xml:space="preserve">Tax &amp; Zakat</t>
  </si>
  <si>
    <t xml:space="preserve">Tax &amp; Zakat Unit 1</t>
  </si>
  <si>
    <t xml:space="preserve">Tax &amp; Zakat Unit 2</t>
  </si>
  <si>
    <t xml:space="preserve">Output per FTE is worked out from what you type: volume divided by the FTE doing it. Required FTE for 2027 is next year's volume divided by that same rate, improved by the productivity uplift. Leave the uplift blank to use the bank default.</t>
  </si>
  <si>
    <t xml:space="preserve">Attrition &amp; pipeline</t>
  </si>
  <si>
    <t xml:space="preserve">Who you already know is going, what rate applies to everyone else, and which 2026 vacancies you still need.</t>
  </si>
  <si>
    <t xml:space="preserve">Rate</t>
  </si>
  <si>
    <t xml:space="preserve">Bank default attrition rate</t>
  </si>
  <si>
    <t xml:space="preserve">This group's rate (leave blank to use the default)</t>
  </si>
  <si>
    <t xml:space="preserve">Blue cells are yours.</t>
  </si>
  <si>
    <t xml:space="preserve">Filled headcount today</t>
  </si>
  <si>
    <t xml:space="preserve">From the 2026 establishment.</t>
  </si>
  <si>
    <t xml:space="preserve">Leavers implied by the rate</t>
  </si>
  <si>
    <t xml:space="preserve">Of which already named below</t>
  </si>
  <si>
    <t xml:space="preserve">Further leavers to assume</t>
  </si>
  <si>
    <t xml:space="preserve">What the rate expects on top of the names you know.</t>
  </si>
  <si>
    <t xml:space="preserve">Named leavers and retirements</t>
  </si>
  <si>
    <t xml:space="preserve">Pre-filled from assignment end dates already in the HR system.</t>
  </si>
  <si>
    <t xml:space="preserve">Job title</t>
  </si>
  <si>
    <t xml:space="preserve">Grade</t>
  </si>
  <si>
    <t xml:space="preserve">Leaving date</t>
  </si>
  <si>
    <t xml:space="preserve">Quarter</t>
  </si>
  <si>
    <t xml:space="preserve">Reason</t>
  </si>
  <si>
    <t xml:space="preserve">Backfill needed?</t>
  </si>
  <si>
    <t xml:space="preserve">Tax &amp; Zakat Unit 1 - Team B</t>
  </si>
  <si>
    <t xml:space="preserve">Senior Officer Tax &amp; Zakat</t>
  </si>
  <si>
    <t xml:space="preserve">G10</t>
  </si>
  <si>
    <t xml:space="preserve">2026-09-20</t>
  </si>
  <si>
    <t xml:space="preserve">Q3</t>
  </si>
  <si>
    <t xml:space="preserve">Resignation / assignment end</t>
  </si>
  <si>
    <t xml:space="preserve">Yes</t>
  </si>
  <si>
    <t xml:space="preserve">Financial Control Unit 2 - Team B</t>
  </si>
  <si>
    <t xml:space="preserve">Officer Financial Control</t>
  </si>
  <si>
    <t xml:space="preserve">G9</t>
  </si>
  <si>
    <t xml:space="preserve">2026-10-02</t>
  </si>
  <si>
    <t xml:space="preserve">Q4</t>
  </si>
  <si>
    <t xml:space="preserve">Regulatory Reporting Unit 1 - Team A</t>
  </si>
  <si>
    <t xml:space="preserve">Senior Officer Regulatory Reporting</t>
  </si>
  <si>
    <t xml:space="preserve">G11</t>
  </si>
  <si>
    <t xml:space="preserve">2026-10-03</t>
  </si>
  <si>
    <t xml:space="preserve">Regulatory Reporting Unit 2 - Team B</t>
  </si>
  <si>
    <t xml:space="preserve">2026-10-12</t>
  </si>
  <si>
    <t xml:space="preserve">Tax &amp; Zakat Unit 2 - Team B</t>
  </si>
  <si>
    <t xml:space="preserve">Analyst Tax &amp; Zakat</t>
  </si>
  <si>
    <t xml:space="preserve">2026-11-19</t>
  </si>
  <si>
    <t xml:space="preserve">Financial Planning Unit 2 - Team B</t>
  </si>
  <si>
    <t xml:space="preserve">Specialist Financial Planning</t>
  </si>
  <si>
    <t xml:space="preserve">2026-11-26</t>
  </si>
  <si>
    <t xml:space="preserve">Financial Control Unit 1 - Team B</t>
  </si>
  <si>
    <t xml:space="preserve">Associate Financial Control</t>
  </si>
  <si>
    <t xml:space="preserve">2026-12-06</t>
  </si>
  <si>
    <t xml:space="preserve">Team Lead Financial Control</t>
  </si>
  <si>
    <t xml:space="preserve">G12</t>
  </si>
  <si>
    <t xml:space="preserve">2026-12-12</t>
  </si>
  <si>
    <t xml:space="preserve">Cost &amp; Performance Unit 2 - Team B</t>
  </si>
  <si>
    <t xml:space="preserve">Analyst Cost &amp; Performance</t>
  </si>
  <si>
    <t xml:space="preserve">2026-12-21</t>
  </si>
  <si>
    <t xml:space="preserve">Cost &amp; Performance Unit 2 - Team A</t>
  </si>
  <si>
    <t xml:space="preserve">Team Lead Cost &amp; Performance</t>
  </si>
  <si>
    <t xml:space="preserve">2026-12-26</t>
  </si>
  <si>
    <t xml:space="preserve">2026 vacancies — confirm each one you still need</t>
  </si>
  <si>
    <t xml:space="preserve">Anything not confirmed lapses and will not carry into 2027.</t>
  </si>
  <si>
    <t xml:space="preserve">Last held by</t>
  </si>
  <si>
    <t xml:space="preserve">Still needed?</t>
  </si>
  <si>
    <t xml:space="preserve">If not, why</t>
  </si>
  <si>
    <t xml:space="preserve">Cost &amp; Performance Unit 1 - Team B</t>
  </si>
  <si>
    <t xml:space="preserve">Salma Siddiqui</t>
  </si>
  <si>
    <t xml:space="preserve">Specialist Cost &amp; Performance</t>
  </si>
  <si>
    <t xml:space="preserve">Financial Control Unit 1 - Team A</t>
  </si>
  <si>
    <t xml:space="preserve">Senior Officer Financial Control</t>
  </si>
  <si>
    <t xml:space="preserve">Financial Planning Unit 1 - Team B</t>
  </si>
  <si>
    <t xml:space="preserve">Team Lead Financial Planning</t>
  </si>
  <si>
    <t xml:space="preserve">Regulatory Reporting Unit 1 - Team B</t>
  </si>
  <si>
    <t xml:space="preserve">Analyst Regulatory Reporting</t>
  </si>
  <si>
    <t xml:space="preserve">Karim Bakr</t>
  </si>
  <si>
    <t xml:space="preserve">Associate Regulatory Reporting</t>
  </si>
  <si>
    <t xml:space="preserve">Jana Osman</t>
  </si>
  <si>
    <t xml:space="preserve">Regulatory Reporting Unit 2 - Team A</t>
  </si>
  <si>
    <t xml:space="preserve">Senior Analyst Regulatory Reporting</t>
  </si>
  <si>
    <t xml:space="preserve">Specialist Regulatory Reporting</t>
  </si>
  <si>
    <t xml:space="preserve">Team Lead Regulatory Reporting</t>
  </si>
  <si>
    <t xml:space="preserve">فيصل السبيعي</t>
  </si>
  <si>
    <t xml:space="preserve">Tax &amp; Zakat Unit 1 - Team A</t>
  </si>
  <si>
    <t xml:space="preserve">Associate Tax &amp; Zakat</t>
  </si>
  <si>
    <t xml:space="preserve">Officer Tax &amp; Zakat</t>
  </si>
  <si>
    <t xml:space="preserve">فيصل الشمري</t>
  </si>
  <si>
    <t xml:space="preserve">Team Lead Tax &amp; Zakat</t>
  </si>
  <si>
    <t xml:space="preserve">Lina Rashed</t>
  </si>
  <si>
    <t xml:space="preserve">Structure changes</t>
  </si>
  <si>
    <t xml:space="preserve">What you want the 2027 structure to look like where it differs from today. Give a new unit an ID and you can ask for positions into it.</t>
  </si>
  <si>
    <t xml:space="preserve">Change ID</t>
  </si>
  <si>
    <t xml:space="preserve">Action</t>
  </si>
  <si>
    <t xml:space="preserve">Unit name</t>
  </si>
  <si>
    <t xml:space="preserve">Parent unit</t>
  </si>
  <si>
    <t xml:space="preserve">Function type</t>
  </si>
  <si>
    <t xml:space="preserve">Mandate / why</t>
  </si>
  <si>
    <t xml:space="preserve">People affected</t>
  </si>
  <si>
    <t xml:space="preserve">Effective from</t>
  </si>
  <si>
    <t xml:space="preserve">Ready to use</t>
  </si>
  <si>
    <t xml:space="preserve">NEW-01</t>
  </si>
  <si>
    <t xml:space="preserve">NEW-02</t>
  </si>
  <si>
    <t xml:space="preserve">NEW-03</t>
  </si>
  <si>
    <t xml:space="preserve">NEW-04</t>
  </si>
  <si>
    <t xml:space="preserve">NEW-05</t>
  </si>
  <si>
    <t xml:space="preserve">NEW-06</t>
  </si>
  <si>
    <t xml:space="preserve">NEW-07</t>
  </si>
  <si>
    <t xml:space="preserve">NEW-08</t>
  </si>
  <si>
    <t xml:space="preserve">NEW-09</t>
  </si>
  <si>
    <t xml:space="preserve">NEW-10</t>
  </si>
  <si>
    <t xml:space="preserve">NEW-11</t>
  </si>
  <si>
    <t xml:space="preserve">NEW-12</t>
  </si>
  <si>
    <t xml:space="preserve">NEW-13</t>
  </si>
  <si>
    <t xml:space="preserve">NEW-14</t>
  </si>
  <si>
    <t xml:space="preserve">NEW-15</t>
  </si>
  <si>
    <t xml:space="preserve">NEW-16</t>
  </si>
  <si>
    <t xml:space="preserve">NEW-17</t>
  </si>
  <si>
    <t xml:space="preserve">NEW-18</t>
  </si>
  <si>
    <t xml:space="preserve">NEW-19</t>
  </si>
  <si>
    <t xml:space="preserve">NEW-20</t>
  </si>
  <si>
    <t xml:space="preserve">NEW-21</t>
  </si>
  <si>
    <t xml:space="preserve">NEW-22</t>
  </si>
  <si>
    <t xml:space="preserve">NEW-23</t>
  </si>
  <si>
    <t xml:space="preserve">NEW-24</t>
  </si>
  <si>
    <t xml:space="preserve">NEW-25</t>
  </si>
  <si>
    <t xml:space="preserve">NEW-26</t>
  </si>
  <si>
    <t xml:space="preserve">NEW-27</t>
  </si>
  <si>
    <t xml:space="preserve">NEW-28</t>
  </si>
  <si>
    <t xml:space="preserve">NEW-29</t>
  </si>
  <si>
    <t xml:space="preserve">NEW-30</t>
  </si>
  <si>
    <t xml:space="preserve">NEW-31</t>
  </si>
  <si>
    <t xml:space="preserve">NEW-32</t>
  </si>
  <si>
    <t xml:space="preserve">NEW-33</t>
  </si>
  <si>
    <t xml:space="preserve">NEW-34</t>
  </si>
  <si>
    <t xml:space="preserve">NEW-35</t>
  </si>
  <si>
    <t xml:space="preserve">NEW-36</t>
  </si>
  <si>
    <t xml:space="preserve">NEW-37</t>
  </si>
  <si>
    <t xml:space="preserve">NEW-38</t>
  </si>
  <si>
    <t xml:space="preserve">NEW-39</t>
  </si>
  <si>
    <t xml:space="preserve">NEW-40</t>
  </si>
  <si>
    <t xml:space="preserve">A new unit needs a name, a level and a parent before a position can be asked into it. Closures and merges need the people affected, because that is what funds the growth elsewhere.</t>
  </si>
  <si>
    <t xml:space="preserve">Capacity asks</t>
  </si>
  <si>
    <t xml:space="preserve">One row per position you want in 2027. Cost is worked out as you type.</t>
  </si>
  <si>
    <t xml:space="preserve">Ref</t>
  </si>
  <si>
    <t xml:space="preserve">Unit (or new unit ID)</t>
  </si>
  <si>
    <t xml:space="preserve">Workforce type</t>
  </si>
  <si>
    <t xml:space="preserve">Saudi basis</t>
  </si>
  <si>
    <t xml:space="preserve">Nature</t>
  </si>
  <si>
    <t xml:space="preserve">FTE</t>
  </si>
  <si>
    <t xml:space="preserve">Start quarter</t>
  </si>
  <si>
    <t xml:space="preserve">Driver</t>
  </si>
  <si>
    <t xml:space="preserve">Category</t>
  </si>
  <si>
    <t xml:space="preserve">Rank</t>
  </si>
  <si>
    <t xml:space="preserve">Alternatives considered</t>
  </si>
  <si>
    <t xml:space="preserve">Note</t>
  </si>
  <si>
    <t xml:space="preserve">Loaded cost (full year)</t>
  </si>
  <si>
    <t xml:space="preserve">One-off</t>
  </si>
  <si>
    <t xml:space="preserve">2027 in-year cost</t>
  </si>
  <si>
    <t xml:space="preserve">Run-rate</t>
  </si>
  <si>
    <t xml:space="preserve">What's missing</t>
  </si>
  <si>
    <t xml:space="preserve">Issue no.</t>
  </si>
  <si>
    <t xml:space="preserve">My position</t>
  </si>
  <si>
    <t xml:space="preserve">Where your ask lands against your cost envelope, your headcount envelope and your Saudization target. Nothing here is typed in.</t>
  </si>
  <si>
    <t xml:space="preserve">2026 baseline</t>
  </si>
  <si>
    <t xml:space="preserve">Saudi nationals today</t>
  </si>
  <si>
    <t xml:space="preserve">Saudization today</t>
  </si>
  <si>
    <t xml:space="preserve">Your 2027 ask</t>
  </si>
  <si>
    <t xml:space="preserve">Positions asked for (FTE)</t>
  </si>
  <si>
    <t xml:space="preserve">    of which permanent</t>
  </si>
  <si>
    <t xml:space="preserve">    of which insourced</t>
  </si>
  <si>
    <t xml:space="preserve">    of which outsourced</t>
  </si>
  <si>
    <t xml:space="preserve">2027 in-year cost (SAR '000)</t>
  </si>
  <si>
    <t xml:space="preserve">Part-year: a Q1 start costs four quarters, a Q4 start one.</t>
  </si>
  <si>
    <t xml:space="preserve">Full-year run-rate from 2028 (SAR '000)</t>
  </si>
  <si>
    <t xml:space="preserve">Against your envelopes</t>
  </si>
  <si>
    <t xml:space="preserve">Test</t>
  </si>
  <si>
    <t xml:space="preserve">Your limit</t>
  </si>
  <si>
    <t xml:space="preserve">Your number</t>
  </si>
  <si>
    <t xml:space="preserve">Headroom</t>
  </si>
  <si>
    <t xml:space="preserve">Status</t>
  </si>
  <si>
    <t xml:space="preserve">2027 cost (SAR '000)</t>
  </si>
  <si>
    <t xml:space="preserve">Positions can start later to bring this down.</t>
  </si>
  <si>
    <t xml:space="preserve">Net establishment change</t>
  </si>
  <si>
    <t xml:space="preserve">Asks less the people released by closures and merges.</t>
  </si>
  <si>
    <t xml:space="preserve">Saudization</t>
  </si>
  <si>
    <t xml:space="preserve">Projected on today's people plus everything you have asked for.</t>
  </si>
  <si>
    <t xml:space="preserve">What the ranking rule funds first</t>
  </si>
  <si>
    <t xml:space="preserve">Cut order runs bottom-up: 'Other' goes first, regulatory last.</t>
  </si>
  <si>
    <t xml:space="preserve">Priority</t>
  </si>
  <si>
    <t xml:space="preserve">FTE asked</t>
  </si>
  <si>
    <t xml:space="preserve">2027 cost</t>
  </si>
  <si>
    <t xml:space="preserve">Cumulative cost</t>
  </si>
  <si>
    <t xml:space="preserve">Inside envelope?</t>
  </si>
  <si>
    <t xml:space="preserve">1. Regulatory</t>
  </si>
  <si>
    <t xml:space="preserve">Mandated by SAMA or another regulator; not discretionary.</t>
  </si>
  <si>
    <t xml:space="preserve">2. Risk</t>
  </si>
  <si>
    <t xml:space="preserve">Risk and control capacity, including audit finding remediation.</t>
  </si>
  <si>
    <t xml:space="preserve">3. Revenue</t>
  </si>
  <si>
    <t xml:space="preserve">Directly linked to income — volume growth, new product, coverage.</t>
  </si>
  <si>
    <t xml:space="preserve">4. Replacement</t>
  </si>
  <si>
    <t xml:space="preserve">Backfilling capacity the bank already had and has lost.</t>
  </si>
  <si>
    <t xml:space="preserve">5. Efficiency</t>
  </si>
  <si>
    <t xml:space="preserve">Pays for itself through automation, centralisation or insourcing.</t>
  </si>
  <si>
    <t xml:space="preserve">6. Other</t>
  </si>
  <si>
    <t xml:space="preserve">Everything else. First to be cut when the envelope binds.</t>
  </si>
  <si>
    <t xml:space="preserve">When the cost lands</t>
  </si>
  <si>
    <t xml:space="preserve">FTE starting</t>
  </si>
  <si>
    <t xml:space="preserve">Run-rate added</t>
  </si>
  <si>
    <t xml:space="preserve">Q1</t>
  </si>
  <si>
    <t xml:space="preserve">Q2</t>
  </si>
  <si>
    <t xml:space="preserve">Demand against capacity, by driver</t>
  </si>
  <si>
    <t xml:space="preserve">Units</t>
  </si>
  <si>
    <t xml:space="preserve">Filled today</t>
  </si>
  <si>
    <t xml:space="preserve">Modelled gap</t>
  </si>
  <si>
    <t xml:space="preserve">Accounts serviced</t>
  </si>
  <si>
    <t xml:space="preserve">accounts</t>
  </si>
  <si>
    <t xml:space="preserve">Transactions processed</t>
  </si>
  <si>
    <t xml:space="preserve">transactions / yr</t>
  </si>
  <si>
    <t xml:space="preserve">Applications processed</t>
  </si>
  <si>
    <t xml:space="preserve">applications / yr</t>
  </si>
  <si>
    <t xml:space="preserve">Payments processed</t>
  </si>
  <si>
    <t xml:space="preserve">payments / yr</t>
  </si>
  <si>
    <t xml:space="preserve">Cases or tickets handled</t>
  </si>
  <si>
    <t xml:space="preserve">cases / yr</t>
  </si>
  <si>
    <t xml:space="preserve">Calls handled</t>
  </si>
  <si>
    <t xml:space="preserve">calls / yr</t>
  </si>
  <si>
    <t xml:space="preserve">Customers covered</t>
  </si>
  <si>
    <t xml:space="preserve">customers</t>
  </si>
  <si>
    <t xml:space="preserve">Branches supported</t>
  </si>
  <si>
    <t xml:space="preserve">branches</t>
  </si>
  <si>
    <t xml:space="preserve">Audits or reviews delivered</t>
  </si>
  <si>
    <t xml:space="preserve">reviews / yr</t>
  </si>
  <si>
    <t xml:space="preserve">Reports or returns produced</t>
  </si>
  <si>
    <t xml:space="preserve">returns / yr</t>
  </si>
  <si>
    <t xml:space="preserve">Systems or applications supported</t>
  </si>
  <si>
    <t xml:space="preserve">systems</t>
  </si>
  <si>
    <t xml:space="preserve">Change requests delivered</t>
  </si>
  <si>
    <t xml:space="preserve">changes / yr</t>
  </si>
  <si>
    <t xml:space="preserve">Headcount supported</t>
  </si>
  <si>
    <t xml:space="preserve">employees</t>
  </si>
  <si>
    <t xml:space="preserve">Group-specific driver 1</t>
  </si>
  <si>
    <t xml:space="preserve">(state the unit)</t>
  </si>
  <si>
    <t xml:space="preserve">Group-specific driver 2</t>
  </si>
  <si>
    <t xml:space="preserve">Total modelled gap (FTE)</t>
  </si>
  <si>
    <t xml:space="preserve">What the volumes you typed imply.</t>
  </si>
  <si>
    <t xml:space="preserve">Total you have asked for (FTE)</t>
  </si>
  <si>
    <t xml:space="preserve">A wide gap between these two is the first thing the centre will ask you about.</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</si>
  <si>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</si>
  <si>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</si>
  <si>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</si>
  <si>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</si>
  <si>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</si>
  <si>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Ask rows with something missing</t>
  </si>
  <si>
    <t xml:space="preserve">Sheet 5 lists what each row is missing in the last two columns. Filter on 'What's missing' to find them.</t>
  </si>
  <si>
    <t xml:space="preserve">Ask rows naming a unit that does not exist</t>
  </si>
  <si>
    <t xml:space="preserve">Either pick an existing unit, or add the new unit on sheet 4 and use its change ID.</t>
  </si>
  <si>
    <t xml:space="preserve">2026 vacancies not yet confirmed</t>
  </si>
  <si>
    <t xml:space="preserve">Sheet 3. Anything you do not confirm lapses and will not carry into 2027.</t>
  </si>
  <si>
    <t xml:space="preserve">Named leavers with no backfill answer</t>
  </si>
  <si>
    <t xml:space="preserve">Sheet 3. Say whether each departure needs replacing.</t>
  </si>
  <si>
    <t xml:space="preserve">Units with no workload driver</t>
  </si>
  <si>
    <t xml:space="preserve">Sheet 2. Every unit needs the one thing that drives its work.</t>
  </si>
  <si>
    <t xml:space="preserve">Units with a driver but missing volumes</t>
  </si>
  <si>
    <t xml:space="preserve">Sheet 2 needs the 2026 volume, the 2027 expected volume and the FTE doing that work.</t>
  </si>
  <si>
    <t xml:space="preserve">Structure changes started but incomplete</t>
  </si>
  <si>
    <t xml:space="preserve">Sheet 4. A change needs a unit name, a level and a reason.</t>
  </si>
  <si>
    <t xml:space="preserve">Worth a look — these do not block you</t>
  </si>
  <si>
    <t xml:space="preserve">Cost above your envelope</t>
  </si>
  <si>
    <t xml:space="preserve">Move start quarters later, or say on sheet 5 why the envelope has to move.</t>
  </si>
  <si>
    <t xml:space="preserve">Net establishment change above your envelope</t>
  </si>
  <si>
    <t xml:space="preserve">Convert, insource or close somewhere else to pay for it.</t>
  </si>
  <si>
    <t xml:space="preserve">Saudization below your target</t>
  </si>
  <si>
    <t xml:space="preserve">Change the intended basis on sheet 5, or explain the gap when you submit.</t>
  </si>
  <si>
    <t xml:space="preserve">The rows that need attention</t>
  </si>
  <si>
    <t xml:space="preserve">The first 25.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</si>
  <si>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</si>
  <si>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</si>
  <si>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</si>
  <si>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</si>
  <si>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</si>
  <si>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</si>
  <si>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</si>
  <si>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</si>
  <si>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</si>
  <si>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</si>
  <si>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</si>
  <si>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will price it again on the same rate table, challenge line by line where it has to, and send back the approved 2027 establishment for Finance Group.</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</si>
  <si>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</si>
  <si>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</si>
  <si>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</si>
  <si>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</si>
  <si>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</si>
  <si>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</si>
  <si>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</si>
  <si>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</si>
  <si>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</si>
  <si>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</si>
  <si>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One-off cost - below G14</t>
  </si>
  <si>
    <t xml:space="preserve">One-off cost - G14 and above</t>
  </si>
  <si>
    <t xml:space="preserve">Envelope for this group</t>
  </si>
  <si>
    <t xml:space="preserve">Cost envelope (SAR '000)</t>
  </si>
  <si>
    <t xml:space="preserve">Illustrative: six per cent of the group's current pay bill.</t>
  </si>
  <si>
    <t xml:space="preserve">Headcount envelope (net adds)</t>
  </si>
  <si>
    <t xml:space="preserve">Illustrative: five per cent of the group's current establishment.</t>
  </si>
  <si>
    <t xml:space="preserve">Saudization target</t>
  </si>
  <si>
    <t xml:space="preserve">Illustrative: two points above where the group stands today.</t>
  </si>
  <si>
    <t xml:space="preserve">Grade cost table (SAR '000 per annum)</t>
  </si>
  <si>
    <t xml:space="preserve">Illustrative rates — replace with Finance's own before use.</t>
  </si>
  <si>
    <t xml:space="preserve">Basic</t>
  </si>
  <si>
    <t xml:space="preserve">Housing</t>
  </si>
  <si>
    <t xml:space="preserve">Transport</t>
  </si>
  <si>
    <t xml:space="preserve">Bonus %</t>
  </si>
  <si>
    <t xml:space="preserve">G13</t>
  </si>
  <si>
    <t xml:space="preserve">G14</t>
  </si>
  <si>
    <t xml:space="preserve">G15</t>
  </si>
  <si>
    <t xml:space="preserve">G16</t>
  </si>
  <si>
    <t xml:space="preserve">G17</t>
  </si>
  <si>
    <t xml:space="preserve">Ask drivers</t>
  </si>
  <si>
    <t xml:space="preserve">SAMA regulatory requirement</t>
  </si>
  <si>
    <t xml:space="preserve">Regulatory</t>
  </si>
  <si>
    <t xml:space="preserve">New regulation implementation</t>
  </si>
  <si>
    <t xml:space="preserve">Regulatory audit finding</t>
  </si>
  <si>
    <t xml:space="preserve">Risk framework uplift</t>
  </si>
  <si>
    <t xml:space="preserve">Risk</t>
  </si>
  <si>
    <t xml:space="preserve">Control gap closure</t>
  </si>
  <si>
    <t xml:space="preserve">Internal audit finding</t>
  </si>
  <si>
    <t xml:space="preserve">Business continuity / resilience</t>
  </si>
  <si>
    <t xml:space="preserve">Volume growth - existing product</t>
  </si>
  <si>
    <t xml:space="preserve">Revenue</t>
  </si>
  <si>
    <t xml:space="preserve">New product launch</t>
  </si>
  <si>
    <t xml:space="preserve">Branch or channel expansion</t>
  </si>
  <si>
    <t xml:space="preserve">Client coverage expansion</t>
  </si>
  <si>
    <t xml:space="preserve">Backfill - resignation</t>
  </si>
  <si>
    <t xml:space="preserve">Replacement</t>
  </si>
  <si>
    <t xml:space="preserve">Backfill - retirement</t>
  </si>
  <si>
    <t xml:space="preserve">Backfill - internal move</t>
  </si>
  <si>
    <t xml:space="preserve">Automation enablement</t>
  </si>
  <si>
    <t xml:space="preserve">Efficiency</t>
  </si>
  <si>
    <t xml:space="preserve">Process centralisation</t>
  </si>
  <si>
    <t xml:space="preserve">Insourcing from vendor</t>
  </si>
  <si>
    <t xml:space="preserve">Service level improvement</t>
  </si>
  <si>
    <t xml:space="preserve">Other</t>
  </si>
  <si>
    <t xml:space="preserve">Other - see note</t>
  </si>
  <si>
    <t xml:space="preserve">WorkloadDrivers</t>
  </si>
  <si>
    <t xml:space="preserve">WorkforceTypes</t>
  </si>
  <si>
    <t xml:space="preserve">SaudiBasis</t>
  </si>
  <si>
    <t xml:space="preserve">AskNature</t>
  </si>
  <si>
    <t xml:space="preserve">StructureActions</t>
  </si>
  <si>
    <t xml:space="preserve">LadderLevels</t>
  </si>
  <si>
    <t xml:space="preserve">YesNo</t>
  </si>
  <si>
    <t xml:space="preserve">Permanent</t>
  </si>
  <si>
    <t xml:space="preserve">Saudi</t>
  </si>
  <si>
    <t xml:space="preserve">Growth</t>
  </si>
  <si>
    <t xml:space="preserve">New unit</t>
  </si>
  <si>
    <t xml:space="preserve">Insourced</t>
  </si>
  <si>
    <t xml:space="preserve">Non-Saudi</t>
  </si>
  <si>
    <t xml:space="preserve">Move to a new parent</t>
  </si>
  <si>
    <t xml:space="preserve">No</t>
  </si>
  <si>
    <t xml:space="preserve">Financial Control Division</t>
  </si>
  <si>
    <t xml:space="preserve">Outsourced</t>
  </si>
  <si>
    <t xml:space="preserve">Undecided</t>
  </si>
  <si>
    <t xml:space="preserve">Conversion</t>
  </si>
  <si>
    <t xml:space="preserve">Rename</t>
  </si>
  <si>
    <t xml:space="preserve">Merge into another unit</t>
  </si>
  <si>
    <t xml:space="preserve">Close</t>
  </si>
  <si>
    <t xml:space="preserve">Section</t>
  </si>
  <si>
    <t xml:space="preserve">Financial Control Unit 2 - Team A</t>
  </si>
  <si>
    <t xml:space="preserve">Planning &amp; Performance Division</t>
  </si>
  <si>
    <t xml:space="preserve">Cost &amp; Performance Unit 1 - Team A</t>
  </si>
  <si>
    <t xml:space="preserve">Financial Planning Unit 1 - Team A</t>
  </si>
  <si>
    <t xml:space="preserve">Financial Planning Unit 2 - Team A</t>
  </si>
  <si>
    <t xml:space="preserve">Tax &amp; Zakat Division</t>
  </si>
  <si>
    <t xml:space="preserve">Tax &amp; Zakat Unit 2 - Team A</t>
  </si>
</sst>
</file>

<file path=xl/styles.xml><?xml version="1.0" encoding="utf-8"?>
<styleSheet xmlns="http://schemas.openxmlformats.org/spreadsheetml/2006/main">
  <numFmts count="4">
    <numFmt numFmtId="164" formatCode="General"/>
    <numFmt numFmtId="165" formatCode="#,##0;\(#,##0\);\-"/>
    <numFmt numFmtId="166" formatCode="#,##0.0;\(#,##0.0\);\-"/>
    <numFmt numFmtId="167"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b val="true"/>
      <sz val="9"/>
      <color rgb="FF8A5300"/>
      <name val="Arial"/>
      <family val="0"/>
      <charset val="1"/>
    </font>
    <font>
      <sz val="9"/>
      <color rgb="FFA4262C"/>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5" fontId="9" fillId="2" borderId="1" xfId="0" applyFont="true" applyBorder="true" applyAlignment="false" applyProtection="true">
      <alignment horizontal="general" vertical="bottom" textRotation="0" wrapText="false" indent="0" shrinkToFit="false"/>
      <protection locked="fals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7" fontId="9" fillId="2" borderId="1" xfId="0" applyFont="true" applyBorder="true" applyAlignment="false" applyProtection="true">
      <alignment horizontal="general" vertical="bottom" textRotation="0" wrapText="false" indent="0" shrinkToFit="false"/>
      <protection locked="fals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true">
      <alignment horizontal="general" vertical="bottom" textRotation="0" wrapText="false" indent="0" shrinkToFit="false"/>
      <protection locked="fals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1A6B45"/>
        <sz val="10"/>
      </font>
    </dxf>
    <dxf>
      <font>
        <name val="Arial"/>
        <charset val="1"/>
        <family val="0"/>
        <color rgb="FF8A5300"/>
        <sz val="10"/>
      </font>
    </dxf>
    <dxf>
      <font>
        <name val="Arial"/>
        <charset val="1"/>
        <family val="0"/>
        <b val="1"/>
        <color rgb="FF8A5300"/>
        <sz val="10"/>
      </font>
    </dxf>
    <dxf>
      <font>
        <name val="Arial"/>
        <charset val="1"/>
        <family val="0"/>
        <color rgb="FF7B8694"/>
        <sz val="10"/>
      </font>
    </dxf>
    <dxf>
      <fill>
        <patternFill patternType="solid">
          <fgColor rgb="FF24466B"/>
          <bgColor rgb="FF000000"/>
        </patternFill>
      </fill>
    </dxf>
    <dxf>
      <fill>
        <patternFill patternType="solid">
          <bgColor rgb="FF000000"/>
        </patternFill>
      </fill>
    </dxf>
    <dxf>
      <fill>
        <patternFill patternType="solid">
          <fgColor rgb="FF7B8694"/>
          <bgColor rgb="FF000000"/>
        </patternFill>
      </fill>
    </dxf>
    <dxf>
      <fill>
        <patternFill patternType="solid">
          <fgColor rgb="FFFFFFFF"/>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1A1A1A"/>
          <bgColor rgb="FF000000"/>
        </patternFill>
      </fill>
    </dxf>
    <dxf>
      <fill>
        <patternFill patternType="solid">
          <fgColor rgb="FFA4262C"/>
          <bgColor rgb="FF000000"/>
        </patternFill>
      </fill>
    </dxf>
    <dxf>
      <font>
        <name val="Arial"/>
        <charset val="1"/>
        <family val="0"/>
        <b val="1"/>
        <color rgb="FFA4262C"/>
        <sz val="10"/>
      </font>
    </dxf>
    <dxf>
      <fill>
        <patternFill>
          <bgColor rgb="FFFDE7E9"/>
        </patternFill>
      </fill>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position'!$A$25:$A$30</c:f>
              <c:strCache>
                <c:ptCount val="6"/>
                <c:pt idx="0">
                  <c:v>1. Regulatory</c:v>
                </c:pt>
                <c:pt idx="1">
                  <c:v>2. Risk</c:v>
                </c:pt>
                <c:pt idx="2">
                  <c:v>3. Revenue</c:v>
                </c:pt>
                <c:pt idx="3">
                  <c:v>4. Replacement</c:v>
                </c:pt>
                <c:pt idx="4">
                  <c:v>5. Efficiency</c:v>
                </c:pt>
                <c:pt idx="5">
                  <c:v>6. Other</c:v>
                </c:pt>
              </c:strCache>
            </c:strRef>
          </c:cat>
          <c:val>
            <c:numRef>
              <c:f>'6. My position'!$C$25:$C$30</c:f>
              <c:numCache>
                <c:formatCode>#,##0;\(#,##0\);\-</c:formatCode>
                <c:ptCount val="6"/>
                <c:pt idx="0">
                  <c:v>0</c:v>
                </c:pt>
                <c:pt idx="1">
                  <c:v>0</c:v>
                </c:pt>
                <c:pt idx="2">
                  <c:v>0</c:v>
                </c:pt>
                <c:pt idx="3">
                  <c:v>0</c:v>
                </c:pt>
                <c:pt idx="4">
                  <c:v>0</c:v>
                </c:pt>
                <c:pt idx="5">
                  <c:v>0</c:v>
                </c:pt>
              </c:numCache>
            </c:numRef>
          </c:val>
        </c:ser>
        <c:gapWidth val="150"/>
        <c:overlap val="0"/>
        <c:axId val="38973541"/>
        <c:axId val="27711199"/>
      </c:barChart>
      <c:catAx>
        <c:axId val="3897354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711199"/>
        <c:crosses val="autoZero"/>
        <c:auto val="1"/>
        <c:lblAlgn val="ctr"/>
        <c:lblOffset val="100"/>
        <c:noMultiLvlLbl val="0"/>
      </c:catAx>
      <c:valAx>
        <c:axId val="2771119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973541"/>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start quarter (SAR '000)</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position'!$A$34:$A$37</c:f>
              <c:strCache>
                <c:ptCount val="4"/>
                <c:pt idx="0">
                  <c:v>Q1</c:v>
                </c:pt>
                <c:pt idx="1">
                  <c:v>Q2</c:v>
                </c:pt>
                <c:pt idx="2">
                  <c:v>Q3</c:v>
                </c:pt>
                <c:pt idx="3">
                  <c:v>Q4</c:v>
                </c:pt>
              </c:strCache>
            </c:strRef>
          </c:cat>
          <c:val>
            <c:numRef>
              <c:f>'6. My position'!$C$34:$C$37</c:f>
              <c:numCache>
                <c:formatCode>#,##0;\(#,##0\);\-</c:formatCode>
                <c:ptCount val="4"/>
                <c:pt idx="0">
                  <c:v>0</c:v>
                </c:pt>
                <c:pt idx="1">
                  <c:v>0</c:v>
                </c:pt>
                <c:pt idx="2">
                  <c:v>0</c:v>
                </c:pt>
                <c:pt idx="3">
                  <c:v>0</c:v>
                </c:pt>
              </c:numCache>
            </c:numRef>
          </c:val>
        </c:ser>
        <c:gapWidth val="150"/>
        <c:overlap val="0"/>
        <c:axId val="13768186"/>
        <c:axId val="31756402"/>
      </c:barChart>
      <c:catAx>
        <c:axId val="137681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56402"/>
        <c:crosses val="autoZero"/>
        <c:auto val="1"/>
        <c:lblAlgn val="ctr"/>
        <c:lblOffset val="100"/>
        <c:noMultiLvlLbl val="0"/>
      </c:catAx>
      <c:valAx>
        <c:axId val="3175640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7681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97200</xdr:rowOff>
    </xdr:from>
    <xdr:to>
      <xdr:col>2</xdr:col>
      <xdr:colOff>247680</xdr:colOff>
      <xdr:row>72</xdr:row>
      <xdr:rowOff>119160</xdr:rowOff>
    </xdr:to>
    <xdr:graphicFrame>
      <xdr:nvGraphicFramePr>
        <xdr:cNvPr id="0" name="Chart 1"/>
        <xdr:cNvGraphicFramePr/>
      </xdr:nvGraphicFramePr>
      <xdr:xfrm>
        <a:off x="0" y="1181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57</xdr:row>
      <xdr:rowOff>97200</xdr:rowOff>
    </xdr:from>
    <xdr:to>
      <xdr:col>5</xdr:col>
      <xdr:colOff>2719440</xdr:colOff>
      <xdr:row>72</xdr:row>
      <xdr:rowOff>119160</xdr:rowOff>
    </xdr:to>
    <xdr:graphicFrame>
      <xdr:nvGraphicFramePr>
        <xdr:cNvPr id="1" name="Chart 2"/>
        <xdr:cNvGraphicFramePr/>
      </xdr:nvGraphicFramePr>
      <xdr:xfrm>
        <a:off x="8356680" y="118108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3.75" hidden="false" customHeight="true" outlineLevel="0" collapsed="false">
      <c r="A5" s="4" t="s">
        <v>3</v>
      </c>
      <c r="B5" s="5" t="s">
        <v>4</v>
      </c>
      <c r="C5" s="5"/>
      <c r="D5" s="5"/>
      <c r="E5" s="5"/>
      <c r="F5" s="5"/>
      <c r="G5" s="5"/>
      <c r="H5" s="5"/>
    </row>
    <row r="6" customFormat="false" ht="33.75" hidden="false" customHeight="true" outlineLevel="0" collapsed="false">
      <c r="A6" s="4" t="s">
        <v>5</v>
      </c>
      <c r="B6" s="5" t="s">
        <v>6</v>
      </c>
      <c r="C6" s="5"/>
      <c r="D6" s="5"/>
      <c r="E6" s="5"/>
      <c r="F6" s="5"/>
      <c r="G6" s="5"/>
      <c r="H6" s="5"/>
    </row>
    <row r="7" customFormat="false" ht="33.75" hidden="false" customHeight="true" outlineLevel="0" collapsed="false">
      <c r="A7" s="4" t="s">
        <v>7</v>
      </c>
      <c r="B7" s="5" t="s">
        <v>8</v>
      </c>
      <c r="C7" s="5"/>
      <c r="D7" s="5"/>
      <c r="E7" s="5"/>
      <c r="F7" s="5"/>
      <c r="G7" s="5"/>
      <c r="H7" s="5"/>
    </row>
    <row r="8" customFormat="false" ht="33.75" hidden="false" customHeight="true" outlineLevel="0" collapsed="false">
      <c r="A8" s="4" t="s">
        <v>9</v>
      </c>
      <c r="B8" s="5" t="s">
        <v>10</v>
      </c>
      <c r="C8" s="5"/>
      <c r="D8" s="5"/>
      <c r="E8" s="5"/>
      <c r="F8" s="5"/>
      <c r="G8" s="5"/>
      <c r="H8" s="5"/>
    </row>
    <row r="9" customFormat="false" ht="33.75" hidden="false" customHeight="true" outlineLevel="0" collapsed="false">
      <c r="A9" s="4" t="s">
        <v>11</v>
      </c>
      <c r="B9" s="5" t="s">
        <v>12</v>
      </c>
      <c r="C9" s="5"/>
      <c r="D9" s="5"/>
      <c r="E9" s="5"/>
      <c r="F9" s="5"/>
      <c r="G9" s="5"/>
      <c r="H9" s="5"/>
    </row>
    <row r="10" customFormat="false" ht="33.75" hidden="false" customHeight="true" outlineLevel="0" collapsed="false">
      <c r="A10" s="4" t="s">
        <v>13</v>
      </c>
      <c r="B10" s="5" t="s">
        <v>14</v>
      </c>
      <c r="C10" s="5"/>
      <c r="D10" s="5"/>
      <c r="E10" s="5"/>
      <c r="F10" s="5"/>
      <c r="G10" s="5"/>
      <c r="H10" s="5"/>
    </row>
    <row r="11" customFormat="false" ht="33.75" hidden="false" customHeight="true" outlineLevel="0" collapsed="false">
      <c r="A11" s="4" t="s">
        <v>15</v>
      </c>
      <c r="B11" s="5" t="s">
        <v>16</v>
      </c>
      <c r="C11" s="5"/>
      <c r="D11" s="5"/>
      <c r="E11" s="5"/>
      <c r="F11" s="5"/>
      <c r="G11" s="5"/>
      <c r="H11" s="5"/>
    </row>
    <row r="13" customFormat="false" ht="15" hidden="false" customHeight="false" outlineLevel="0" collapsed="false">
      <c r="A13" s="6" t="s">
        <v>17</v>
      </c>
    </row>
    <row r="14" customFormat="false" ht="15" hidden="false" customHeight="false" outlineLevel="0" collapsed="false">
      <c r="A14" s="7" t="s">
        <v>18</v>
      </c>
      <c r="B14" s="8" t="s">
        <v>19</v>
      </c>
      <c r="C14" s="8"/>
      <c r="D14" s="8"/>
      <c r="E14" s="8"/>
      <c r="F14" s="8"/>
      <c r="G14" s="8"/>
    </row>
    <row r="15" customFormat="false" ht="15" hidden="false" customHeight="false" outlineLevel="0" collapsed="false">
      <c r="A15" s="9" t="s">
        <v>20</v>
      </c>
      <c r="B15" s="8" t="s">
        <v>21</v>
      </c>
      <c r="C15" s="8"/>
      <c r="D15" s="8"/>
      <c r="E15" s="8"/>
      <c r="F15" s="8"/>
      <c r="G15" s="8"/>
    </row>
    <row r="16" customFormat="false" ht="15" hidden="false" customHeight="false" outlineLevel="0" collapsed="false">
      <c r="A16" s="10" t="s">
        <v>22</v>
      </c>
      <c r="B16" s="8" t="s">
        <v>23</v>
      </c>
      <c r="C16" s="8"/>
      <c r="D16" s="8"/>
      <c r="E16" s="8"/>
      <c r="F16" s="8"/>
      <c r="G16" s="8"/>
    </row>
    <row r="18" customFormat="false" ht="15" hidden="false" customHeight="false" outlineLevel="0" collapsed="false">
      <c r="A18" s="3" t="s">
        <v>24</v>
      </c>
    </row>
    <row r="19" customFormat="false" ht="25.5" hidden="false" customHeight="true" outlineLevel="0" collapsed="false">
      <c r="A19" s="11" t="s">
        <v>25</v>
      </c>
      <c r="B19" s="11"/>
      <c r="C19" s="11"/>
      <c r="D19" s="11"/>
      <c r="E19" s="11"/>
      <c r="F19" s="11"/>
      <c r="G19" s="11"/>
      <c r="H19" s="11"/>
    </row>
    <row r="20" customFormat="false" ht="25.5" hidden="false" customHeight="true" outlineLevel="0" collapsed="false">
      <c r="A20" s="11" t="s">
        <v>26</v>
      </c>
      <c r="B20" s="11"/>
      <c r="C20" s="11"/>
      <c r="D20" s="11"/>
      <c r="E20" s="11"/>
      <c r="F20" s="11"/>
      <c r="G20" s="11"/>
      <c r="H20" s="11"/>
    </row>
  </sheetData>
  <sheetProtection sheet="true" sort="false" autoFilter="false"/>
  <mergeCells count="13">
    <mergeCell ref="A2:J2"/>
    <mergeCell ref="B5:H5"/>
    <mergeCell ref="B6:H6"/>
    <mergeCell ref="B7:H7"/>
    <mergeCell ref="B8:H8"/>
    <mergeCell ref="B9:H9"/>
    <mergeCell ref="B10:H10"/>
    <mergeCell ref="B11:H11"/>
    <mergeCell ref="B14:G14"/>
    <mergeCell ref="B15:G15"/>
    <mergeCell ref="B16:G16"/>
    <mergeCell ref="A19:H19"/>
    <mergeCell ref="A20:H20"/>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7" min="6" style="0" width="14"/>
    <col collapsed="false" customWidth="true" hidden="false" outlineLevel="0" max="8" min="8" style="0" width="11"/>
  </cols>
  <sheetData>
    <row r="1" customFormat="false" ht="24" hidden="false" customHeight="true" outlineLevel="0" collapsed="false">
      <c r="A1" s="1" t="s">
        <v>27</v>
      </c>
    </row>
    <row r="2" customFormat="false" ht="15" hidden="false" customHeight="false" outlineLevel="0" collapsed="false">
      <c r="A2" s="2" t="s">
        <v>28</v>
      </c>
      <c r="B2" s="2"/>
      <c r="C2" s="2"/>
      <c r="D2" s="2"/>
      <c r="E2" s="2"/>
      <c r="F2" s="2"/>
      <c r="G2" s="2"/>
      <c r="H2" s="2"/>
      <c r="I2" s="2"/>
      <c r="J2" s="2"/>
    </row>
    <row r="4" customFormat="false" ht="30" hidden="false" customHeight="true" outlineLevel="0" collapsed="false">
      <c r="A4" s="12" t="s">
        <v>29</v>
      </c>
      <c r="B4" s="12" t="s">
        <v>30</v>
      </c>
      <c r="C4" s="12" t="s">
        <v>31</v>
      </c>
      <c r="D4" s="12" t="s">
        <v>32</v>
      </c>
      <c r="E4" s="12" t="s">
        <v>33</v>
      </c>
      <c r="F4" s="12" t="s">
        <v>34</v>
      </c>
      <c r="G4" s="12" t="s">
        <v>35</v>
      </c>
      <c r="H4" s="12" t="s">
        <v>36</v>
      </c>
    </row>
    <row r="5" customFormat="false" ht="15" hidden="false" customHeight="false" outlineLevel="0" collapsed="false">
      <c r="A5" s="13" t="s">
        <v>37</v>
      </c>
      <c r="B5" s="14" t="s">
        <v>38</v>
      </c>
      <c r="C5" s="15" t="n">
        <v>174</v>
      </c>
      <c r="D5" s="15" t="n">
        <v>157</v>
      </c>
      <c r="E5" s="15" t="n">
        <v>17</v>
      </c>
      <c r="F5" s="16" t="n">
        <f aca="false">SUMIFS('5. Capacity asks'!$H$6:$H$305,'5. Capacity asks'!$B$6:$B$305,$B5)</f>
        <v>0</v>
      </c>
      <c r="G5" s="16" t="n">
        <f aca="false">$C5+$F5</f>
        <v>174</v>
      </c>
      <c r="H5" s="16" t="n">
        <f aca="false">$F5</f>
        <v>0</v>
      </c>
    </row>
    <row r="6" customFormat="false" ht="15" hidden="false" customHeight="false" outlineLevel="1" collapsed="false">
      <c r="A6" s="13" t="s">
        <v>39</v>
      </c>
      <c r="B6" s="14" t="s">
        <v>40</v>
      </c>
      <c r="C6" s="15" t="n">
        <v>71</v>
      </c>
      <c r="D6" s="15" t="n">
        <v>62</v>
      </c>
      <c r="E6" s="15" t="n">
        <v>9</v>
      </c>
      <c r="F6" s="16" t="n">
        <f aca="false">SUMIFS('5. Capacity asks'!$H$6:$H$305,'5. Capacity asks'!$B$6:$B$305,$B6)</f>
        <v>0</v>
      </c>
      <c r="G6" s="16" t="n">
        <f aca="false">$C6+$F6</f>
        <v>71</v>
      </c>
      <c r="H6" s="16" t="n">
        <f aca="false">$F6</f>
        <v>0</v>
      </c>
    </row>
    <row r="7" customFormat="false" ht="15" hidden="false" customHeight="false" outlineLevel="2" collapsed="false">
      <c r="A7" s="17" t="s">
        <v>41</v>
      </c>
      <c r="B7" s="18" t="s">
        <v>42</v>
      </c>
      <c r="C7" s="19" t="n">
        <v>37</v>
      </c>
      <c r="D7" s="19" t="n">
        <v>33</v>
      </c>
      <c r="E7" s="19" t="n">
        <v>4</v>
      </c>
      <c r="F7" s="20" t="n">
        <f aca="false">SUMIFS('5. Capacity asks'!$H$6:$H$305,'5. Capacity asks'!$B$6:$B$305,$B7)</f>
        <v>0</v>
      </c>
      <c r="G7" s="20" t="n">
        <f aca="false">$C7+$F7</f>
        <v>37</v>
      </c>
      <c r="H7" s="20" t="n">
        <f aca="false">$F7</f>
        <v>0</v>
      </c>
    </row>
    <row r="8" customFormat="false" ht="15" hidden="false" customHeight="false" outlineLevel="3" collapsed="false">
      <c r="A8" s="17" t="s">
        <v>30</v>
      </c>
      <c r="B8" s="18" t="s">
        <v>43</v>
      </c>
      <c r="C8" s="19" t="n">
        <v>16</v>
      </c>
      <c r="D8" s="19" t="n">
        <v>13</v>
      </c>
      <c r="E8" s="19" t="n">
        <v>3</v>
      </c>
      <c r="F8" s="20" t="n">
        <f aca="false">SUMIFS('5. Capacity asks'!$H$6:$H$305,'5. Capacity asks'!$B$6:$B$305,$B8)</f>
        <v>0</v>
      </c>
      <c r="G8" s="20" t="n">
        <f aca="false">$C8+$F8</f>
        <v>16</v>
      </c>
      <c r="H8" s="20" t="n">
        <f aca="false">$F8</f>
        <v>0</v>
      </c>
    </row>
    <row r="9" customFormat="false" ht="15" hidden="false" customHeight="false" outlineLevel="4" collapsed="false">
      <c r="A9" s="17" t="s">
        <v>44</v>
      </c>
      <c r="B9" s="18" t="s">
        <v>45</v>
      </c>
      <c r="C9" s="19" t="n">
        <v>7</v>
      </c>
      <c r="D9" s="19" t="n">
        <v>6</v>
      </c>
      <c r="E9" s="19" t="n">
        <v>1</v>
      </c>
      <c r="F9" s="20" t="n">
        <f aca="false">SUMIFS('5. Capacity asks'!$H$6:$H$305,'5. Capacity asks'!$B$6:$B$305,$B9)</f>
        <v>0</v>
      </c>
      <c r="G9" s="20" t="n">
        <f aca="false">$C9+$F9</f>
        <v>7</v>
      </c>
      <c r="H9" s="20" t="n">
        <f aca="false">$F9</f>
        <v>0</v>
      </c>
    </row>
    <row r="10" customFormat="false" ht="15" hidden="false" customHeight="false" outlineLevel="4" collapsed="false">
      <c r="A10" s="17" t="s">
        <v>44</v>
      </c>
      <c r="B10" s="18" t="s">
        <v>46</v>
      </c>
      <c r="C10" s="19" t="n">
        <v>8</v>
      </c>
      <c r="D10" s="19" t="n">
        <v>6</v>
      </c>
      <c r="E10" s="19" t="n">
        <v>2</v>
      </c>
      <c r="F10" s="20" t="n">
        <f aca="false">SUMIFS('5. Capacity asks'!$H$6:$H$305,'5. Capacity asks'!$B$6:$B$305,$B10)</f>
        <v>0</v>
      </c>
      <c r="G10" s="20" t="n">
        <f aca="false">$C10+$F10</f>
        <v>8</v>
      </c>
      <c r="H10" s="20" t="n">
        <f aca="false">$F10</f>
        <v>0</v>
      </c>
    </row>
    <row r="11" customFormat="false" ht="15" hidden="false" customHeight="false" outlineLevel="3" collapsed="false">
      <c r="A11" s="17" t="s">
        <v>30</v>
      </c>
      <c r="B11" s="18" t="s">
        <v>47</v>
      </c>
      <c r="C11" s="19" t="n">
        <v>20</v>
      </c>
      <c r="D11" s="19" t="n">
        <v>19</v>
      </c>
      <c r="E11" s="19" t="n">
        <v>1</v>
      </c>
      <c r="F11" s="20" t="n">
        <f aca="false">SUMIFS('5. Capacity asks'!$H$6:$H$305,'5. Capacity asks'!$B$6:$B$305,$B11)</f>
        <v>0</v>
      </c>
      <c r="G11" s="20" t="n">
        <f aca="false">$C11+$F11</f>
        <v>20</v>
      </c>
      <c r="H11" s="20" t="n">
        <f aca="false">$F11</f>
        <v>0</v>
      </c>
    </row>
    <row r="12" customFormat="false" ht="15" hidden="false" customHeight="false" outlineLevel="4" collapsed="false">
      <c r="A12" s="17" t="s">
        <v>44</v>
      </c>
      <c r="B12" s="18" t="s">
        <v>48</v>
      </c>
      <c r="C12" s="19" t="n">
        <v>9</v>
      </c>
      <c r="D12" s="19" t="n">
        <v>9</v>
      </c>
      <c r="E12" s="19" t="n">
        <v>0</v>
      </c>
      <c r="F12" s="20" t="n">
        <f aca="false">SUMIFS('5. Capacity asks'!$H$6:$H$305,'5. Capacity asks'!$B$6:$B$305,$B12)</f>
        <v>0</v>
      </c>
      <c r="G12" s="20" t="n">
        <f aca="false">$C12+$F12</f>
        <v>9</v>
      </c>
      <c r="H12" s="20" t="n">
        <f aca="false">$F12</f>
        <v>0</v>
      </c>
    </row>
    <row r="13" customFormat="false" ht="15" hidden="false" customHeight="false" outlineLevel="4" collapsed="false">
      <c r="A13" s="17" t="s">
        <v>44</v>
      </c>
      <c r="B13" s="18" t="s">
        <v>49</v>
      </c>
      <c r="C13" s="19" t="n">
        <v>10</v>
      </c>
      <c r="D13" s="19" t="n">
        <v>9</v>
      </c>
      <c r="E13" s="19" t="n">
        <v>1</v>
      </c>
      <c r="F13" s="20" t="n">
        <f aca="false">SUMIFS('5. Capacity asks'!$H$6:$H$305,'5. Capacity asks'!$B$6:$B$305,$B13)</f>
        <v>0</v>
      </c>
      <c r="G13" s="20" t="n">
        <f aca="false">$C13+$F13</f>
        <v>10</v>
      </c>
      <c r="H13" s="20" t="n">
        <f aca="false">$F13</f>
        <v>0</v>
      </c>
    </row>
    <row r="14" customFormat="false" ht="15" hidden="false" customHeight="false" outlineLevel="2" collapsed="false">
      <c r="A14" s="17" t="s">
        <v>41</v>
      </c>
      <c r="B14" s="18" t="s">
        <v>50</v>
      </c>
      <c r="C14" s="19" t="n">
        <v>33</v>
      </c>
      <c r="D14" s="19" t="n">
        <v>28</v>
      </c>
      <c r="E14" s="19" t="n">
        <v>5</v>
      </c>
      <c r="F14" s="20" t="n">
        <f aca="false">SUMIFS('5. Capacity asks'!$H$6:$H$305,'5. Capacity asks'!$B$6:$B$305,$B14)</f>
        <v>0</v>
      </c>
      <c r="G14" s="20" t="n">
        <f aca="false">$C14+$F14</f>
        <v>33</v>
      </c>
      <c r="H14" s="20" t="n">
        <f aca="false">$F14</f>
        <v>0</v>
      </c>
    </row>
    <row r="15" customFormat="false" ht="15" hidden="false" customHeight="false" outlineLevel="3" collapsed="false">
      <c r="A15" s="17" t="s">
        <v>30</v>
      </c>
      <c r="B15" s="18" t="s">
        <v>51</v>
      </c>
      <c r="C15" s="19" t="n">
        <v>15</v>
      </c>
      <c r="D15" s="19" t="n">
        <v>13</v>
      </c>
      <c r="E15" s="19" t="n">
        <v>2</v>
      </c>
      <c r="F15" s="20" t="n">
        <f aca="false">SUMIFS('5. Capacity asks'!$H$6:$H$305,'5. Capacity asks'!$B$6:$B$305,$B15)</f>
        <v>0</v>
      </c>
      <c r="G15" s="20" t="n">
        <f aca="false">$C15+$F15</f>
        <v>15</v>
      </c>
      <c r="H15" s="20" t="n">
        <f aca="false">$F15</f>
        <v>0</v>
      </c>
    </row>
    <row r="16" customFormat="false" ht="15" hidden="false" customHeight="false" outlineLevel="4" collapsed="false">
      <c r="A16" s="17" t="s">
        <v>44</v>
      </c>
      <c r="B16" s="18" t="s">
        <v>52</v>
      </c>
      <c r="C16" s="19" t="n">
        <v>7</v>
      </c>
      <c r="D16" s="19" t="n">
        <v>7</v>
      </c>
      <c r="E16" s="19" t="n">
        <v>0</v>
      </c>
      <c r="F16" s="20" t="n">
        <f aca="false">SUMIFS('5. Capacity asks'!$H$6:$H$305,'5. Capacity asks'!$B$6:$B$305,$B16)</f>
        <v>0</v>
      </c>
      <c r="G16" s="20" t="n">
        <f aca="false">$C16+$F16</f>
        <v>7</v>
      </c>
      <c r="H16" s="20" t="n">
        <f aca="false">$F16</f>
        <v>0</v>
      </c>
    </row>
    <row r="17" customFormat="false" ht="15" hidden="false" customHeight="false" outlineLevel="4" collapsed="false">
      <c r="A17" s="17" t="s">
        <v>44</v>
      </c>
      <c r="B17" s="18" t="s">
        <v>53</v>
      </c>
      <c r="C17" s="19" t="n">
        <v>7</v>
      </c>
      <c r="D17" s="19" t="n">
        <v>5</v>
      </c>
      <c r="E17" s="19" t="n">
        <v>2</v>
      </c>
      <c r="F17" s="20" t="n">
        <f aca="false">SUMIFS('5. Capacity asks'!$H$6:$H$305,'5. Capacity asks'!$B$6:$B$305,$B17)</f>
        <v>0</v>
      </c>
      <c r="G17" s="20" t="n">
        <f aca="false">$C17+$F17</f>
        <v>7</v>
      </c>
      <c r="H17" s="20" t="n">
        <f aca="false">$F17</f>
        <v>0</v>
      </c>
    </row>
    <row r="18" customFormat="false" ht="15" hidden="false" customHeight="false" outlineLevel="3" collapsed="false">
      <c r="A18" s="17" t="s">
        <v>30</v>
      </c>
      <c r="B18" s="18" t="s">
        <v>54</v>
      </c>
      <c r="C18" s="19" t="n">
        <v>17</v>
      </c>
      <c r="D18" s="19" t="n">
        <v>14</v>
      </c>
      <c r="E18" s="19" t="n">
        <v>3</v>
      </c>
      <c r="F18" s="20" t="n">
        <f aca="false">SUMIFS('5. Capacity asks'!$H$6:$H$305,'5. Capacity asks'!$B$6:$B$305,$B18)</f>
        <v>0</v>
      </c>
      <c r="G18" s="20" t="n">
        <f aca="false">$C18+$F18</f>
        <v>17</v>
      </c>
      <c r="H18" s="20" t="n">
        <f aca="false">$F18</f>
        <v>0</v>
      </c>
    </row>
    <row r="19" customFormat="false" ht="15" hidden="false" customHeight="false" outlineLevel="4" collapsed="false">
      <c r="A19" s="17" t="s">
        <v>44</v>
      </c>
      <c r="B19" s="18" t="s">
        <v>55</v>
      </c>
      <c r="C19" s="19" t="n">
        <v>10</v>
      </c>
      <c r="D19" s="19" t="n">
        <v>7</v>
      </c>
      <c r="E19" s="19" t="n">
        <v>3</v>
      </c>
      <c r="F19" s="20" t="n">
        <f aca="false">SUMIFS('5. Capacity asks'!$H$6:$H$305,'5. Capacity asks'!$B$6:$B$305,$B19)</f>
        <v>0</v>
      </c>
      <c r="G19" s="20" t="n">
        <f aca="false">$C19+$F19</f>
        <v>10</v>
      </c>
      <c r="H19" s="20" t="n">
        <f aca="false">$F19</f>
        <v>0</v>
      </c>
    </row>
    <row r="20" customFormat="false" ht="15" hidden="false" customHeight="false" outlineLevel="4" collapsed="false">
      <c r="A20" s="17" t="s">
        <v>44</v>
      </c>
      <c r="B20" s="18" t="s">
        <v>56</v>
      </c>
      <c r="C20" s="19" t="n">
        <v>6</v>
      </c>
      <c r="D20" s="19" t="n">
        <v>6</v>
      </c>
      <c r="E20" s="19" t="n">
        <v>0</v>
      </c>
      <c r="F20" s="20" t="n">
        <f aca="false">SUMIFS('5. Capacity asks'!$H$6:$H$305,'5. Capacity asks'!$B$6:$B$305,$B20)</f>
        <v>0</v>
      </c>
      <c r="G20" s="20" t="n">
        <f aca="false">$C20+$F20</f>
        <v>6</v>
      </c>
      <c r="H20" s="20" t="n">
        <f aca="false">$F20</f>
        <v>0</v>
      </c>
    </row>
    <row r="21" customFormat="false" ht="15" hidden="false" customHeight="false" outlineLevel="1" collapsed="false">
      <c r="A21" s="13" t="s">
        <v>39</v>
      </c>
      <c r="B21" s="14" t="s">
        <v>57</v>
      </c>
      <c r="C21" s="15" t="n">
        <v>64</v>
      </c>
      <c r="D21" s="15" t="n">
        <v>61</v>
      </c>
      <c r="E21" s="15" t="n">
        <v>3</v>
      </c>
      <c r="F21" s="16" t="n">
        <f aca="false">SUMIFS('5. Capacity asks'!$H$6:$H$305,'5. Capacity asks'!$B$6:$B$305,$B21)</f>
        <v>0</v>
      </c>
      <c r="G21" s="16" t="n">
        <f aca="false">$C21+$F21</f>
        <v>64</v>
      </c>
      <c r="H21" s="16" t="n">
        <f aca="false">$F21</f>
        <v>0</v>
      </c>
    </row>
    <row r="22" customFormat="false" ht="15" hidden="false" customHeight="false" outlineLevel="2" collapsed="false">
      <c r="A22" s="17" t="s">
        <v>41</v>
      </c>
      <c r="B22" s="18" t="s">
        <v>58</v>
      </c>
      <c r="C22" s="19" t="n">
        <v>35</v>
      </c>
      <c r="D22" s="19" t="n">
        <v>33</v>
      </c>
      <c r="E22" s="19" t="n">
        <v>2</v>
      </c>
      <c r="F22" s="20" t="n">
        <f aca="false">SUMIFS('5. Capacity asks'!$H$6:$H$305,'5. Capacity asks'!$B$6:$B$305,$B22)</f>
        <v>0</v>
      </c>
      <c r="G22" s="20" t="n">
        <f aca="false">$C22+$F22</f>
        <v>35</v>
      </c>
      <c r="H22" s="20" t="n">
        <f aca="false">$F22</f>
        <v>0</v>
      </c>
    </row>
    <row r="23" customFormat="false" ht="15" hidden="false" customHeight="false" outlineLevel="3" collapsed="false">
      <c r="A23" s="17" t="s">
        <v>30</v>
      </c>
      <c r="B23" s="18" t="s">
        <v>59</v>
      </c>
      <c r="C23" s="19" t="n">
        <v>18</v>
      </c>
      <c r="D23" s="19" t="n">
        <v>16</v>
      </c>
      <c r="E23" s="19" t="n">
        <v>2</v>
      </c>
      <c r="F23" s="20" t="n">
        <f aca="false">SUMIFS('5. Capacity asks'!$H$6:$H$305,'5. Capacity asks'!$B$6:$B$305,$B23)</f>
        <v>0</v>
      </c>
      <c r="G23" s="20" t="n">
        <f aca="false">$C23+$F23</f>
        <v>18</v>
      </c>
      <c r="H23" s="20" t="n">
        <f aca="false">$F23</f>
        <v>0</v>
      </c>
    </row>
    <row r="24" customFormat="false" ht="15" hidden="false" customHeight="false" outlineLevel="4" collapsed="false">
      <c r="A24" s="17" t="s">
        <v>44</v>
      </c>
      <c r="B24" s="18" t="s">
        <v>60</v>
      </c>
      <c r="C24" s="19" t="n">
        <v>7</v>
      </c>
      <c r="D24" s="19" t="n">
        <v>7</v>
      </c>
      <c r="E24" s="19" t="n">
        <v>0</v>
      </c>
      <c r="F24" s="20" t="n">
        <f aca="false">SUMIFS('5. Capacity asks'!$H$6:$H$305,'5. Capacity asks'!$B$6:$B$305,$B24)</f>
        <v>0</v>
      </c>
      <c r="G24" s="20" t="n">
        <f aca="false">$C24+$F24</f>
        <v>7</v>
      </c>
      <c r="H24" s="20" t="n">
        <f aca="false">$F24</f>
        <v>0</v>
      </c>
    </row>
    <row r="25" customFormat="false" ht="15" hidden="false" customHeight="false" outlineLevel="4" collapsed="false">
      <c r="A25" s="17" t="s">
        <v>44</v>
      </c>
      <c r="B25" s="18" t="s">
        <v>61</v>
      </c>
      <c r="C25" s="19" t="n">
        <v>10</v>
      </c>
      <c r="D25" s="19" t="n">
        <v>8</v>
      </c>
      <c r="E25" s="19" t="n">
        <v>2</v>
      </c>
      <c r="F25" s="20" t="n">
        <f aca="false">SUMIFS('5. Capacity asks'!$H$6:$H$305,'5. Capacity asks'!$B$6:$B$305,$B25)</f>
        <v>0</v>
      </c>
      <c r="G25" s="20" t="n">
        <f aca="false">$C25+$F25</f>
        <v>10</v>
      </c>
      <c r="H25" s="20" t="n">
        <f aca="false">$F25</f>
        <v>0</v>
      </c>
    </row>
    <row r="26" customFormat="false" ht="15" hidden="false" customHeight="false" outlineLevel="3" collapsed="false">
      <c r="A26" s="17" t="s">
        <v>30</v>
      </c>
      <c r="B26" s="18" t="s">
        <v>62</v>
      </c>
      <c r="C26" s="19" t="n">
        <v>16</v>
      </c>
      <c r="D26" s="19" t="n">
        <v>16</v>
      </c>
      <c r="E26" s="19" t="n">
        <v>0</v>
      </c>
      <c r="F26" s="20" t="n">
        <f aca="false">SUMIFS('5. Capacity asks'!$H$6:$H$305,'5. Capacity asks'!$B$6:$B$305,$B26)</f>
        <v>0</v>
      </c>
      <c r="G26" s="20" t="n">
        <f aca="false">$C26+$F26</f>
        <v>16</v>
      </c>
      <c r="H26" s="20" t="n">
        <f aca="false">$F26</f>
        <v>0</v>
      </c>
    </row>
    <row r="27" customFormat="false" ht="15" hidden="false" customHeight="false" outlineLevel="4" collapsed="false">
      <c r="A27" s="17" t="s">
        <v>44</v>
      </c>
      <c r="B27" s="18" t="s">
        <v>63</v>
      </c>
      <c r="C27" s="19" t="n">
        <v>9</v>
      </c>
      <c r="D27" s="19" t="n">
        <v>9</v>
      </c>
      <c r="E27" s="19" t="n">
        <v>0</v>
      </c>
      <c r="F27" s="20" t="n">
        <f aca="false">SUMIFS('5. Capacity asks'!$H$6:$H$305,'5. Capacity asks'!$B$6:$B$305,$B27)</f>
        <v>0</v>
      </c>
      <c r="G27" s="20" t="n">
        <f aca="false">$C27+$F27</f>
        <v>9</v>
      </c>
      <c r="H27" s="20" t="n">
        <f aca="false">$F27</f>
        <v>0</v>
      </c>
    </row>
    <row r="28" customFormat="false" ht="15" hidden="false" customHeight="false" outlineLevel="4" collapsed="false">
      <c r="A28" s="17" t="s">
        <v>44</v>
      </c>
      <c r="B28" s="18" t="s">
        <v>64</v>
      </c>
      <c r="C28" s="19" t="n">
        <v>6</v>
      </c>
      <c r="D28" s="19" t="n">
        <v>6</v>
      </c>
      <c r="E28" s="19" t="n">
        <v>0</v>
      </c>
      <c r="F28" s="20" t="n">
        <f aca="false">SUMIFS('5. Capacity asks'!$H$6:$H$305,'5. Capacity asks'!$B$6:$B$305,$B28)</f>
        <v>0</v>
      </c>
      <c r="G28" s="20" t="n">
        <f aca="false">$C28+$F28</f>
        <v>6</v>
      </c>
      <c r="H28" s="20" t="n">
        <f aca="false">$F28</f>
        <v>0</v>
      </c>
    </row>
    <row r="29" customFormat="false" ht="15" hidden="false" customHeight="false" outlineLevel="2" collapsed="false">
      <c r="A29" s="17" t="s">
        <v>41</v>
      </c>
      <c r="B29" s="18" t="s">
        <v>65</v>
      </c>
      <c r="C29" s="19" t="n">
        <v>28</v>
      </c>
      <c r="D29" s="19" t="n">
        <v>27</v>
      </c>
      <c r="E29" s="19" t="n">
        <v>1</v>
      </c>
      <c r="F29" s="20" t="n">
        <f aca="false">SUMIFS('5. Capacity asks'!$H$6:$H$305,'5. Capacity asks'!$B$6:$B$305,$B29)</f>
        <v>0</v>
      </c>
      <c r="G29" s="20" t="n">
        <f aca="false">$C29+$F29</f>
        <v>28</v>
      </c>
      <c r="H29" s="20" t="n">
        <f aca="false">$F29</f>
        <v>0</v>
      </c>
    </row>
    <row r="30" customFormat="false" ht="15" hidden="false" customHeight="false" outlineLevel="3" collapsed="false">
      <c r="A30" s="17" t="s">
        <v>30</v>
      </c>
      <c r="B30" s="18" t="s">
        <v>66</v>
      </c>
      <c r="C30" s="19" t="n">
        <v>13</v>
      </c>
      <c r="D30" s="19" t="n">
        <v>12</v>
      </c>
      <c r="E30" s="19" t="n">
        <v>1</v>
      </c>
      <c r="F30" s="20" t="n">
        <f aca="false">SUMIFS('5. Capacity asks'!$H$6:$H$305,'5. Capacity asks'!$B$6:$B$305,$B30)</f>
        <v>0</v>
      </c>
      <c r="G30" s="20" t="n">
        <f aca="false">$C30+$F30</f>
        <v>13</v>
      </c>
      <c r="H30" s="20" t="n">
        <f aca="false">$F30</f>
        <v>0</v>
      </c>
    </row>
    <row r="31" customFormat="false" ht="15" hidden="false" customHeight="false" outlineLevel="4" collapsed="false">
      <c r="A31" s="17" t="s">
        <v>44</v>
      </c>
      <c r="B31" s="18" t="s">
        <v>67</v>
      </c>
      <c r="C31" s="19" t="n">
        <v>6</v>
      </c>
      <c r="D31" s="19" t="n">
        <v>6</v>
      </c>
      <c r="E31" s="19" t="n">
        <v>0</v>
      </c>
      <c r="F31" s="20" t="n">
        <f aca="false">SUMIFS('5. Capacity asks'!$H$6:$H$305,'5. Capacity asks'!$B$6:$B$305,$B31)</f>
        <v>0</v>
      </c>
      <c r="G31" s="20" t="n">
        <f aca="false">$C31+$F31</f>
        <v>6</v>
      </c>
      <c r="H31" s="20" t="n">
        <f aca="false">$F31</f>
        <v>0</v>
      </c>
    </row>
    <row r="32" customFormat="false" ht="15" hidden="false" customHeight="false" outlineLevel="4" collapsed="false">
      <c r="A32" s="17" t="s">
        <v>44</v>
      </c>
      <c r="B32" s="18" t="s">
        <v>68</v>
      </c>
      <c r="C32" s="19" t="n">
        <v>6</v>
      </c>
      <c r="D32" s="19" t="n">
        <v>5</v>
      </c>
      <c r="E32" s="19" t="n">
        <v>1</v>
      </c>
      <c r="F32" s="20" t="n">
        <f aca="false">SUMIFS('5. Capacity asks'!$H$6:$H$305,'5. Capacity asks'!$B$6:$B$305,$B32)</f>
        <v>0</v>
      </c>
      <c r="G32" s="20" t="n">
        <f aca="false">$C32+$F32</f>
        <v>6</v>
      </c>
      <c r="H32" s="20" t="n">
        <f aca="false">$F32</f>
        <v>0</v>
      </c>
    </row>
    <row r="33" customFormat="false" ht="15" hidden="false" customHeight="false" outlineLevel="3" collapsed="false">
      <c r="A33" s="17" t="s">
        <v>30</v>
      </c>
      <c r="B33" s="18" t="s">
        <v>69</v>
      </c>
      <c r="C33" s="19" t="n">
        <v>14</v>
      </c>
      <c r="D33" s="19" t="n">
        <v>14</v>
      </c>
      <c r="E33" s="19" t="n">
        <v>0</v>
      </c>
      <c r="F33" s="20" t="n">
        <f aca="false">SUMIFS('5. Capacity asks'!$H$6:$H$305,'5. Capacity asks'!$B$6:$B$305,$B33)</f>
        <v>0</v>
      </c>
      <c r="G33" s="20" t="n">
        <f aca="false">$C33+$F33</f>
        <v>14</v>
      </c>
      <c r="H33" s="20" t="n">
        <f aca="false">$F33</f>
        <v>0</v>
      </c>
    </row>
    <row r="34" customFormat="false" ht="15" hidden="false" customHeight="false" outlineLevel="4" collapsed="false">
      <c r="A34" s="17" t="s">
        <v>44</v>
      </c>
      <c r="B34" s="18" t="s">
        <v>70</v>
      </c>
      <c r="C34" s="19" t="n">
        <v>6</v>
      </c>
      <c r="D34" s="19" t="n">
        <v>6</v>
      </c>
      <c r="E34" s="19" t="n">
        <v>0</v>
      </c>
      <c r="F34" s="20" t="n">
        <f aca="false">SUMIFS('5. Capacity asks'!$H$6:$H$305,'5. Capacity asks'!$B$6:$B$305,$B34)</f>
        <v>0</v>
      </c>
      <c r="G34" s="20" t="n">
        <f aca="false">$C34+$F34</f>
        <v>6</v>
      </c>
      <c r="H34" s="20" t="n">
        <f aca="false">$F34</f>
        <v>0</v>
      </c>
    </row>
    <row r="35" customFormat="false" ht="15" hidden="false" customHeight="false" outlineLevel="4" collapsed="false">
      <c r="A35" s="17" t="s">
        <v>44</v>
      </c>
      <c r="B35" s="18" t="s">
        <v>71</v>
      </c>
      <c r="C35" s="19" t="n">
        <v>7</v>
      </c>
      <c r="D35" s="19" t="n">
        <v>7</v>
      </c>
      <c r="E35" s="19" t="n">
        <v>0</v>
      </c>
      <c r="F35" s="20" t="n">
        <f aca="false">SUMIFS('5. Capacity asks'!$H$6:$H$305,'5. Capacity asks'!$B$6:$B$305,$B35)</f>
        <v>0</v>
      </c>
      <c r="G35" s="20" t="n">
        <f aca="false">$C35+$F35</f>
        <v>7</v>
      </c>
      <c r="H35" s="20" t="n">
        <f aca="false">$F35</f>
        <v>0</v>
      </c>
    </row>
    <row r="36" customFormat="false" ht="15" hidden="false" customHeight="false" outlineLevel="1" collapsed="false">
      <c r="A36" s="13" t="s">
        <v>39</v>
      </c>
      <c r="B36" s="14" t="s">
        <v>72</v>
      </c>
      <c r="C36" s="15" t="n">
        <v>38</v>
      </c>
      <c r="D36" s="15" t="n">
        <v>33</v>
      </c>
      <c r="E36" s="15" t="n">
        <v>5</v>
      </c>
      <c r="F36" s="16" t="n">
        <f aca="false">SUMIFS('5. Capacity asks'!$H$6:$H$305,'5. Capacity asks'!$B$6:$B$305,$B36)</f>
        <v>0</v>
      </c>
      <c r="G36" s="16" t="n">
        <f aca="false">$C36+$F36</f>
        <v>38</v>
      </c>
      <c r="H36" s="16" t="n">
        <f aca="false">$F36</f>
        <v>0</v>
      </c>
    </row>
    <row r="37" customFormat="false" ht="15" hidden="false" customHeight="false" outlineLevel="2" collapsed="false">
      <c r="A37" s="17" t="s">
        <v>41</v>
      </c>
      <c r="B37" s="18" t="s">
        <v>73</v>
      </c>
      <c r="C37" s="19" t="n">
        <v>37</v>
      </c>
      <c r="D37" s="19" t="n">
        <v>32</v>
      </c>
      <c r="E37" s="19" t="n">
        <v>5</v>
      </c>
      <c r="F37" s="20" t="n">
        <f aca="false">SUMIFS('5. Capacity asks'!$H$6:$H$305,'5. Capacity asks'!$B$6:$B$305,$B37)</f>
        <v>0</v>
      </c>
      <c r="G37" s="20" t="n">
        <f aca="false">$C37+$F37</f>
        <v>37</v>
      </c>
      <c r="H37" s="20" t="n">
        <f aca="false">$F37</f>
        <v>0</v>
      </c>
    </row>
    <row r="38" customFormat="false" ht="15" hidden="false" customHeight="false" outlineLevel="3" collapsed="false">
      <c r="A38" s="17" t="s">
        <v>30</v>
      </c>
      <c r="B38" s="18" t="s">
        <v>74</v>
      </c>
      <c r="C38" s="19" t="n">
        <v>16</v>
      </c>
      <c r="D38" s="19" t="n">
        <v>13</v>
      </c>
      <c r="E38" s="19" t="n">
        <v>3</v>
      </c>
      <c r="F38" s="20" t="n">
        <f aca="false">SUMIFS('5. Capacity asks'!$H$6:$H$305,'5. Capacity asks'!$B$6:$B$305,$B38)</f>
        <v>0</v>
      </c>
      <c r="G38" s="20" t="n">
        <f aca="false">$C38+$F38</f>
        <v>16</v>
      </c>
      <c r="H38" s="20" t="n">
        <f aca="false">$F38</f>
        <v>0</v>
      </c>
    </row>
    <row r="39" customFormat="false" ht="15" hidden="false" customHeight="false" outlineLevel="4" collapsed="false">
      <c r="A39" s="17" t="s">
        <v>44</v>
      </c>
      <c r="B39" s="18" t="s">
        <v>75</v>
      </c>
      <c r="C39" s="19" t="n">
        <v>8</v>
      </c>
      <c r="D39" s="19" t="n">
        <v>6</v>
      </c>
      <c r="E39" s="19" t="n">
        <v>2</v>
      </c>
      <c r="F39" s="20" t="n">
        <f aca="false">SUMIFS('5. Capacity asks'!$H$6:$H$305,'5. Capacity asks'!$B$6:$B$305,$B39)</f>
        <v>0</v>
      </c>
      <c r="G39" s="20" t="n">
        <f aca="false">$C39+$F39</f>
        <v>8</v>
      </c>
      <c r="H39" s="20" t="n">
        <f aca="false">$F39</f>
        <v>0</v>
      </c>
    </row>
    <row r="40" customFormat="false" ht="15" hidden="false" customHeight="false" outlineLevel="4" collapsed="false">
      <c r="A40" s="17" t="s">
        <v>44</v>
      </c>
      <c r="B40" s="18" t="s">
        <v>76</v>
      </c>
      <c r="C40" s="19" t="n">
        <v>7</v>
      </c>
      <c r="D40" s="19" t="n">
        <v>6</v>
      </c>
      <c r="E40" s="19" t="n">
        <v>1</v>
      </c>
      <c r="F40" s="20" t="n">
        <f aca="false">SUMIFS('5. Capacity asks'!$H$6:$H$305,'5. Capacity asks'!$B$6:$B$305,$B40)</f>
        <v>0</v>
      </c>
      <c r="G40" s="20" t="n">
        <f aca="false">$C40+$F40</f>
        <v>7</v>
      </c>
      <c r="H40" s="20" t="n">
        <f aca="false">$F40</f>
        <v>0</v>
      </c>
    </row>
    <row r="41" customFormat="false" ht="15" hidden="false" customHeight="false" outlineLevel="3" collapsed="false">
      <c r="A41" s="17" t="s">
        <v>30</v>
      </c>
      <c r="B41" s="18" t="s">
        <v>77</v>
      </c>
      <c r="C41" s="19" t="n">
        <v>20</v>
      </c>
      <c r="D41" s="19" t="n">
        <v>18</v>
      </c>
      <c r="E41" s="19" t="n">
        <v>2</v>
      </c>
      <c r="F41" s="20" t="n">
        <f aca="false">SUMIFS('5. Capacity asks'!$H$6:$H$305,'5. Capacity asks'!$B$6:$B$305,$B41)</f>
        <v>0</v>
      </c>
      <c r="G41" s="20" t="n">
        <f aca="false">$C41+$F41</f>
        <v>20</v>
      </c>
      <c r="H41" s="20" t="n">
        <f aca="false">$F41</f>
        <v>0</v>
      </c>
    </row>
    <row r="42" customFormat="false" ht="15" hidden="false" customHeight="false" outlineLevel="4" collapsed="false">
      <c r="A42" s="17" t="s">
        <v>44</v>
      </c>
      <c r="B42" s="18" t="s">
        <v>78</v>
      </c>
      <c r="C42" s="19" t="n">
        <v>10</v>
      </c>
      <c r="D42" s="19" t="n">
        <v>10</v>
      </c>
      <c r="E42" s="19" t="n">
        <v>0</v>
      </c>
      <c r="F42" s="20" t="n">
        <f aca="false">SUMIFS('5. Capacity asks'!$H$6:$H$305,'5. Capacity asks'!$B$6:$B$305,$B42)</f>
        <v>0</v>
      </c>
      <c r="G42" s="20" t="n">
        <f aca="false">$C42+$F42</f>
        <v>10</v>
      </c>
      <c r="H42" s="20" t="n">
        <f aca="false">$F42</f>
        <v>0</v>
      </c>
    </row>
    <row r="43" customFormat="false" ht="15" hidden="false" customHeight="false" outlineLevel="4" collapsed="false">
      <c r="A43" s="17" t="s">
        <v>44</v>
      </c>
      <c r="B43" s="18" t="s">
        <v>79</v>
      </c>
      <c r="C43" s="19" t="n">
        <v>9</v>
      </c>
      <c r="D43" s="19" t="n">
        <v>7</v>
      </c>
      <c r="E43" s="19" t="n">
        <v>2</v>
      </c>
      <c r="F43" s="20" t="n">
        <f aca="false">SUMIFS('5. Capacity asks'!$H$6:$H$305,'5. Capacity asks'!$B$6:$B$305,$B43)</f>
        <v>0</v>
      </c>
      <c r="G43" s="20" t="n">
        <f aca="false">$C43+$F43</f>
        <v>9</v>
      </c>
      <c r="H43" s="20" t="n">
        <f aca="false">$F43</f>
        <v>0</v>
      </c>
    </row>
  </sheetData>
  <mergeCells count="1">
    <mergeCell ref="A2:J2"/>
  </mergeCells>
  <conditionalFormatting sqref="H5:H43">
    <cfRule type="cellIs" priority="2" operator="greaterThan" aboveAverage="0" equalAverage="0" bottom="0" percent="0" rank="0" text="" dxfId="0">
      <formula>0</formula>
    </cfRule>
  </conditionalFormatting>
  <conditionalFormatting sqref="E5:E43">
    <cfRule type="cellIs" priority="3" operator="greaterThan" aboveAverage="0" equalAverage="0" bottom="0" percent="0" rank="0" text="" dxfId="1">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9"/>
    <col collapsed="false" customWidth="true" hidden="false" outlineLevel="0" max="5" min="5" style="0" width="26"/>
    <col collapsed="false" customWidth="true" hidden="false" outlineLevel="0" max="6" min="6" style="0" width="14"/>
    <col collapsed="false" customWidth="true" hidden="false" outlineLevel="0" max="7" min="7" style="0" width="16"/>
    <col collapsed="false" customWidth="true" hidden="false" outlineLevel="0" max="9" min="8" style="0" width="12"/>
    <col collapsed="false" customWidth="true" hidden="false" outlineLevel="0" max="10" min="10" style="0" width="14"/>
    <col collapsed="false" customWidth="true" hidden="false" outlineLevel="0" max="11" min="11" style="0" width="12"/>
    <col collapsed="false" customWidth="true" hidden="false" outlineLevel="0" max="12" min="12" style="0" width="14"/>
    <col collapsed="false" customWidth="true" hidden="false" outlineLevel="0" max="13" min="13" style="0" width="12"/>
    <col collapsed="false" customWidth="true" hidden="false" outlineLevel="0" max="14" min="14" style="0" width="20"/>
    <col collapsed="false" customWidth="true" hidden="false" outlineLevel="0" max="15" min="15" style="0" width="14"/>
  </cols>
  <sheetData>
    <row r="1" customFormat="false" ht="24" hidden="false" customHeight="true" outlineLevel="0" collapsed="false">
      <c r="A1" s="1" t="s">
        <v>80</v>
      </c>
    </row>
    <row r="2" customFormat="false" ht="15" hidden="false" customHeight="false" outlineLevel="0" collapsed="false">
      <c r="A2" s="2" t="s">
        <v>81</v>
      </c>
      <c r="B2" s="2"/>
      <c r="C2" s="2"/>
      <c r="D2" s="2"/>
      <c r="E2" s="2"/>
      <c r="F2" s="2"/>
      <c r="G2" s="2"/>
      <c r="H2" s="2"/>
      <c r="I2" s="2"/>
      <c r="J2" s="2"/>
    </row>
    <row r="4" customFormat="false" ht="30" hidden="false" customHeight="true" outlineLevel="0" collapsed="false">
      <c r="A4" s="12" t="s">
        <v>30</v>
      </c>
      <c r="B4" s="12" t="s">
        <v>82</v>
      </c>
      <c r="C4" s="12" t="s">
        <v>32</v>
      </c>
      <c r="D4" s="12" t="s">
        <v>33</v>
      </c>
      <c r="E4" s="12" t="s">
        <v>83</v>
      </c>
      <c r="F4" s="12" t="s">
        <v>84</v>
      </c>
      <c r="G4" s="12" t="s">
        <v>85</v>
      </c>
      <c r="H4" s="12" t="s">
        <v>86</v>
      </c>
      <c r="I4" s="12" t="s">
        <v>87</v>
      </c>
      <c r="J4" s="12" t="s">
        <v>88</v>
      </c>
      <c r="K4" s="12" t="s">
        <v>89</v>
      </c>
      <c r="L4" s="12" t="s">
        <v>90</v>
      </c>
      <c r="M4" s="12" t="s">
        <v>91</v>
      </c>
      <c r="N4" s="12" t="s">
        <v>92</v>
      </c>
      <c r="O4" s="12" t="s">
        <v>93</v>
      </c>
    </row>
    <row r="5" customFormat="false" ht="15" hidden="false" customHeight="false" outlineLevel="0" collapsed="false">
      <c r="A5" s="18" t="s">
        <v>94</v>
      </c>
      <c r="B5" s="21" t="n">
        <v>37</v>
      </c>
      <c r="C5" s="21" t="n">
        <v>33</v>
      </c>
      <c r="D5" s="21" t="n">
        <v>4</v>
      </c>
      <c r="E5" s="22"/>
      <c r="F5" s="23"/>
      <c r="G5" s="23"/>
      <c r="H5" s="24" t="str">
        <f aca="false">IFERROR($G5/$F5-1,"")</f>
        <v/>
      </c>
      <c r="I5" s="25"/>
      <c r="J5" s="20" t="str">
        <f aca="false">IFERROR($F5/$I5,"")</f>
        <v/>
      </c>
      <c r="K5" s="26"/>
      <c r="L5" s="20" t="str">
        <f aca="false">IFERROR($G5/($J5*(1+IF($K5="",ProductivityDefault,$K5))),"")</f>
        <v/>
      </c>
      <c r="M5" s="20" t="str">
        <f aca="false">IFERROR($L5-$C5,"")</f>
        <v/>
      </c>
      <c r="N5" s="22"/>
      <c r="O5" s="22"/>
    </row>
    <row r="6" customFormat="false" ht="15" hidden="false" customHeight="false" outlineLevel="0" collapsed="false">
      <c r="A6" s="18" t="s">
        <v>95</v>
      </c>
      <c r="B6" s="21" t="n">
        <v>16</v>
      </c>
      <c r="C6" s="21" t="n">
        <v>13</v>
      </c>
      <c r="D6" s="21" t="n">
        <v>3</v>
      </c>
      <c r="E6" s="22"/>
      <c r="F6" s="23"/>
      <c r="G6" s="23"/>
      <c r="H6" s="24" t="str">
        <f aca="false">IFERROR($G6/$F6-1,"")</f>
        <v/>
      </c>
      <c r="I6" s="25"/>
      <c r="J6" s="20" t="str">
        <f aca="false">IFERROR($F6/$I6,"")</f>
        <v/>
      </c>
      <c r="K6" s="26"/>
      <c r="L6" s="20" t="str">
        <f aca="false">IFERROR($G6/($J6*(1+IF($K6="",ProductivityDefault,$K6))),"")</f>
        <v/>
      </c>
      <c r="M6" s="20" t="str">
        <f aca="false">IFERROR($L6-$C6,"")</f>
        <v/>
      </c>
      <c r="N6" s="22"/>
      <c r="O6" s="22"/>
    </row>
    <row r="7" customFormat="false" ht="15" hidden="false" customHeight="false" outlineLevel="0" collapsed="false">
      <c r="A7" s="18" t="s">
        <v>96</v>
      </c>
      <c r="B7" s="21" t="n">
        <v>20</v>
      </c>
      <c r="C7" s="21" t="n">
        <v>19</v>
      </c>
      <c r="D7" s="21" t="n">
        <v>1</v>
      </c>
      <c r="E7" s="22"/>
      <c r="F7" s="23"/>
      <c r="G7" s="23"/>
      <c r="H7" s="24" t="str">
        <f aca="false">IFERROR($G7/$F7-1,"")</f>
        <v/>
      </c>
      <c r="I7" s="25"/>
      <c r="J7" s="20" t="str">
        <f aca="false">IFERROR($F7/$I7,"")</f>
        <v/>
      </c>
      <c r="K7" s="26"/>
      <c r="L7" s="20" t="str">
        <f aca="false">IFERROR($G7/($J7*(1+IF($K7="",ProductivityDefault,$K7))),"")</f>
        <v/>
      </c>
      <c r="M7" s="20" t="str">
        <f aca="false">IFERROR($L7-$C7,"")</f>
        <v/>
      </c>
      <c r="N7" s="22"/>
      <c r="O7" s="22"/>
    </row>
    <row r="8" customFormat="false" ht="15" hidden="false" customHeight="false" outlineLevel="0" collapsed="false">
      <c r="A8" s="18" t="s">
        <v>97</v>
      </c>
      <c r="B8" s="21" t="n">
        <v>33</v>
      </c>
      <c r="C8" s="21" t="n">
        <v>28</v>
      </c>
      <c r="D8" s="21" t="n">
        <v>5</v>
      </c>
      <c r="E8" s="22"/>
      <c r="F8" s="23"/>
      <c r="G8" s="23"/>
      <c r="H8" s="24" t="str">
        <f aca="false">IFERROR($G8/$F8-1,"")</f>
        <v/>
      </c>
      <c r="I8" s="25"/>
      <c r="J8" s="20" t="str">
        <f aca="false">IFERROR($F8/$I8,"")</f>
        <v/>
      </c>
      <c r="K8" s="26"/>
      <c r="L8" s="20" t="str">
        <f aca="false">IFERROR($G8/($J8*(1+IF($K8="",ProductivityDefault,$K8))),"")</f>
        <v/>
      </c>
      <c r="M8" s="20" t="str">
        <f aca="false">IFERROR($L8-$C8,"")</f>
        <v/>
      </c>
      <c r="N8" s="22"/>
      <c r="O8" s="22"/>
    </row>
    <row r="9" customFormat="false" ht="15" hidden="false" customHeight="false" outlineLevel="0" collapsed="false">
      <c r="A9" s="18" t="s">
        <v>98</v>
      </c>
      <c r="B9" s="21" t="n">
        <v>15</v>
      </c>
      <c r="C9" s="21" t="n">
        <v>13</v>
      </c>
      <c r="D9" s="21" t="n">
        <v>2</v>
      </c>
      <c r="E9" s="22"/>
      <c r="F9" s="23"/>
      <c r="G9" s="23"/>
      <c r="H9" s="24" t="str">
        <f aca="false">IFERROR($G9/$F9-1,"")</f>
        <v/>
      </c>
      <c r="I9" s="25"/>
      <c r="J9" s="20" t="str">
        <f aca="false">IFERROR($F9/$I9,"")</f>
        <v/>
      </c>
      <c r="K9" s="26"/>
      <c r="L9" s="20" t="str">
        <f aca="false">IFERROR($G9/($J9*(1+IF($K9="",ProductivityDefault,$K9))),"")</f>
        <v/>
      </c>
      <c r="M9" s="20" t="str">
        <f aca="false">IFERROR($L9-$C9,"")</f>
        <v/>
      </c>
      <c r="N9" s="22"/>
      <c r="O9" s="22"/>
    </row>
    <row r="10" customFormat="false" ht="15" hidden="false" customHeight="false" outlineLevel="0" collapsed="false">
      <c r="A10" s="18" t="s">
        <v>99</v>
      </c>
      <c r="B10" s="21" t="n">
        <v>17</v>
      </c>
      <c r="C10" s="21" t="n">
        <v>14</v>
      </c>
      <c r="D10" s="21" t="n">
        <v>3</v>
      </c>
      <c r="E10" s="22"/>
      <c r="F10" s="23"/>
      <c r="G10" s="23"/>
      <c r="H10" s="24" t="str">
        <f aca="false">IFERROR($G10/$F10-1,"")</f>
        <v/>
      </c>
      <c r="I10" s="25"/>
      <c r="J10" s="20" t="str">
        <f aca="false">IFERROR($F10/$I10,"")</f>
        <v/>
      </c>
      <c r="K10" s="26"/>
      <c r="L10" s="20" t="str">
        <f aca="false">IFERROR($G10/($J10*(1+IF($K10="",ProductivityDefault,$K10))),"")</f>
        <v/>
      </c>
      <c r="M10" s="20" t="str">
        <f aca="false">IFERROR($L10-$C10,"")</f>
        <v/>
      </c>
      <c r="N10" s="22"/>
      <c r="O10" s="22"/>
    </row>
    <row r="11" customFormat="false" ht="15" hidden="false" customHeight="false" outlineLevel="0" collapsed="false">
      <c r="A11" s="18" t="s">
        <v>100</v>
      </c>
      <c r="B11" s="21" t="n">
        <v>35</v>
      </c>
      <c r="C11" s="21" t="n">
        <v>33</v>
      </c>
      <c r="D11" s="21" t="n">
        <v>2</v>
      </c>
      <c r="E11" s="22"/>
      <c r="F11" s="23"/>
      <c r="G11" s="23"/>
      <c r="H11" s="24" t="str">
        <f aca="false">IFERROR($G11/$F11-1,"")</f>
        <v/>
      </c>
      <c r="I11" s="25"/>
      <c r="J11" s="20" t="str">
        <f aca="false">IFERROR($F11/$I11,"")</f>
        <v/>
      </c>
      <c r="K11" s="26"/>
      <c r="L11" s="20" t="str">
        <f aca="false">IFERROR($G11/($J11*(1+IF($K11="",ProductivityDefault,$K11))),"")</f>
        <v/>
      </c>
      <c r="M11" s="20" t="str">
        <f aca="false">IFERROR($L11-$C11,"")</f>
        <v/>
      </c>
      <c r="N11" s="22"/>
      <c r="O11" s="22"/>
    </row>
    <row r="12" customFormat="false" ht="15" hidden="false" customHeight="false" outlineLevel="0" collapsed="false">
      <c r="A12" s="18" t="s">
        <v>101</v>
      </c>
      <c r="B12" s="21" t="n">
        <v>18</v>
      </c>
      <c r="C12" s="21" t="n">
        <v>16</v>
      </c>
      <c r="D12" s="21" t="n">
        <v>2</v>
      </c>
      <c r="E12" s="22"/>
      <c r="F12" s="23"/>
      <c r="G12" s="23"/>
      <c r="H12" s="24" t="str">
        <f aca="false">IFERROR($G12/$F12-1,"")</f>
        <v/>
      </c>
      <c r="I12" s="25"/>
      <c r="J12" s="20" t="str">
        <f aca="false">IFERROR($F12/$I12,"")</f>
        <v/>
      </c>
      <c r="K12" s="26"/>
      <c r="L12" s="20" t="str">
        <f aca="false">IFERROR($G12/($J12*(1+IF($K12="",ProductivityDefault,$K12))),"")</f>
        <v/>
      </c>
      <c r="M12" s="20" t="str">
        <f aca="false">IFERROR($L12-$C12,"")</f>
        <v/>
      </c>
      <c r="N12" s="22"/>
      <c r="O12" s="22"/>
    </row>
    <row r="13" customFormat="false" ht="15" hidden="false" customHeight="false" outlineLevel="0" collapsed="false">
      <c r="A13" s="18" t="s">
        <v>102</v>
      </c>
      <c r="B13" s="21" t="n">
        <v>16</v>
      </c>
      <c r="C13" s="21" t="n">
        <v>16</v>
      </c>
      <c r="D13" s="21" t="n">
        <v>0</v>
      </c>
      <c r="E13" s="22"/>
      <c r="F13" s="23"/>
      <c r="G13" s="23"/>
      <c r="H13" s="24" t="str">
        <f aca="false">IFERROR($G13/$F13-1,"")</f>
        <v/>
      </c>
      <c r="I13" s="25"/>
      <c r="J13" s="20" t="str">
        <f aca="false">IFERROR($F13/$I13,"")</f>
        <v/>
      </c>
      <c r="K13" s="26"/>
      <c r="L13" s="20" t="str">
        <f aca="false">IFERROR($G13/($J13*(1+IF($K13="",ProductivityDefault,$K13))),"")</f>
        <v/>
      </c>
      <c r="M13" s="20" t="str">
        <f aca="false">IFERROR($L13-$C13,"")</f>
        <v/>
      </c>
      <c r="N13" s="22"/>
      <c r="O13" s="22"/>
    </row>
    <row r="14" customFormat="false" ht="15" hidden="false" customHeight="false" outlineLevel="0" collapsed="false">
      <c r="A14" s="18" t="s">
        <v>103</v>
      </c>
      <c r="B14" s="21" t="n">
        <v>28</v>
      </c>
      <c r="C14" s="21" t="n">
        <v>27</v>
      </c>
      <c r="D14" s="21" t="n">
        <v>1</v>
      </c>
      <c r="E14" s="22"/>
      <c r="F14" s="23"/>
      <c r="G14" s="23"/>
      <c r="H14" s="24" t="str">
        <f aca="false">IFERROR($G14/$F14-1,"")</f>
        <v/>
      </c>
      <c r="I14" s="25"/>
      <c r="J14" s="20" t="str">
        <f aca="false">IFERROR($F14/$I14,"")</f>
        <v/>
      </c>
      <c r="K14" s="26"/>
      <c r="L14" s="20" t="str">
        <f aca="false">IFERROR($G14/($J14*(1+IF($K14="",ProductivityDefault,$K14))),"")</f>
        <v/>
      </c>
      <c r="M14" s="20" t="str">
        <f aca="false">IFERROR($L14-$C14,"")</f>
        <v/>
      </c>
      <c r="N14" s="22"/>
      <c r="O14" s="22"/>
    </row>
    <row r="15" customFormat="false" ht="15" hidden="false" customHeight="false" outlineLevel="0" collapsed="false">
      <c r="A15" s="18" t="s">
        <v>104</v>
      </c>
      <c r="B15" s="21" t="n">
        <v>13</v>
      </c>
      <c r="C15" s="21" t="n">
        <v>12</v>
      </c>
      <c r="D15" s="21" t="n">
        <v>1</v>
      </c>
      <c r="E15" s="22"/>
      <c r="F15" s="23"/>
      <c r="G15" s="23"/>
      <c r="H15" s="24" t="str">
        <f aca="false">IFERROR($G15/$F15-1,"")</f>
        <v/>
      </c>
      <c r="I15" s="25"/>
      <c r="J15" s="20" t="str">
        <f aca="false">IFERROR($F15/$I15,"")</f>
        <v/>
      </c>
      <c r="K15" s="26"/>
      <c r="L15" s="20" t="str">
        <f aca="false">IFERROR($G15/($J15*(1+IF($K15="",ProductivityDefault,$K15))),"")</f>
        <v/>
      </c>
      <c r="M15" s="20" t="str">
        <f aca="false">IFERROR($L15-$C15,"")</f>
        <v/>
      </c>
      <c r="N15" s="22"/>
      <c r="O15" s="22"/>
    </row>
    <row r="16" customFormat="false" ht="15" hidden="false" customHeight="false" outlineLevel="0" collapsed="false">
      <c r="A16" s="18" t="s">
        <v>105</v>
      </c>
      <c r="B16" s="21" t="n">
        <v>14</v>
      </c>
      <c r="C16" s="21" t="n">
        <v>14</v>
      </c>
      <c r="D16" s="21" t="n">
        <v>0</v>
      </c>
      <c r="E16" s="22"/>
      <c r="F16" s="23"/>
      <c r="G16" s="23"/>
      <c r="H16" s="24" t="str">
        <f aca="false">IFERROR($G16/$F16-1,"")</f>
        <v/>
      </c>
      <c r="I16" s="25"/>
      <c r="J16" s="20" t="str">
        <f aca="false">IFERROR($F16/$I16,"")</f>
        <v/>
      </c>
      <c r="K16" s="26"/>
      <c r="L16" s="20" t="str">
        <f aca="false">IFERROR($G16/($J16*(1+IF($K16="",ProductivityDefault,$K16))),"")</f>
        <v/>
      </c>
      <c r="M16" s="20" t="str">
        <f aca="false">IFERROR($L16-$C16,"")</f>
        <v/>
      </c>
      <c r="N16" s="22"/>
      <c r="O16" s="22"/>
    </row>
    <row r="17" customFormat="false" ht="15" hidden="false" customHeight="false" outlineLevel="0" collapsed="false">
      <c r="A17" s="18" t="s">
        <v>106</v>
      </c>
      <c r="B17" s="21" t="n">
        <v>37</v>
      </c>
      <c r="C17" s="21" t="n">
        <v>32</v>
      </c>
      <c r="D17" s="21" t="n">
        <v>5</v>
      </c>
      <c r="E17" s="22"/>
      <c r="F17" s="23"/>
      <c r="G17" s="23"/>
      <c r="H17" s="24" t="str">
        <f aca="false">IFERROR($G17/$F17-1,"")</f>
        <v/>
      </c>
      <c r="I17" s="25"/>
      <c r="J17" s="20" t="str">
        <f aca="false">IFERROR($F17/$I17,"")</f>
        <v/>
      </c>
      <c r="K17" s="26"/>
      <c r="L17" s="20" t="str">
        <f aca="false">IFERROR($G17/($J17*(1+IF($K17="",ProductivityDefault,$K17))),"")</f>
        <v/>
      </c>
      <c r="M17" s="20" t="str">
        <f aca="false">IFERROR($L17-$C17,"")</f>
        <v/>
      </c>
      <c r="N17" s="22"/>
      <c r="O17" s="22"/>
    </row>
    <row r="18" customFormat="false" ht="15" hidden="false" customHeight="false" outlineLevel="0" collapsed="false">
      <c r="A18" s="18" t="s">
        <v>107</v>
      </c>
      <c r="B18" s="21" t="n">
        <v>16</v>
      </c>
      <c r="C18" s="21" t="n">
        <v>13</v>
      </c>
      <c r="D18" s="21" t="n">
        <v>3</v>
      </c>
      <c r="E18" s="22"/>
      <c r="F18" s="23"/>
      <c r="G18" s="23"/>
      <c r="H18" s="24" t="str">
        <f aca="false">IFERROR($G18/$F18-1,"")</f>
        <v/>
      </c>
      <c r="I18" s="25"/>
      <c r="J18" s="20" t="str">
        <f aca="false">IFERROR($F18/$I18,"")</f>
        <v/>
      </c>
      <c r="K18" s="26"/>
      <c r="L18" s="20" t="str">
        <f aca="false">IFERROR($G18/($J18*(1+IF($K18="",ProductivityDefault,$K18))),"")</f>
        <v/>
      </c>
      <c r="M18" s="20" t="str">
        <f aca="false">IFERROR($L18-$C18,"")</f>
        <v/>
      </c>
      <c r="N18" s="22"/>
      <c r="O18" s="22"/>
    </row>
    <row r="19" customFormat="false" ht="15" hidden="false" customHeight="false" outlineLevel="0" collapsed="false">
      <c r="A19" s="18" t="s">
        <v>108</v>
      </c>
      <c r="B19" s="21" t="n">
        <v>20</v>
      </c>
      <c r="C19" s="21" t="n">
        <v>18</v>
      </c>
      <c r="D19" s="21" t="n">
        <v>2</v>
      </c>
      <c r="E19" s="22"/>
      <c r="F19" s="23"/>
      <c r="G19" s="23"/>
      <c r="H19" s="24" t="str">
        <f aca="false">IFERROR($G19/$F19-1,"")</f>
        <v/>
      </c>
      <c r="I19" s="25"/>
      <c r="J19" s="20" t="str">
        <f aca="false">IFERROR($F19/$I19,"")</f>
        <v/>
      </c>
      <c r="K19" s="26"/>
      <c r="L19" s="20" t="str">
        <f aca="false">IFERROR($G19/($J19*(1+IF($K19="",ProductivityDefault,$K19))),"")</f>
        <v/>
      </c>
      <c r="M19" s="20" t="str">
        <f aca="false">IFERROR($L19-$C19,"")</f>
        <v/>
      </c>
      <c r="N19" s="22"/>
      <c r="O19" s="22"/>
    </row>
    <row r="21" customFormat="false" ht="25.5" hidden="false" customHeight="true" outlineLevel="0" collapsed="false">
      <c r="A21" s="11" t="s">
        <v>109</v>
      </c>
      <c r="B21" s="11"/>
      <c r="C21" s="11"/>
      <c r="D21" s="11"/>
      <c r="E21" s="11"/>
      <c r="F21" s="11"/>
      <c r="G21" s="11"/>
      <c r="H21" s="11"/>
      <c r="I21" s="11"/>
      <c r="J21" s="11"/>
      <c r="K21" s="11"/>
      <c r="L21" s="11"/>
      <c r="M21" s="11"/>
      <c r="N21" s="11"/>
      <c r="O21" s="11"/>
    </row>
  </sheetData>
  <sheetProtection sheet="true" sort="false" autoFilter="false"/>
  <mergeCells count="2">
    <mergeCell ref="A2:J2"/>
    <mergeCell ref="A21:O21"/>
  </mergeCells>
  <conditionalFormatting sqref="M5:M19">
    <cfRule type="cellIs" priority="2" operator="greaterThan" aboveAverage="0" equalAverage="0" bottom="0" percent="0" rank="0" text="" dxfId="2">
      <formula>0</formula>
    </cfRule>
  </conditionalFormatting>
  <dataValidations count="2">
    <dataValidation allowBlank="true" errorStyle="stop" operator="between" prompt="Pick the thing that drives this unit's workload." promptTitle="Workload driver" showDropDown="false" showErrorMessage="false" showInputMessage="false" sqref="E5:E19" type="list">
      <formula1>WorkloadDrivers</formula1>
      <formula2>0</formula2>
    </dataValidation>
    <dataValidation allowBlank="true" error="1 = plenty of slack, 5 = at breaking point." errorStyle="stop" operator="between" showDropDown="false" showErrorMessage="true" showInputMessage="false" sqref="O5:O19" type="whole">
      <formula1>1</formula1>
      <formula2>5</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6" topLeftCell="A7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34"/>
    <col collapsed="false" customWidth="true" hidden="false" outlineLevel="0" max="3" min="3" style="0" width="10"/>
    <col collapsed="false" customWidth="true" hidden="false" outlineLevel="0" max="4" min="4" style="0" width="24"/>
    <col collapsed="false" customWidth="true" hidden="false" outlineLevel="0" max="5" min="5" style="0" width="14"/>
    <col collapsed="false" customWidth="true" hidden="false" outlineLevel="0" max="6" min="6" style="0" width="34"/>
    <col collapsed="false" customWidth="true" hidden="false" outlineLevel="0" max="7" min="7" style="0" width="16"/>
  </cols>
  <sheetData>
    <row r="1" customFormat="false" ht="24" hidden="false" customHeight="true" outlineLevel="0" collapsed="false">
      <c r="A1" s="1" t="s">
        <v>110</v>
      </c>
    </row>
    <row r="2" customFormat="false" ht="15" hidden="false" customHeight="false" outlineLevel="0" collapsed="false">
      <c r="A2" s="2" t="s">
        <v>111</v>
      </c>
      <c r="B2" s="2"/>
      <c r="C2" s="2"/>
      <c r="D2" s="2"/>
      <c r="E2" s="2"/>
      <c r="F2" s="2"/>
      <c r="G2" s="2"/>
      <c r="H2" s="2"/>
      <c r="I2" s="2"/>
      <c r="J2" s="2"/>
    </row>
    <row r="4" customFormat="false" ht="15" hidden="false" customHeight="false" outlineLevel="0" collapsed="false">
      <c r="A4" s="3" t="s">
        <v>112</v>
      </c>
    </row>
    <row r="5" customFormat="false" ht="15" hidden="false" customHeight="false" outlineLevel="0" collapsed="false">
      <c r="A5" s="6" t="s">
        <v>113</v>
      </c>
      <c r="B5" s="27" t="n">
        <f aca="false">AttritionDefault</f>
        <v>0.09</v>
      </c>
    </row>
    <row r="6" customFormat="false" ht="15" hidden="false" customHeight="false" outlineLevel="0" collapsed="false">
      <c r="A6" s="6" t="s">
        <v>114</v>
      </c>
      <c r="B6" s="26"/>
      <c r="C6" s="28" t="s">
        <v>115</v>
      </c>
    </row>
    <row r="7" customFormat="false" ht="15" hidden="false" customHeight="false" outlineLevel="0" collapsed="false">
      <c r="A7" s="6" t="s">
        <v>116</v>
      </c>
      <c r="B7" s="19" t="n">
        <v>157</v>
      </c>
      <c r="C7" s="28" t="s">
        <v>117</v>
      </c>
    </row>
    <row r="8" customFormat="false" ht="15" hidden="false" customHeight="false" outlineLevel="0" collapsed="false">
      <c r="A8" s="6" t="s">
        <v>118</v>
      </c>
      <c r="B8" s="19" t="n">
        <f aca="false">ROUND($B$7*IF($B$6="",AttritionDefault,$B$6),0)</f>
        <v>14</v>
      </c>
    </row>
    <row r="9" customFormat="false" ht="15" hidden="false" customHeight="false" outlineLevel="0" collapsed="false">
      <c r="A9" s="6" t="s">
        <v>119</v>
      </c>
      <c r="B9" s="19" t="n">
        <f aca="false">COUNTA($B$14:$B$73)</f>
        <v>10</v>
      </c>
    </row>
    <row r="10" customFormat="false" ht="15" hidden="false" customHeight="false" outlineLevel="0" collapsed="false">
      <c r="A10" s="6" t="s">
        <v>120</v>
      </c>
      <c r="B10" s="19" t="n">
        <f aca="false">MAX(0,$B$8-$B$9)</f>
        <v>4</v>
      </c>
      <c r="C10" s="28" t="s">
        <v>121</v>
      </c>
    </row>
    <row r="12" customFormat="false" ht="15" hidden="false" customHeight="false" outlineLevel="0" collapsed="false">
      <c r="A12" s="3" t="s">
        <v>122</v>
      </c>
      <c r="D12" s="29" t="s">
        <v>123</v>
      </c>
    </row>
    <row r="13" customFormat="false" ht="30" hidden="false" customHeight="true" outlineLevel="0" collapsed="false">
      <c r="A13" s="12" t="s">
        <v>30</v>
      </c>
      <c r="B13" s="12" t="s">
        <v>124</v>
      </c>
      <c r="C13" s="12" t="s">
        <v>125</v>
      </c>
      <c r="D13" s="12" t="s">
        <v>126</v>
      </c>
      <c r="E13" s="12" t="s">
        <v>127</v>
      </c>
      <c r="F13" s="12" t="s">
        <v>128</v>
      </c>
      <c r="G13" s="12" t="s">
        <v>129</v>
      </c>
    </row>
    <row r="14" customFormat="false" ht="15" hidden="false" customHeight="false" outlineLevel="0" collapsed="false">
      <c r="A14" s="0" t="s">
        <v>130</v>
      </c>
      <c r="B14" s="0" t="s">
        <v>131</v>
      </c>
      <c r="C14" s="0" t="s">
        <v>132</v>
      </c>
      <c r="D14" s="0" t="s">
        <v>133</v>
      </c>
      <c r="E14" s="30" t="s">
        <v>134</v>
      </c>
      <c r="F14" s="30" t="s">
        <v>135</v>
      </c>
      <c r="G14" s="22" t="s">
        <v>136</v>
      </c>
    </row>
    <row r="15" customFormat="false" ht="15" hidden="false" customHeight="false" outlineLevel="0" collapsed="false">
      <c r="A15" s="0" t="s">
        <v>137</v>
      </c>
      <c r="B15" s="0" t="s">
        <v>138</v>
      </c>
      <c r="C15" s="0" t="s">
        <v>139</v>
      </c>
      <c r="D15" s="0" t="s">
        <v>140</v>
      </c>
      <c r="E15" s="30" t="s">
        <v>141</v>
      </c>
      <c r="F15" s="30" t="s">
        <v>135</v>
      </c>
      <c r="G15" s="22" t="s">
        <v>136</v>
      </c>
    </row>
    <row r="16" customFormat="false" ht="15" hidden="false" customHeight="false" outlineLevel="0" collapsed="false">
      <c r="A16" s="0" t="s">
        <v>142</v>
      </c>
      <c r="B16" s="0" t="s">
        <v>143</v>
      </c>
      <c r="C16" s="0" t="s">
        <v>144</v>
      </c>
      <c r="D16" s="0" t="s">
        <v>145</v>
      </c>
      <c r="E16" s="30" t="s">
        <v>141</v>
      </c>
      <c r="F16" s="30" t="s">
        <v>135</v>
      </c>
      <c r="G16" s="22" t="s">
        <v>136</v>
      </c>
    </row>
    <row r="17" customFormat="false" ht="15" hidden="false" customHeight="false" outlineLevel="0" collapsed="false">
      <c r="A17" s="0" t="s">
        <v>146</v>
      </c>
      <c r="B17" s="0" t="s">
        <v>143</v>
      </c>
      <c r="C17" s="0" t="s">
        <v>132</v>
      </c>
      <c r="D17" s="0" t="s">
        <v>147</v>
      </c>
      <c r="E17" s="30" t="s">
        <v>141</v>
      </c>
      <c r="F17" s="30" t="s">
        <v>135</v>
      </c>
      <c r="G17" s="22" t="s">
        <v>136</v>
      </c>
    </row>
    <row r="18" customFormat="false" ht="15" hidden="false" customHeight="false" outlineLevel="0" collapsed="false">
      <c r="A18" s="0" t="s">
        <v>148</v>
      </c>
      <c r="B18" s="0" t="s">
        <v>149</v>
      </c>
      <c r="C18" s="0" t="s">
        <v>139</v>
      </c>
      <c r="D18" s="0" t="s">
        <v>150</v>
      </c>
      <c r="E18" s="30" t="s">
        <v>141</v>
      </c>
      <c r="F18" s="30" t="s">
        <v>135</v>
      </c>
      <c r="G18" s="22" t="s">
        <v>136</v>
      </c>
    </row>
    <row r="19" customFormat="false" ht="15" hidden="false" customHeight="false" outlineLevel="0" collapsed="false">
      <c r="A19" s="0" t="s">
        <v>151</v>
      </c>
      <c r="B19" s="0" t="s">
        <v>152</v>
      </c>
      <c r="C19" s="0" t="s">
        <v>132</v>
      </c>
      <c r="D19" s="0" t="s">
        <v>153</v>
      </c>
      <c r="E19" s="30" t="s">
        <v>141</v>
      </c>
      <c r="F19" s="30" t="s">
        <v>135</v>
      </c>
      <c r="G19" s="22" t="s">
        <v>136</v>
      </c>
    </row>
    <row r="20" customFormat="false" ht="15" hidden="false" customHeight="false" outlineLevel="0" collapsed="false">
      <c r="A20" s="0" t="s">
        <v>154</v>
      </c>
      <c r="B20" s="0" t="s">
        <v>155</v>
      </c>
      <c r="C20" s="0" t="s">
        <v>144</v>
      </c>
      <c r="D20" s="0" t="s">
        <v>156</v>
      </c>
      <c r="E20" s="30" t="s">
        <v>141</v>
      </c>
      <c r="F20" s="30" t="s">
        <v>135</v>
      </c>
      <c r="G20" s="22" t="s">
        <v>136</v>
      </c>
    </row>
    <row r="21" customFormat="false" ht="15" hidden="false" customHeight="false" outlineLevel="0" collapsed="false">
      <c r="A21" s="0" t="s">
        <v>137</v>
      </c>
      <c r="B21" s="0" t="s">
        <v>157</v>
      </c>
      <c r="C21" s="0" t="s">
        <v>158</v>
      </c>
      <c r="D21" s="0" t="s">
        <v>159</v>
      </c>
      <c r="E21" s="30" t="s">
        <v>141</v>
      </c>
      <c r="F21" s="30" t="s">
        <v>135</v>
      </c>
      <c r="G21" s="22" t="s">
        <v>136</v>
      </c>
    </row>
    <row r="22" customFormat="false" ht="15" hidden="false" customHeight="false" outlineLevel="0" collapsed="false">
      <c r="A22" s="0" t="s">
        <v>160</v>
      </c>
      <c r="B22" s="0" t="s">
        <v>161</v>
      </c>
      <c r="C22" s="0" t="s">
        <v>144</v>
      </c>
      <c r="D22" s="0" t="s">
        <v>162</v>
      </c>
      <c r="E22" s="30" t="s">
        <v>141</v>
      </c>
      <c r="F22" s="30" t="s">
        <v>135</v>
      </c>
      <c r="G22" s="22" t="s">
        <v>136</v>
      </c>
    </row>
    <row r="23" customFormat="false" ht="15" hidden="false" customHeight="false" outlineLevel="0" collapsed="false">
      <c r="A23" s="0" t="s">
        <v>163</v>
      </c>
      <c r="B23" s="0" t="s">
        <v>164</v>
      </c>
      <c r="C23" s="0" t="s">
        <v>158</v>
      </c>
      <c r="D23" s="0" t="s">
        <v>165</v>
      </c>
      <c r="E23" s="30" t="s">
        <v>141</v>
      </c>
      <c r="F23" s="30" t="s">
        <v>135</v>
      </c>
      <c r="G23" s="22" t="s">
        <v>136</v>
      </c>
    </row>
    <row r="24" customFormat="false" ht="15" hidden="false" customHeight="false" outlineLevel="0" collapsed="false">
      <c r="A24" s="22"/>
      <c r="B24" s="22"/>
      <c r="C24" s="22"/>
      <c r="D24" s="22"/>
      <c r="E24" s="22"/>
      <c r="F24" s="22"/>
      <c r="G24" s="22"/>
    </row>
    <row r="25" customFormat="false" ht="15" hidden="false" customHeight="false" outlineLevel="0" collapsed="false">
      <c r="A25" s="22"/>
      <c r="B25" s="22"/>
      <c r="C25" s="22"/>
      <c r="D25" s="22"/>
      <c r="E25" s="22"/>
      <c r="F25" s="22"/>
      <c r="G25" s="22"/>
    </row>
    <row r="26" customFormat="false" ht="15" hidden="false" customHeight="false" outlineLevel="0" collapsed="false">
      <c r="A26" s="22"/>
      <c r="B26" s="22"/>
      <c r="C26" s="22"/>
      <c r="D26" s="22"/>
      <c r="E26" s="22"/>
      <c r="F26" s="22"/>
      <c r="G26" s="22"/>
    </row>
    <row r="27" customFormat="false" ht="15" hidden="false" customHeight="false" outlineLevel="0" collapsed="false">
      <c r="A27" s="22"/>
      <c r="B27" s="22"/>
      <c r="C27" s="22"/>
      <c r="D27" s="22"/>
      <c r="E27" s="22"/>
      <c r="F27" s="22"/>
      <c r="G27" s="22"/>
    </row>
    <row r="28" customFormat="false" ht="15" hidden="false" customHeight="false" outlineLevel="0" collapsed="false">
      <c r="A28" s="22"/>
      <c r="B28" s="22"/>
      <c r="C28" s="22"/>
      <c r="D28" s="22"/>
      <c r="E28" s="22"/>
      <c r="F28" s="22"/>
      <c r="G28" s="22"/>
    </row>
    <row r="29" customFormat="false" ht="15" hidden="false" customHeight="false" outlineLevel="0" collapsed="false">
      <c r="A29" s="22"/>
      <c r="B29" s="22"/>
      <c r="C29" s="22"/>
      <c r="D29" s="22"/>
      <c r="E29" s="22"/>
      <c r="F29" s="22"/>
      <c r="G29" s="22"/>
    </row>
    <row r="30" customFormat="false" ht="15" hidden="false" customHeight="false" outlineLevel="0" collapsed="false">
      <c r="A30" s="22"/>
      <c r="B30" s="22"/>
      <c r="C30" s="22"/>
      <c r="D30" s="22"/>
      <c r="E30" s="22"/>
      <c r="F30" s="22"/>
      <c r="G30" s="22"/>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15" hidden="false" customHeight="false" outlineLevel="0" collapsed="false">
      <c r="A33" s="22"/>
      <c r="B33" s="22"/>
      <c r="C33" s="22"/>
      <c r="D33" s="22"/>
      <c r="E33" s="22"/>
      <c r="F33" s="22"/>
      <c r="G33" s="22"/>
    </row>
    <row r="34" customFormat="false" ht="15" hidden="false" customHeight="false" outlineLevel="0" collapsed="false">
      <c r="A34" s="22"/>
      <c r="B34" s="22"/>
      <c r="C34" s="22"/>
      <c r="D34" s="22"/>
      <c r="E34" s="22"/>
      <c r="F34" s="22"/>
      <c r="G34" s="22"/>
    </row>
    <row r="35" customFormat="false" ht="15" hidden="false" customHeight="false" outlineLevel="0" collapsed="false">
      <c r="A35" s="22"/>
      <c r="B35" s="22"/>
      <c r="C35" s="22"/>
      <c r="D35" s="22"/>
      <c r="E35" s="22"/>
      <c r="F35" s="22"/>
      <c r="G35" s="22"/>
    </row>
    <row r="36" customFormat="false" ht="15" hidden="false" customHeight="false" outlineLevel="0" collapsed="false">
      <c r="A36" s="22"/>
      <c r="B36" s="22"/>
      <c r="C36" s="22"/>
      <c r="D36" s="22"/>
      <c r="E36" s="22"/>
      <c r="F36" s="22"/>
      <c r="G36" s="22"/>
    </row>
    <row r="37" customFormat="false" ht="15" hidden="false" customHeight="false" outlineLevel="0" collapsed="false">
      <c r="A37" s="22"/>
      <c r="B37" s="22"/>
      <c r="C37" s="22"/>
      <c r="D37" s="22"/>
      <c r="E37" s="22"/>
      <c r="F37" s="22"/>
      <c r="G37" s="22"/>
    </row>
    <row r="38" customFormat="false" ht="15" hidden="false" customHeight="false" outlineLevel="0" collapsed="false">
      <c r="A38" s="22"/>
      <c r="B38" s="22"/>
      <c r="C38" s="22"/>
      <c r="D38" s="22"/>
      <c r="E38" s="22"/>
      <c r="F38" s="22"/>
      <c r="G38" s="22"/>
    </row>
    <row r="39" customFormat="false" ht="15" hidden="false" customHeight="false" outlineLevel="0" collapsed="false">
      <c r="A39" s="22"/>
      <c r="B39" s="22"/>
      <c r="C39" s="22"/>
      <c r="D39" s="22"/>
      <c r="E39" s="22"/>
      <c r="F39" s="22"/>
      <c r="G39" s="22"/>
    </row>
    <row r="40" customFormat="false" ht="15" hidden="false" customHeight="false" outlineLevel="0" collapsed="false">
      <c r="A40" s="22"/>
      <c r="B40" s="22"/>
      <c r="C40" s="22"/>
      <c r="D40" s="22"/>
      <c r="E40" s="22"/>
      <c r="F40" s="22"/>
      <c r="G40" s="22"/>
    </row>
    <row r="41" customFormat="false" ht="15" hidden="false" customHeight="false" outlineLevel="0" collapsed="false">
      <c r="A41" s="22"/>
      <c r="B41" s="22"/>
      <c r="C41" s="22"/>
      <c r="D41" s="22"/>
      <c r="E41" s="22"/>
      <c r="F41" s="22"/>
      <c r="G41" s="22"/>
    </row>
    <row r="42" customFormat="false" ht="15" hidden="false" customHeight="false" outlineLevel="0" collapsed="false">
      <c r="A42" s="22"/>
      <c r="B42" s="22"/>
      <c r="C42" s="22"/>
      <c r="D42" s="22"/>
      <c r="E42" s="22"/>
      <c r="F42" s="22"/>
      <c r="G42" s="22"/>
    </row>
    <row r="43" customFormat="false" ht="15" hidden="false" customHeight="false" outlineLevel="0" collapsed="false">
      <c r="A43" s="22"/>
      <c r="B43" s="22"/>
      <c r="C43" s="22"/>
      <c r="D43" s="22"/>
      <c r="E43" s="22"/>
      <c r="F43" s="22"/>
      <c r="G43" s="22"/>
    </row>
    <row r="44" customFormat="false" ht="15" hidden="false" customHeight="false" outlineLevel="0" collapsed="false">
      <c r="A44" s="22"/>
      <c r="B44" s="22"/>
      <c r="C44" s="22"/>
      <c r="D44" s="22"/>
      <c r="E44" s="22"/>
      <c r="F44" s="22"/>
      <c r="G44" s="22"/>
    </row>
    <row r="45" customFormat="false" ht="15" hidden="false" customHeight="false" outlineLevel="0" collapsed="false">
      <c r="A45" s="22"/>
      <c r="B45" s="22"/>
      <c r="C45" s="22"/>
      <c r="D45" s="22"/>
      <c r="E45" s="22"/>
      <c r="F45" s="22"/>
      <c r="G45" s="22"/>
    </row>
    <row r="46" customFormat="false" ht="15" hidden="false" customHeight="false" outlineLevel="0" collapsed="false">
      <c r="A46" s="22"/>
      <c r="B46" s="22"/>
      <c r="C46" s="22"/>
      <c r="D46" s="22"/>
      <c r="E46" s="22"/>
      <c r="F46" s="22"/>
      <c r="G46" s="22"/>
    </row>
    <row r="47" customFormat="false" ht="15" hidden="false" customHeight="false" outlineLevel="0" collapsed="false">
      <c r="A47" s="22"/>
      <c r="B47" s="22"/>
      <c r="C47" s="22"/>
      <c r="D47" s="22"/>
      <c r="E47" s="22"/>
      <c r="F47" s="22"/>
      <c r="G47" s="22"/>
    </row>
    <row r="48" customFormat="false" ht="15" hidden="false" customHeight="false" outlineLevel="0" collapsed="false">
      <c r="A48" s="22"/>
      <c r="B48" s="22"/>
      <c r="C48" s="22"/>
      <c r="D48" s="22"/>
      <c r="E48" s="22"/>
      <c r="F48" s="22"/>
      <c r="G48" s="22"/>
    </row>
    <row r="49" customFormat="false" ht="15" hidden="false" customHeight="false" outlineLevel="0" collapsed="false">
      <c r="A49" s="22"/>
      <c r="B49" s="22"/>
      <c r="C49" s="22"/>
      <c r="D49" s="22"/>
      <c r="E49" s="22"/>
      <c r="F49" s="22"/>
      <c r="G49" s="22"/>
    </row>
    <row r="50" customFormat="false" ht="15" hidden="false" customHeight="false" outlineLevel="0" collapsed="false">
      <c r="A50" s="22"/>
      <c r="B50" s="22"/>
      <c r="C50" s="22"/>
      <c r="D50" s="22"/>
      <c r="E50" s="22"/>
      <c r="F50" s="22"/>
      <c r="G50" s="22"/>
    </row>
    <row r="51" customFormat="false" ht="15" hidden="false" customHeight="false" outlineLevel="0" collapsed="false">
      <c r="A51" s="22"/>
      <c r="B51" s="22"/>
      <c r="C51" s="22"/>
      <c r="D51" s="22"/>
      <c r="E51" s="22"/>
      <c r="F51" s="22"/>
      <c r="G51" s="22"/>
    </row>
    <row r="52" customFormat="false" ht="15" hidden="false" customHeight="false" outlineLevel="0" collapsed="false">
      <c r="A52" s="22"/>
      <c r="B52" s="22"/>
      <c r="C52" s="22"/>
      <c r="D52" s="22"/>
      <c r="E52" s="22"/>
      <c r="F52" s="22"/>
      <c r="G52" s="22"/>
    </row>
    <row r="53" customFormat="false" ht="15" hidden="false" customHeight="false" outlineLevel="0" collapsed="false">
      <c r="A53" s="22"/>
      <c r="B53" s="22"/>
      <c r="C53" s="22"/>
      <c r="D53" s="22"/>
      <c r="E53" s="22"/>
      <c r="F53" s="22"/>
      <c r="G53" s="22"/>
    </row>
    <row r="54" customFormat="false" ht="15" hidden="false" customHeight="false" outlineLevel="0" collapsed="false">
      <c r="A54" s="22"/>
      <c r="B54" s="22"/>
      <c r="C54" s="22"/>
      <c r="D54" s="22"/>
      <c r="E54" s="22"/>
      <c r="F54" s="22"/>
      <c r="G54" s="22"/>
    </row>
    <row r="55" customFormat="false" ht="15" hidden="false" customHeight="false" outlineLevel="0" collapsed="false">
      <c r="A55" s="22"/>
      <c r="B55" s="22"/>
      <c r="C55" s="22"/>
      <c r="D55" s="22"/>
      <c r="E55" s="22"/>
      <c r="F55" s="22"/>
      <c r="G55" s="22"/>
    </row>
    <row r="56" customFormat="false" ht="15" hidden="false" customHeight="false" outlineLevel="0" collapsed="false">
      <c r="A56" s="22"/>
      <c r="B56" s="22"/>
      <c r="C56" s="22"/>
      <c r="D56" s="22"/>
      <c r="E56" s="22"/>
      <c r="F56" s="22"/>
      <c r="G56" s="22"/>
    </row>
    <row r="57" customFormat="false" ht="15" hidden="false" customHeight="false" outlineLevel="0" collapsed="false">
      <c r="A57" s="22"/>
      <c r="B57" s="22"/>
      <c r="C57" s="22"/>
      <c r="D57" s="22"/>
      <c r="E57" s="22"/>
      <c r="F57" s="22"/>
      <c r="G57" s="22"/>
    </row>
    <row r="58" customFormat="false" ht="15" hidden="false" customHeight="false" outlineLevel="0" collapsed="false">
      <c r="A58" s="22"/>
      <c r="B58" s="22"/>
      <c r="C58" s="22"/>
      <c r="D58" s="22"/>
      <c r="E58" s="22"/>
      <c r="F58" s="22"/>
      <c r="G58" s="22"/>
    </row>
    <row r="59" customFormat="false" ht="15" hidden="false" customHeight="false" outlineLevel="0" collapsed="false">
      <c r="A59" s="22"/>
      <c r="B59" s="22"/>
      <c r="C59" s="22"/>
      <c r="D59" s="22"/>
      <c r="E59" s="22"/>
      <c r="F59" s="22"/>
      <c r="G59" s="22"/>
    </row>
    <row r="60" customFormat="false" ht="15" hidden="false" customHeight="false" outlineLevel="0" collapsed="false">
      <c r="A60" s="22"/>
      <c r="B60" s="22"/>
      <c r="C60" s="22"/>
      <c r="D60" s="22"/>
      <c r="E60" s="22"/>
      <c r="F60" s="22"/>
      <c r="G60" s="22"/>
    </row>
    <row r="61" customFormat="false" ht="15" hidden="false" customHeight="false" outlineLevel="0" collapsed="false">
      <c r="A61" s="22"/>
      <c r="B61" s="22"/>
      <c r="C61" s="22"/>
      <c r="D61" s="22"/>
      <c r="E61" s="22"/>
      <c r="F61" s="22"/>
      <c r="G61" s="22"/>
    </row>
    <row r="62" customFormat="false" ht="15" hidden="false" customHeight="false" outlineLevel="0" collapsed="false">
      <c r="A62" s="22"/>
      <c r="B62" s="22"/>
      <c r="C62" s="22"/>
      <c r="D62" s="22"/>
      <c r="E62" s="22"/>
      <c r="F62" s="22"/>
      <c r="G62" s="22"/>
    </row>
    <row r="63" customFormat="false" ht="15" hidden="false" customHeight="false" outlineLevel="0" collapsed="false">
      <c r="A63" s="22"/>
      <c r="B63" s="22"/>
      <c r="C63" s="22"/>
      <c r="D63" s="22"/>
      <c r="E63" s="22"/>
      <c r="F63" s="22"/>
      <c r="G63" s="22"/>
    </row>
    <row r="64" customFormat="false" ht="15" hidden="false" customHeight="false" outlineLevel="0" collapsed="false">
      <c r="A64" s="22"/>
      <c r="B64" s="22"/>
      <c r="C64" s="22"/>
      <c r="D64" s="22"/>
      <c r="E64" s="22"/>
      <c r="F64" s="22"/>
      <c r="G64" s="22"/>
    </row>
    <row r="65" customFormat="false" ht="15" hidden="false" customHeight="false" outlineLevel="0" collapsed="false">
      <c r="A65" s="22"/>
      <c r="B65" s="22"/>
      <c r="C65" s="22"/>
      <c r="D65" s="22"/>
      <c r="E65" s="22"/>
      <c r="F65" s="22"/>
      <c r="G65" s="22"/>
    </row>
    <row r="66" customFormat="false" ht="15" hidden="false" customHeight="false" outlineLevel="0" collapsed="false">
      <c r="A66" s="22"/>
      <c r="B66" s="22"/>
      <c r="C66" s="22"/>
      <c r="D66" s="22"/>
      <c r="E66" s="22"/>
      <c r="F66" s="22"/>
      <c r="G66" s="22"/>
    </row>
    <row r="67" customFormat="false" ht="15" hidden="false" customHeight="false" outlineLevel="0" collapsed="false">
      <c r="A67" s="22"/>
      <c r="B67" s="22"/>
      <c r="C67" s="22"/>
      <c r="D67" s="22"/>
      <c r="E67" s="22"/>
      <c r="F67" s="22"/>
      <c r="G67" s="22"/>
    </row>
    <row r="68" customFormat="false" ht="15" hidden="false" customHeight="false" outlineLevel="0" collapsed="false">
      <c r="A68" s="22"/>
      <c r="B68" s="22"/>
      <c r="C68" s="22"/>
      <c r="D68" s="22"/>
      <c r="E68" s="22"/>
      <c r="F68" s="22"/>
      <c r="G68" s="22"/>
    </row>
    <row r="69" customFormat="false" ht="15" hidden="false" customHeight="false" outlineLevel="0" collapsed="false">
      <c r="A69" s="22"/>
      <c r="B69" s="22"/>
      <c r="C69" s="22"/>
      <c r="D69" s="22"/>
      <c r="E69" s="22"/>
      <c r="F69" s="22"/>
      <c r="G69" s="22"/>
    </row>
    <row r="70" customFormat="false" ht="15" hidden="false" customHeight="false" outlineLevel="0" collapsed="false">
      <c r="A70" s="22"/>
      <c r="B70" s="22"/>
      <c r="C70" s="22"/>
      <c r="D70" s="22"/>
      <c r="E70" s="22"/>
      <c r="F70" s="22"/>
      <c r="G70" s="22"/>
    </row>
    <row r="71" customFormat="false" ht="15" hidden="false" customHeight="false" outlineLevel="0" collapsed="false">
      <c r="A71" s="22"/>
      <c r="B71" s="22"/>
      <c r="C71" s="22"/>
      <c r="D71" s="22"/>
      <c r="E71" s="22"/>
      <c r="F71" s="22"/>
      <c r="G71" s="22"/>
    </row>
    <row r="72" customFormat="false" ht="15" hidden="false" customHeight="false" outlineLevel="0" collapsed="false">
      <c r="A72" s="22"/>
      <c r="B72" s="22"/>
      <c r="C72" s="22"/>
      <c r="D72" s="22"/>
      <c r="E72" s="22"/>
      <c r="F72" s="22"/>
      <c r="G72" s="22"/>
    </row>
    <row r="73" customFormat="false" ht="15" hidden="false" customHeight="false" outlineLevel="0" collapsed="false">
      <c r="A73" s="22"/>
      <c r="B73" s="22"/>
      <c r="C73" s="22"/>
      <c r="D73" s="22"/>
      <c r="E73" s="22"/>
      <c r="F73" s="22"/>
      <c r="G73" s="22"/>
    </row>
    <row r="75" customFormat="false" ht="15" hidden="false" customHeight="false" outlineLevel="0" collapsed="false">
      <c r="A75" s="3" t="s">
        <v>166</v>
      </c>
      <c r="D75" s="29" t="s">
        <v>167</v>
      </c>
    </row>
    <row r="76" customFormat="false" ht="30" hidden="false" customHeight="true" outlineLevel="0" collapsed="false">
      <c r="A76" s="12" t="s">
        <v>30</v>
      </c>
      <c r="B76" s="12" t="s">
        <v>124</v>
      </c>
      <c r="C76" s="12" t="s">
        <v>125</v>
      </c>
      <c r="D76" s="12" t="s">
        <v>168</v>
      </c>
      <c r="E76" s="12" t="s">
        <v>169</v>
      </c>
      <c r="F76" s="12" t="s">
        <v>170</v>
      </c>
    </row>
    <row r="77" customFormat="false" ht="15" hidden="false" customHeight="false" outlineLevel="0" collapsed="false">
      <c r="A77" s="30" t="s">
        <v>171</v>
      </c>
      <c r="B77" s="30" t="s">
        <v>161</v>
      </c>
      <c r="C77" s="30" t="s">
        <v>139</v>
      </c>
      <c r="D77" s="30" t="s">
        <v>172</v>
      </c>
      <c r="E77" s="22"/>
      <c r="F77" s="22"/>
    </row>
    <row r="78" customFormat="false" ht="15" hidden="false" customHeight="false" outlineLevel="0" collapsed="false">
      <c r="A78" s="30" t="s">
        <v>171</v>
      </c>
      <c r="B78" s="30" t="s">
        <v>173</v>
      </c>
      <c r="C78" s="30" t="s">
        <v>132</v>
      </c>
      <c r="D78" s="30"/>
      <c r="E78" s="22"/>
      <c r="F78" s="22"/>
    </row>
    <row r="79" customFormat="false" ht="15" hidden="false" customHeight="false" outlineLevel="0" collapsed="false">
      <c r="A79" s="30" t="s">
        <v>174</v>
      </c>
      <c r="B79" s="30" t="s">
        <v>157</v>
      </c>
      <c r="C79" s="30" t="s">
        <v>158</v>
      </c>
      <c r="D79" s="30"/>
      <c r="E79" s="22"/>
      <c r="F79" s="22"/>
    </row>
    <row r="80" customFormat="false" ht="15" hidden="false" customHeight="false" outlineLevel="0" collapsed="false">
      <c r="A80" s="30" t="s">
        <v>154</v>
      </c>
      <c r="B80" s="30" t="s">
        <v>138</v>
      </c>
      <c r="C80" s="30" t="s">
        <v>132</v>
      </c>
      <c r="D80" s="30"/>
      <c r="E80" s="22"/>
      <c r="F80" s="22"/>
    </row>
    <row r="81" customFormat="false" ht="15" hidden="false" customHeight="false" outlineLevel="0" collapsed="false">
      <c r="A81" s="30" t="s">
        <v>154</v>
      </c>
      <c r="B81" s="30" t="s">
        <v>138</v>
      </c>
      <c r="C81" s="30" t="s">
        <v>144</v>
      </c>
      <c r="D81" s="30"/>
      <c r="E81" s="22"/>
      <c r="F81" s="22"/>
    </row>
    <row r="82" customFormat="false" ht="15" hidden="false" customHeight="false" outlineLevel="0" collapsed="false">
      <c r="A82" s="30" t="s">
        <v>137</v>
      </c>
      <c r="B82" s="30" t="s">
        <v>175</v>
      </c>
      <c r="C82" s="30" t="s">
        <v>132</v>
      </c>
      <c r="D82" s="30"/>
      <c r="E82" s="22"/>
      <c r="F82" s="22"/>
    </row>
    <row r="83" customFormat="false" ht="15" hidden="false" customHeight="false" outlineLevel="0" collapsed="false">
      <c r="A83" s="30" t="s">
        <v>176</v>
      </c>
      <c r="B83" s="30" t="s">
        <v>177</v>
      </c>
      <c r="C83" s="30" t="s">
        <v>158</v>
      </c>
      <c r="D83" s="30"/>
      <c r="E83" s="22"/>
      <c r="F83" s="22"/>
    </row>
    <row r="84" customFormat="false" ht="15" hidden="false" customHeight="false" outlineLevel="0" collapsed="false">
      <c r="A84" s="30" t="s">
        <v>178</v>
      </c>
      <c r="B84" s="30" t="s">
        <v>179</v>
      </c>
      <c r="C84" s="30" t="s">
        <v>139</v>
      </c>
      <c r="D84" s="30" t="s">
        <v>180</v>
      </c>
      <c r="E84" s="22"/>
      <c r="F84" s="22"/>
    </row>
    <row r="85" customFormat="false" ht="15" hidden="false" customHeight="false" outlineLevel="0" collapsed="false">
      <c r="A85" s="30" t="s">
        <v>178</v>
      </c>
      <c r="B85" s="30" t="s">
        <v>181</v>
      </c>
      <c r="C85" s="30" t="s">
        <v>132</v>
      </c>
      <c r="D85" s="30" t="s">
        <v>182</v>
      </c>
      <c r="E85" s="22"/>
      <c r="F85" s="22"/>
    </row>
    <row r="86" customFormat="false" ht="15" hidden="false" customHeight="false" outlineLevel="0" collapsed="false">
      <c r="A86" s="30" t="s">
        <v>183</v>
      </c>
      <c r="B86" s="30" t="s">
        <v>184</v>
      </c>
      <c r="C86" s="30" t="s">
        <v>132</v>
      </c>
      <c r="D86" s="30"/>
      <c r="E86" s="22"/>
      <c r="F86" s="22"/>
    </row>
    <row r="87" customFormat="false" ht="15" hidden="false" customHeight="false" outlineLevel="0" collapsed="false">
      <c r="A87" s="30" t="s">
        <v>183</v>
      </c>
      <c r="B87" s="30" t="s">
        <v>185</v>
      </c>
      <c r="C87" s="30" t="s">
        <v>132</v>
      </c>
      <c r="D87" s="30"/>
      <c r="E87" s="22"/>
      <c r="F87" s="22"/>
    </row>
    <row r="88" customFormat="false" ht="15" hidden="false" customHeight="false" outlineLevel="0" collapsed="false">
      <c r="A88" s="30" t="s">
        <v>183</v>
      </c>
      <c r="B88" s="30" t="s">
        <v>186</v>
      </c>
      <c r="C88" s="30" t="s">
        <v>158</v>
      </c>
      <c r="D88" s="30" t="s">
        <v>187</v>
      </c>
      <c r="E88" s="22"/>
      <c r="F88" s="22"/>
    </row>
    <row r="89" customFormat="false" ht="15" hidden="false" customHeight="false" outlineLevel="0" collapsed="false">
      <c r="A89" s="30" t="s">
        <v>188</v>
      </c>
      <c r="B89" s="30" t="s">
        <v>189</v>
      </c>
      <c r="C89" s="30" t="s">
        <v>132</v>
      </c>
      <c r="D89" s="30"/>
      <c r="E89" s="22"/>
      <c r="F89" s="22"/>
    </row>
    <row r="90" customFormat="false" ht="15" hidden="false" customHeight="false" outlineLevel="0" collapsed="false">
      <c r="A90" s="30" t="s">
        <v>188</v>
      </c>
      <c r="B90" s="30" t="s">
        <v>190</v>
      </c>
      <c r="C90" s="30" t="s">
        <v>132</v>
      </c>
      <c r="D90" s="30" t="s">
        <v>191</v>
      </c>
      <c r="E90" s="22"/>
      <c r="F90" s="22"/>
    </row>
    <row r="91" customFormat="false" ht="15" hidden="false" customHeight="false" outlineLevel="0" collapsed="false">
      <c r="A91" s="30" t="s">
        <v>130</v>
      </c>
      <c r="B91" s="30" t="s">
        <v>149</v>
      </c>
      <c r="C91" s="30" t="s">
        <v>132</v>
      </c>
      <c r="D91" s="30"/>
      <c r="E91" s="22"/>
      <c r="F91" s="22"/>
    </row>
    <row r="92" customFormat="false" ht="15" hidden="false" customHeight="false" outlineLevel="0" collapsed="false">
      <c r="A92" s="30" t="s">
        <v>148</v>
      </c>
      <c r="B92" s="30" t="s">
        <v>190</v>
      </c>
      <c r="C92" s="30" t="s">
        <v>144</v>
      </c>
      <c r="D92" s="30"/>
      <c r="E92" s="22"/>
      <c r="F92" s="22"/>
    </row>
    <row r="93" customFormat="false" ht="15" hidden="false" customHeight="false" outlineLevel="0" collapsed="false">
      <c r="A93" s="30" t="s">
        <v>148</v>
      </c>
      <c r="B93" s="30" t="s">
        <v>192</v>
      </c>
      <c r="C93" s="30" t="s">
        <v>158</v>
      </c>
      <c r="D93" s="30" t="s">
        <v>193</v>
      </c>
      <c r="E93" s="22"/>
      <c r="F93" s="22"/>
    </row>
  </sheetData>
  <sheetProtection sheet="true" sort="false" autoFilter="false"/>
  <mergeCells count="1">
    <mergeCell ref="A2:J2"/>
  </mergeCells>
  <conditionalFormatting sqref="A77:F93">
    <cfRule type="expression" priority="2" aboveAverage="0" equalAverage="0" bottom="0" percent="0" rank="0" text="" dxfId="3">
      <formula>$E77="No"</formula>
    </cfRule>
  </conditionalFormatting>
  <dataValidations count="3">
    <dataValidation allowBlank="true" errorStyle="stop" operator="between" showDropDown="false" showErrorMessage="false" showInputMessage="false" sqref="G14:G73" type="list">
      <formula1>YesNo</formula1>
      <formula2>0</formula2>
    </dataValidation>
    <dataValidation allowBlank="true" errorStyle="stop" operator="between" showDropDown="false" showErrorMessage="false" showInputMessage="false" sqref="E14:E73" type="list">
      <formula1>QuarterList</formula1>
      <formula2>0</formula2>
    </dataValidation>
    <dataValidation allowBlank="true" errorStyle="stop" operator="between" showDropDown="false" showErrorMessage="false" showInputMessage="false" sqref="E77:E93" type="list">
      <formula1>YesNo</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32"/>
    <col collapsed="false" customWidth="true" hidden="false" outlineLevel="0" max="6" min="6" style="0" width="22"/>
    <col collapsed="false" customWidth="true" hidden="false" outlineLevel="0" max="7" min="7" style="0" width="46"/>
    <col collapsed="false" customWidth="true" hidden="false" outlineLevel="0" max="9" min="8" style="0" width="14"/>
    <col collapsed="false" customWidth="true" hidden="false" outlineLevel="0" max="10" min="10" style="0" width="12"/>
  </cols>
  <sheetData>
    <row r="1" customFormat="false" ht="24" hidden="false" customHeight="true" outlineLevel="0" collapsed="false">
      <c r="A1" s="1" t="s">
        <v>194</v>
      </c>
    </row>
    <row r="2" customFormat="false" ht="15" hidden="false" customHeight="false" outlineLevel="0" collapsed="false">
      <c r="A2" s="2" t="s">
        <v>195</v>
      </c>
      <c r="B2" s="2"/>
      <c r="C2" s="2"/>
      <c r="D2" s="2"/>
      <c r="E2" s="2"/>
      <c r="F2" s="2"/>
      <c r="G2" s="2"/>
      <c r="H2" s="2"/>
      <c r="I2" s="2"/>
      <c r="J2" s="2"/>
    </row>
    <row r="4" customFormat="false" ht="30" hidden="false" customHeight="true" outlineLevel="0" collapsed="false">
      <c r="A4" s="12" t="s">
        <v>196</v>
      </c>
      <c r="B4" s="12" t="s">
        <v>197</v>
      </c>
      <c r="C4" s="12" t="s">
        <v>198</v>
      </c>
      <c r="D4" s="12" t="s">
        <v>29</v>
      </c>
      <c r="E4" s="12" t="s">
        <v>199</v>
      </c>
      <c r="F4" s="12" t="s">
        <v>200</v>
      </c>
      <c r="G4" s="12" t="s">
        <v>201</v>
      </c>
      <c r="H4" s="12" t="s">
        <v>202</v>
      </c>
      <c r="I4" s="12" t="s">
        <v>203</v>
      </c>
      <c r="J4" s="12" t="s">
        <v>204</v>
      </c>
    </row>
    <row r="5" customFormat="false" ht="15" hidden="false" customHeight="false" outlineLevel="0" collapsed="false">
      <c r="A5" s="17" t="s">
        <v>205</v>
      </c>
      <c r="B5" s="22"/>
      <c r="C5" s="22"/>
      <c r="D5" s="22"/>
      <c r="E5" s="22"/>
      <c r="F5" s="22"/>
      <c r="G5" s="22"/>
      <c r="H5" s="23"/>
      <c r="I5" s="22"/>
      <c r="J5" s="17" t="str">
        <f aca="false">IF(AND($B5&lt;&gt;"",$C5&lt;&gt;""),$A5,"")</f>
        <v/>
      </c>
    </row>
    <row r="6" customFormat="false" ht="15" hidden="false" customHeight="false" outlineLevel="0" collapsed="false">
      <c r="A6" s="17" t="s">
        <v>206</v>
      </c>
      <c r="B6" s="22"/>
      <c r="C6" s="22"/>
      <c r="D6" s="22"/>
      <c r="E6" s="22"/>
      <c r="F6" s="22"/>
      <c r="G6" s="22"/>
      <c r="H6" s="23"/>
      <c r="I6" s="22"/>
      <c r="J6" s="17" t="str">
        <f aca="false">IF(AND($B6&lt;&gt;"",$C6&lt;&gt;""),$A6,"")</f>
        <v/>
      </c>
    </row>
    <row r="7" customFormat="false" ht="15" hidden="false" customHeight="false" outlineLevel="0" collapsed="false">
      <c r="A7" s="17" t="s">
        <v>207</v>
      </c>
      <c r="B7" s="22"/>
      <c r="C7" s="22"/>
      <c r="D7" s="22"/>
      <c r="E7" s="22"/>
      <c r="F7" s="22"/>
      <c r="G7" s="22"/>
      <c r="H7" s="23"/>
      <c r="I7" s="22"/>
      <c r="J7" s="17" t="str">
        <f aca="false">IF(AND($B7&lt;&gt;"",$C7&lt;&gt;""),$A7,"")</f>
        <v/>
      </c>
    </row>
    <row r="8" customFormat="false" ht="15" hidden="false" customHeight="false" outlineLevel="0" collapsed="false">
      <c r="A8" s="17" t="s">
        <v>208</v>
      </c>
      <c r="B8" s="22"/>
      <c r="C8" s="22"/>
      <c r="D8" s="22"/>
      <c r="E8" s="22"/>
      <c r="F8" s="22"/>
      <c r="G8" s="22"/>
      <c r="H8" s="23"/>
      <c r="I8" s="22"/>
      <c r="J8" s="17" t="str">
        <f aca="false">IF(AND($B8&lt;&gt;"",$C8&lt;&gt;""),$A8,"")</f>
        <v/>
      </c>
    </row>
    <row r="9" customFormat="false" ht="15" hidden="false" customHeight="false" outlineLevel="0" collapsed="false">
      <c r="A9" s="17" t="s">
        <v>209</v>
      </c>
      <c r="B9" s="22"/>
      <c r="C9" s="22"/>
      <c r="D9" s="22"/>
      <c r="E9" s="22"/>
      <c r="F9" s="22"/>
      <c r="G9" s="22"/>
      <c r="H9" s="23"/>
      <c r="I9" s="22"/>
      <c r="J9" s="17" t="str">
        <f aca="false">IF(AND($B9&lt;&gt;"",$C9&lt;&gt;""),$A9,"")</f>
        <v/>
      </c>
    </row>
    <row r="10" customFormat="false" ht="15" hidden="false" customHeight="false" outlineLevel="0" collapsed="false">
      <c r="A10" s="17" t="s">
        <v>210</v>
      </c>
      <c r="B10" s="22"/>
      <c r="C10" s="22"/>
      <c r="D10" s="22"/>
      <c r="E10" s="22"/>
      <c r="F10" s="22"/>
      <c r="G10" s="22"/>
      <c r="H10" s="23"/>
      <c r="I10" s="22"/>
      <c r="J10" s="17" t="str">
        <f aca="false">IF(AND($B10&lt;&gt;"",$C10&lt;&gt;""),$A10,"")</f>
        <v/>
      </c>
    </row>
    <row r="11" customFormat="false" ht="15" hidden="false" customHeight="false" outlineLevel="0" collapsed="false">
      <c r="A11" s="17" t="s">
        <v>211</v>
      </c>
      <c r="B11" s="22"/>
      <c r="C11" s="22"/>
      <c r="D11" s="22"/>
      <c r="E11" s="22"/>
      <c r="F11" s="22"/>
      <c r="G11" s="22"/>
      <c r="H11" s="23"/>
      <c r="I11" s="22"/>
      <c r="J11" s="17" t="str">
        <f aca="false">IF(AND($B11&lt;&gt;"",$C11&lt;&gt;""),$A11,"")</f>
        <v/>
      </c>
    </row>
    <row r="12" customFormat="false" ht="15" hidden="false" customHeight="false" outlineLevel="0" collapsed="false">
      <c r="A12" s="17" t="s">
        <v>212</v>
      </c>
      <c r="B12" s="22"/>
      <c r="C12" s="22"/>
      <c r="D12" s="22"/>
      <c r="E12" s="22"/>
      <c r="F12" s="22"/>
      <c r="G12" s="22"/>
      <c r="H12" s="23"/>
      <c r="I12" s="22"/>
      <c r="J12" s="17" t="str">
        <f aca="false">IF(AND($B12&lt;&gt;"",$C12&lt;&gt;""),$A12,"")</f>
        <v/>
      </c>
    </row>
    <row r="13" customFormat="false" ht="15" hidden="false" customHeight="false" outlineLevel="0" collapsed="false">
      <c r="A13" s="17" t="s">
        <v>213</v>
      </c>
      <c r="B13" s="22"/>
      <c r="C13" s="22"/>
      <c r="D13" s="22"/>
      <c r="E13" s="22"/>
      <c r="F13" s="22"/>
      <c r="G13" s="22"/>
      <c r="H13" s="23"/>
      <c r="I13" s="22"/>
      <c r="J13" s="17" t="str">
        <f aca="false">IF(AND($B13&lt;&gt;"",$C13&lt;&gt;""),$A13,"")</f>
        <v/>
      </c>
    </row>
    <row r="14" customFormat="false" ht="15" hidden="false" customHeight="false" outlineLevel="0" collapsed="false">
      <c r="A14" s="17" t="s">
        <v>214</v>
      </c>
      <c r="B14" s="22"/>
      <c r="C14" s="22"/>
      <c r="D14" s="22"/>
      <c r="E14" s="22"/>
      <c r="F14" s="22"/>
      <c r="G14" s="22"/>
      <c r="H14" s="23"/>
      <c r="I14" s="22"/>
      <c r="J14" s="17" t="str">
        <f aca="false">IF(AND($B14&lt;&gt;"",$C14&lt;&gt;""),$A14,"")</f>
        <v/>
      </c>
    </row>
    <row r="15" customFormat="false" ht="15" hidden="false" customHeight="false" outlineLevel="0" collapsed="false">
      <c r="A15" s="17" t="s">
        <v>215</v>
      </c>
      <c r="B15" s="22"/>
      <c r="C15" s="22"/>
      <c r="D15" s="22"/>
      <c r="E15" s="22"/>
      <c r="F15" s="22"/>
      <c r="G15" s="22"/>
      <c r="H15" s="23"/>
      <c r="I15" s="22"/>
      <c r="J15" s="17" t="str">
        <f aca="false">IF(AND($B15&lt;&gt;"",$C15&lt;&gt;""),$A15,"")</f>
        <v/>
      </c>
    </row>
    <row r="16" customFormat="false" ht="15" hidden="false" customHeight="false" outlineLevel="0" collapsed="false">
      <c r="A16" s="17" t="s">
        <v>216</v>
      </c>
      <c r="B16" s="22"/>
      <c r="C16" s="22"/>
      <c r="D16" s="22"/>
      <c r="E16" s="22"/>
      <c r="F16" s="22"/>
      <c r="G16" s="22"/>
      <c r="H16" s="23"/>
      <c r="I16" s="22"/>
      <c r="J16" s="17" t="str">
        <f aca="false">IF(AND($B16&lt;&gt;"",$C16&lt;&gt;""),$A16,"")</f>
        <v/>
      </c>
    </row>
    <row r="17" customFormat="false" ht="15" hidden="false" customHeight="false" outlineLevel="0" collapsed="false">
      <c r="A17" s="17" t="s">
        <v>217</v>
      </c>
      <c r="B17" s="22"/>
      <c r="C17" s="22"/>
      <c r="D17" s="22"/>
      <c r="E17" s="22"/>
      <c r="F17" s="22"/>
      <c r="G17" s="22"/>
      <c r="H17" s="23"/>
      <c r="I17" s="22"/>
      <c r="J17" s="17" t="str">
        <f aca="false">IF(AND($B17&lt;&gt;"",$C17&lt;&gt;""),$A17,"")</f>
        <v/>
      </c>
    </row>
    <row r="18" customFormat="false" ht="15" hidden="false" customHeight="false" outlineLevel="0" collapsed="false">
      <c r="A18" s="17" t="s">
        <v>218</v>
      </c>
      <c r="B18" s="22"/>
      <c r="C18" s="22"/>
      <c r="D18" s="22"/>
      <c r="E18" s="22"/>
      <c r="F18" s="22"/>
      <c r="G18" s="22"/>
      <c r="H18" s="23"/>
      <c r="I18" s="22"/>
      <c r="J18" s="17" t="str">
        <f aca="false">IF(AND($B18&lt;&gt;"",$C18&lt;&gt;""),$A18,"")</f>
        <v/>
      </c>
    </row>
    <row r="19" customFormat="false" ht="15" hidden="false" customHeight="false" outlineLevel="0" collapsed="false">
      <c r="A19" s="17" t="s">
        <v>219</v>
      </c>
      <c r="B19" s="22"/>
      <c r="C19" s="22"/>
      <c r="D19" s="22"/>
      <c r="E19" s="22"/>
      <c r="F19" s="22"/>
      <c r="G19" s="22"/>
      <c r="H19" s="23"/>
      <c r="I19" s="22"/>
      <c r="J19" s="17" t="str">
        <f aca="false">IF(AND($B19&lt;&gt;"",$C19&lt;&gt;""),$A19,"")</f>
        <v/>
      </c>
    </row>
    <row r="20" customFormat="false" ht="15" hidden="false" customHeight="false" outlineLevel="0" collapsed="false">
      <c r="A20" s="17" t="s">
        <v>220</v>
      </c>
      <c r="B20" s="22"/>
      <c r="C20" s="22"/>
      <c r="D20" s="22"/>
      <c r="E20" s="22"/>
      <c r="F20" s="22"/>
      <c r="G20" s="22"/>
      <c r="H20" s="23"/>
      <c r="I20" s="22"/>
      <c r="J20" s="17" t="str">
        <f aca="false">IF(AND($B20&lt;&gt;"",$C20&lt;&gt;""),$A20,"")</f>
        <v/>
      </c>
    </row>
    <row r="21" customFormat="false" ht="15" hidden="false" customHeight="false" outlineLevel="0" collapsed="false">
      <c r="A21" s="17" t="s">
        <v>221</v>
      </c>
      <c r="B21" s="22"/>
      <c r="C21" s="22"/>
      <c r="D21" s="22"/>
      <c r="E21" s="22"/>
      <c r="F21" s="22"/>
      <c r="G21" s="22"/>
      <c r="H21" s="23"/>
      <c r="I21" s="22"/>
      <c r="J21" s="17" t="str">
        <f aca="false">IF(AND($B21&lt;&gt;"",$C21&lt;&gt;""),$A21,"")</f>
        <v/>
      </c>
    </row>
    <row r="22" customFormat="false" ht="15" hidden="false" customHeight="false" outlineLevel="0" collapsed="false">
      <c r="A22" s="17" t="s">
        <v>222</v>
      </c>
      <c r="B22" s="22"/>
      <c r="C22" s="22"/>
      <c r="D22" s="22"/>
      <c r="E22" s="22"/>
      <c r="F22" s="22"/>
      <c r="G22" s="22"/>
      <c r="H22" s="23"/>
      <c r="I22" s="22"/>
      <c r="J22" s="17" t="str">
        <f aca="false">IF(AND($B22&lt;&gt;"",$C22&lt;&gt;""),$A22,"")</f>
        <v/>
      </c>
    </row>
    <row r="23" customFormat="false" ht="15" hidden="false" customHeight="false" outlineLevel="0" collapsed="false">
      <c r="A23" s="17" t="s">
        <v>223</v>
      </c>
      <c r="B23" s="22"/>
      <c r="C23" s="22"/>
      <c r="D23" s="22"/>
      <c r="E23" s="22"/>
      <c r="F23" s="22"/>
      <c r="G23" s="22"/>
      <c r="H23" s="23"/>
      <c r="I23" s="22"/>
      <c r="J23" s="17" t="str">
        <f aca="false">IF(AND($B23&lt;&gt;"",$C23&lt;&gt;""),$A23,"")</f>
        <v/>
      </c>
    </row>
    <row r="24" customFormat="false" ht="15" hidden="false" customHeight="false" outlineLevel="0" collapsed="false">
      <c r="A24" s="17" t="s">
        <v>224</v>
      </c>
      <c r="B24" s="22"/>
      <c r="C24" s="22"/>
      <c r="D24" s="22"/>
      <c r="E24" s="22"/>
      <c r="F24" s="22"/>
      <c r="G24" s="22"/>
      <c r="H24" s="23"/>
      <c r="I24" s="22"/>
      <c r="J24" s="17" t="str">
        <f aca="false">IF(AND($B24&lt;&gt;"",$C24&lt;&gt;""),$A24,"")</f>
        <v/>
      </c>
    </row>
    <row r="25" customFormat="false" ht="15" hidden="false" customHeight="false" outlineLevel="0" collapsed="false">
      <c r="A25" s="17" t="s">
        <v>225</v>
      </c>
      <c r="B25" s="22"/>
      <c r="C25" s="22"/>
      <c r="D25" s="22"/>
      <c r="E25" s="22"/>
      <c r="F25" s="22"/>
      <c r="G25" s="22"/>
      <c r="H25" s="23"/>
      <c r="I25" s="22"/>
      <c r="J25" s="17" t="str">
        <f aca="false">IF(AND($B25&lt;&gt;"",$C25&lt;&gt;""),$A25,"")</f>
        <v/>
      </c>
    </row>
    <row r="26" customFormat="false" ht="15" hidden="false" customHeight="false" outlineLevel="0" collapsed="false">
      <c r="A26" s="17" t="s">
        <v>226</v>
      </c>
      <c r="B26" s="22"/>
      <c r="C26" s="22"/>
      <c r="D26" s="22"/>
      <c r="E26" s="22"/>
      <c r="F26" s="22"/>
      <c r="G26" s="22"/>
      <c r="H26" s="23"/>
      <c r="I26" s="22"/>
      <c r="J26" s="17" t="str">
        <f aca="false">IF(AND($B26&lt;&gt;"",$C26&lt;&gt;""),$A26,"")</f>
        <v/>
      </c>
    </row>
    <row r="27" customFormat="false" ht="15" hidden="false" customHeight="false" outlineLevel="0" collapsed="false">
      <c r="A27" s="17" t="s">
        <v>227</v>
      </c>
      <c r="B27" s="22"/>
      <c r="C27" s="22"/>
      <c r="D27" s="22"/>
      <c r="E27" s="22"/>
      <c r="F27" s="22"/>
      <c r="G27" s="22"/>
      <c r="H27" s="23"/>
      <c r="I27" s="22"/>
      <c r="J27" s="17" t="str">
        <f aca="false">IF(AND($B27&lt;&gt;"",$C27&lt;&gt;""),$A27,"")</f>
        <v/>
      </c>
    </row>
    <row r="28" customFormat="false" ht="15" hidden="false" customHeight="false" outlineLevel="0" collapsed="false">
      <c r="A28" s="17" t="s">
        <v>228</v>
      </c>
      <c r="B28" s="22"/>
      <c r="C28" s="22"/>
      <c r="D28" s="22"/>
      <c r="E28" s="22"/>
      <c r="F28" s="22"/>
      <c r="G28" s="22"/>
      <c r="H28" s="23"/>
      <c r="I28" s="22"/>
      <c r="J28" s="17" t="str">
        <f aca="false">IF(AND($B28&lt;&gt;"",$C28&lt;&gt;""),$A28,"")</f>
        <v/>
      </c>
    </row>
    <row r="29" customFormat="false" ht="15" hidden="false" customHeight="false" outlineLevel="0" collapsed="false">
      <c r="A29" s="17" t="s">
        <v>229</v>
      </c>
      <c r="B29" s="22"/>
      <c r="C29" s="22"/>
      <c r="D29" s="22"/>
      <c r="E29" s="22"/>
      <c r="F29" s="22"/>
      <c r="G29" s="22"/>
      <c r="H29" s="23"/>
      <c r="I29" s="22"/>
      <c r="J29" s="17" t="str">
        <f aca="false">IF(AND($B29&lt;&gt;"",$C29&lt;&gt;""),$A29,"")</f>
        <v/>
      </c>
    </row>
    <row r="30" customFormat="false" ht="15" hidden="false" customHeight="false" outlineLevel="0" collapsed="false">
      <c r="A30" s="17" t="s">
        <v>230</v>
      </c>
      <c r="B30" s="22"/>
      <c r="C30" s="22"/>
      <c r="D30" s="22"/>
      <c r="E30" s="22"/>
      <c r="F30" s="22"/>
      <c r="G30" s="22"/>
      <c r="H30" s="23"/>
      <c r="I30" s="22"/>
      <c r="J30" s="17" t="str">
        <f aca="false">IF(AND($B30&lt;&gt;"",$C30&lt;&gt;""),$A30,"")</f>
        <v/>
      </c>
    </row>
    <row r="31" customFormat="false" ht="15" hidden="false" customHeight="false" outlineLevel="0" collapsed="false">
      <c r="A31" s="17" t="s">
        <v>231</v>
      </c>
      <c r="B31" s="22"/>
      <c r="C31" s="22"/>
      <c r="D31" s="22"/>
      <c r="E31" s="22"/>
      <c r="F31" s="22"/>
      <c r="G31" s="22"/>
      <c r="H31" s="23"/>
      <c r="I31" s="22"/>
      <c r="J31" s="17" t="str">
        <f aca="false">IF(AND($B31&lt;&gt;"",$C31&lt;&gt;""),$A31,"")</f>
        <v/>
      </c>
    </row>
    <row r="32" customFormat="false" ht="15" hidden="false" customHeight="false" outlineLevel="0" collapsed="false">
      <c r="A32" s="17" t="s">
        <v>232</v>
      </c>
      <c r="B32" s="22"/>
      <c r="C32" s="22"/>
      <c r="D32" s="22"/>
      <c r="E32" s="22"/>
      <c r="F32" s="22"/>
      <c r="G32" s="22"/>
      <c r="H32" s="23"/>
      <c r="I32" s="22"/>
      <c r="J32" s="17" t="str">
        <f aca="false">IF(AND($B32&lt;&gt;"",$C32&lt;&gt;""),$A32,"")</f>
        <v/>
      </c>
    </row>
    <row r="33" customFormat="false" ht="15" hidden="false" customHeight="false" outlineLevel="0" collapsed="false">
      <c r="A33" s="17" t="s">
        <v>233</v>
      </c>
      <c r="B33" s="22"/>
      <c r="C33" s="22"/>
      <c r="D33" s="22"/>
      <c r="E33" s="22"/>
      <c r="F33" s="22"/>
      <c r="G33" s="22"/>
      <c r="H33" s="23"/>
      <c r="I33" s="22"/>
      <c r="J33" s="17" t="str">
        <f aca="false">IF(AND($B33&lt;&gt;"",$C33&lt;&gt;""),$A33,"")</f>
        <v/>
      </c>
    </row>
    <row r="34" customFormat="false" ht="15" hidden="false" customHeight="false" outlineLevel="0" collapsed="false">
      <c r="A34" s="17" t="s">
        <v>234</v>
      </c>
      <c r="B34" s="22"/>
      <c r="C34" s="22"/>
      <c r="D34" s="22"/>
      <c r="E34" s="22"/>
      <c r="F34" s="22"/>
      <c r="G34" s="22"/>
      <c r="H34" s="23"/>
      <c r="I34" s="22"/>
      <c r="J34" s="17" t="str">
        <f aca="false">IF(AND($B34&lt;&gt;"",$C34&lt;&gt;""),$A34,"")</f>
        <v/>
      </c>
    </row>
    <row r="35" customFormat="false" ht="15" hidden="false" customHeight="false" outlineLevel="0" collapsed="false">
      <c r="A35" s="17" t="s">
        <v>235</v>
      </c>
      <c r="B35" s="22"/>
      <c r="C35" s="22"/>
      <c r="D35" s="22"/>
      <c r="E35" s="22"/>
      <c r="F35" s="22"/>
      <c r="G35" s="22"/>
      <c r="H35" s="23"/>
      <c r="I35" s="22"/>
      <c r="J35" s="17" t="str">
        <f aca="false">IF(AND($B35&lt;&gt;"",$C35&lt;&gt;""),$A35,"")</f>
        <v/>
      </c>
    </row>
    <row r="36" customFormat="false" ht="15" hidden="false" customHeight="false" outlineLevel="0" collapsed="false">
      <c r="A36" s="17" t="s">
        <v>236</v>
      </c>
      <c r="B36" s="22"/>
      <c r="C36" s="22"/>
      <c r="D36" s="22"/>
      <c r="E36" s="22"/>
      <c r="F36" s="22"/>
      <c r="G36" s="22"/>
      <c r="H36" s="23"/>
      <c r="I36" s="22"/>
      <c r="J36" s="17" t="str">
        <f aca="false">IF(AND($B36&lt;&gt;"",$C36&lt;&gt;""),$A36,"")</f>
        <v/>
      </c>
    </row>
    <row r="37" customFormat="false" ht="15" hidden="false" customHeight="false" outlineLevel="0" collapsed="false">
      <c r="A37" s="17" t="s">
        <v>237</v>
      </c>
      <c r="B37" s="22"/>
      <c r="C37" s="22"/>
      <c r="D37" s="22"/>
      <c r="E37" s="22"/>
      <c r="F37" s="22"/>
      <c r="G37" s="22"/>
      <c r="H37" s="23"/>
      <c r="I37" s="22"/>
      <c r="J37" s="17" t="str">
        <f aca="false">IF(AND($B37&lt;&gt;"",$C37&lt;&gt;""),$A37,"")</f>
        <v/>
      </c>
    </row>
    <row r="38" customFormat="false" ht="15" hidden="false" customHeight="false" outlineLevel="0" collapsed="false">
      <c r="A38" s="17" t="s">
        <v>238</v>
      </c>
      <c r="B38" s="22"/>
      <c r="C38" s="22"/>
      <c r="D38" s="22"/>
      <c r="E38" s="22"/>
      <c r="F38" s="22"/>
      <c r="G38" s="22"/>
      <c r="H38" s="23"/>
      <c r="I38" s="22"/>
      <c r="J38" s="17" t="str">
        <f aca="false">IF(AND($B38&lt;&gt;"",$C38&lt;&gt;""),$A38,"")</f>
        <v/>
      </c>
    </row>
    <row r="39" customFormat="false" ht="15" hidden="false" customHeight="false" outlineLevel="0" collapsed="false">
      <c r="A39" s="17" t="s">
        <v>239</v>
      </c>
      <c r="B39" s="22"/>
      <c r="C39" s="22"/>
      <c r="D39" s="22"/>
      <c r="E39" s="22"/>
      <c r="F39" s="22"/>
      <c r="G39" s="22"/>
      <c r="H39" s="23"/>
      <c r="I39" s="22"/>
      <c r="J39" s="17" t="str">
        <f aca="false">IF(AND($B39&lt;&gt;"",$C39&lt;&gt;""),$A39,"")</f>
        <v/>
      </c>
    </row>
    <row r="40" customFormat="false" ht="15" hidden="false" customHeight="false" outlineLevel="0" collapsed="false">
      <c r="A40" s="17" t="s">
        <v>240</v>
      </c>
      <c r="B40" s="22"/>
      <c r="C40" s="22"/>
      <c r="D40" s="22"/>
      <c r="E40" s="22"/>
      <c r="F40" s="22"/>
      <c r="G40" s="22"/>
      <c r="H40" s="23"/>
      <c r="I40" s="22"/>
      <c r="J40" s="17" t="str">
        <f aca="false">IF(AND($B40&lt;&gt;"",$C40&lt;&gt;""),$A40,"")</f>
        <v/>
      </c>
    </row>
    <row r="41" customFormat="false" ht="15" hidden="false" customHeight="false" outlineLevel="0" collapsed="false">
      <c r="A41" s="17" t="s">
        <v>241</v>
      </c>
      <c r="B41" s="22"/>
      <c r="C41" s="22"/>
      <c r="D41" s="22"/>
      <c r="E41" s="22"/>
      <c r="F41" s="22"/>
      <c r="G41" s="22"/>
      <c r="H41" s="23"/>
      <c r="I41" s="22"/>
      <c r="J41" s="17" t="str">
        <f aca="false">IF(AND($B41&lt;&gt;"",$C41&lt;&gt;""),$A41,"")</f>
        <v/>
      </c>
    </row>
    <row r="42" customFormat="false" ht="15" hidden="false" customHeight="false" outlineLevel="0" collapsed="false">
      <c r="A42" s="17" t="s">
        <v>242</v>
      </c>
      <c r="B42" s="22"/>
      <c r="C42" s="22"/>
      <c r="D42" s="22"/>
      <c r="E42" s="22"/>
      <c r="F42" s="22"/>
      <c r="G42" s="22"/>
      <c r="H42" s="23"/>
      <c r="I42" s="22"/>
      <c r="J42" s="17" t="str">
        <f aca="false">IF(AND($B42&lt;&gt;"",$C42&lt;&gt;""),$A42,"")</f>
        <v/>
      </c>
    </row>
    <row r="43" customFormat="false" ht="15" hidden="false" customHeight="false" outlineLevel="0" collapsed="false">
      <c r="A43" s="17" t="s">
        <v>243</v>
      </c>
      <c r="B43" s="22"/>
      <c r="C43" s="22"/>
      <c r="D43" s="22"/>
      <c r="E43" s="22"/>
      <c r="F43" s="22"/>
      <c r="G43" s="22"/>
      <c r="H43" s="23"/>
      <c r="I43" s="22"/>
      <c r="J43" s="17" t="str">
        <f aca="false">IF(AND($B43&lt;&gt;"",$C43&lt;&gt;""),$A43,"")</f>
        <v/>
      </c>
    </row>
    <row r="44" customFormat="false" ht="15" hidden="false" customHeight="false" outlineLevel="0" collapsed="false">
      <c r="A44" s="17" t="s">
        <v>244</v>
      </c>
      <c r="B44" s="22"/>
      <c r="C44" s="22"/>
      <c r="D44" s="22"/>
      <c r="E44" s="22"/>
      <c r="F44" s="22"/>
      <c r="G44" s="22"/>
      <c r="H44" s="23"/>
      <c r="I44" s="22"/>
      <c r="J44" s="17" t="str">
        <f aca="false">IF(AND($B44&lt;&gt;"",$C44&lt;&gt;""),$A44,"")</f>
        <v/>
      </c>
    </row>
    <row r="46" customFormat="false" ht="25.5" hidden="false" customHeight="true" outlineLevel="0" collapsed="false">
      <c r="A46" s="11" t="s">
        <v>245</v>
      </c>
      <c r="B46" s="11"/>
      <c r="C46" s="11"/>
      <c r="D46" s="11"/>
      <c r="E46" s="11"/>
      <c r="F46" s="11"/>
      <c r="G46" s="11"/>
      <c r="H46" s="11"/>
      <c r="I46" s="11"/>
      <c r="J46" s="11"/>
    </row>
  </sheetData>
  <sheetProtection sheet="true" sort="false" autoFilter="false"/>
  <mergeCells count="2">
    <mergeCell ref="A2:J2"/>
    <mergeCell ref="A46:J46"/>
  </mergeCells>
  <dataValidations count="3">
    <dataValidation allowBlank="true" errorStyle="stop" operator="between" showDropDown="false" showErrorMessage="false" showInputMessage="false" sqref="B5:B44" type="list">
      <formula1>StructureActions</formula1>
      <formula2>0</formula2>
    </dataValidation>
    <dataValidation allowBlank="true" errorStyle="stop" operator="between" showDropDown="false" showErrorMessage="false" showInputMessage="false" sqref="D5:D44" type="list">
      <formula1>LadderLevels</formula1>
      <formula2>0</formula2>
    </dataValidation>
    <dataValidation allowBlank="true" errorStyle="stop" operator="between" showDropDown="false" showErrorMessage="false" showInputMessage="false" sqref="I5:I44"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9"/>
    <col collapsed="false" customWidth="true" hidden="false" outlineLevel="0" max="5" min="5" style="0" width="15"/>
    <col collapsed="false" customWidth="true" hidden="false" outlineLevel="0" max="6" min="6" style="0" width="13"/>
    <col collapsed="false" customWidth="true" hidden="false" outlineLevel="0" max="7" min="7" style="0" width="14"/>
    <col collapsed="false" customWidth="true" hidden="false" outlineLevel="0" max="8" min="8" style="0" width="7"/>
    <col collapsed="false" customWidth="true" hidden="false" outlineLevel="0" max="9" min="9" style="0" width="12"/>
    <col collapsed="false" customWidth="true" hidden="false" outlineLevel="0" max="10" min="10" style="0" width="30"/>
    <col collapsed="false" customWidth="true" hidden="false" outlineLevel="0" max="11" min="11" style="0" width="14"/>
    <col collapsed="false" customWidth="true" hidden="false" outlineLevel="0" max="12" min="12" style="0" width="7"/>
    <col collapsed="false" customWidth="true" hidden="false" outlineLevel="0" max="13" min="13" style="0" width="40"/>
    <col collapsed="false" customWidth="true" hidden="false" outlineLevel="0" max="14" min="14" style="0" width="30"/>
    <col collapsed="false" customWidth="true" hidden="false" outlineLevel="0" max="15" min="15" style="0" width="15"/>
    <col collapsed="false" customWidth="true" hidden="false" outlineLevel="0" max="16" min="16" style="0" width="10"/>
    <col collapsed="false" customWidth="true" hidden="false" outlineLevel="0" max="17" min="17" style="0" width="15"/>
    <col collapsed="false" customWidth="true" hidden="false" outlineLevel="0" max="18" min="18" style="0" width="13"/>
    <col collapsed="false" customWidth="true" hidden="false" outlineLevel="0" max="19" min="19" style="0" width="40"/>
    <col collapsed="false" customWidth="true" hidden="false" outlineLevel="0" max="20" min="20" style="0" width="9"/>
  </cols>
  <sheetData>
    <row r="1" customFormat="false" ht="24" hidden="false" customHeight="true" outlineLevel="0" collapsed="false">
      <c r="A1" s="1" t="s">
        <v>246</v>
      </c>
    </row>
    <row r="2" customFormat="false" ht="15" hidden="false" customHeight="false" outlineLevel="0" collapsed="false">
      <c r="A2" s="2" t="s">
        <v>247</v>
      </c>
      <c r="B2" s="2"/>
      <c r="C2" s="2"/>
      <c r="D2" s="2"/>
      <c r="E2" s="2"/>
      <c r="F2" s="2"/>
      <c r="G2" s="2"/>
      <c r="H2" s="2"/>
      <c r="I2" s="2"/>
      <c r="J2" s="2"/>
    </row>
    <row r="5" customFormat="false" ht="30" hidden="false" customHeight="true" outlineLevel="0" collapsed="false">
      <c r="A5" s="12" t="s">
        <v>248</v>
      </c>
      <c r="B5" s="12" t="s">
        <v>249</v>
      </c>
      <c r="C5" s="12" t="s">
        <v>124</v>
      </c>
      <c r="D5" s="12" t="s">
        <v>125</v>
      </c>
      <c r="E5" s="12" t="s">
        <v>250</v>
      </c>
      <c r="F5" s="12" t="s">
        <v>251</v>
      </c>
      <c r="G5" s="12" t="s">
        <v>252</v>
      </c>
      <c r="H5" s="12" t="s">
        <v>253</v>
      </c>
      <c r="I5" s="12" t="s">
        <v>254</v>
      </c>
      <c r="J5" s="12" t="s">
        <v>255</v>
      </c>
      <c r="K5" s="12" t="s">
        <v>256</v>
      </c>
      <c r="L5" s="12" t="s">
        <v>257</v>
      </c>
      <c r="M5" s="12" t="s">
        <v>258</v>
      </c>
      <c r="N5" s="12" t="s">
        <v>259</v>
      </c>
      <c r="O5" s="12" t="s">
        <v>260</v>
      </c>
      <c r="P5" s="12" t="s">
        <v>261</v>
      </c>
      <c r="Q5" s="12" t="s">
        <v>262</v>
      </c>
      <c r="R5" s="12" t="s">
        <v>263</v>
      </c>
      <c r="S5" s="12" t="s">
        <v>264</v>
      </c>
      <c r="T5" s="12" t="s">
        <v>265</v>
      </c>
    </row>
    <row r="6" customFormat="false" ht="15" hidden="false" customHeight="false" outlineLevel="0" collapsed="false">
      <c r="A6" s="17" t="n">
        <v>1</v>
      </c>
      <c r="B6" s="22"/>
      <c r="C6" s="22"/>
      <c r="D6" s="22"/>
      <c r="E6" s="22"/>
      <c r="F6" s="22"/>
      <c r="G6" s="22"/>
      <c r="H6" s="25"/>
      <c r="I6" s="22"/>
      <c r="J6" s="22"/>
      <c r="K6" s="31" t="str">
        <f aca="false">IF($J6="","",IFERROR(INDEX(DriverCategory,MATCH($J6,DriverList,0)),"?"))</f>
        <v/>
      </c>
      <c r="L6" s="31" t="str">
        <f aca="false">IF($J6="","",IFERROR(INDEX(DriverRank,MATCH($J6,DriverList,0)),99))</f>
        <v/>
      </c>
      <c r="M6" s="22"/>
      <c r="N6" s="22"/>
      <c r="O6" s="19" t="str">
        <f aca="false">IF($D6="","",INDEX(GradeBasic,MATCH($D6,GradeList,0))+INDEX(GradeHousing,MATCH($D6,GradeList,0))+INDEX(GradeTransport,MATCH($D6,GradeList,0))+INDEX(GradeBasic,MATCH($D6,GradeList,0))*INDEX(GradeBonus,MATCH($D6,GradeList,0))+(INDEX(GradeBasic,MATCH($D6,GradeList,0))+INDEX(GradeHousing,MATCH($D6,GradeList,0)))*IF($F6="Saudi",GosiSaudi,GosiOther))</f>
        <v/>
      </c>
      <c r="P6" s="19" t="str">
        <f aca="false">IF($D6="","",IF(INDEX(GradeRank,MATCH($D6,GradeList,0))&gt;=INDEX(GradeRank,MATCH("G14",GradeList,0)),OneOffSenior,OneOffJunior))</f>
        <v/>
      </c>
      <c r="Q6" s="19" t="str">
        <f aca="false">IF(OR($D6="",$I6="",$H6=""),"",$O6*$H6*(5-MATCH($I6,{"Q1";"Q2";"Q3";"Q4"},0))/4+$P6*$H6)</f>
        <v/>
      </c>
      <c r="R6" s="19" t="str">
        <f aca="false">IF($O6="","",$O6*$H6)</f>
        <v/>
      </c>
      <c r="S6" s="32" t="str">
        <f aca="false">IF(COUNTA($B6:$J6)+COUNTA($M6:$N6)=0,"",MID(IF($B6="",", unit","")&amp;IF($C6="",", job title","")&amp;IF($D6="",", grade","")&amp;IF($E6="",", workforce type","")&amp;IF($F6="",", Saudi basis","")&amp;IF($G6="",", nature","")&amp;IF(N($H6)&lt;=0,", FTE","")&amp;IF($I6="",", start quarter","")&amp;IF($J6="",", driver","")&amp;IF($M6="",", alternatives",""),3,300))</f>
        <v/>
      </c>
      <c r="T6" s="17" t="str">
        <f aca="false">IF($S6="","",COUNTIF($S$6:$S6,"?*"))</f>
        <v/>
      </c>
    </row>
    <row r="7" customFormat="false" ht="15" hidden="false" customHeight="false" outlineLevel="0" collapsed="false">
      <c r="A7" s="17" t="n">
        <v>2</v>
      </c>
      <c r="B7" s="22"/>
      <c r="C7" s="22"/>
      <c r="D7" s="22"/>
      <c r="E7" s="22"/>
      <c r="F7" s="22"/>
      <c r="G7" s="22"/>
      <c r="H7" s="25"/>
      <c r="I7" s="22"/>
      <c r="J7" s="22"/>
      <c r="K7" s="31" t="str">
        <f aca="false">IF($J7="","",IFERROR(INDEX(DriverCategory,MATCH($J7,DriverList,0)),"?"))</f>
        <v/>
      </c>
      <c r="L7" s="31" t="str">
        <f aca="false">IF($J7="","",IFERROR(INDEX(DriverRank,MATCH($J7,DriverList,0)),99))</f>
        <v/>
      </c>
      <c r="M7" s="22"/>
      <c r="N7" s="22"/>
      <c r="O7" s="19" t="str">
        <f aca="false">IF($D7="","",INDEX(GradeBasic,MATCH($D7,GradeList,0))+INDEX(GradeHousing,MATCH($D7,GradeList,0))+INDEX(GradeTransport,MATCH($D7,GradeList,0))+INDEX(GradeBasic,MATCH($D7,GradeList,0))*INDEX(GradeBonus,MATCH($D7,GradeList,0))+(INDEX(GradeBasic,MATCH($D7,GradeList,0))+INDEX(GradeHousing,MATCH($D7,GradeList,0)))*IF($F7="Saudi",GosiSaudi,GosiOther))</f>
        <v/>
      </c>
      <c r="P7" s="19" t="str">
        <f aca="false">IF($D7="","",IF(INDEX(GradeRank,MATCH($D7,GradeList,0))&gt;=INDEX(GradeRank,MATCH("G14",GradeList,0)),OneOffSenior,OneOffJunior))</f>
        <v/>
      </c>
      <c r="Q7" s="19" t="str">
        <f aca="false">IF(OR($D7="",$I7="",$H7=""),"",$O7*$H7*(5-MATCH($I7,{"Q1";"Q2";"Q3";"Q4"},0))/4+$P7*$H7)</f>
        <v/>
      </c>
      <c r="R7" s="19" t="str">
        <f aca="false">IF($O7="","",$O7*$H7)</f>
        <v/>
      </c>
      <c r="S7" s="32" t="str">
        <f aca="false">IF(COUNTA($B7:$J7)+COUNTA($M7:$N7)=0,"",MID(IF($B7="",", unit","")&amp;IF($C7="",", job title","")&amp;IF($D7="",", grade","")&amp;IF($E7="",", workforce type","")&amp;IF($F7="",", Saudi basis","")&amp;IF($G7="",", nature","")&amp;IF(N($H7)&lt;=0,", FTE","")&amp;IF($I7="",", start quarter","")&amp;IF($J7="",", driver","")&amp;IF($M7="",", alternatives",""),3,300))</f>
        <v/>
      </c>
      <c r="T7" s="17" t="str">
        <f aca="false">IF($S7="","",COUNTIF($S$6:$S7,"?*"))</f>
        <v/>
      </c>
    </row>
    <row r="8" customFormat="false" ht="15" hidden="false" customHeight="false" outlineLevel="0" collapsed="false">
      <c r="A8" s="17" t="n">
        <v>3</v>
      </c>
      <c r="B8" s="22"/>
      <c r="C8" s="22"/>
      <c r="D8" s="22"/>
      <c r="E8" s="22"/>
      <c r="F8" s="22"/>
      <c r="G8" s="22"/>
      <c r="H8" s="25"/>
      <c r="I8" s="22"/>
      <c r="J8" s="22"/>
      <c r="K8" s="31" t="str">
        <f aca="false">IF($J8="","",IFERROR(INDEX(DriverCategory,MATCH($J8,DriverList,0)),"?"))</f>
        <v/>
      </c>
      <c r="L8" s="31" t="str">
        <f aca="false">IF($J8="","",IFERROR(INDEX(DriverRank,MATCH($J8,DriverList,0)),99))</f>
        <v/>
      </c>
      <c r="M8" s="22"/>
      <c r="N8" s="22"/>
      <c r="O8" s="19" t="str">
        <f aca="false">IF($D8="","",INDEX(GradeBasic,MATCH($D8,GradeList,0))+INDEX(GradeHousing,MATCH($D8,GradeList,0))+INDEX(GradeTransport,MATCH($D8,GradeList,0))+INDEX(GradeBasic,MATCH($D8,GradeList,0))*INDEX(GradeBonus,MATCH($D8,GradeList,0))+(INDEX(GradeBasic,MATCH($D8,GradeList,0))+INDEX(GradeHousing,MATCH($D8,GradeList,0)))*IF($F8="Saudi",GosiSaudi,GosiOther))</f>
        <v/>
      </c>
      <c r="P8" s="19" t="str">
        <f aca="false">IF($D8="","",IF(INDEX(GradeRank,MATCH($D8,GradeList,0))&gt;=INDEX(GradeRank,MATCH("G14",GradeList,0)),OneOffSenior,OneOffJunior))</f>
        <v/>
      </c>
      <c r="Q8" s="19" t="str">
        <f aca="false">IF(OR($D8="",$I8="",$H8=""),"",$O8*$H8*(5-MATCH($I8,{"Q1";"Q2";"Q3";"Q4"},0))/4+$P8*$H8)</f>
        <v/>
      </c>
      <c r="R8" s="19" t="str">
        <f aca="false">IF($O8="","",$O8*$H8)</f>
        <v/>
      </c>
      <c r="S8" s="32" t="str">
        <f aca="false">IF(COUNTA($B8:$J8)+COUNTA($M8:$N8)=0,"",MID(IF($B8="",", unit","")&amp;IF($C8="",", job title","")&amp;IF($D8="",", grade","")&amp;IF($E8="",", workforce type","")&amp;IF($F8="",", Saudi basis","")&amp;IF($G8="",", nature","")&amp;IF(N($H8)&lt;=0,", FTE","")&amp;IF($I8="",", start quarter","")&amp;IF($J8="",", driver","")&amp;IF($M8="",", alternatives",""),3,300))</f>
        <v/>
      </c>
      <c r="T8" s="17" t="str">
        <f aca="false">IF($S8="","",COUNTIF($S$6:$S8,"?*"))</f>
        <v/>
      </c>
    </row>
    <row r="9" customFormat="false" ht="15" hidden="false" customHeight="false" outlineLevel="0" collapsed="false">
      <c r="A9" s="17" t="n">
        <v>4</v>
      </c>
      <c r="B9" s="22"/>
      <c r="C9" s="22"/>
      <c r="D9" s="22"/>
      <c r="E9" s="22"/>
      <c r="F9" s="22"/>
      <c r="G9" s="22"/>
      <c r="H9" s="25"/>
      <c r="I9" s="22"/>
      <c r="J9" s="22"/>
      <c r="K9" s="31" t="str">
        <f aca="false">IF($J9="","",IFERROR(INDEX(DriverCategory,MATCH($J9,DriverList,0)),"?"))</f>
        <v/>
      </c>
      <c r="L9" s="31" t="str">
        <f aca="false">IF($J9="","",IFERROR(INDEX(DriverRank,MATCH($J9,DriverList,0)),99))</f>
        <v/>
      </c>
      <c r="M9" s="22"/>
      <c r="N9" s="22"/>
      <c r="O9" s="19" t="str">
        <f aca="false">IF($D9="","",INDEX(GradeBasic,MATCH($D9,GradeList,0))+INDEX(GradeHousing,MATCH($D9,GradeList,0))+INDEX(GradeTransport,MATCH($D9,GradeList,0))+INDEX(GradeBasic,MATCH($D9,GradeList,0))*INDEX(GradeBonus,MATCH($D9,GradeList,0))+(INDEX(GradeBasic,MATCH($D9,GradeList,0))+INDEX(GradeHousing,MATCH($D9,GradeList,0)))*IF($F9="Saudi",GosiSaudi,GosiOther))</f>
        <v/>
      </c>
      <c r="P9" s="19" t="str">
        <f aca="false">IF($D9="","",IF(INDEX(GradeRank,MATCH($D9,GradeList,0))&gt;=INDEX(GradeRank,MATCH("G14",GradeList,0)),OneOffSenior,OneOffJunior))</f>
        <v/>
      </c>
      <c r="Q9" s="19" t="str">
        <f aca="false">IF(OR($D9="",$I9="",$H9=""),"",$O9*$H9*(5-MATCH($I9,{"Q1";"Q2";"Q3";"Q4"},0))/4+$P9*$H9)</f>
        <v/>
      </c>
      <c r="R9" s="19" t="str">
        <f aca="false">IF($O9="","",$O9*$H9)</f>
        <v/>
      </c>
      <c r="S9" s="32" t="str">
        <f aca="false">IF(COUNTA($B9:$J9)+COUNTA($M9:$N9)=0,"",MID(IF($B9="",", unit","")&amp;IF($C9="",", job title","")&amp;IF($D9="",", grade","")&amp;IF($E9="",", workforce type","")&amp;IF($F9="",", Saudi basis","")&amp;IF($G9="",", nature","")&amp;IF(N($H9)&lt;=0,", FTE","")&amp;IF($I9="",", start quarter","")&amp;IF($J9="",", driver","")&amp;IF($M9="",", alternatives",""),3,300))</f>
        <v/>
      </c>
      <c r="T9" s="17" t="str">
        <f aca="false">IF($S9="","",COUNTIF($S$6:$S9,"?*"))</f>
        <v/>
      </c>
    </row>
    <row r="10" customFormat="false" ht="15" hidden="false" customHeight="false" outlineLevel="0" collapsed="false">
      <c r="A10" s="17" t="n">
        <v>5</v>
      </c>
      <c r="B10" s="22"/>
      <c r="C10" s="22"/>
      <c r="D10" s="22"/>
      <c r="E10" s="22"/>
      <c r="F10" s="22"/>
      <c r="G10" s="22"/>
      <c r="H10" s="25"/>
      <c r="I10" s="22"/>
      <c r="J10" s="22"/>
      <c r="K10" s="31" t="str">
        <f aca="false">IF($J10="","",IFERROR(INDEX(DriverCategory,MATCH($J10,DriverList,0)),"?"))</f>
        <v/>
      </c>
      <c r="L10" s="31" t="str">
        <f aca="false">IF($J10="","",IFERROR(INDEX(DriverRank,MATCH($J10,DriverList,0)),99))</f>
        <v/>
      </c>
      <c r="M10" s="22"/>
      <c r="N10" s="22"/>
      <c r="O10" s="19" t="str">
        <f aca="false">IF($D10="","",INDEX(GradeBasic,MATCH($D10,GradeList,0))+INDEX(GradeHousing,MATCH($D10,GradeList,0))+INDEX(GradeTransport,MATCH($D10,GradeList,0))+INDEX(GradeBasic,MATCH($D10,GradeList,0))*INDEX(GradeBonus,MATCH($D10,GradeList,0))+(INDEX(GradeBasic,MATCH($D10,GradeList,0))+INDEX(GradeHousing,MATCH($D10,GradeList,0)))*IF($F10="Saudi",GosiSaudi,GosiOther))</f>
        <v/>
      </c>
      <c r="P10" s="19" t="str">
        <f aca="false">IF($D10="","",IF(INDEX(GradeRank,MATCH($D10,GradeList,0))&gt;=INDEX(GradeRank,MATCH("G14",GradeList,0)),OneOffSenior,OneOffJunior))</f>
        <v/>
      </c>
      <c r="Q10" s="19" t="str">
        <f aca="false">IF(OR($D10="",$I10="",$H10=""),"",$O10*$H10*(5-MATCH($I10,{"Q1";"Q2";"Q3";"Q4"},0))/4+$P10*$H10)</f>
        <v/>
      </c>
      <c r="R10" s="19" t="str">
        <f aca="false">IF($O10="","",$O10*$H10)</f>
        <v/>
      </c>
      <c r="S10" s="32" t="str">
        <f aca="false">IF(COUNTA($B10:$J10)+COUNTA($M10:$N10)=0,"",MID(IF($B10="",", unit","")&amp;IF($C10="",", job title","")&amp;IF($D10="",", grade","")&amp;IF($E10="",", workforce type","")&amp;IF($F10="",", Saudi basis","")&amp;IF($G10="",", nature","")&amp;IF(N($H10)&lt;=0,", FTE","")&amp;IF($I10="",", start quarter","")&amp;IF($J10="",", driver","")&amp;IF($M10="",", alternatives",""),3,300))</f>
        <v/>
      </c>
      <c r="T10" s="17" t="str">
        <f aca="false">IF($S10="","",COUNTIF($S$6:$S10,"?*"))</f>
        <v/>
      </c>
    </row>
    <row r="11" customFormat="false" ht="15" hidden="false" customHeight="false" outlineLevel="0" collapsed="false">
      <c r="A11" s="17" t="n">
        <v>6</v>
      </c>
      <c r="B11" s="22"/>
      <c r="C11" s="22"/>
      <c r="D11" s="22"/>
      <c r="E11" s="22"/>
      <c r="F11" s="22"/>
      <c r="G11" s="22"/>
      <c r="H11" s="25"/>
      <c r="I11" s="22"/>
      <c r="J11" s="22"/>
      <c r="K11" s="31" t="str">
        <f aca="false">IF($J11="","",IFERROR(INDEX(DriverCategory,MATCH($J11,DriverList,0)),"?"))</f>
        <v/>
      </c>
      <c r="L11" s="31" t="str">
        <f aca="false">IF($J11="","",IFERROR(INDEX(DriverRank,MATCH($J11,DriverList,0)),99))</f>
        <v/>
      </c>
      <c r="M11" s="22"/>
      <c r="N11" s="22"/>
      <c r="O11" s="19" t="str">
        <f aca="false">IF($D11="","",INDEX(GradeBasic,MATCH($D11,GradeList,0))+INDEX(GradeHousing,MATCH($D11,GradeList,0))+INDEX(GradeTransport,MATCH($D11,GradeList,0))+INDEX(GradeBasic,MATCH($D11,GradeList,0))*INDEX(GradeBonus,MATCH($D11,GradeList,0))+(INDEX(GradeBasic,MATCH($D11,GradeList,0))+INDEX(GradeHousing,MATCH($D11,GradeList,0)))*IF($F11="Saudi",GosiSaudi,GosiOther))</f>
        <v/>
      </c>
      <c r="P11" s="19" t="str">
        <f aca="false">IF($D11="","",IF(INDEX(GradeRank,MATCH($D11,GradeList,0))&gt;=INDEX(GradeRank,MATCH("G14",GradeList,0)),OneOffSenior,OneOffJunior))</f>
        <v/>
      </c>
      <c r="Q11" s="19" t="str">
        <f aca="false">IF(OR($D11="",$I11="",$H11=""),"",$O11*$H11*(5-MATCH($I11,{"Q1";"Q2";"Q3";"Q4"},0))/4+$P11*$H11)</f>
        <v/>
      </c>
      <c r="R11" s="19" t="str">
        <f aca="false">IF($O11="","",$O11*$H11)</f>
        <v/>
      </c>
      <c r="S11" s="32" t="str">
        <f aca="false">IF(COUNTA($B11:$J11)+COUNTA($M11:$N11)=0,"",MID(IF($B11="",", unit","")&amp;IF($C11="",", job title","")&amp;IF($D11="",", grade","")&amp;IF($E11="",", workforce type","")&amp;IF($F11="",", Saudi basis","")&amp;IF($G11="",", nature","")&amp;IF(N($H11)&lt;=0,", FTE","")&amp;IF($I11="",", start quarter","")&amp;IF($J11="",", driver","")&amp;IF($M11="",", alternatives",""),3,300))</f>
        <v/>
      </c>
      <c r="T11" s="17" t="str">
        <f aca="false">IF($S11="","",COUNTIF($S$6:$S11,"?*"))</f>
        <v/>
      </c>
    </row>
    <row r="12" customFormat="false" ht="15" hidden="false" customHeight="false" outlineLevel="0" collapsed="false">
      <c r="A12" s="17" t="n">
        <v>7</v>
      </c>
      <c r="B12" s="22"/>
      <c r="C12" s="22"/>
      <c r="D12" s="22"/>
      <c r="E12" s="22"/>
      <c r="F12" s="22"/>
      <c r="G12" s="22"/>
      <c r="H12" s="25"/>
      <c r="I12" s="22"/>
      <c r="J12" s="22"/>
      <c r="K12" s="31" t="str">
        <f aca="false">IF($J12="","",IFERROR(INDEX(DriverCategory,MATCH($J12,DriverList,0)),"?"))</f>
        <v/>
      </c>
      <c r="L12" s="31" t="str">
        <f aca="false">IF($J12="","",IFERROR(INDEX(DriverRank,MATCH($J12,DriverList,0)),99))</f>
        <v/>
      </c>
      <c r="M12" s="22"/>
      <c r="N12" s="22"/>
      <c r="O12" s="19" t="str">
        <f aca="false">IF($D12="","",INDEX(GradeBasic,MATCH($D12,GradeList,0))+INDEX(GradeHousing,MATCH($D12,GradeList,0))+INDEX(GradeTransport,MATCH($D12,GradeList,0))+INDEX(GradeBasic,MATCH($D12,GradeList,0))*INDEX(GradeBonus,MATCH($D12,GradeList,0))+(INDEX(GradeBasic,MATCH($D12,GradeList,0))+INDEX(GradeHousing,MATCH($D12,GradeList,0)))*IF($F12="Saudi",GosiSaudi,GosiOther))</f>
        <v/>
      </c>
      <c r="P12" s="19" t="str">
        <f aca="false">IF($D12="","",IF(INDEX(GradeRank,MATCH($D12,GradeList,0))&gt;=INDEX(GradeRank,MATCH("G14",GradeList,0)),OneOffSenior,OneOffJunior))</f>
        <v/>
      </c>
      <c r="Q12" s="19" t="str">
        <f aca="false">IF(OR($D12="",$I12="",$H12=""),"",$O12*$H12*(5-MATCH($I12,{"Q1";"Q2";"Q3";"Q4"},0))/4+$P12*$H12)</f>
        <v/>
      </c>
      <c r="R12" s="19" t="str">
        <f aca="false">IF($O12="","",$O12*$H12)</f>
        <v/>
      </c>
      <c r="S12" s="32" t="str">
        <f aca="false">IF(COUNTA($B12:$J12)+COUNTA($M12:$N12)=0,"",MID(IF($B12="",", unit","")&amp;IF($C12="",", job title","")&amp;IF($D12="",", grade","")&amp;IF($E12="",", workforce type","")&amp;IF($F12="",", Saudi basis","")&amp;IF($G12="",", nature","")&amp;IF(N($H12)&lt;=0,", FTE","")&amp;IF($I12="",", start quarter","")&amp;IF($J12="",", driver","")&amp;IF($M12="",", alternatives",""),3,300))</f>
        <v/>
      </c>
      <c r="T12" s="17" t="str">
        <f aca="false">IF($S12="","",COUNTIF($S$6:$S12,"?*"))</f>
        <v/>
      </c>
    </row>
    <row r="13" customFormat="false" ht="15" hidden="false" customHeight="false" outlineLevel="0" collapsed="false">
      <c r="A13" s="17" t="n">
        <v>8</v>
      </c>
      <c r="B13" s="22"/>
      <c r="C13" s="22"/>
      <c r="D13" s="22"/>
      <c r="E13" s="22"/>
      <c r="F13" s="22"/>
      <c r="G13" s="22"/>
      <c r="H13" s="25"/>
      <c r="I13" s="22"/>
      <c r="J13" s="22"/>
      <c r="K13" s="31" t="str">
        <f aca="false">IF($J13="","",IFERROR(INDEX(DriverCategory,MATCH($J13,DriverList,0)),"?"))</f>
        <v/>
      </c>
      <c r="L13" s="31" t="str">
        <f aca="false">IF($J13="","",IFERROR(INDEX(DriverRank,MATCH($J13,DriverList,0)),99))</f>
        <v/>
      </c>
      <c r="M13" s="22"/>
      <c r="N13" s="22"/>
      <c r="O13" s="19" t="str">
        <f aca="false">IF($D13="","",INDEX(GradeBasic,MATCH($D13,GradeList,0))+INDEX(GradeHousing,MATCH($D13,GradeList,0))+INDEX(GradeTransport,MATCH($D13,GradeList,0))+INDEX(GradeBasic,MATCH($D13,GradeList,0))*INDEX(GradeBonus,MATCH($D13,GradeList,0))+(INDEX(GradeBasic,MATCH($D13,GradeList,0))+INDEX(GradeHousing,MATCH($D13,GradeList,0)))*IF($F13="Saudi",GosiSaudi,GosiOther))</f>
        <v/>
      </c>
      <c r="P13" s="19" t="str">
        <f aca="false">IF($D13="","",IF(INDEX(GradeRank,MATCH($D13,GradeList,0))&gt;=INDEX(GradeRank,MATCH("G14",GradeList,0)),OneOffSenior,OneOffJunior))</f>
        <v/>
      </c>
      <c r="Q13" s="19" t="str">
        <f aca="false">IF(OR($D13="",$I13="",$H13=""),"",$O13*$H13*(5-MATCH($I13,{"Q1";"Q2";"Q3";"Q4"},0))/4+$P13*$H13)</f>
        <v/>
      </c>
      <c r="R13" s="19" t="str">
        <f aca="false">IF($O13="","",$O13*$H13)</f>
        <v/>
      </c>
      <c r="S13" s="32" t="str">
        <f aca="false">IF(COUNTA($B13:$J13)+COUNTA($M13:$N13)=0,"",MID(IF($B13="",", unit","")&amp;IF($C13="",", job title","")&amp;IF($D13="",", grade","")&amp;IF($E13="",", workforce type","")&amp;IF($F13="",", Saudi basis","")&amp;IF($G13="",", nature","")&amp;IF(N($H13)&lt;=0,", FTE","")&amp;IF($I13="",", start quarter","")&amp;IF($J13="",", driver","")&amp;IF($M13="",", alternatives",""),3,300))</f>
        <v/>
      </c>
      <c r="T13" s="17" t="str">
        <f aca="false">IF($S13="","",COUNTIF($S$6:$S13,"?*"))</f>
        <v/>
      </c>
    </row>
    <row r="14" customFormat="false" ht="15" hidden="false" customHeight="false" outlineLevel="0" collapsed="false">
      <c r="A14" s="17" t="n">
        <v>9</v>
      </c>
      <c r="B14" s="22"/>
      <c r="C14" s="22"/>
      <c r="D14" s="22"/>
      <c r="E14" s="22"/>
      <c r="F14" s="22"/>
      <c r="G14" s="22"/>
      <c r="H14" s="25"/>
      <c r="I14" s="22"/>
      <c r="J14" s="22"/>
      <c r="K14" s="31" t="str">
        <f aca="false">IF($J14="","",IFERROR(INDEX(DriverCategory,MATCH($J14,DriverList,0)),"?"))</f>
        <v/>
      </c>
      <c r="L14" s="31" t="str">
        <f aca="false">IF($J14="","",IFERROR(INDEX(DriverRank,MATCH($J14,DriverList,0)),99))</f>
        <v/>
      </c>
      <c r="M14" s="22"/>
      <c r="N14" s="22"/>
      <c r="O14" s="19" t="str">
        <f aca="false">IF($D14="","",INDEX(GradeBasic,MATCH($D14,GradeList,0))+INDEX(GradeHousing,MATCH($D14,GradeList,0))+INDEX(GradeTransport,MATCH($D14,GradeList,0))+INDEX(GradeBasic,MATCH($D14,GradeList,0))*INDEX(GradeBonus,MATCH($D14,GradeList,0))+(INDEX(GradeBasic,MATCH($D14,GradeList,0))+INDEX(GradeHousing,MATCH($D14,GradeList,0)))*IF($F14="Saudi",GosiSaudi,GosiOther))</f>
        <v/>
      </c>
      <c r="P14" s="19" t="str">
        <f aca="false">IF($D14="","",IF(INDEX(GradeRank,MATCH($D14,GradeList,0))&gt;=INDEX(GradeRank,MATCH("G14",GradeList,0)),OneOffSenior,OneOffJunior))</f>
        <v/>
      </c>
      <c r="Q14" s="19" t="str">
        <f aca="false">IF(OR($D14="",$I14="",$H14=""),"",$O14*$H14*(5-MATCH($I14,{"Q1";"Q2";"Q3";"Q4"},0))/4+$P14*$H14)</f>
        <v/>
      </c>
      <c r="R14" s="19" t="str">
        <f aca="false">IF($O14="","",$O14*$H14)</f>
        <v/>
      </c>
      <c r="S14" s="32" t="str">
        <f aca="false">IF(COUNTA($B14:$J14)+COUNTA($M14:$N14)=0,"",MID(IF($B14="",", unit","")&amp;IF($C14="",", job title","")&amp;IF($D14="",", grade","")&amp;IF($E14="",", workforce type","")&amp;IF($F14="",", Saudi basis","")&amp;IF($G14="",", nature","")&amp;IF(N($H14)&lt;=0,", FTE","")&amp;IF($I14="",", start quarter","")&amp;IF($J14="",", driver","")&amp;IF($M14="",", alternatives",""),3,300))</f>
        <v/>
      </c>
      <c r="T14" s="17" t="str">
        <f aca="false">IF($S14="","",COUNTIF($S$6:$S14,"?*"))</f>
        <v/>
      </c>
    </row>
    <row r="15" customFormat="false" ht="15" hidden="false" customHeight="false" outlineLevel="0" collapsed="false">
      <c r="A15" s="17" t="n">
        <v>10</v>
      </c>
      <c r="B15" s="22"/>
      <c r="C15" s="22"/>
      <c r="D15" s="22"/>
      <c r="E15" s="22"/>
      <c r="F15" s="22"/>
      <c r="G15" s="22"/>
      <c r="H15" s="25"/>
      <c r="I15" s="22"/>
      <c r="J15" s="22"/>
      <c r="K15" s="31" t="str">
        <f aca="false">IF($J15="","",IFERROR(INDEX(DriverCategory,MATCH($J15,DriverList,0)),"?"))</f>
        <v/>
      </c>
      <c r="L15" s="31" t="str">
        <f aca="false">IF($J15="","",IFERROR(INDEX(DriverRank,MATCH($J15,DriverList,0)),99))</f>
        <v/>
      </c>
      <c r="M15" s="22"/>
      <c r="N15" s="22"/>
      <c r="O15" s="19" t="str">
        <f aca="false">IF($D15="","",INDEX(GradeBasic,MATCH($D15,GradeList,0))+INDEX(GradeHousing,MATCH($D15,GradeList,0))+INDEX(GradeTransport,MATCH($D15,GradeList,0))+INDEX(GradeBasic,MATCH($D15,GradeList,0))*INDEX(GradeBonus,MATCH($D15,GradeList,0))+(INDEX(GradeBasic,MATCH($D15,GradeList,0))+INDEX(GradeHousing,MATCH($D15,GradeList,0)))*IF($F15="Saudi",GosiSaudi,GosiOther))</f>
        <v/>
      </c>
      <c r="P15" s="19" t="str">
        <f aca="false">IF($D15="","",IF(INDEX(GradeRank,MATCH($D15,GradeList,0))&gt;=INDEX(GradeRank,MATCH("G14",GradeList,0)),OneOffSenior,OneOffJunior))</f>
        <v/>
      </c>
      <c r="Q15" s="19" t="str">
        <f aca="false">IF(OR($D15="",$I15="",$H15=""),"",$O15*$H15*(5-MATCH($I15,{"Q1";"Q2";"Q3";"Q4"},0))/4+$P15*$H15)</f>
        <v/>
      </c>
      <c r="R15" s="19" t="str">
        <f aca="false">IF($O15="","",$O15*$H15)</f>
        <v/>
      </c>
      <c r="S15" s="32" t="str">
        <f aca="false">IF(COUNTA($B15:$J15)+COUNTA($M15:$N15)=0,"",MID(IF($B15="",", unit","")&amp;IF($C15="",", job title","")&amp;IF($D15="",", grade","")&amp;IF($E15="",", workforce type","")&amp;IF($F15="",", Saudi basis","")&amp;IF($G15="",", nature","")&amp;IF(N($H15)&lt;=0,", FTE","")&amp;IF($I15="",", start quarter","")&amp;IF($J15="",", driver","")&amp;IF($M15="",", alternatives",""),3,300))</f>
        <v/>
      </c>
      <c r="T15" s="17" t="str">
        <f aca="false">IF($S15="","",COUNTIF($S$6:$S15,"?*"))</f>
        <v/>
      </c>
    </row>
    <row r="16" customFormat="false" ht="15" hidden="false" customHeight="false" outlineLevel="0" collapsed="false">
      <c r="A16" s="17" t="n">
        <v>11</v>
      </c>
      <c r="B16" s="22"/>
      <c r="C16" s="22"/>
      <c r="D16" s="22"/>
      <c r="E16" s="22"/>
      <c r="F16" s="22"/>
      <c r="G16" s="22"/>
      <c r="H16" s="25"/>
      <c r="I16" s="22"/>
      <c r="J16" s="22"/>
      <c r="K16" s="31" t="str">
        <f aca="false">IF($J16="","",IFERROR(INDEX(DriverCategory,MATCH($J16,DriverList,0)),"?"))</f>
        <v/>
      </c>
      <c r="L16" s="31" t="str">
        <f aca="false">IF($J16="","",IFERROR(INDEX(DriverRank,MATCH($J16,DriverList,0)),99))</f>
        <v/>
      </c>
      <c r="M16" s="22"/>
      <c r="N16" s="22"/>
      <c r="O16" s="19" t="str">
        <f aca="false">IF($D16="","",INDEX(GradeBasic,MATCH($D16,GradeList,0))+INDEX(GradeHousing,MATCH($D16,GradeList,0))+INDEX(GradeTransport,MATCH($D16,GradeList,0))+INDEX(GradeBasic,MATCH($D16,GradeList,0))*INDEX(GradeBonus,MATCH($D16,GradeList,0))+(INDEX(GradeBasic,MATCH($D16,GradeList,0))+INDEX(GradeHousing,MATCH($D16,GradeList,0)))*IF($F16="Saudi",GosiSaudi,GosiOther))</f>
        <v/>
      </c>
      <c r="P16" s="19" t="str">
        <f aca="false">IF($D16="","",IF(INDEX(GradeRank,MATCH($D16,GradeList,0))&gt;=INDEX(GradeRank,MATCH("G14",GradeList,0)),OneOffSenior,OneOffJunior))</f>
        <v/>
      </c>
      <c r="Q16" s="19" t="str">
        <f aca="false">IF(OR($D16="",$I16="",$H16=""),"",$O16*$H16*(5-MATCH($I16,{"Q1";"Q2";"Q3";"Q4"},0))/4+$P16*$H16)</f>
        <v/>
      </c>
      <c r="R16" s="19" t="str">
        <f aca="false">IF($O16="","",$O16*$H16)</f>
        <v/>
      </c>
      <c r="S16" s="32" t="str">
        <f aca="false">IF(COUNTA($B16:$J16)+COUNTA($M16:$N16)=0,"",MID(IF($B16="",", unit","")&amp;IF($C16="",", job title","")&amp;IF($D16="",", grade","")&amp;IF($E16="",", workforce type","")&amp;IF($F16="",", Saudi basis","")&amp;IF($G16="",", nature","")&amp;IF(N($H16)&lt;=0,", FTE","")&amp;IF($I16="",", start quarter","")&amp;IF($J16="",", driver","")&amp;IF($M16="",", alternatives",""),3,300))</f>
        <v/>
      </c>
      <c r="T16" s="17" t="str">
        <f aca="false">IF($S16="","",COUNTIF($S$6:$S16,"?*"))</f>
        <v/>
      </c>
    </row>
    <row r="17" customFormat="false" ht="15" hidden="false" customHeight="false" outlineLevel="0" collapsed="false">
      <c r="A17" s="17" t="n">
        <v>12</v>
      </c>
      <c r="B17" s="22"/>
      <c r="C17" s="22"/>
      <c r="D17" s="22"/>
      <c r="E17" s="22"/>
      <c r="F17" s="22"/>
      <c r="G17" s="22"/>
      <c r="H17" s="25"/>
      <c r="I17" s="22"/>
      <c r="J17" s="22"/>
      <c r="K17" s="31" t="str">
        <f aca="false">IF($J17="","",IFERROR(INDEX(DriverCategory,MATCH($J17,DriverList,0)),"?"))</f>
        <v/>
      </c>
      <c r="L17" s="31" t="str">
        <f aca="false">IF($J17="","",IFERROR(INDEX(DriverRank,MATCH($J17,DriverList,0)),99))</f>
        <v/>
      </c>
      <c r="M17" s="22"/>
      <c r="N17" s="22"/>
      <c r="O17" s="19" t="str">
        <f aca="false">IF($D17="","",INDEX(GradeBasic,MATCH($D17,GradeList,0))+INDEX(GradeHousing,MATCH($D17,GradeList,0))+INDEX(GradeTransport,MATCH($D17,GradeList,0))+INDEX(GradeBasic,MATCH($D17,GradeList,0))*INDEX(GradeBonus,MATCH($D17,GradeList,0))+(INDEX(GradeBasic,MATCH($D17,GradeList,0))+INDEX(GradeHousing,MATCH($D17,GradeList,0)))*IF($F17="Saudi",GosiSaudi,GosiOther))</f>
        <v/>
      </c>
      <c r="P17" s="19" t="str">
        <f aca="false">IF($D17="","",IF(INDEX(GradeRank,MATCH($D17,GradeList,0))&gt;=INDEX(GradeRank,MATCH("G14",GradeList,0)),OneOffSenior,OneOffJunior))</f>
        <v/>
      </c>
      <c r="Q17" s="19" t="str">
        <f aca="false">IF(OR($D17="",$I17="",$H17=""),"",$O17*$H17*(5-MATCH($I17,{"Q1";"Q2";"Q3";"Q4"},0))/4+$P17*$H17)</f>
        <v/>
      </c>
      <c r="R17" s="19" t="str">
        <f aca="false">IF($O17="","",$O17*$H17)</f>
        <v/>
      </c>
      <c r="S17" s="32" t="str">
        <f aca="false">IF(COUNTA($B17:$J17)+COUNTA($M17:$N17)=0,"",MID(IF($B17="",", unit","")&amp;IF($C17="",", job title","")&amp;IF($D17="",", grade","")&amp;IF($E17="",", workforce type","")&amp;IF($F17="",", Saudi basis","")&amp;IF($G17="",", nature","")&amp;IF(N($H17)&lt;=0,", FTE","")&amp;IF($I17="",", start quarter","")&amp;IF($J17="",", driver","")&amp;IF($M17="",", alternatives",""),3,300))</f>
        <v/>
      </c>
      <c r="T17" s="17" t="str">
        <f aca="false">IF($S17="","",COUNTIF($S$6:$S17,"?*"))</f>
        <v/>
      </c>
    </row>
    <row r="18" customFormat="false" ht="15" hidden="false" customHeight="false" outlineLevel="0" collapsed="false">
      <c r="A18" s="17" t="n">
        <v>13</v>
      </c>
      <c r="B18" s="22"/>
      <c r="C18" s="22"/>
      <c r="D18" s="22"/>
      <c r="E18" s="22"/>
      <c r="F18" s="22"/>
      <c r="G18" s="22"/>
      <c r="H18" s="25"/>
      <c r="I18" s="22"/>
      <c r="J18" s="22"/>
      <c r="K18" s="31" t="str">
        <f aca="false">IF($J18="","",IFERROR(INDEX(DriverCategory,MATCH($J18,DriverList,0)),"?"))</f>
        <v/>
      </c>
      <c r="L18" s="31" t="str">
        <f aca="false">IF($J18="","",IFERROR(INDEX(DriverRank,MATCH($J18,DriverList,0)),99))</f>
        <v/>
      </c>
      <c r="M18" s="22"/>
      <c r="N18" s="22"/>
      <c r="O18" s="19" t="str">
        <f aca="false">IF($D18="","",INDEX(GradeBasic,MATCH($D18,GradeList,0))+INDEX(GradeHousing,MATCH($D18,GradeList,0))+INDEX(GradeTransport,MATCH($D18,GradeList,0))+INDEX(GradeBasic,MATCH($D18,GradeList,0))*INDEX(GradeBonus,MATCH($D18,GradeList,0))+(INDEX(GradeBasic,MATCH($D18,GradeList,0))+INDEX(GradeHousing,MATCH($D18,GradeList,0)))*IF($F18="Saudi",GosiSaudi,GosiOther))</f>
        <v/>
      </c>
      <c r="P18" s="19" t="str">
        <f aca="false">IF($D18="","",IF(INDEX(GradeRank,MATCH($D18,GradeList,0))&gt;=INDEX(GradeRank,MATCH("G14",GradeList,0)),OneOffSenior,OneOffJunior))</f>
        <v/>
      </c>
      <c r="Q18" s="19" t="str">
        <f aca="false">IF(OR($D18="",$I18="",$H18=""),"",$O18*$H18*(5-MATCH($I18,{"Q1";"Q2";"Q3";"Q4"},0))/4+$P18*$H18)</f>
        <v/>
      </c>
      <c r="R18" s="19" t="str">
        <f aca="false">IF($O18="","",$O18*$H18)</f>
        <v/>
      </c>
      <c r="S18" s="32" t="str">
        <f aca="false">IF(COUNTA($B18:$J18)+COUNTA($M18:$N18)=0,"",MID(IF($B18="",", unit","")&amp;IF($C18="",", job title","")&amp;IF($D18="",", grade","")&amp;IF($E18="",", workforce type","")&amp;IF($F18="",", Saudi basis","")&amp;IF($G18="",", nature","")&amp;IF(N($H18)&lt;=0,", FTE","")&amp;IF($I18="",", start quarter","")&amp;IF($J18="",", driver","")&amp;IF($M18="",", alternatives",""),3,300))</f>
        <v/>
      </c>
      <c r="T18" s="17" t="str">
        <f aca="false">IF($S18="","",COUNTIF($S$6:$S18,"?*"))</f>
        <v/>
      </c>
    </row>
    <row r="19" customFormat="false" ht="15" hidden="false" customHeight="false" outlineLevel="0" collapsed="false">
      <c r="A19" s="17" t="n">
        <v>14</v>
      </c>
      <c r="B19" s="22"/>
      <c r="C19" s="22"/>
      <c r="D19" s="22"/>
      <c r="E19" s="22"/>
      <c r="F19" s="22"/>
      <c r="G19" s="22"/>
      <c r="H19" s="25"/>
      <c r="I19" s="22"/>
      <c r="J19" s="22"/>
      <c r="K19" s="31" t="str">
        <f aca="false">IF($J19="","",IFERROR(INDEX(DriverCategory,MATCH($J19,DriverList,0)),"?"))</f>
        <v/>
      </c>
      <c r="L19" s="31" t="str">
        <f aca="false">IF($J19="","",IFERROR(INDEX(DriverRank,MATCH($J19,DriverList,0)),99))</f>
        <v/>
      </c>
      <c r="M19" s="22"/>
      <c r="N19" s="22"/>
      <c r="O19" s="19" t="str">
        <f aca="false">IF($D19="","",INDEX(GradeBasic,MATCH($D19,GradeList,0))+INDEX(GradeHousing,MATCH($D19,GradeList,0))+INDEX(GradeTransport,MATCH($D19,GradeList,0))+INDEX(GradeBasic,MATCH($D19,GradeList,0))*INDEX(GradeBonus,MATCH($D19,GradeList,0))+(INDEX(GradeBasic,MATCH($D19,GradeList,0))+INDEX(GradeHousing,MATCH($D19,GradeList,0)))*IF($F19="Saudi",GosiSaudi,GosiOther))</f>
        <v/>
      </c>
      <c r="P19" s="19" t="str">
        <f aca="false">IF($D19="","",IF(INDEX(GradeRank,MATCH($D19,GradeList,0))&gt;=INDEX(GradeRank,MATCH("G14",GradeList,0)),OneOffSenior,OneOffJunior))</f>
        <v/>
      </c>
      <c r="Q19" s="19" t="str">
        <f aca="false">IF(OR($D19="",$I19="",$H19=""),"",$O19*$H19*(5-MATCH($I19,{"Q1";"Q2";"Q3";"Q4"},0))/4+$P19*$H19)</f>
        <v/>
      </c>
      <c r="R19" s="19" t="str">
        <f aca="false">IF($O19="","",$O19*$H19)</f>
        <v/>
      </c>
      <c r="S19" s="32" t="str">
        <f aca="false">IF(COUNTA($B19:$J19)+COUNTA($M19:$N19)=0,"",MID(IF($B19="",", unit","")&amp;IF($C19="",", job title","")&amp;IF($D19="",", grade","")&amp;IF($E19="",", workforce type","")&amp;IF($F19="",", Saudi basis","")&amp;IF($G19="",", nature","")&amp;IF(N($H19)&lt;=0,", FTE","")&amp;IF($I19="",", start quarter","")&amp;IF($J19="",", driver","")&amp;IF($M19="",", alternatives",""),3,300))</f>
        <v/>
      </c>
      <c r="T19" s="17" t="str">
        <f aca="false">IF($S19="","",COUNTIF($S$6:$S19,"?*"))</f>
        <v/>
      </c>
    </row>
    <row r="20" customFormat="false" ht="15" hidden="false" customHeight="false" outlineLevel="0" collapsed="false">
      <c r="A20" s="17" t="n">
        <v>15</v>
      </c>
      <c r="B20" s="22"/>
      <c r="C20" s="22"/>
      <c r="D20" s="22"/>
      <c r="E20" s="22"/>
      <c r="F20" s="22"/>
      <c r="G20" s="22"/>
      <c r="H20" s="25"/>
      <c r="I20" s="22"/>
      <c r="J20" s="22"/>
      <c r="K20" s="31" t="str">
        <f aca="false">IF($J20="","",IFERROR(INDEX(DriverCategory,MATCH($J20,DriverList,0)),"?"))</f>
        <v/>
      </c>
      <c r="L20" s="31" t="str">
        <f aca="false">IF($J20="","",IFERROR(INDEX(DriverRank,MATCH($J20,DriverList,0)),99))</f>
        <v/>
      </c>
      <c r="M20" s="22"/>
      <c r="N20" s="22"/>
      <c r="O20" s="19" t="str">
        <f aca="false">IF($D20="","",INDEX(GradeBasic,MATCH($D20,GradeList,0))+INDEX(GradeHousing,MATCH($D20,GradeList,0))+INDEX(GradeTransport,MATCH($D20,GradeList,0))+INDEX(GradeBasic,MATCH($D20,GradeList,0))*INDEX(GradeBonus,MATCH($D20,GradeList,0))+(INDEX(GradeBasic,MATCH($D20,GradeList,0))+INDEX(GradeHousing,MATCH($D20,GradeList,0)))*IF($F20="Saudi",GosiSaudi,GosiOther))</f>
        <v/>
      </c>
      <c r="P20" s="19" t="str">
        <f aca="false">IF($D20="","",IF(INDEX(GradeRank,MATCH($D20,GradeList,0))&gt;=INDEX(GradeRank,MATCH("G14",GradeList,0)),OneOffSenior,OneOffJunior))</f>
        <v/>
      </c>
      <c r="Q20" s="19" t="str">
        <f aca="false">IF(OR($D20="",$I20="",$H20=""),"",$O20*$H20*(5-MATCH($I20,{"Q1";"Q2";"Q3";"Q4"},0))/4+$P20*$H20)</f>
        <v/>
      </c>
      <c r="R20" s="19" t="str">
        <f aca="false">IF($O20="","",$O20*$H20)</f>
        <v/>
      </c>
      <c r="S20" s="32" t="str">
        <f aca="false">IF(COUNTA($B20:$J20)+COUNTA($M20:$N20)=0,"",MID(IF($B20="",", unit","")&amp;IF($C20="",", job title","")&amp;IF($D20="",", grade","")&amp;IF($E20="",", workforce type","")&amp;IF($F20="",", Saudi basis","")&amp;IF($G20="",", nature","")&amp;IF(N($H20)&lt;=0,", FTE","")&amp;IF($I20="",", start quarter","")&amp;IF($J20="",", driver","")&amp;IF($M20="",", alternatives",""),3,300))</f>
        <v/>
      </c>
      <c r="T20" s="17" t="str">
        <f aca="false">IF($S20="","",COUNTIF($S$6:$S20,"?*"))</f>
        <v/>
      </c>
    </row>
    <row r="21" customFormat="false" ht="15" hidden="false" customHeight="false" outlineLevel="0" collapsed="false">
      <c r="A21" s="17" t="n">
        <v>16</v>
      </c>
      <c r="B21" s="22"/>
      <c r="C21" s="22"/>
      <c r="D21" s="22"/>
      <c r="E21" s="22"/>
      <c r="F21" s="22"/>
      <c r="G21" s="22"/>
      <c r="H21" s="25"/>
      <c r="I21" s="22"/>
      <c r="J21" s="22"/>
      <c r="K21" s="31" t="str">
        <f aca="false">IF($J21="","",IFERROR(INDEX(DriverCategory,MATCH($J21,DriverList,0)),"?"))</f>
        <v/>
      </c>
      <c r="L21" s="31" t="str">
        <f aca="false">IF($J21="","",IFERROR(INDEX(DriverRank,MATCH($J21,DriverList,0)),99))</f>
        <v/>
      </c>
      <c r="M21" s="22"/>
      <c r="N21" s="22"/>
      <c r="O21" s="19" t="str">
        <f aca="false">IF($D21="","",INDEX(GradeBasic,MATCH($D21,GradeList,0))+INDEX(GradeHousing,MATCH($D21,GradeList,0))+INDEX(GradeTransport,MATCH($D21,GradeList,0))+INDEX(GradeBasic,MATCH($D21,GradeList,0))*INDEX(GradeBonus,MATCH($D21,GradeList,0))+(INDEX(GradeBasic,MATCH($D21,GradeList,0))+INDEX(GradeHousing,MATCH($D21,GradeList,0)))*IF($F21="Saudi",GosiSaudi,GosiOther))</f>
        <v/>
      </c>
      <c r="P21" s="19" t="str">
        <f aca="false">IF($D21="","",IF(INDEX(GradeRank,MATCH($D21,GradeList,0))&gt;=INDEX(GradeRank,MATCH("G14",GradeList,0)),OneOffSenior,OneOffJunior))</f>
        <v/>
      </c>
      <c r="Q21" s="19" t="str">
        <f aca="false">IF(OR($D21="",$I21="",$H21=""),"",$O21*$H21*(5-MATCH($I21,{"Q1";"Q2";"Q3";"Q4"},0))/4+$P21*$H21)</f>
        <v/>
      </c>
      <c r="R21" s="19" t="str">
        <f aca="false">IF($O21="","",$O21*$H21)</f>
        <v/>
      </c>
      <c r="S21" s="32" t="str">
        <f aca="false">IF(COUNTA($B21:$J21)+COUNTA($M21:$N21)=0,"",MID(IF($B21="",", unit","")&amp;IF($C21="",", job title","")&amp;IF($D21="",", grade","")&amp;IF($E21="",", workforce type","")&amp;IF($F21="",", Saudi basis","")&amp;IF($G21="",", nature","")&amp;IF(N($H21)&lt;=0,", FTE","")&amp;IF($I21="",", start quarter","")&amp;IF($J21="",", driver","")&amp;IF($M21="",", alternatives",""),3,300))</f>
        <v/>
      </c>
      <c r="T21" s="17" t="str">
        <f aca="false">IF($S21="","",COUNTIF($S$6:$S21,"?*"))</f>
        <v/>
      </c>
    </row>
    <row r="22" customFormat="false" ht="15" hidden="false" customHeight="false" outlineLevel="0" collapsed="false">
      <c r="A22" s="17" t="n">
        <v>17</v>
      </c>
      <c r="B22" s="22"/>
      <c r="C22" s="22"/>
      <c r="D22" s="22"/>
      <c r="E22" s="22"/>
      <c r="F22" s="22"/>
      <c r="G22" s="22"/>
      <c r="H22" s="25"/>
      <c r="I22" s="22"/>
      <c r="J22" s="22"/>
      <c r="K22" s="31" t="str">
        <f aca="false">IF($J22="","",IFERROR(INDEX(DriverCategory,MATCH($J22,DriverList,0)),"?"))</f>
        <v/>
      </c>
      <c r="L22" s="31" t="str">
        <f aca="false">IF($J22="","",IFERROR(INDEX(DriverRank,MATCH($J22,DriverList,0)),99))</f>
        <v/>
      </c>
      <c r="M22" s="22"/>
      <c r="N22" s="22"/>
      <c r="O22" s="19" t="str">
        <f aca="false">IF($D22="","",INDEX(GradeBasic,MATCH($D22,GradeList,0))+INDEX(GradeHousing,MATCH($D22,GradeList,0))+INDEX(GradeTransport,MATCH($D22,GradeList,0))+INDEX(GradeBasic,MATCH($D22,GradeList,0))*INDEX(GradeBonus,MATCH($D22,GradeList,0))+(INDEX(GradeBasic,MATCH($D22,GradeList,0))+INDEX(GradeHousing,MATCH($D22,GradeList,0)))*IF($F22="Saudi",GosiSaudi,GosiOther))</f>
        <v/>
      </c>
      <c r="P22" s="19" t="str">
        <f aca="false">IF($D22="","",IF(INDEX(GradeRank,MATCH($D22,GradeList,0))&gt;=INDEX(GradeRank,MATCH("G14",GradeList,0)),OneOffSenior,OneOffJunior))</f>
        <v/>
      </c>
      <c r="Q22" s="19" t="str">
        <f aca="false">IF(OR($D22="",$I22="",$H22=""),"",$O22*$H22*(5-MATCH($I22,{"Q1";"Q2";"Q3";"Q4"},0))/4+$P22*$H22)</f>
        <v/>
      </c>
      <c r="R22" s="19" t="str">
        <f aca="false">IF($O22="","",$O22*$H22)</f>
        <v/>
      </c>
      <c r="S22" s="32" t="str">
        <f aca="false">IF(COUNTA($B22:$J22)+COUNTA($M22:$N22)=0,"",MID(IF($B22="",", unit","")&amp;IF($C22="",", job title","")&amp;IF($D22="",", grade","")&amp;IF($E22="",", workforce type","")&amp;IF($F22="",", Saudi basis","")&amp;IF($G22="",", nature","")&amp;IF(N($H22)&lt;=0,", FTE","")&amp;IF($I22="",", start quarter","")&amp;IF($J22="",", driver","")&amp;IF($M22="",", alternatives",""),3,300))</f>
        <v/>
      </c>
      <c r="T22" s="17" t="str">
        <f aca="false">IF($S22="","",COUNTIF($S$6:$S22,"?*"))</f>
        <v/>
      </c>
    </row>
    <row r="23" customFormat="false" ht="15" hidden="false" customHeight="false" outlineLevel="0" collapsed="false">
      <c r="A23" s="17" t="n">
        <v>18</v>
      </c>
      <c r="B23" s="22"/>
      <c r="C23" s="22"/>
      <c r="D23" s="22"/>
      <c r="E23" s="22"/>
      <c r="F23" s="22"/>
      <c r="G23" s="22"/>
      <c r="H23" s="25"/>
      <c r="I23" s="22"/>
      <c r="J23" s="22"/>
      <c r="K23" s="31" t="str">
        <f aca="false">IF($J23="","",IFERROR(INDEX(DriverCategory,MATCH($J23,DriverList,0)),"?"))</f>
        <v/>
      </c>
      <c r="L23" s="31" t="str">
        <f aca="false">IF($J23="","",IFERROR(INDEX(DriverRank,MATCH($J23,DriverList,0)),99))</f>
        <v/>
      </c>
      <c r="M23" s="22"/>
      <c r="N23" s="22"/>
      <c r="O23" s="19" t="str">
        <f aca="false">IF($D23="","",INDEX(GradeBasic,MATCH($D23,GradeList,0))+INDEX(GradeHousing,MATCH($D23,GradeList,0))+INDEX(GradeTransport,MATCH($D23,GradeList,0))+INDEX(GradeBasic,MATCH($D23,GradeList,0))*INDEX(GradeBonus,MATCH($D23,GradeList,0))+(INDEX(GradeBasic,MATCH($D23,GradeList,0))+INDEX(GradeHousing,MATCH($D23,GradeList,0)))*IF($F23="Saudi",GosiSaudi,GosiOther))</f>
        <v/>
      </c>
      <c r="P23" s="19" t="str">
        <f aca="false">IF($D23="","",IF(INDEX(GradeRank,MATCH($D23,GradeList,0))&gt;=INDEX(GradeRank,MATCH("G14",GradeList,0)),OneOffSenior,OneOffJunior))</f>
        <v/>
      </c>
      <c r="Q23" s="19" t="str">
        <f aca="false">IF(OR($D23="",$I23="",$H23=""),"",$O23*$H23*(5-MATCH($I23,{"Q1";"Q2";"Q3";"Q4"},0))/4+$P23*$H23)</f>
        <v/>
      </c>
      <c r="R23" s="19" t="str">
        <f aca="false">IF($O23="","",$O23*$H23)</f>
        <v/>
      </c>
      <c r="S23" s="32" t="str">
        <f aca="false">IF(COUNTA($B23:$J23)+COUNTA($M23:$N23)=0,"",MID(IF($B23="",", unit","")&amp;IF($C23="",", job title","")&amp;IF($D23="",", grade","")&amp;IF($E23="",", workforce type","")&amp;IF($F23="",", Saudi basis","")&amp;IF($G23="",", nature","")&amp;IF(N($H23)&lt;=0,", FTE","")&amp;IF($I23="",", start quarter","")&amp;IF($J23="",", driver","")&amp;IF($M23="",", alternatives",""),3,300))</f>
        <v/>
      </c>
      <c r="T23" s="17" t="str">
        <f aca="false">IF($S23="","",COUNTIF($S$6:$S23,"?*"))</f>
        <v/>
      </c>
    </row>
    <row r="24" customFormat="false" ht="15" hidden="false" customHeight="false" outlineLevel="0" collapsed="false">
      <c r="A24" s="17" t="n">
        <v>19</v>
      </c>
      <c r="B24" s="22"/>
      <c r="C24" s="22"/>
      <c r="D24" s="22"/>
      <c r="E24" s="22"/>
      <c r="F24" s="22"/>
      <c r="G24" s="22"/>
      <c r="H24" s="25"/>
      <c r="I24" s="22"/>
      <c r="J24" s="22"/>
      <c r="K24" s="31" t="str">
        <f aca="false">IF($J24="","",IFERROR(INDEX(DriverCategory,MATCH($J24,DriverList,0)),"?"))</f>
        <v/>
      </c>
      <c r="L24" s="31" t="str">
        <f aca="false">IF($J24="","",IFERROR(INDEX(DriverRank,MATCH($J24,DriverList,0)),99))</f>
        <v/>
      </c>
      <c r="M24" s="22"/>
      <c r="N24" s="22"/>
      <c r="O24" s="19" t="str">
        <f aca="false">IF($D24="","",INDEX(GradeBasic,MATCH($D24,GradeList,0))+INDEX(GradeHousing,MATCH($D24,GradeList,0))+INDEX(GradeTransport,MATCH($D24,GradeList,0))+INDEX(GradeBasic,MATCH($D24,GradeList,0))*INDEX(GradeBonus,MATCH($D24,GradeList,0))+(INDEX(GradeBasic,MATCH($D24,GradeList,0))+INDEX(GradeHousing,MATCH($D24,GradeList,0)))*IF($F24="Saudi",GosiSaudi,GosiOther))</f>
        <v/>
      </c>
      <c r="P24" s="19" t="str">
        <f aca="false">IF($D24="","",IF(INDEX(GradeRank,MATCH($D24,GradeList,0))&gt;=INDEX(GradeRank,MATCH("G14",GradeList,0)),OneOffSenior,OneOffJunior))</f>
        <v/>
      </c>
      <c r="Q24" s="19" t="str">
        <f aca="false">IF(OR($D24="",$I24="",$H24=""),"",$O24*$H24*(5-MATCH($I24,{"Q1";"Q2";"Q3";"Q4"},0))/4+$P24*$H24)</f>
        <v/>
      </c>
      <c r="R24" s="19" t="str">
        <f aca="false">IF($O24="","",$O24*$H24)</f>
        <v/>
      </c>
      <c r="S24" s="32" t="str">
        <f aca="false">IF(COUNTA($B24:$J24)+COUNTA($M24:$N24)=0,"",MID(IF($B24="",", unit","")&amp;IF($C24="",", job title","")&amp;IF($D24="",", grade","")&amp;IF($E24="",", workforce type","")&amp;IF($F24="",", Saudi basis","")&amp;IF($G24="",", nature","")&amp;IF(N($H24)&lt;=0,", FTE","")&amp;IF($I24="",", start quarter","")&amp;IF($J24="",", driver","")&amp;IF($M24="",", alternatives",""),3,300))</f>
        <v/>
      </c>
      <c r="T24" s="17" t="str">
        <f aca="false">IF($S24="","",COUNTIF($S$6:$S24,"?*"))</f>
        <v/>
      </c>
    </row>
    <row r="25" customFormat="false" ht="15" hidden="false" customHeight="false" outlineLevel="0" collapsed="false">
      <c r="A25" s="17" t="n">
        <v>20</v>
      </c>
      <c r="B25" s="22"/>
      <c r="C25" s="22"/>
      <c r="D25" s="22"/>
      <c r="E25" s="22"/>
      <c r="F25" s="22"/>
      <c r="G25" s="22"/>
      <c r="H25" s="25"/>
      <c r="I25" s="22"/>
      <c r="J25" s="22"/>
      <c r="K25" s="31" t="str">
        <f aca="false">IF($J25="","",IFERROR(INDEX(DriverCategory,MATCH($J25,DriverList,0)),"?"))</f>
        <v/>
      </c>
      <c r="L25" s="31" t="str">
        <f aca="false">IF($J25="","",IFERROR(INDEX(DriverRank,MATCH($J25,DriverList,0)),99))</f>
        <v/>
      </c>
      <c r="M25" s="22"/>
      <c r="N25" s="22"/>
      <c r="O25" s="19" t="str">
        <f aca="false">IF($D25="","",INDEX(GradeBasic,MATCH($D25,GradeList,0))+INDEX(GradeHousing,MATCH($D25,GradeList,0))+INDEX(GradeTransport,MATCH($D25,GradeList,0))+INDEX(GradeBasic,MATCH($D25,GradeList,0))*INDEX(GradeBonus,MATCH($D25,GradeList,0))+(INDEX(GradeBasic,MATCH($D25,GradeList,0))+INDEX(GradeHousing,MATCH($D25,GradeList,0)))*IF($F25="Saudi",GosiSaudi,GosiOther))</f>
        <v/>
      </c>
      <c r="P25" s="19" t="str">
        <f aca="false">IF($D25="","",IF(INDEX(GradeRank,MATCH($D25,GradeList,0))&gt;=INDEX(GradeRank,MATCH("G14",GradeList,0)),OneOffSenior,OneOffJunior))</f>
        <v/>
      </c>
      <c r="Q25" s="19" t="str">
        <f aca="false">IF(OR($D25="",$I25="",$H25=""),"",$O25*$H25*(5-MATCH($I25,{"Q1";"Q2";"Q3";"Q4"},0))/4+$P25*$H25)</f>
        <v/>
      </c>
      <c r="R25" s="19" t="str">
        <f aca="false">IF($O25="","",$O25*$H25)</f>
        <v/>
      </c>
      <c r="S25" s="32" t="str">
        <f aca="false">IF(COUNTA($B25:$J25)+COUNTA($M25:$N25)=0,"",MID(IF($B25="",", unit","")&amp;IF($C25="",", job title","")&amp;IF($D25="",", grade","")&amp;IF($E25="",", workforce type","")&amp;IF($F25="",", Saudi basis","")&amp;IF($G25="",", nature","")&amp;IF(N($H25)&lt;=0,", FTE","")&amp;IF($I25="",", start quarter","")&amp;IF($J25="",", driver","")&amp;IF($M25="",", alternatives",""),3,300))</f>
        <v/>
      </c>
      <c r="T25" s="17" t="str">
        <f aca="false">IF($S25="","",COUNTIF($S$6:$S25,"?*"))</f>
        <v/>
      </c>
    </row>
    <row r="26" customFormat="false" ht="15" hidden="false" customHeight="false" outlineLevel="0" collapsed="false">
      <c r="A26" s="17" t="n">
        <v>21</v>
      </c>
      <c r="B26" s="22"/>
      <c r="C26" s="22"/>
      <c r="D26" s="22"/>
      <c r="E26" s="22"/>
      <c r="F26" s="22"/>
      <c r="G26" s="22"/>
      <c r="H26" s="25"/>
      <c r="I26" s="22"/>
      <c r="J26" s="22"/>
      <c r="K26" s="31" t="str">
        <f aca="false">IF($J26="","",IFERROR(INDEX(DriverCategory,MATCH($J26,DriverList,0)),"?"))</f>
        <v/>
      </c>
      <c r="L26" s="31" t="str">
        <f aca="false">IF($J26="","",IFERROR(INDEX(DriverRank,MATCH($J26,DriverList,0)),99))</f>
        <v/>
      </c>
      <c r="M26" s="22"/>
      <c r="N26" s="22"/>
      <c r="O26" s="19" t="str">
        <f aca="false">IF($D26="","",INDEX(GradeBasic,MATCH($D26,GradeList,0))+INDEX(GradeHousing,MATCH($D26,GradeList,0))+INDEX(GradeTransport,MATCH($D26,GradeList,0))+INDEX(GradeBasic,MATCH($D26,GradeList,0))*INDEX(GradeBonus,MATCH($D26,GradeList,0))+(INDEX(GradeBasic,MATCH($D26,GradeList,0))+INDEX(GradeHousing,MATCH($D26,GradeList,0)))*IF($F26="Saudi",GosiSaudi,GosiOther))</f>
        <v/>
      </c>
      <c r="P26" s="19" t="str">
        <f aca="false">IF($D26="","",IF(INDEX(GradeRank,MATCH($D26,GradeList,0))&gt;=INDEX(GradeRank,MATCH("G14",GradeList,0)),OneOffSenior,OneOffJunior))</f>
        <v/>
      </c>
      <c r="Q26" s="19" t="str">
        <f aca="false">IF(OR($D26="",$I26="",$H26=""),"",$O26*$H26*(5-MATCH($I26,{"Q1";"Q2";"Q3";"Q4"},0))/4+$P26*$H26)</f>
        <v/>
      </c>
      <c r="R26" s="19" t="str">
        <f aca="false">IF($O26="","",$O26*$H26)</f>
        <v/>
      </c>
      <c r="S26" s="32" t="str">
        <f aca="false">IF(COUNTA($B26:$J26)+COUNTA($M26:$N26)=0,"",MID(IF($B26="",", unit","")&amp;IF($C26="",", job title","")&amp;IF($D26="",", grade","")&amp;IF($E26="",", workforce type","")&amp;IF($F26="",", Saudi basis","")&amp;IF($G26="",", nature","")&amp;IF(N($H26)&lt;=0,", FTE","")&amp;IF($I26="",", start quarter","")&amp;IF($J26="",", driver","")&amp;IF($M26="",", alternatives",""),3,300))</f>
        <v/>
      </c>
      <c r="T26" s="17" t="str">
        <f aca="false">IF($S26="","",COUNTIF($S$6:$S26,"?*"))</f>
        <v/>
      </c>
    </row>
    <row r="27" customFormat="false" ht="15" hidden="false" customHeight="false" outlineLevel="0" collapsed="false">
      <c r="A27" s="17" t="n">
        <v>22</v>
      </c>
      <c r="B27" s="22"/>
      <c r="C27" s="22"/>
      <c r="D27" s="22"/>
      <c r="E27" s="22"/>
      <c r="F27" s="22"/>
      <c r="G27" s="22"/>
      <c r="H27" s="25"/>
      <c r="I27" s="22"/>
      <c r="J27" s="22"/>
      <c r="K27" s="31" t="str">
        <f aca="false">IF($J27="","",IFERROR(INDEX(DriverCategory,MATCH($J27,DriverList,0)),"?"))</f>
        <v/>
      </c>
      <c r="L27" s="31" t="str">
        <f aca="false">IF($J27="","",IFERROR(INDEX(DriverRank,MATCH($J27,DriverList,0)),99))</f>
        <v/>
      </c>
      <c r="M27" s="22"/>
      <c r="N27" s="22"/>
      <c r="O27" s="19" t="str">
        <f aca="false">IF($D27="","",INDEX(GradeBasic,MATCH($D27,GradeList,0))+INDEX(GradeHousing,MATCH($D27,GradeList,0))+INDEX(GradeTransport,MATCH($D27,GradeList,0))+INDEX(GradeBasic,MATCH($D27,GradeList,0))*INDEX(GradeBonus,MATCH($D27,GradeList,0))+(INDEX(GradeBasic,MATCH($D27,GradeList,0))+INDEX(GradeHousing,MATCH($D27,GradeList,0)))*IF($F27="Saudi",GosiSaudi,GosiOther))</f>
        <v/>
      </c>
      <c r="P27" s="19" t="str">
        <f aca="false">IF($D27="","",IF(INDEX(GradeRank,MATCH($D27,GradeList,0))&gt;=INDEX(GradeRank,MATCH("G14",GradeList,0)),OneOffSenior,OneOffJunior))</f>
        <v/>
      </c>
      <c r="Q27" s="19" t="str">
        <f aca="false">IF(OR($D27="",$I27="",$H27=""),"",$O27*$H27*(5-MATCH($I27,{"Q1";"Q2";"Q3";"Q4"},0))/4+$P27*$H27)</f>
        <v/>
      </c>
      <c r="R27" s="19" t="str">
        <f aca="false">IF($O27="","",$O27*$H27)</f>
        <v/>
      </c>
      <c r="S27" s="32" t="str">
        <f aca="false">IF(COUNTA($B27:$J27)+COUNTA($M27:$N27)=0,"",MID(IF($B27="",", unit","")&amp;IF($C27="",", job title","")&amp;IF($D27="",", grade","")&amp;IF($E27="",", workforce type","")&amp;IF($F27="",", Saudi basis","")&amp;IF($G27="",", nature","")&amp;IF(N($H27)&lt;=0,", FTE","")&amp;IF($I27="",", start quarter","")&amp;IF($J27="",", driver","")&amp;IF($M27="",", alternatives",""),3,300))</f>
        <v/>
      </c>
      <c r="T27" s="17" t="str">
        <f aca="false">IF($S27="","",COUNTIF($S$6:$S27,"?*"))</f>
        <v/>
      </c>
    </row>
    <row r="28" customFormat="false" ht="15" hidden="false" customHeight="false" outlineLevel="0" collapsed="false">
      <c r="A28" s="17" t="n">
        <v>23</v>
      </c>
      <c r="B28" s="22"/>
      <c r="C28" s="22"/>
      <c r="D28" s="22"/>
      <c r="E28" s="22"/>
      <c r="F28" s="22"/>
      <c r="G28" s="22"/>
      <c r="H28" s="25"/>
      <c r="I28" s="22"/>
      <c r="J28" s="22"/>
      <c r="K28" s="31" t="str">
        <f aca="false">IF($J28="","",IFERROR(INDEX(DriverCategory,MATCH($J28,DriverList,0)),"?"))</f>
        <v/>
      </c>
      <c r="L28" s="31" t="str">
        <f aca="false">IF($J28="","",IFERROR(INDEX(DriverRank,MATCH($J28,DriverList,0)),99))</f>
        <v/>
      </c>
      <c r="M28" s="22"/>
      <c r="N28" s="22"/>
      <c r="O28" s="19" t="str">
        <f aca="false">IF($D28="","",INDEX(GradeBasic,MATCH($D28,GradeList,0))+INDEX(GradeHousing,MATCH($D28,GradeList,0))+INDEX(GradeTransport,MATCH($D28,GradeList,0))+INDEX(GradeBasic,MATCH($D28,GradeList,0))*INDEX(GradeBonus,MATCH($D28,GradeList,0))+(INDEX(GradeBasic,MATCH($D28,GradeList,0))+INDEX(GradeHousing,MATCH($D28,GradeList,0)))*IF($F28="Saudi",GosiSaudi,GosiOther))</f>
        <v/>
      </c>
      <c r="P28" s="19" t="str">
        <f aca="false">IF($D28="","",IF(INDEX(GradeRank,MATCH($D28,GradeList,0))&gt;=INDEX(GradeRank,MATCH("G14",GradeList,0)),OneOffSenior,OneOffJunior))</f>
        <v/>
      </c>
      <c r="Q28" s="19" t="str">
        <f aca="false">IF(OR($D28="",$I28="",$H28=""),"",$O28*$H28*(5-MATCH($I28,{"Q1";"Q2";"Q3";"Q4"},0))/4+$P28*$H28)</f>
        <v/>
      </c>
      <c r="R28" s="19" t="str">
        <f aca="false">IF($O28="","",$O28*$H28)</f>
        <v/>
      </c>
      <c r="S28" s="32" t="str">
        <f aca="false">IF(COUNTA($B28:$J28)+COUNTA($M28:$N28)=0,"",MID(IF($B28="",", unit","")&amp;IF($C28="",", job title","")&amp;IF($D28="",", grade","")&amp;IF($E28="",", workforce type","")&amp;IF($F28="",", Saudi basis","")&amp;IF($G28="",", nature","")&amp;IF(N($H28)&lt;=0,", FTE","")&amp;IF($I28="",", start quarter","")&amp;IF($J28="",", driver","")&amp;IF($M28="",", alternatives",""),3,300))</f>
        <v/>
      </c>
      <c r="T28" s="17" t="str">
        <f aca="false">IF($S28="","",COUNTIF($S$6:$S28,"?*"))</f>
        <v/>
      </c>
    </row>
    <row r="29" customFormat="false" ht="15" hidden="false" customHeight="false" outlineLevel="0" collapsed="false">
      <c r="A29" s="17" t="n">
        <v>24</v>
      </c>
      <c r="B29" s="22"/>
      <c r="C29" s="22"/>
      <c r="D29" s="22"/>
      <c r="E29" s="22"/>
      <c r="F29" s="22"/>
      <c r="G29" s="22"/>
      <c r="H29" s="25"/>
      <c r="I29" s="22"/>
      <c r="J29" s="22"/>
      <c r="K29" s="31" t="str">
        <f aca="false">IF($J29="","",IFERROR(INDEX(DriverCategory,MATCH($J29,DriverList,0)),"?"))</f>
        <v/>
      </c>
      <c r="L29" s="31" t="str">
        <f aca="false">IF($J29="","",IFERROR(INDEX(DriverRank,MATCH($J29,DriverList,0)),99))</f>
        <v/>
      </c>
      <c r="M29" s="22"/>
      <c r="N29" s="22"/>
      <c r="O29" s="19" t="str">
        <f aca="false">IF($D29="","",INDEX(GradeBasic,MATCH($D29,GradeList,0))+INDEX(GradeHousing,MATCH($D29,GradeList,0))+INDEX(GradeTransport,MATCH($D29,GradeList,0))+INDEX(GradeBasic,MATCH($D29,GradeList,0))*INDEX(GradeBonus,MATCH($D29,GradeList,0))+(INDEX(GradeBasic,MATCH($D29,GradeList,0))+INDEX(GradeHousing,MATCH($D29,GradeList,0)))*IF($F29="Saudi",GosiSaudi,GosiOther))</f>
        <v/>
      </c>
      <c r="P29" s="19" t="str">
        <f aca="false">IF($D29="","",IF(INDEX(GradeRank,MATCH($D29,GradeList,0))&gt;=INDEX(GradeRank,MATCH("G14",GradeList,0)),OneOffSenior,OneOffJunior))</f>
        <v/>
      </c>
      <c r="Q29" s="19" t="str">
        <f aca="false">IF(OR($D29="",$I29="",$H29=""),"",$O29*$H29*(5-MATCH($I29,{"Q1";"Q2";"Q3";"Q4"},0))/4+$P29*$H29)</f>
        <v/>
      </c>
      <c r="R29" s="19" t="str">
        <f aca="false">IF($O29="","",$O29*$H29)</f>
        <v/>
      </c>
      <c r="S29" s="32" t="str">
        <f aca="false">IF(COUNTA($B29:$J29)+COUNTA($M29:$N29)=0,"",MID(IF($B29="",", unit","")&amp;IF($C29="",", job title","")&amp;IF($D29="",", grade","")&amp;IF($E29="",", workforce type","")&amp;IF($F29="",", Saudi basis","")&amp;IF($G29="",", nature","")&amp;IF(N($H29)&lt;=0,", FTE","")&amp;IF($I29="",", start quarter","")&amp;IF($J29="",", driver","")&amp;IF($M29="",", alternatives",""),3,300))</f>
        <v/>
      </c>
      <c r="T29" s="17" t="str">
        <f aca="false">IF($S29="","",COUNTIF($S$6:$S29,"?*"))</f>
        <v/>
      </c>
    </row>
    <row r="30" customFormat="false" ht="15" hidden="false" customHeight="false" outlineLevel="0" collapsed="false">
      <c r="A30" s="17" t="n">
        <v>25</v>
      </c>
      <c r="B30" s="22"/>
      <c r="C30" s="22"/>
      <c r="D30" s="22"/>
      <c r="E30" s="22"/>
      <c r="F30" s="22"/>
      <c r="G30" s="22"/>
      <c r="H30" s="25"/>
      <c r="I30" s="22"/>
      <c r="J30" s="22"/>
      <c r="K30" s="31" t="str">
        <f aca="false">IF($J30="","",IFERROR(INDEX(DriverCategory,MATCH($J30,DriverList,0)),"?"))</f>
        <v/>
      </c>
      <c r="L30" s="31" t="str">
        <f aca="false">IF($J30="","",IFERROR(INDEX(DriverRank,MATCH($J30,DriverList,0)),99))</f>
        <v/>
      </c>
      <c r="M30" s="22"/>
      <c r="N30" s="22"/>
      <c r="O30" s="19" t="str">
        <f aca="false">IF($D30="","",INDEX(GradeBasic,MATCH($D30,GradeList,0))+INDEX(GradeHousing,MATCH($D30,GradeList,0))+INDEX(GradeTransport,MATCH($D30,GradeList,0))+INDEX(GradeBasic,MATCH($D30,GradeList,0))*INDEX(GradeBonus,MATCH($D30,GradeList,0))+(INDEX(GradeBasic,MATCH($D30,GradeList,0))+INDEX(GradeHousing,MATCH($D30,GradeList,0)))*IF($F30="Saudi",GosiSaudi,GosiOther))</f>
        <v/>
      </c>
      <c r="P30" s="19" t="str">
        <f aca="false">IF($D30="","",IF(INDEX(GradeRank,MATCH($D30,GradeList,0))&gt;=INDEX(GradeRank,MATCH("G14",GradeList,0)),OneOffSenior,OneOffJunior))</f>
        <v/>
      </c>
      <c r="Q30" s="19" t="str">
        <f aca="false">IF(OR($D30="",$I30="",$H30=""),"",$O30*$H30*(5-MATCH($I30,{"Q1";"Q2";"Q3";"Q4"},0))/4+$P30*$H30)</f>
        <v/>
      </c>
      <c r="R30" s="19" t="str">
        <f aca="false">IF($O30="","",$O30*$H30)</f>
        <v/>
      </c>
      <c r="S30" s="32" t="str">
        <f aca="false">IF(COUNTA($B30:$J30)+COUNTA($M30:$N30)=0,"",MID(IF($B30="",", unit","")&amp;IF($C30="",", job title","")&amp;IF($D30="",", grade","")&amp;IF($E30="",", workforce type","")&amp;IF($F30="",", Saudi basis","")&amp;IF($G30="",", nature","")&amp;IF(N($H30)&lt;=0,", FTE","")&amp;IF($I30="",", start quarter","")&amp;IF($J30="",", driver","")&amp;IF($M30="",", alternatives",""),3,300))</f>
        <v/>
      </c>
      <c r="T30" s="17" t="str">
        <f aca="false">IF($S30="","",COUNTIF($S$6:$S30,"?*"))</f>
        <v/>
      </c>
    </row>
    <row r="31" customFormat="false" ht="15" hidden="false" customHeight="false" outlineLevel="0" collapsed="false">
      <c r="A31" s="17" t="n">
        <v>26</v>
      </c>
      <c r="B31" s="22"/>
      <c r="C31" s="22"/>
      <c r="D31" s="22"/>
      <c r="E31" s="22"/>
      <c r="F31" s="22"/>
      <c r="G31" s="22"/>
      <c r="H31" s="25"/>
      <c r="I31" s="22"/>
      <c r="J31" s="22"/>
      <c r="K31" s="31" t="str">
        <f aca="false">IF($J31="","",IFERROR(INDEX(DriverCategory,MATCH($J31,DriverList,0)),"?"))</f>
        <v/>
      </c>
      <c r="L31" s="31" t="str">
        <f aca="false">IF($J31="","",IFERROR(INDEX(DriverRank,MATCH($J31,DriverList,0)),99))</f>
        <v/>
      </c>
      <c r="M31" s="22"/>
      <c r="N31" s="22"/>
      <c r="O31" s="19" t="str">
        <f aca="false">IF($D31="","",INDEX(GradeBasic,MATCH($D31,GradeList,0))+INDEX(GradeHousing,MATCH($D31,GradeList,0))+INDEX(GradeTransport,MATCH($D31,GradeList,0))+INDEX(GradeBasic,MATCH($D31,GradeList,0))*INDEX(GradeBonus,MATCH($D31,GradeList,0))+(INDEX(GradeBasic,MATCH($D31,GradeList,0))+INDEX(GradeHousing,MATCH($D31,GradeList,0)))*IF($F31="Saudi",GosiSaudi,GosiOther))</f>
        <v/>
      </c>
      <c r="P31" s="19" t="str">
        <f aca="false">IF($D31="","",IF(INDEX(GradeRank,MATCH($D31,GradeList,0))&gt;=INDEX(GradeRank,MATCH("G14",GradeList,0)),OneOffSenior,OneOffJunior))</f>
        <v/>
      </c>
      <c r="Q31" s="19" t="str">
        <f aca="false">IF(OR($D31="",$I31="",$H31=""),"",$O31*$H31*(5-MATCH($I31,{"Q1";"Q2";"Q3";"Q4"},0))/4+$P31*$H31)</f>
        <v/>
      </c>
      <c r="R31" s="19" t="str">
        <f aca="false">IF($O31="","",$O31*$H31)</f>
        <v/>
      </c>
      <c r="S31" s="32" t="str">
        <f aca="false">IF(COUNTA($B31:$J31)+COUNTA($M31:$N31)=0,"",MID(IF($B31="",", unit","")&amp;IF($C31="",", job title","")&amp;IF($D31="",", grade","")&amp;IF($E31="",", workforce type","")&amp;IF($F31="",", Saudi basis","")&amp;IF($G31="",", nature","")&amp;IF(N($H31)&lt;=0,", FTE","")&amp;IF($I31="",", start quarter","")&amp;IF($J31="",", driver","")&amp;IF($M31="",", alternatives",""),3,300))</f>
        <v/>
      </c>
      <c r="T31" s="17" t="str">
        <f aca="false">IF($S31="","",COUNTIF($S$6:$S31,"?*"))</f>
        <v/>
      </c>
    </row>
    <row r="32" customFormat="false" ht="15" hidden="false" customHeight="false" outlineLevel="0" collapsed="false">
      <c r="A32" s="17" t="n">
        <v>27</v>
      </c>
      <c r="B32" s="22"/>
      <c r="C32" s="22"/>
      <c r="D32" s="22"/>
      <c r="E32" s="22"/>
      <c r="F32" s="22"/>
      <c r="G32" s="22"/>
      <c r="H32" s="25"/>
      <c r="I32" s="22"/>
      <c r="J32" s="22"/>
      <c r="K32" s="31" t="str">
        <f aca="false">IF($J32="","",IFERROR(INDEX(DriverCategory,MATCH($J32,DriverList,0)),"?"))</f>
        <v/>
      </c>
      <c r="L32" s="31" t="str">
        <f aca="false">IF($J32="","",IFERROR(INDEX(DriverRank,MATCH($J32,DriverList,0)),99))</f>
        <v/>
      </c>
      <c r="M32" s="22"/>
      <c r="N32" s="22"/>
      <c r="O32" s="19" t="str">
        <f aca="false">IF($D32="","",INDEX(GradeBasic,MATCH($D32,GradeList,0))+INDEX(GradeHousing,MATCH($D32,GradeList,0))+INDEX(GradeTransport,MATCH($D32,GradeList,0))+INDEX(GradeBasic,MATCH($D32,GradeList,0))*INDEX(GradeBonus,MATCH($D32,GradeList,0))+(INDEX(GradeBasic,MATCH($D32,GradeList,0))+INDEX(GradeHousing,MATCH($D32,GradeList,0)))*IF($F32="Saudi",GosiSaudi,GosiOther))</f>
        <v/>
      </c>
      <c r="P32" s="19" t="str">
        <f aca="false">IF($D32="","",IF(INDEX(GradeRank,MATCH($D32,GradeList,0))&gt;=INDEX(GradeRank,MATCH("G14",GradeList,0)),OneOffSenior,OneOffJunior))</f>
        <v/>
      </c>
      <c r="Q32" s="19" t="str">
        <f aca="false">IF(OR($D32="",$I32="",$H32=""),"",$O32*$H32*(5-MATCH($I32,{"Q1";"Q2";"Q3";"Q4"},0))/4+$P32*$H32)</f>
        <v/>
      </c>
      <c r="R32" s="19" t="str">
        <f aca="false">IF($O32="","",$O32*$H32)</f>
        <v/>
      </c>
      <c r="S32" s="32" t="str">
        <f aca="false">IF(COUNTA($B32:$J32)+COUNTA($M32:$N32)=0,"",MID(IF($B32="",", unit","")&amp;IF($C32="",", job title","")&amp;IF($D32="",", grade","")&amp;IF($E32="",", workforce type","")&amp;IF($F32="",", Saudi basis","")&amp;IF($G32="",", nature","")&amp;IF(N($H32)&lt;=0,", FTE","")&amp;IF($I32="",", start quarter","")&amp;IF($J32="",", driver","")&amp;IF($M32="",", alternatives",""),3,300))</f>
        <v/>
      </c>
      <c r="T32" s="17" t="str">
        <f aca="false">IF($S32="","",COUNTIF($S$6:$S32,"?*"))</f>
        <v/>
      </c>
    </row>
    <row r="33" customFormat="false" ht="15" hidden="false" customHeight="false" outlineLevel="0" collapsed="false">
      <c r="A33" s="17" t="n">
        <v>28</v>
      </c>
      <c r="B33" s="22"/>
      <c r="C33" s="22"/>
      <c r="D33" s="22"/>
      <c r="E33" s="22"/>
      <c r="F33" s="22"/>
      <c r="G33" s="22"/>
      <c r="H33" s="25"/>
      <c r="I33" s="22"/>
      <c r="J33" s="22"/>
      <c r="K33" s="31" t="str">
        <f aca="false">IF($J33="","",IFERROR(INDEX(DriverCategory,MATCH($J33,DriverList,0)),"?"))</f>
        <v/>
      </c>
      <c r="L33" s="31" t="str">
        <f aca="false">IF($J33="","",IFERROR(INDEX(DriverRank,MATCH($J33,DriverList,0)),99))</f>
        <v/>
      </c>
      <c r="M33" s="22"/>
      <c r="N33" s="22"/>
      <c r="O33" s="19" t="str">
        <f aca="false">IF($D33="","",INDEX(GradeBasic,MATCH($D33,GradeList,0))+INDEX(GradeHousing,MATCH($D33,GradeList,0))+INDEX(GradeTransport,MATCH($D33,GradeList,0))+INDEX(GradeBasic,MATCH($D33,GradeList,0))*INDEX(GradeBonus,MATCH($D33,GradeList,0))+(INDEX(GradeBasic,MATCH($D33,GradeList,0))+INDEX(GradeHousing,MATCH($D33,GradeList,0)))*IF($F33="Saudi",GosiSaudi,GosiOther))</f>
        <v/>
      </c>
      <c r="P33" s="19" t="str">
        <f aca="false">IF($D33="","",IF(INDEX(GradeRank,MATCH($D33,GradeList,0))&gt;=INDEX(GradeRank,MATCH("G14",GradeList,0)),OneOffSenior,OneOffJunior))</f>
        <v/>
      </c>
      <c r="Q33" s="19" t="str">
        <f aca="false">IF(OR($D33="",$I33="",$H33=""),"",$O33*$H33*(5-MATCH($I33,{"Q1";"Q2";"Q3";"Q4"},0))/4+$P33*$H33)</f>
        <v/>
      </c>
      <c r="R33" s="19" t="str">
        <f aca="false">IF($O33="","",$O33*$H33)</f>
        <v/>
      </c>
      <c r="S33" s="32" t="str">
        <f aca="false">IF(COUNTA($B33:$J33)+COUNTA($M33:$N33)=0,"",MID(IF($B33="",", unit","")&amp;IF($C33="",", job title","")&amp;IF($D33="",", grade","")&amp;IF($E33="",", workforce type","")&amp;IF($F33="",", Saudi basis","")&amp;IF($G33="",", nature","")&amp;IF(N($H33)&lt;=0,", FTE","")&amp;IF($I33="",", start quarter","")&amp;IF($J33="",", driver","")&amp;IF($M33="",", alternatives",""),3,300))</f>
        <v/>
      </c>
      <c r="T33" s="17" t="str">
        <f aca="false">IF($S33="","",COUNTIF($S$6:$S33,"?*"))</f>
        <v/>
      </c>
    </row>
    <row r="34" customFormat="false" ht="15" hidden="false" customHeight="false" outlineLevel="0" collapsed="false">
      <c r="A34" s="17" t="n">
        <v>29</v>
      </c>
      <c r="B34" s="22"/>
      <c r="C34" s="22"/>
      <c r="D34" s="22"/>
      <c r="E34" s="22"/>
      <c r="F34" s="22"/>
      <c r="G34" s="22"/>
      <c r="H34" s="25"/>
      <c r="I34" s="22"/>
      <c r="J34" s="22"/>
      <c r="K34" s="31" t="str">
        <f aca="false">IF($J34="","",IFERROR(INDEX(DriverCategory,MATCH($J34,DriverList,0)),"?"))</f>
        <v/>
      </c>
      <c r="L34" s="31" t="str">
        <f aca="false">IF($J34="","",IFERROR(INDEX(DriverRank,MATCH($J34,DriverList,0)),99))</f>
        <v/>
      </c>
      <c r="M34" s="22"/>
      <c r="N34" s="22"/>
      <c r="O34" s="19" t="str">
        <f aca="false">IF($D34="","",INDEX(GradeBasic,MATCH($D34,GradeList,0))+INDEX(GradeHousing,MATCH($D34,GradeList,0))+INDEX(GradeTransport,MATCH($D34,GradeList,0))+INDEX(GradeBasic,MATCH($D34,GradeList,0))*INDEX(GradeBonus,MATCH($D34,GradeList,0))+(INDEX(GradeBasic,MATCH($D34,GradeList,0))+INDEX(GradeHousing,MATCH($D34,GradeList,0)))*IF($F34="Saudi",GosiSaudi,GosiOther))</f>
        <v/>
      </c>
      <c r="P34" s="19" t="str">
        <f aca="false">IF($D34="","",IF(INDEX(GradeRank,MATCH($D34,GradeList,0))&gt;=INDEX(GradeRank,MATCH("G14",GradeList,0)),OneOffSenior,OneOffJunior))</f>
        <v/>
      </c>
      <c r="Q34" s="19" t="str">
        <f aca="false">IF(OR($D34="",$I34="",$H34=""),"",$O34*$H34*(5-MATCH($I34,{"Q1";"Q2";"Q3";"Q4"},0))/4+$P34*$H34)</f>
        <v/>
      </c>
      <c r="R34" s="19" t="str">
        <f aca="false">IF($O34="","",$O34*$H34)</f>
        <v/>
      </c>
      <c r="S34" s="32" t="str">
        <f aca="false">IF(COUNTA($B34:$J34)+COUNTA($M34:$N34)=0,"",MID(IF($B34="",", unit","")&amp;IF($C34="",", job title","")&amp;IF($D34="",", grade","")&amp;IF($E34="",", workforce type","")&amp;IF($F34="",", Saudi basis","")&amp;IF($G34="",", nature","")&amp;IF(N($H34)&lt;=0,", FTE","")&amp;IF($I34="",", start quarter","")&amp;IF($J34="",", driver","")&amp;IF($M34="",", alternatives",""),3,300))</f>
        <v/>
      </c>
      <c r="T34" s="17" t="str">
        <f aca="false">IF($S34="","",COUNTIF($S$6:$S34,"?*"))</f>
        <v/>
      </c>
    </row>
    <row r="35" customFormat="false" ht="15" hidden="false" customHeight="false" outlineLevel="0" collapsed="false">
      <c r="A35" s="17" t="n">
        <v>30</v>
      </c>
      <c r="B35" s="22"/>
      <c r="C35" s="22"/>
      <c r="D35" s="22"/>
      <c r="E35" s="22"/>
      <c r="F35" s="22"/>
      <c r="G35" s="22"/>
      <c r="H35" s="25"/>
      <c r="I35" s="22"/>
      <c r="J35" s="22"/>
      <c r="K35" s="31" t="str">
        <f aca="false">IF($J35="","",IFERROR(INDEX(DriverCategory,MATCH($J35,DriverList,0)),"?"))</f>
        <v/>
      </c>
      <c r="L35" s="31" t="str">
        <f aca="false">IF($J35="","",IFERROR(INDEX(DriverRank,MATCH($J35,DriverList,0)),99))</f>
        <v/>
      </c>
      <c r="M35" s="22"/>
      <c r="N35" s="22"/>
      <c r="O35" s="19" t="str">
        <f aca="false">IF($D35="","",INDEX(GradeBasic,MATCH($D35,GradeList,0))+INDEX(GradeHousing,MATCH($D35,GradeList,0))+INDEX(GradeTransport,MATCH($D35,GradeList,0))+INDEX(GradeBasic,MATCH($D35,GradeList,0))*INDEX(GradeBonus,MATCH($D35,GradeList,0))+(INDEX(GradeBasic,MATCH($D35,GradeList,0))+INDEX(GradeHousing,MATCH($D35,GradeList,0)))*IF($F35="Saudi",GosiSaudi,GosiOther))</f>
        <v/>
      </c>
      <c r="P35" s="19" t="str">
        <f aca="false">IF($D35="","",IF(INDEX(GradeRank,MATCH($D35,GradeList,0))&gt;=INDEX(GradeRank,MATCH("G14",GradeList,0)),OneOffSenior,OneOffJunior))</f>
        <v/>
      </c>
      <c r="Q35" s="19" t="str">
        <f aca="false">IF(OR($D35="",$I35="",$H35=""),"",$O35*$H35*(5-MATCH($I35,{"Q1";"Q2";"Q3";"Q4"},0))/4+$P35*$H35)</f>
        <v/>
      </c>
      <c r="R35" s="19" t="str">
        <f aca="false">IF($O35="","",$O35*$H35)</f>
        <v/>
      </c>
      <c r="S35" s="32" t="str">
        <f aca="false">IF(COUNTA($B35:$J35)+COUNTA($M35:$N35)=0,"",MID(IF($B35="",", unit","")&amp;IF($C35="",", job title","")&amp;IF($D35="",", grade","")&amp;IF($E35="",", workforce type","")&amp;IF($F35="",", Saudi basis","")&amp;IF($G35="",", nature","")&amp;IF(N($H35)&lt;=0,", FTE","")&amp;IF($I35="",", start quarter","")&amp;IF($J35="",", driver","")&amp;IF($M35="",", alternatives",""),3,300))</f>
        <v/>
      </c>
      <c r="T35" s="17" t="str">
        <f aca="false">IF($S35="","",COUNTIF($S$6:$S35,"?*"))</f>
        <v/>
      </c>
    </row>
    <row r="36" customFormat="false" ht="15" hidden="false" customHeight="false" outlineLevel="0" collapsed="false">
      <c r="A36" s="17" t="n">
        <v>31</v>
      </c>
      <c r="B36" s="22"/>
      <c r="C36" s="22"/>
      <c r="D36" s="22"/>
      <c r="E36" s="22"/>
      <c r="F36" s="22"/>
      <c r="G36" s="22"/>
      <c r="H36" s="25"/>
      <c r="I36" s="22"/>
      <c r="J36" s="22"/>
      <c r="K36" s="31" t="str">
        <f aca="false">IF($J36="","",IFERROR(INDEX(DriverCategory,MATCH($J36,DriverList,0)),"?"))</f>
        <v/>
      </c>
      <c r="L36" s="31" t="str">
        <f aca="false">IF($J36="","",IFERROR(INDEX(DriverRank,MATCH($J36,DriverList,0)),99))</f>
        <v/>
      </c>
      <c r="M36" s="22"/>
      <c r="N36" s="22"/>
      <c r="O36" s="19" t="str">
        <f aca="false">IF($D36="","",INDEX(GradeBasic,MATCH($D36,GradeList,0))+INDEX(GradeHousing,MATCH($D36,GradeList,0))+INDEX(GradeTransport,MATCH($D36,GradeList,0))+INDEX(GradeBasic,MATCH($D36,GradeList,0))*INDEX(GradeBonus,MATCH($D36,GradeList,0))+(INDEX(GradeBasic,MATCH($D36,GradeList,0))+INDEX(GradeHousing,MATCH($D36,GradeList,0)))*IF($F36="Saudi",GosiSaudi,GosiOther))</f>
        <v/>
      </c>
      <c r="P36" s="19" t="str">
        <f aca="false">IF($D36="","",IF(INDEX(GradeRank,MATCH($D36,GradeList,0))&gt;=INDEX(GradeRank,MATCH("G14",GradeList,0)),OneOffSenior,OneOffJunior))</f>
        <v/>
      </c>
      <c r="Q36" s="19" t="str">
        <f aca="false">IF(OR($D36="",$I36="",$H36=""),"",$O36*$H36*(5-MATCH($I36,{"Q1";"Q2";"Q3";"Q4"},0))/4+$P36*$H36)</f>
        <v/>
      </c>
      <c r="R36" s="19" t="str">
        <f aca="false">IF($O36="","",$O36*$H36)</f>
        <v/>
      </c>
      <c r="S36" s="32" t="str">
        <f aca="false">IF(COUNTA($B36:$J36)+COUNTA($M36:$N36)=0,"",MID(IF($B36="",", unit","")&amp;IF($C36="",", job title","")&amp;IF($D36="",", grade","")&amp;IF($E36="",", workforce type","")&amp;IF($F36="",", Saudi basis","")&amp;IF($G36="",", nature","")&amp;IF(N($H36)&lt;=0,", FTE","")&amp;IF($I36="",", start quarter","")&amp;IF($J36="",", driver","")&amp;IF($M36="",", alternatives",""),3,300))</f>
        <v/>
      </c>
      <c r="T36" s="17" t="str">
        <f aca="false">IF($S36="","",COUNTIF($S$6:$S36,"?*"))</f>
        <v/>
      </c>
    </row>
    <row r="37" customFormat="false" ht="15" hidden="false" customHeight="false" outlineLevel="0" collapsed="false">
      <c r="A37" s="17" t="n">
        <v>32</v>
      </c>
      <c r="B37" s="22"/>
      <c r="C37" s="22"/>
      <c r="D37" s="22"/>
      <c r="E37" s="22"/>
      <c r="F37" s="22"/>
      <c r="G37" s="22"/>
      <c r="H37" s="25"/>
      <c r="I37" s="22"/>
      <c r="J37" s="22"/>
      <c r="K37" s="31" t="str">
        <f aca="false">IF($J37="","",IFERROR(INDEX(DriverCategory,MATCH($J37,DriverList,0)),"?"))</f>
        <v/>
      </c>
      <c r="L37" s="31" t="str">
        <f aca="false">IF($J37="","",IFERROR(INDEX(DriverRank,MATCH($J37,DriverList,0)),99))</f>
        <v/>
      </c>
      <c r="M37" s="22"/>
      <c r="N37" s="22"/>
      <c r="O37" s="19" t="str">
        <f aca="false">IF($D37="","",INDEX(GradeBasic,MATCH($D37,GradeList,0))+INDEX(GradeHousing,MATCH($D37,GradeList,0))+INDEX(GradeTransport,MATCH($D37,GradeList,0))+INDEX(GradeBasic,MATCH($D37,GradeList,0))*INDEX(GradeBonus,MATCH($D37,GradeList,0))+(INDEX(GradeBasic,MATCH($D37,GradeList,0))+INDEX(GradeHousing,MATCH($D37,GradeList,0)))*IF($F37="Saudi",GosiSaudi,GosiOther))</f>
        <v/>
      </c>
      <c r="P37" s="19" t="str">
        <f aca="false">IF($D37="","",IF(INDEX(GradeRank,MATCH($D37,GradeList,0))&gt;=INDEX(GradeRank,MATCH("G14",GradeList,0)),OneOffSenior,OneOffJunior))</f>
        <v/>
      </c>
      <c r="Q37" s="19" t="str">
        <f aca="false">IF(OR($D37="",$I37="",$H37=""),"",$O37*$H37*(5-MATCH($I37,{"Q1";"Q2";"Q3";"Q4"},0))/4+$P37*$H37)</f>
        <v/>
      </c>
      <c r="R37" s="19" t="str">
        <f aca="false">IF($O37="","",$O37*$H37)</f>
        <v/>
      </c>
      <c r="S37" s="32" t="str">
        <f aca="false">IF(COUNTA($B37:$J37)+COUNTA($M37:$N37)=0,"",MID(IF($B37="",", unit","")&amp;IF($C37="",", job title","")&amp;IF($D37="",", grade","")&amp;IF($E37="",", workforce type","")&amp;IF($F37="",", Saudi basis","")&amp;IF($G37="",", nature","")&amp;IF(N($H37)&lt;=0,", FTE","")&amp;IF($I37="",", start quarter","")&amp;IF($J37="",", driver","")&amp;IF($M37="",", alternatives",""),3,300))</f>
        <v/>
      </c>
      <c r="T37" s="17" t="str">
        <f aca="false">IF($S37="","",COUNTIF($S$6:$S37,"?*"))</f>
        <v/>
      </c>
    </row>
    <row r="38" customFormat="false" ht="15" hidden="false" customHeight="false" outlineLevel="0" collapsed="false">
      <c r="A38" s="17" t="n">
        <v>33</v>
      </c>
      <c r="B38" s="22"/>
      <c r="C38" s="22"/>
      <c r="D38" s="22"/>
      <c r="E38" s="22"/>
      <c r="F38" s="22"/>
      <c r="G38" s="22"/>
      <c r="H38" s="25"/>
      <c r="I38" s="22"/>
      <c r="J38" s="22"/>
      <c r="K38" s="31" t="str">
        <f aca="false">IF($J38="","",IFERROR(INDEX(DriverCategory,MATCH($J38,DriverList,0)),"?"))</f>
        <v/>
      </c>
      <c r="L38" s="31" t="str">
        <f aca="false">IF($J38="","",IFERROR(INDEX(DriverRank,MATCH($J38,DriverList,0)),99))</f>
        <v/>
      </c>
      <c r="M38" s="22"/>
      <c r="N38" s="22"/>
      <c r="O38" s="19" t="str">
        <f aca="false">IF($D38="","",INDEX(GradeBasic,MATCH($D38,GradeList,0))+INDEX(GradeHousing,MATCH($D38,GradeList,0))+INDEX(GradeTransport,MATCH($D38,GradeList,0))+INDEX(GradeBasic,MATCH($D38,GradeList,0))*INDEX(GradeBonus,MATCH($D38,GradeList,0))+(INDEX(GradeBasic,MATCH($D38,GradeList,0))+INDEX(GradeHousing,MATCH($D38,GradeList,0)))*IF($F38="Saudi",GosiSaudi,GosiOther))</f>
        <v/>
      </c>
      <c r="P38" s="19" t="str">
        <f aca="false">IF($D38="","",IF(INDEX(GradeRank,MATCH($D38,GradeList,0))&gt;=INDEX(GradeRank,MATCH("G14",GradeList,0)),OneOffSenior,OneOffJunior))</f>
        <v/>
      </c>
      <c r="Q38" s="19" t="str">
        <f aca="false">IF(OR($D38="",$I38="",$H38=""),"",$O38*$H38*(5-MATCH($I38,{"Q1";"Q2";"Q3";"Q4"},0))/4+$P38*$H38)</f>
        <v/>
      </c>
      <c r="R38" s="19" t="str">
        <f aca="false">IF($O38="","",$O38*$H38)</f>
        <v/>
      </c>
      <c r="S38" s="32" t="str">
        <f aca="false">IF(COUNTA($B38:$J38)+COUNTA($M38:$N38)=0,"",MID(IF($B38="",", unit","")&amp;IF($C38="",", job title","")&amp;IF($D38="",", grade","")&amp;IF($E38="",", workforce type","")&amp;IF($F38="",", Saudi basis","")&amp;IF($G38="",", nature","")&amp;IF(N($H38)&lt;=0,", FTE","")&amp;IF($I38="",", start quarter","")&amp;IF($J38="",", driver","")&amp;IF($M38="",", alternatives",""),3,300))</f>
        <v/>
      </c>
      <c r="T38" s="17" t="str">
        <f aca="false">IF($S38="","",COUNTIF($S$6:$S38,"?*"))</f>
        <v/>
      </c>
    </row>
    <row r="39" customFormat="false" ht="15" hidden="false" customHeight="false" outlineLevel="0" collapsed="false">
      <c r="A39" s="17" t="n">
        <v>34</v>
      </c>
      <c r="B39" s="22"/>
      <c r="C39" s="22"/>
      <c r="D39" s="22"/>
      <c r="E39" s="22"/>
      <c r="F39" s="22"/>
      <c r="G39" s="22"/>
      <c r="H39" s="25"/>
      <c r="I39" s="22"/>
      <c r="J39" s="22"/>
      <c r="K39" s="31" t="str">
        <f aca="false">IF($J39="","",IFERROR(INDEX(DriverCategory,MATCH($J39,DriverList,0)),"?"))</f>
        <v/>
      </c>
      <c r="L39" s="31" t="str">
        <f aca="false">IF($J39="","",IFERROR(INDEX(DriverRank,MATCH($J39,DriverList,0)),99))</f>
        <v/>
      </c>
      <c r="M39" s="22"/>
      <c r="N39" s="22"/>
      <c r="O39" s="19" t="str">
        <f aca="false">IF($D39="","",INDEX(GradeBasic,MATCH($D39,GradeList,0))+INDEX(GradeHousing,MATCH($D39,GradeList,0))+INDEX(GradeTransport,MATCH($D39,GradeList,0))+INDEX(GradeBasic,MATCH($D39,GradeList,0))*INDEX(GradeBonus,MATCH($D39,GradeList,0))+(INDEX(GradeBasic,MATCH($D39,GradeList,0))+INDEX(GradeHousing,MATCH($D39,GradeList,0)))*IF($F39="Saudi",GosiSaudi,GosiOther))</f>
        <v/>
      </c>
      <c r="P39" s="19" t="str">
        <f aca="false">IF($D39="","",IF(INDEX(GradeRank,MATCH($D39,GradeList,0))&gt;=INDEX(GradeRank,MATCH("G14",GradeList,0)),OneOffSenior,OneOffJunior))</f>
        <v/>
      </c>
      <c r="Q39" s="19" t="str">
        <f aca="false">IF(OR($D39="",$I39="",$H39=""),"",$O39*$H39*(5-MATCH($I39,{"Q1";"Q2";"Q3";"Q4"},0))/4+$P39*$H39)</f>
        <v/>
      </c>
      <c r="R39" s="19" t="str">
        <f aca="false">IF($O39="","",$O39*$H39)</f>
        <v/>
      </c>
      <c r="S39" s="32" t="str">
        <f aca="false">IF(COUNTA($B39:$J39)+COUNTA($M39:$N39)=0,"",MID(IF($B39="",", unit","")&amp;IF($C39="",", job title","")&amp;IF($D39="",", grade","")&amp;IF($E39="",", workforce type","")&amp;IF($F39="",", Saudi basis","")&amp;IF($G39="",", nature","")&amp;IF(N($H39)&lt;=0,", FTE","")&amp;IF($I39="",", start quarter","")&amp;IF($J39="",", driver","")&amp;IF($M39="",", alternatives",""),3,300))</f>
        <v/>
      </c>
      <c r="T39" s="17" t="str">
        <f aca="false">IF($S39="","",COUNTIF($S$6:$S39,"?*"))</f>
        <v/>
      </c>
    </row>
    <row r="40" customFormat="false" ht="15" hidden="false" customHeight="false" outlineLevel="0" collapsed="false">
      <c r="A40" s="17" t="n">
        <v>35</v>
      </c>
      <c r="B40" s="22"/>
      <c r="C40" s="22"/>
      <c r="D40" s="22"/>
      <c r="E40" s="22"/>
      <c r="F40" s="22"/>
      <c r="G40" s="22"/>
      <c r="H40" s="25"/>
      <c r="I40" s="22"/>
      <c r="J40" s="22"/>
      <c r="K40" s="31" t="str">
        <f aca="false">IF($J40="","",IFERROR(INDEX(DriverCategory,MATCH($J40,DriverList,0)),"?"))</f>
        <v/>
      </c>
      <c r="L40" s="31" t="str">
        <f aca="false">IF($J40="","",IFERROR(INDEX(DriverRank,MATCH($J40,DriverList,0)),99))</f>
        <v/>
      </c>
      <c r="M40" s="22"/>
      <c r="N40" s="22"/>
      <c r="O40" s="19" t="str">
        <f aca="false">IF($D40="","",INDEX(GradeBasic,MATCH($D40,GradeList,0))+INDEX(GradeHousing,MATCH($D40,GradeList,0))+INDEX(GradeTransport,MATCH($D40,GradeList,0))+INDEX(GradeBasic,MATCH($D40,GradeList,0))*INDEX(GradeBonus,MATCH($D40,GradeList,0))+(INDEX(GradeBasic,MATCH($D40,GradeList,0))+INDEX(GradeHousing,MATCH($D40,GradeList,0)))*IF($F40="Saudi",GosiSaudi,GosiOther))</f>
        <v/>
      </c>
      <c r="P40" s="19" t="str">
        <f aca="false">IF($D40="","",IF(INDEX(GradeRank,MATCH($D40,GradeList,0))&gt;=INDEX(GradeRank,MATCH("G14",GradeList,0)),OneOffSenior,OneOffJunior))</f>
        <v/>
      </c>
      <c r="Q40" s="19" t="str">
        <f aca="false">IF(OR($D40="",$I40="",$H40=""),"",$O40*$H40*(5-MATCH($I40,{"Q1";"Q2";"Q3";"Q4"},0))/4+$P40*$H40)</f>
        <v/>
      </c>
      <c r="R40" s="19" t="str">
        <f aca="false">IF($O40="","",$O40*$H40)</f>
        <v/>
      </c>
      <c r="S40" s="32" t="str">
        <f aca="false">IF(COUNTA($B40:$J40)+COUNTA($M40:$N40)=0,"",MID(IF($B40="",", unit","")&amp;IF($C40="",", job title","")&amp;IF($D40="",", grade","")&amp;IF($E40="",", workforce type","")&amp;IF($F40="",", Saudi basis","")&amp;IF($G40="",", nature","")&amp;IF(N($H40)&lt;=0,", FTE","")&amp;IF($I40="",", start quarter","")&amp;IF($J40="",", driver","")&amp;IF($M40="",", alternatives",""),3,300))</f>
        <v/>
      </c>
      <c r="T40" s="17" t="str">
        <f aca="false">IF($S40="","",COUNTIF($S$6:$S40,"?*"))</f>
        <v/>
      </c>
    </row>
    <row r="41" customFormat="false" ht="15" hidden="false" customHeight="false" outlineLevel="0" collapsed="false">
      <c r="A41" s="17" t="n">
        <v>36</v>
      </c>
      <c r="B41" s="22"/>
      <c r="C41" s="22"/>
      <c r="D41" s="22"/>
      <c r="E41" s="22"/>
      <c r="F41" s="22"/>
      <c r="G41" s="22"/>
      <c r="H41" s="25"/>
      <c r="I41" s="22"/>
      <c r="J41" s="22"/>
      <c r="K41" s="31" t="str">
        <f aca="false">IF($J41="","",IFERROR(INDEX(DriverCategory,MATCH($J41,DriverList,0)),"?"))</f>
        <v/>
      </c>
      <c r="L41" s="31" t="str">
        <f aca="false">IF($J41="","",IFERROR(INDEX(DriverRank,MATCH($J41,DriverList,0)),99))</f>
        <v/>
      </c>
      <c r="M41" s="22"/>
      <c r="N41" s="22"/>
      <c r="O41" s="19" t="str">
        <f aca="false">IF($D41="","",INDEX(GradeBasic,MATCH($D41,GradeList,0))+INDEX(GradeHousing,MATCH($D41,GradeList,0))+INDEX(GradeTransport,MATCH($D41,GradeList,0))+INDEX(GradeBasic,MATCH($D41,GradeList,0))*INDEX(GradeBonus,MATCH($D41,GradeList,0))+(INDEX(GradeBasic,MATCH($D41,GradeList,0))+INDEX(GradeHousing,MATCH($D41,GradeList,0)))*IF($F41="Saudi",GosiSaudi,GosiOther))</f>
        <v/>
      </c>
      <c r="P41" s="19" t="str">
        <f aca="false">IF($D41="","",IF(INDEX(GradeRank,MATCH($D41,GradeList,0))&gt;=INDEX(GradeRank,MATCH("G14",GradeList,0)),OneOffSenior,OneOffJunior))</f>
        <v/>
      </c>
      <c r="Q41" s="19" t="str">
        <f aca="false">IF(OR($D41="",$I41="",$H41=""),"",$O41*$H41*(5-MATCH($I41,{"Q1";"Q2";"Q3";"Q4"},0))/4+$P41*$H41)</f>
        <v/>
      </c>
      <c r="R41" s="19" t="str">
        <f aca="false">IF($O41="","",$O41*$H41)</f>
        <v/>
      </c>
      <c r="S41" s="32" t="str">
        <f aca="false">IF(COUNTA($B41:$J41)+COUNTA($M41:$N41)=0,"",MID(IF($B41="",", unit","")&amp;IF($C41="",", job title","")&amp;IF($D41="",", grade","")&amp;IF($E41="",", workforce type","")&amp;IF($F41="",", Saudi basis","")&amp;IF($G41="",", nature","")&amp;IF(N($H41)&lt;=0,", FTE","")&amp;IF($I41="",", start quarter","")&amp;IF($J41="",", driver","")&amp;IF($M41="",", alternatives",""),3,300))</f>
        <v/>
      </c>
      <c r="T41" s="17" t="str">
        <f aca="false">IF($S41="","",COUNTIF($S$6:$S41,"?*"))</f>
        <v/>
      </c>
    </row>
    <row r="42" customFormat="false" ht="15" hidden="false" customHeight="false" outlineLevel="0" collapsed="false">
      <c r="A42" s="17" t="n">
        <v>37</v>
      </c>
      <c r="B42" s="22"/>
      <c r="C42" s="22"/>
      <c r="D42" s="22"/>
      <c r="E42" s="22"/>
      <c r="F42" s="22"/>
      <c r="G42" s="22"/>
      <c r="H42" s="25"/>
      <c r="I42" s="22"/>
      <c r="J42" s="22"/>
      <c r="K42" s="31" t="str">
        <f aca="false">IF($J42="","",IFERROR(INDEX(DriverCategory,MATCH($J42,DriverList,0)),"?"))</f>
        <v/>
      </c>
      <c r="L42" s="31" t="str">
        <f aca="false">IF($J42="","",IFERROR(INDEX(DriverRank,MATCH($J42,DriverList,0)),99))</f>
        <v/>
      </c>
      <c r="M42" s="22"/>
      <c r="N42" s="22"/>
      <c r="O42" s="19" t="str">
        <f aca="false">IF($D42="","",INDEX(GradeBasic,MATCH($D42,GradeList,0))+INDEX(GradeHousing,MATCH($D42,GradeList,0))+INDEX(GradeTransport,MATCH($D42,GradeList,0))+INDEX(GradeBasic,MATCH($D42,GradeList,0))*INDEX(GradeBonus,MATCH($D42,GradeList,0))+(INDEX(GradeBasic,MATCH($D42,GradeList,0))+INDEX(GradeHousing,MATCH($D42,GradeList,0)))*IF($F42="Saudi",GosiSaudi,GosiOther))</f>
        <v/>
      </c>
      <c r="P42" s="19" t="str">
        <f aca="false">IF($D42="","",IF(INDEX(GradeRank,MATCH($D42,GradeList,0))&gt;=INDEX(GradeRank,MATCH("G14",GradeList,0)),OneOffSenior,OneOffJunior))</f>
        <v/>
      </c>
      <c r="Q42" s="19" t="str">
        <f aca="false">IF(OR($D42="",$I42="",$H42=""),"",$O42*$H42*(5-MATCH($I42,{"Q1";"Q2";"Q3";"Q4"},0))/4+$P42*$H42)</f>
        <v/>
      </c>
      <c r="R42" s="19" t="str">
        <f aca="false">IF($O42="","",$O42*$H42)</f>
        <v/>
      </c>
      <c r="S42" s="32" t="str">
        <f aca="false">IF(COUNTA($B42:$J42)+COUNTA($M42:$N42)=0,"",MID(IF($B42="",", unit","")&amp;IF($C42="",", job title","")&amp;IF($D42="",", grade","")&amp;IF($E42="",", workforce type","")&amp;IF($F42="",", Saudi basis","")&amp;IF($G42="",", nature","")&amp;IF(N($H42)&lt;=0,", FTE","")&amp;IF($I42="",", start quarter","")&amp;IF($J42="",", driver","")&amp;IF($M42="",", alternatives",""),3,300))</f>
        <v/>
      </c>
      <c r="T42" s="17" t="str">
        <f aca="false">IF($S42="","",COUNTIF($S$6:$S42,"?*"))</f>
        <v/>
      </c>
    </row>
    <row r="43" customFormat="false" ht="15" hidden="false" customHeight="false" outlineLevel="0" collapsed="false">
      <c r="A43" s="17" t="n">
        <v>38</v>
      </c>
      <c r="B43" s="22"/>
      <c r="C43" s="22"/>
      <c r="D43" s="22"/>
      <c r="E43" s="22"/>
      <c r="F43" s="22"/>
      <c r="G43" s="22"/>
      <c r="H43" s="25"/>
      <c r="I43" s="22"/>
      <c r="J43" s="22"/>
      <c r="K43" s="31" t="str">
        <f aca="false">IF($J43="","",IFERROR(INDEX(DriverCategory,MATCH($J43,DriverList,0)),"?"))</f>
        <v/>
      </c>
      <c r="L43" s="31" t="str">
        <f aca="false">IF($J43="","",IFERROR(INDEX(DriverRank,MATCH($J43,DriverList,0)),99))</f>
        <v/>
      </c>
      <c r="M43" s="22"/>
      <c r="N43" s="22"/>
      <c r="O43" s="19" t="str">
        <f aca="false">IF($D43="","",INDEX(GradeBasic,MATCH($D43,GradeList,0))+INDEX(GradeHousing,MATCH($D43,GradeList,0))+INDEX(GradeTransport,MATCH($D43,GradeList,0))+INDEX(GradeBasic,MATCH($D43,GradeList,0))*INDEX(GradeBonus,MATCH($D43,GradeList,0))+(INDEX(GradeBasic,MATCH($D43,GradeList,0))+INDEX(GradeHousing,MATCH($D43,GradeList,0)))*IF($F43="Saudi",GosiSaudi,GosiOther))</f>
        <v/>
      </c>
      <c r="P43" s="19" t="str">
        <f aca="false">IF($D43="","",IF(INDEX(GradeRank,MATCH($D43,GradeList,0))&gt;=INDEX(GradeRank,MATCH("G14",GradeList,0)),OneOffSenior,OneOffJunior))</f>
        <v/>
      </c>
      <c r="Q43" s="19" t="str">
        <f aca="false">IF(OR($D43="",$I43="",$H43=""),"",$O43*$H43*(5-MATCH($I43,{"Q1";"Q2";"Q3";"Q4"},0))/4+$P43*$H43)</f>
        <v/>
      </c>
      <c r="R43" s="19" t="str">
        <f aca="false">IF($O43="","",$O43*$H43)</f>
        <v/>
      </c>
      <c r="S43" s="32" t="str">
        <f aca="false">IF(COUNTA($B43:$J43)+COUNTA($M43:$N43)=0,"",MID(IF($B43="",", unit","")&amp;IF($C43="",", job title","")&amp;IF($D43="",", grade","")&amp;IF($E43="",", workforce type","")&amp;IF($F43="",", Saudi basis","")&amp;IF($G43="",", nature","")&amp;IF(N($H43)&lt;=0,", FTE","")&amp;IF($I43="",", start quarter","")&amp;IF($J43="",", driver","")&amp;IF($M43="",", alternatives",""),3,300))</f>
        <v/>
      </c>
      <c r="T43" s="17" t="str">
        <f aca="false">IF($S43="","",COUNTIF($S$6:$S43,"?*"))</f>
        <v/>
      </c>
    </row>
    <row r="44" customFormat="false" ht="15" hidden="false" customHeight="false" outlineLevel="0" collapsed="false">
      <c r="A44" s="17" t="n">
        <v>39</v>
      </c>
      <c r="B44" s="22"/>
      <c r="C44" s="22"/>
      <c r="D44" s="22"/>
      <c r="E44" s="22"/>
      <c r="F44" s="22"/>
      <c r="G44" s="22"/>
      <c r="H44" s="25"/>
      <c r="I44" s="22"/>
      <c r="J44" s="22"/>
      <c r="K44" s="31" t="str">
        <f aca="false">IF($J44="","",IFERROR(INDEX(DriverCategory,MATCH($J44,DriverList,0)),"?"))</f>
        <v/>
      </c>
      <c r="L44" s="31" t="str">
        <f aca="false">IF($J44="","",IFERROR(INDEX(DriverRank,MATCH($J44,DriverList,0)),99))</f>
        <v/>
      </c>
      <c r="M44" s="22"/>
      <c r="N44" s="22"/>
      <c r="O44" s="19" t="str">
        <f aca="false">IF($D44="","",INDEX(GradeBasic,MATCH($D44,GradeList,0))+INDEX(GradeHousing,MATCH($D44,GradeList,0))+INDEX(GradeTransport,MATCH($D44,GradeList,0))+INDEX(GradeBasic,MATCH($D44,GradeList,0))*INDEX(GradeBonus,MATCH($D44,GradeList,0))+(INDEX(GradeBasic,MATCH($D44,GradeList,0))+INDEX(GradeHousing,MATCH($D44,GradeList,0)))*IF($F44="Saudi",GosiSaudi,GosiOther))</f>
        <v/>
      </c>
      <c r="P44" s="19" t="str">
        <f aca="false">IF($D44="","",IF(INDEX(GradeRank,MATCH($D44,GradeList,0))&gt;=INDEX(GradeRank,MATCH("G14",GradeList,0)),OneOffSenior,OneOffJunior))</f>
        <v/>
      </c>
      <c r="Q44" s="19" t="str">
        <f aca="false">IF(OR($D44="",$I44="",$H44=""),"",$O44*$H44*(5-MATCH($I44,{"Q1";"Q2";"Q3";"Q4"},0))/4+$P44*$H44)</f>
        <v/>
      </c>
      <c r="R44" s="19" t="str">
        <f aca="false">IF($O44="","",$O44*$H44)</f>
        <v/>
      </c>
      <c r="S44" s="32" t="str">
        <f aca="false">IF(COUNTA($B44:$J44)+COUNTA($M44:$N44)=0,"",MID(IF($B44="",", unit","")&amp;IF($C44="",", job title","")&amp;IF($D44="",", grade","")&amp;IF($E44="",", workforce type","")&amp;IF($F44="",", Saudi basis","")&amp;IF($G44="",", nature","")&amp;IF(N($H44)&lt;=0,", FTE","")&amp;IF($I44="",", start quarter","")&amp;IF($J44="",", driver","")&amp;IF($M44="",", alternatives",""),3,300))</f>
        <v/>
      </c>
      <c r="T44" s="17" t="str">
        <f aca="false">IF($S44="","",COUNTIF($S$6:$S44,"?*"))</f>
        <v/>
      </c>
    </row>
    <row r="45" customFormat="false" ht="15" hidden="false" customHeight="false" outlineLevel="0" collapsed="false">
      <c r="A45" s="17" t="n">
        <v>40</v>
      </c>
      <c r="B45" s="22"/>
      <c r="C45" s="22"/>
      <c r="D45" s="22"/>
      <c r="E45" s="22"/>
      <c r="F45" s="22"/>
      <c r="G45" s="22"/>
      <c r="H45" s="25"/>
      <c r="I45" s="22"/>
      <c r="J45" s="22"/>
      <c r="K45" s="31" t="str">
        <f aca="false">IF($J45="","",IFERROR(INDEX(DriverCategory,MATCH($J45,DriverList,0)),"?"))</f>
        <v/>
      </c>
      <c r="L45" s="31" t="str">
        <f aca="false">IF($J45="","",IFERROR(INDEX(DriverRank,MATCH($J45,DriverList,0)),99))</f>
        <v/>
      </c>
      <c r="M45" s="22"/>
      <c r="N45" s="22"/>
      <c r="O45" s="19" t="str">
        <f aca="false">IF($D45="","",INDEX(GradeBasic,MATCH($D45,GradeList,0))+INDEX(GradeHousing,MATCH($D45,GradeList,0))+INDEX(GradeTransport,MATCH($D45,GradeList,0))+INDEX(GradeBasic,MATCH($D45,GradeList,0))*INDEX(GradeBonus,MATCH($D45,GradeList,0))+(INDEX(GradeBasic,MATCH($D45,GradeList,0))+INDEX(GradeHousing,MATCH($D45,GradeList,0)))*IF($F45="Saudi",GosiSaudi,GosiOther))</f>
        <v/>
      </c>
      <c r="P45" s="19" t="str">
        <f aca="false">IF($D45="","",IF(INDEX(GradeRank,MATCH($D45,GradeList,0))&gt;=INDEX(GradeRank,MATCH("G14",GradeList,0)),OneOffSenior,OneOffJunior))</f>
        <v/>
      </c>
      <c r="Q45" s="19" t="str">
        <f aca="false">IF(OR($D45="",$I45="",$H45=""),"",$O45*$H45*(5-MATCH($I45,{"Q1";"Q2";"Q3";"Q4"},0))/4+$P45*$H45)</f>
        <v/>
      </c>
      <c r="R45" s="19" t="str">
        <f aca="false">IF($O45="","",$O45*$H45)</f>
        <v/>
      </c>
      <c r="S45" s="32" t="str">
        <f aca="false">IF(COUNTA($B45:$J45)+COUNTA($M45:$N45)=0,"",MID(IF($B45="",", unit","")&amp;IF($C45="",", job title","")&amp;IF($D45="",", grade","")&amp;IF($E45="",", workforce type","")&amp;IF($F45="",", Saudi basis","")&amp;IF($G45="",", nature","")&amp;IF(N($H45)&lt;=0,", FTE","")&amp;IF($I45="",", start quarter","")&amp;IF($J45="",", driver","")&amp;IF($M45="",", alternatives",""),3,300))</f>
        <v/>
      </c>
      <c r="T45" s="17" t="str">
        <f aca="false">IF($S45="","",COUNTIF($S$6:$S45,"?*"))</f>
        <v/>
      </c>
    </row>
    <row r="46" customFormat="false" ht="15" hidden="false" customHeight="false" outlineLevel="0" collapsed="false">
      <c r="A46" s="17" t="n">
        <v>41</v>
      </c>
      <c r="B46" s="22"/>
      <c r="C46" s="22"/>
      <c r="D46" s="22"/>
      <c r="E46" s="22"/>
      <c r="F46" s="22"/>
      <c r="G46" s="22"/>
      <c r="H46" s="25"/>
      <c r="I46" s="22"/>
      <c r="J46" s="22"/>
      <c r="K46" s="31" t="str">
        <f aca="false">IF($J46="","",IFERROR(INDEX(DriverCategory,MATCH($J46,DriverList,0)),"?"))</f>
        <v/>
      </c>
      <c r="L46" s="31" t="str">
        <f aca="false">IF($J46="","",IFERROR(INDEX(DriverRank,MATCH($J46,DriverList,0)),99))</f>
        <v/>
      </c>
      <c r="M46" s="22"/>
      <c r="N46" s="22"/>
      <c r="O46" s="19" t="str">
        <f aca="false">IF($D46="","",INDEX(GradeBasic,MATCH($D46,GradeList,0))+INDEX(GradeHousing,MATCH($D46,GradeList,0))+INDEX(GradeTransport,MATCH($D46,GradeList,0))+INDEX(GradeBasic,MATCH($D46,GradeList,0))*INDEX(GradeBonus,MATCH($D46,GradeList,0))+(INDEX(GradeBasic,MATCH($D46,GradeList,0))+INDEX(GradeHousing,MATCH($D46,GradeList,0)))*IF($F46="Saudi",GosiSaudi,GosiOther))</f>
        <v/>
      </c>
      <c r="P46" s="19" t="str">
        <f aca="false">IF($D46="","",IF(INDEX(GradeRank,MATCH($D46,GradeList,0))&gt;=INDEX(GradeRank,MATCH("G14",GradeList,0)),OneOffSenior,OneOffJunior))</f>
        <v/>
      </c>
      <c r="Q46" s="19" t="str">
        <f aca="false">IF(OR($D46="",$I46="",$H46=""),"",$O46*$H46*(5-MATCH($I46,{"Q1";"Q2";"Q3";"Q4"},0))/4+$P46*$H46)</f>
        <v/>
      </c>
      <c r="R46" s="19" t="str">
        <f aca="false">IF($O46="","",$O46*$H46)</f>
        <v/>
      </c>
      <c r="S46" s="32" t="str">
        <f aca="false">IF(COUNTA($B46:$J46)+COUNTA($M46:$N46)=0,"",MID(IF($B46="",", unit","")&amp;IF($C46="",", job title","")&amp;IF($D46="",", grade","")&amp;IF($E46="",", workforce type","")&amp;IF($F46="",", Saudi basis","")&amp;IF($G46="",", nature","")&amp;IF(N($H46)&lt;=0,", FTE","")&amp;IF($I46="",", start quarter","")&amp;IF($J46="",", driver","")&amp;IF($M46="",", alternatives",""),3,300))</f>
        <v/>
      </c>
      <c r="T46" s="17" t="str">
        <f aca="false">IF($S46="","",COUNTIF($S$6:$S46,"?*"))</f>
        <v/>
      </c>
    </row>
    <row r="47" customFormat="false" ht="15" hidden="false" customHeight="false" outlineLevel="0" collapsed="false">
      <c r="A47" s="17" t="n">
        <v>42</v>
      </c>
      <c r="B47" s="22"/>
      <c r="C47" s="22"/>
      <c r="D47" s="22"/>
      <c r="E47" s="22"/>
      <c r="F47" s="22"/>
      <c r="G47" s="22"/>
      <c r="H47" s="25"/>
      <c r="I47" s="22"/>
      <c r="J47" s="22"/>
      <c r="K47" s="31" t="str">
        <f aca="false">IF($J47="","",IFERROR(INDEX(DriverCategory,MATCH($J47,DriverList,0)),"?"))</f>
        <v/>
      </c>
      <c r="L47" s="31" t="str">
        <f aca="false">IF($J47="","",IFERROR(INDEX(DriverRank,MATCH($J47,DriverList,0)),99))</f>
        <v/>
      </c>
      <c r="M47" s="22"/>
      <c r="N47" s="22"/>
      <c r="O47" s="19" t="str">
        <f aca="false">IF($D47="","",INDEX(GradeBasic,MATCH($D47,GradeList,0))+INDEX(GradeHousing,MATCH($D47,GradeList,0))+INDEX(GradeTransport,MATCH($D47,GradeList,0))+INDEX(GradeBasic,MATCH($D47,GradeList,0))*INDEX(GradeBonus,MATCH($D47,GradeList,0))+(INDEX(GradeBasic,MATCH($D47,GradeList,0))+INDEX(GradeHousing,MATCH($D47,GradeList,0)))*IF($F47="Saudi",GosiSaudi,GosiOther))</f>
        <v/>
      </c>
      <c r="P47" s="19" t="str">
        <f aca="false">IF($D47="","",IF(INDEX(GradeRank,MATCH($D47,GradeList,0))&gt;=INDEX(GradeRank,MATCH("G14",GradeList,0)),OneOffSenior,OneOffJunior))</f>
        <v/>
      </c>
      <c r="Q47" s="19" t="str">
        <f aca="false">IF(OR($D47="",$I47="",$H47=""),"",$O47*$H47*(5-MATCH($I47,{"Q1";"Q2";"Q3";"Q4"},0))/4+$P47*$H47)</f>
        <v/>
      </c>
      <c r="R47" s="19" t="str">
        <f aca="false">IF($O47="","",$O47*$H47)</f>
        <v/>
      </c>
      <c r="S47" s="32" t="str">
        <f aca="false">IF(COUNTA($B47:$J47)+COUNTA($M47:$N47)=0,"",MID(IF($B47="",", unit","")&amp;IF($C47="",", job title","")&amp;IF($D47="",", grade","")&amp;IF($E47="",", workforce type","")&amp;IF($F47="",", Saudi basis","")&amp;IF($G47="",", nature","")&amp;IF(N($H47)&lt;=0,", FTE","")&amp;IF($I47="",", start quarter","")&amp;IF($J47="",", driver","")&amp;IF($M47="",", alternatives",""),3,300))</f>
        <v/>
      </c>
      <c r="T47" s="17" t="str">
        <f aca="false">IF($S47="","",COUNTIF($S$6:$S47,"?*"))</f>
        <v/>
      </c>
    </row>
    <row r="48" customFormat="false" ht="15" hidden="false" customHeight="false" outlineLevel="0" collapsed="false">
      <c r="A48" s="17" t="n">
        <v>43</v>
      </c>
      <c r="B48" s="22"/>
      <c r="C48" s="22"/>
      <c r="D48" s="22"/>
      <c r="E48" s="22"/>
      <c r="F48" s="22"/>
      <c r="G48" s="22"/>
      <c r="H48" s="25"/>
      <c r="I48" s="22"/>
      <c r="J48" s="22"/>
      <c r="K48" s="31" t="str">
        <f aca="false">IF($J48="","",IFERROR(INDEX(DriverCategory,MATCH($J48,DriverList,0)),"?"))</f>
        <v/>
      </c>
      <c r="L48" s="31" t="str">
        <f aca="false">IF($J48="","",IFERROR(INDEX(DriverRank,MATCH($J48,DriverList,0)),99))</f>
        <v/>
      </c>
      <c r="M48" s="22"/>
      <c r="N48" s="22"/>
      <c r="O48" s="19" t="str">
        <f aca="false">IF($D48="","",INDEX(GradeBasic,MATCH($D48,GradeList,0))+INDEX(GradeHousing,MATCH($D48,GradeList,0))+INDEX(GradeTransport,MATCH($D48,GradeList,0))+INDEX(GradeBasic,MATCH($D48,GradeList,0))*INDEX(GradeBonus,MATCH($D48,GradeList,0))+(INDEX(GradeBasic,MATCH($D48,GradeList,0))+INDEX(GradeHousing,MATCH($D48,GradeList,0)))*IF($F48="Saudi",GosiSaudi,GosiOther))</f>
        <v/>
      </c>
      <c r="P48" s="19" t="str">
        <f aca="false">IF($D48="","",IF(INDEX(GradeRank,MATCH($D48,GradeList,0))&gt;=INDEX(GradeRank,MATCH("G14",GradeList,0)),OneOffSenior,OneOffJunior))</f>
        <v/>
      </c>
      <c r="Q48" s="19" t="str">
        <f aca="false">IF(OR($D48="",$I48="",$H48=""),"",$O48*$H48*(5-MATCH($I48,{"Q1";"Q2";"Q3";"Q4"},0))/4+$P48*$H48)</f>
        <v/>
      </c>
      <c r="R48" s="19" t="str">
        <f aca="false">IF($O48="","",$O48*$H48)</f>
        <v/>
      </c>
      <c r="S48" s="32" t="str">
        <f aca="false">IF(COUNTA($B48:$J48)+COUNTA($M48:$N48)=0,"",MID(IF($B48="",", unit","")&amp;IF($C48="",", job title","")&amp;IF($D48="",", grade","")&amp;IF($E48="",", workforce type","")&amp;IF($F48="",", Saudi basis","")&amp;IF($G48="",", nature","")&amp;IF(N($H48)&lt;=0,", FTE","")&amp;IF($I48="",", start quarter","")&amp;IF($J48="",", driver","")&amp;IF($M48="",", alternatives",""),3,300))</f>
        <v/>
      </c>
      <c r="T48" s="17" t="str">
        <f aca="false">IF($S48="","",COUNTIF($S$6:$S48,"?*"))</f>
        <v/>
      </c>
    </row>
    <row r="49" customFormat="false" ht="15" hidden="false" customHeight="false" outlineLevel="0" collapsed="false">
      <c r="A49" s="17" t="n">
        <v>44</v>
      </c>
      <c r="B49" s="22"/>
      <c r="C49" s="22"/>
      <c r="D49" s="22"/>
      <c r="E49" s="22"/>
      <c r="F49" s="22"/>
      <c r="G49" s="22"/>
      <c r="H49" s="25"/>
      <c r="I49" s="22"/>
      <c r="J49" s="22"/>
      <c r="K49" s="31" t="str">
        <f aca="false">IF($J49="","",IFERROR(INDEX(DriverCategory,MATCH($J49,DriverList,0)),"?"))</f>
        <v/>
      </c>
      <c r="L49" s="31" t="str">
        <f aca="false">IF($J49="","",IFERROR(INDEX(DriverRank,MATCH($J49,DriverList,0)),99))</f>
        <v/>
      </c>
      <c r="M49" s="22"/>
      <c r="N49" s="22"/>
      <c r="O49" s="19" t="str">
        <f aca="false">IF($D49="","",INDEX(GradeBasic,MATCH($D49,GradeList,0))+INDEX(GradeHousing,MATCH($D49,GradeList,0))+INDEX(GradeTransport,MATCH($D49,GradeList,0))+INDEX(GradeBasic,MATCH($D49,GradeList,0))*INDEX(GradeBonus,MATCH($D49,GradeList,0))+(INDEX(GradeBasic,MATCH($D49,GradeList,0))+INDEX(GradeHousing,MATCH($D49,GradeList,0)))*IF($F49="Saudi",GosiSaudi,GosiOther))</f>
        <v/>
      </c>
      <c r="P49" s="19" t="str">
        <f aca="false">IF($D49="","",IF(INDEX(GradeRank,MATCH($D49,GradeList,0))&gt;=INDEX(GradeRank,MATCH("G14",GradeList,0)),OneOffSenior,OneOffJunior))</f>
        <v/>
      </c>
      <c r="Q49" s="19" t="str">
        <f aca="false">IF(OR($D49="",$I49="",$H49=""),"",$O49*$H49*(5-MATCH($I49,{"Q1";"Q2";"Q3";"Q4"},0))/4+$P49*$H49)</f>
        <v/>
      </c>
      <c r="R49" s="19" t="str">
        <f aca="false">IF($O49="","",$O49*$H49)</f>
        <v/>
      </c>
      <c r="S49" s="32" t="str">
        <f aca="false">IF(COUNTA($B49:$J49)+COUNTA($M49:$N49)=0,"",MID(IF($B49="",", unit","")&amp;IF($C49="",", job title","")&amp;IF($D49="",", grade","")&amp;IF($E49="",", workforce type","")&amp;IF($F49="",", Saudi basis","")&amp;IF($G49="",", nature","")&amp;IF(N($H49)&lt;=0,", FTE","")&amp;IF($I49="",", start quarter","")&amp;IF($J49="",", driver","")&amp;IF($M49="",", alternatives",""),3,300))</f>
        <v/>
      </c>
      <c r="T49" s="17" t="str">
        <f aca="false">IF($S49="","",COUNTIF($S$6:$S49,"?*"))</f>
        <v/>
      </c>
    </row>
    <row r="50" customFormat="false" ht="15" hidden="false" customHeight="false" outlineLevel="0" collapsed="false">
      <c r="A50" s="17" t="n">
        <v>45</v>
      </c>
      <c r="B50" s="22"/>
      <c r="C50" s="22"/>
      <c r="D50" s="22"/>
      <c r="E50" s="22"/>
      <c r="F50" s="22"/>
      <c r="G50" s="22"/>
      <c r="H50" s="25"/>
      <c r="I50" s="22"/>
      <c r="J50" s="22"/>
      <c r="K50" s="31" t="str">
        <f aca="false">IF($J50="","",IFERROR(INDEX(DriverCategory,MATCH($J50,DriverList,0)),"?"))</f>
        <v/>
      </c>
      <c r="L50" s="31" t="str">
        <f aca="false">IF($J50="","",IFERROR(INDEX(DriverRank,MATCH($J50,DriverList,0)),99))</f>
        <v/>
      </c>
      <c r="M50" s="22"/>
      <c r="N50" s="22"/>
      <c r="O50" s="19" t="str">
        <f aca="false">IF($D50="","",INDEX(GradeBasic,MATCH($D50,GradeList,0))+INDEX(GradeHousing,MATCH($D50,GradeList,0))+INDEX(GradeTransport,MATCH($D50,GradeList,0))+INDEX(GradeBasic,MATCH($D50,GradeList,0))*INDEX(GradeBonus,MATCH($D50,GradeList,0))+(INDEX(GradeBasic,MATCH($D50,GradeList,0))+INDEX(GradeHousing,MATCH($D50,GradeList,0)))*IF($F50="Saudi",GosiSaudi,GosiOther))</f>
        <v/>
      </c>
      <c r="P50" s="19" t="str">
        <f aca="false">IF($D50="","",IF(INDEX(GradeRank,MATCH($D50,GradeList,0))&gt;=INDEX(GradeRank,MATCH("G14",GradeList,0)),OneOffSenior,OneOffJunior))</f>
        <v/>
      </c>
      <c r="Q50" s="19" t="str">
        <f aca="false">IF(OR($D50="",$I50="",$H50=""),"",$O50*$H50*(5-MATCH($I50,{"Q1";"Q2";"Q3";"Q4"},0))/4+$P50*$H50)</f>
        <v/>
      </c>
      <c r="R50" s="19" t="str">
        <f aca="false">IF($O50="","",$O50*$H50)</f>
        <v/>
      </c>
      <c r="S50" s="32" t="str">
        <f aca="false">IF(COUNTA($B50:$J50)+COUNTA($M50:$N50)=0,"",MID(IF($B50="",", unit","")&amp;IF($C50="",", job title","")&amp;IF($D50="",", grade","")&amp;IF($E50="",", workforce type","")&amp;IF($F50="",", Saudi basis","")&amp;IF($G50="",", nature","")&amp;IF(N($H50)&lt;=0,", FTE","")&amp;IF($I50="",", start quarter","")&amp;IF($J50="",", driver","")&amp;IF($M50="",", alternatives",""),3,300))</f>
        <v/>
      </c>
      <c r="T50" s="17" t="str">
        <f aca="false">IF($S50="","",COUNTIF($S$6:$S50,"?*"))</f>
        <v/>
      </c>
    </row>
    <row r="51" customFormat="false" ht="15" hidden="false" customHeight="false" outlineLevel="0" collapsed="false">
      <c r="A51" s="17" t="n">
        <v>46</v>
      </c>
      <c r="B51" s="22"/>
      <c r="C51" s="22"/>
      <c r="D51" s="22"/>
      <c r="E51" s="22"/>
      <c r="F51" s="22"/>
      <c r="G51" s="22"/>
      <c r="H51" s="25"/>
      <c r="I51" s="22"/>
      <c r="J51" s="22"/>
      <c r="K51" s="31" t="str">
        <f aca="false">IF($J51="","",IFERROR(INDEX(DriverCategory,MATCH($J51,DriverList,0)),"?"))</f>
        <v/>
      </c>
      <c r="L51" s="31" t="str">
        <f aca="false">IF($J51="","",IFERROR(INDEX(DriverRank,MATCH($J51,DriverList,0)),99))</f>
        <v/>
      </c>
      <c r="M51" s="22"/>
      <c r="N51" s="22"/>
      <c r="O51" s="19" t="str">
        <f aca="false">IF($D51="","",INDEX(GradeBasic,MATCH($D51,GradeList,0))+INDEX(GradeHousing,MATCH($D51,GradeList,0))+INDEX(GradeTransport,MATCH($D51,GradeList,0))+INDEX(GradeBasic,MATCH($D51,GradeList,0))*INDEX(GradeBonus,MATCH($D51,GradeList,0))+(INDEX(GradeBasic,MATCH($D51,GradeList,0))+INDEX(GradeHousing,MATCH($D51,GradeList,0)))*IF($F51="Saudi",GosiSaudi,GosiOther))</f>
        <v/>
      </c>
      <c r="P51" s="19" t="str">
        <f aca="false">IF($D51="","",IF(INDEX(GradeRank,MATCH($D51,GradeList,0))&gt;=INDEX(GradeRank,MATCH("G14",GradeList,0)),OneOffSenior,OneOffJunior))</f>
        <v/>
      </c>
      <c r="Q51" s="19" t="str">
        <f aca="false">IF(OR($D51="",$I51="",$H51=""),"",$O51*$H51*(5-MATCH($I51,{"Q1";"Q2";"Q3";"Q4"},0))/4+$P51*$H51)</f>
        <v/>
      </c>
      <c r="R51" s="19" t="str">
        <f aca="false">IF($O51="","",$O51*$H51)</f>
        <v/>
      </c>
      <c r="S51" s="32" t="str">
        <f aca="false">IF(COUNTA($B51:$J51)+COUNTA($M51:$N51)=0,"",MID(IF($B51="",", unit","")&amp;IF($C51="",", job title","")&amp;IF($D51="",", grade","")&amp;IF($E51="",", workforce type","")&amp;IF($F51="",", Saudi basis","")&amp;IF($G51="",", nature","")&amp;IF(N($H51)&lt;=0,", FTE","")&amp;IF($I51="",", start quarter","")&amp;IF($J51="",", driver","")&amp;IF($M51="",", alternatives",""),3,300))</f>
        <v/>
      </c>
      <c r="T51" s="17" t="str">
        <f aca="false">IF($S51="","",COUNTIF($S$6:$S51,"?*"))</f>
        <v/>
      </c>
    </row>
    <row r="52" customFormat="false" ht="15" hidden="false" customHeight="false" outlineLevel="0" collapsed="false">
      <c r="A52" s="17" t="n">
        <v>47</v>
      </c>
      <c r="B52" s="22"/>
      <c r="C52" s="22"/>
      <c r="D52" s="22"/>
      <c r="E52" s="22"/>
      <c r="F52" s="22"/>
      <c r="G52" s="22"/>
      <c r="H52" s="25"/>
      <c r="I52" s="22"/>
      <c r="J52" s="22"/>
      <c r="K52" s="31" t="str">
        <f aca="false">IF($J52="","",IFERROR(INDEX(DriverCategory,MATCH($J52,DriverList,0)),"?"))</f>
        <v/>
      </c>
      <c r="L52" s="31" t="str">
        <f aca="false">IF($J52="","",IFERROR(INDEX(DriverRank,MATCH($J52,DriverList,0)),99))</f>
        <v/>
      </c>
      <c r="M52" s="22"/>
      <c r="N52" s="22"/>
      <c r="O52" s="19" t="str">
        <f aca="false">IF($D52="","",INDEX(GradeBasic,MATCH($D52,GradeList,0))+INDEX(GradeHousing,MATCH($D52,GradeList,0))+INDEX(GradeTransport,MATCH($D52,GradeList,0))+INDEX(GradeBasic,MATCH($D52,GradeList,0))*INDEX(GradeBonus,MATCH($D52,GradeList,0))+(INDEX(GradeBasic,MATCH($D52,GradeList,0))+INDEX(GradeHousing,MATCH($D52,GradeList,0)))*IF($F52="Saudi",GosiSaudi,GosiOther))</f>
        <v/>
      </c>
      <c r="P52" s="19" t="str">
        <f aca="false">IF($D52="","",IF(INDEX(GradeRank,MATCH($D52,GradeList,0))&gt;=INDEX(GradeRank,MATCH("G14",GradeList,0)),OneOffSenior,OneOffJunior))</f>
        <v/>
      </c>
      <c r="Q52" s="19" t="str">
        <f aca="false">IF(OR($D52="",$I52="",$H52=""),"",$O52*$H52*(5-MATCH($I52,{"Q1";"Q2";"Q3";"Q4"},0))/4+$P52*$H52)</f>
        <v/>
      </c>
      <c r="R52" s="19" t="str">
        <f aca="false">IF($O52="","",$O52*$H52)</f>
        <v/>
      </c>
      <c r="S52" s="32" t="str">
        <f aca="false">IF(COUNTA($B52:$J52)+COUNTA($M52:$N52)=0,"",MID(IF($B52="",", unit","")&amp;IF($C52="",", job title","")&amp;IF($D52="",", grade","")&amp;IF($E52="",", workforce type","")&amp;IF($F52="",", Saudi basis","")&amp;IF($G52="",", nature","")&amp;IF(N($H52)&lt;=0,", FTE","")&amp;IF($I52="",", start quarter","")&amp;IF($J52="",", driver","")&amp;IF($M52="",", alternatives",""),3,300))</f>
        <v/>
      </c>
      <c r="T52" s="17" t="str">
        <f aca="false">IF($S52="","",COUNTIF($S$6:$S52,"?*"))</f>
        <v/>
      </c>
    </row>
    <row r="53" customFormat="false" ht="15" hidden="false" customHeight="false" outlineLevel="0" collapsed="false">
      <c r="A53" s="17" t="n">
        <v>48</v>
      </c>
      <c r="B53" s="22"/>
      <c r="C53" s="22"/>
      <c r="D53" s="22"/>
      <c r="E53" s="22"/>
      <c r="F53" s="22"/>
      <c r="G53" s="22"/>
      <c r="H53" s="25"/>
      <c r="I53" s="22"/>
      <c r="J53" s="22"/>
      <c r="K53" s="31" t="str">
        <f aca="false">IF($J53="","",IFERROR(INDEX(DriverCategory,MATCH($J53,DriverList,0)),"?"))</f>
        <v/>
      </c>
      <c r="L53" s="31" t="str">
        <f aca="false">IF($J53="","",IFERROR(INDEX(DriverRank,MATCH($J53,DriverList,0)),99))</f>
        <v/>
      </c>
      <c r="M53" s="22"/>
      <c r="N53" s="22"/>
      <c r="O53" s="19" t="str">
        <f aca="false">IF($D53="","",INDEX(GradeBasic,MATCH($D53,GradeList,0))+INDEX(GradeHousing,MATCH($D53,GradeList,0))+INDEX(GradeTransport,MATCH($D53,GradeList,0))+INDEX(GradeBasic,MATCH($D53,GradeList,0))*INDEX(GradeBonus,MATCH($D53,GradeList,0))+(INDEX(GradeBasic,MATCH($D53,GradeList,0))+INDEX(GradeHousing,MATCH($D53,GradeList,0)))*IF($F53="Saudi",GosiSaudi,GosiOther))</f>
        <v/>
      </c>
      <c r="P53" s="19" t="str">
        <f aca="false">IF($D53="","",IF(INDEX(GradeRank,MATCH($D53,GradeList,0))&gt;=INDEX(GradeRank,MATCH("G14",GradeList,0)),OneOffSenior,OneOffJunior))</f>
        <v/>
      </c>
      <c r="Q53" s="19" t="str">
        <f aca="false">IF(OR($D53="",$I53="",$H53=""),"",$O53*$H53*(5-MATCH($I53,{"Q1";"Q2";"Q3";"Q4"},0))/4+$P53*$H53)</f>
        <v/>
      </c>
      <c r="R53" s="19" t="str">
        <f aca="false">IF($O53="","",$O53*$H53)</f>
        <v/>
      </c>
      <c r="S53" s="32" t="str">
        <f aca="false">IF(COUNTA($B53:$J53)+COUNTA($M53:$N53)=0,"",MID(IF($B53="",", unit","")&amp;IF($C53="",", job title","")&amp;IF($D53="",", grade","")&amp;IF($E53="",", workforce type","")&amp;IF($F53="",", Saudi basis","")&amp;IF($G53="",", nature","")&amp;IF(N($H53)&lt;=0,", FTE","")&amp;IF($I53="",", start quarter","")&amp;IF($J53="",", driver","")&amp;IF($M53="",", alternatives",""),3,300))</f>
        <v/>
      </c>
      <c r="T53" s="17" t="str">
        <f aca="false">IF($S53="","",COUNTIF($S$6:$S53,"?*"))</f>
        <v/>
      </c>
    </row>
    <row r="54" customFormat="false" ht="15" hidden="false" customHeight="false" outlineLevel="0" collapsed="false">
      <c r="A54" s="17" t="n">
        <v>49</v>
      </c>
      <c r="B54" s="22"/>
      <c r="C54" s="22"/>
      <c r="D54" s="22"/>
      <c r="E54" s="22"/>
      <c r="F54" s="22"/>
      <c r="G54" s="22"/>
      <c r="H54" s="25"/>
      <c r="I54" s="22"/>
      <c r="J54" s="22"/>
      <c r="K54" s="31" t="str">
        <f aca="false">IF($J54="","",IFERROR(INDEX(DriverCategory,MATCH($J54,DriverList,0)),"?"))</f>
        <v/>
      </c>
      <c r="L54" s="31" t="str">
        <f aca="false">IF($J54="","",IFERROR(INDEX(DriverRank,MATCH($J54,DriverList,0)),99))</f>
        <v/>
      </c>
      <c r="M54" s="22"/>
      <c r="N54" s="22"/>
      <c r="O54" s="19" t="str">
        <f aca="false">IF($D54="","",INDEX(GradeBasic,MATCH($D54,GradeList,0))+INDEX(GradeHousing,MATCH($D54,GradeList,0))+INDEX(GradeTransport,MATCH($D54,GradeList,0))+INDEX(GradeBasic,MATCH($D54,GradeList,0))*INDEX(GradeBonus,MATCH($D54,GradeList,0))+(INDEX(GradeBasic,MATCH($D54,GradeList,0))+INDEX(GradeHousing,MATCH($D54,GradeList,0)))*IF($F54="Saudi",GosiSaudi,GosiOther))</f>
        <v/>
      </c>
      <c r="P54" s="19" t="str">
        <f aca="false">IF($D54="","",IF(INDEX(GradeRank,MATCH($D54,GradeList,0))&gt;=INDEX(GradeRank,MATCH("G14",GradeList,0)),OneOffSenior,OneOffJunior))</f>
        <v/>
      </c>
      <c r="Q54" s="19" t="str">
        <f aca="false">IF(OR($D54="",$I54="",$H54=""),"",$O54*$H54*(5-MATCH($I54,{"Q1";"Q2";"Q3";"Q4"},0))/4+$P54*$H54)</f>
        <v/>
      </c>
      <c r="R54" s="19" t="str">
        <f aca="false">IF($O54="","",$O54*$H54)</f>
        <v/>
      </c>
      <c r="S54" s="32" t="str">
        <f aca="false">IF(COUNTA($B54:$J54)+COUNTA($M54:$N54)=0,"",MID(IF($B54="",", unit","")&amp;IF($C54="",", job title","")&amp;IF($D54="",", grade","")&amp;IF($E54="",", workforce type","")&amp;IF($F54="",", Saudi basis","")&amp;IF($G54="",", nature","")&amp;IF(N($H54)&lt;=0,", FTE","")&amp;IF($I54="",", start quarter","")&amp;IF($J54="",", driver","")&amp;IF($M54="",", alternatives",""),3,300))</f>
        <v/>
      </c>
      <c r="T54" s="17" t="str">
        <f aca="false">IF($S54="","",COUNTIF($S$6:$S54,"?*"))</f>
        <v/>
      </c>
    </row>
    <row r="55" customFormat="false" ht="15" hidden="false" customHeight="false" outlineLevel="0" collapsed="false">
      <c r="A55" s="17" t="n">
        <v>50</v>
      </c>
      <c r="B55" s="22"/>
      <c r="C55" s="22"/>
      <c r="D55" s="22"/>
      <c r="E55" s="22"/>
      <c r="F55" s="22"/>
      <c r="G55" s="22"/>
      <c r="H55" s="25"/>
      <c r="I55" s="22"/>
      <c r="J55" s="22"/>
      <c r="K55" s="31" t="str">
        <f aca="false">IF($J55="","",IFERROR(INDEX(DriverCategory,MATCH($J55,DriverList,0)),"?"))</f>
        <v/>
      </c>
      <c r="L55" s="31" t="str">
        <f aca="false">IF($J55="","",IFERROR(INDEX(DriverRank,MATCH($J55,DriverList,0)),99))</f>
        <v/>
      </c>
      <c r="M55" s="22"/>
      <c r="N55" s="22"/>
      <c r="O55" s="19" t="str">
        <f aca="false">IF($D55="","",INDEX(GradeBasic,MATCH($D55,GradeList,0))+INDEX(GradeHousing,MATCH($D55,GradeList,0))+INDEX(GradeTransport,MATCH($D55,GradeList,0))+INDEX(GradeBasic,MATCH($D55,GradeList,0))*INDEX(GradeBonus,MATCH($D55,GradeList,0))+(INDEX(GradeBasic,MATCH($D55,GradeList,0))+INDEX(GradeHousing,MATCH($D55,GradeList,0)))*IF($F55="Saudi",GosiSaudi,GosiOther))</f>
        <v/>
      </c>
      <c r="P55" s="19" t="str">
        <f aca="false">IF($D55="","",IF(INDEX(GradeRank,MATCH($D55,GradeList,0))&gt;=INDEX(GradeRank,MATCH("G14",GradeList,0)),OneOffSenior,OneOffJunior))</f>
        <v/>
      </c>
      <c r="Q55" s="19" t="str">
        <f aca="false">IF(OR($D55="",$I55="",$H55=""),"",$O55*$H55*(5-MATCH($I55,{"Q1";"Q2";"Q3";"Q4"},0))/4+$P55*$H55)</f>
        <v/>
      </c>
      <c r="R55" s="19" t="str">
        <f aca="false">IF($O55="","",$O55*$H55)</f>
        <v/>
      </c>
      <c r="S55" s="32" t="str">
        <f aca="false">IF(COUNTA($B55:$J55)+COUNTA($M55:$N55)=0,"",MID(IF($B55="",", unit","")&amp;IF($C55="",", job title","")&amp;IF($D55="",", grade","")&amp;IF($E55="",", workforce type","")&amp;IF($F55="",", Saudi basis","")&amp;IF($G55="",", nature","")&amp;IF(N($H55)&lt;=0,", FTE","")&amp;IF($I55="",", start quarter","")&amp;IF($J55="",", driver","")&amp;IF($M55="",", alternatives",""),3,300))</f>
        <v/>
      </c>
      <c r="T55" s="17" t="str">
        <f aca="false">IF($S55="","",COUNTIF($S$6:$S55,"?*"))</f>
        <v/>
      </c>
    </row>
    <row r="56" customFormat="false" ht="15" hidden="false" customHeight="false" outlineLevel="0" collapsed="false">
      <c r="A56" s="17" t="n">
        <v>51</v>
      </c>
      <c r="B56" s="22"/>
      <c r="C56" s="22"/>
      <c r="D56" s="22"/>
      <c r="E56" s="22"/>
      <c r="F56" s="22"/>
      <c r="G56" s="22"/>
      <c r="H56" s="25"/>
      <c r="I56" s="22"/>
      <c r="J56" s="22"/>
      <c r="K56" s="31" t="str">
        <f aca="false">IF($J56="","",IFERROR(INDEX(DriverCategory,MATCH($J56,DriverList,0)),"?"))</f>
        <v/>
      </c>
      <c r="L56" s="31" t="str">
        <f aca="false">IF($J56="","",IFERROR(INDEX(DriverRank,MATCH($J56,DriverList,0)),99))</f>
        <v/>
      </c>
      <c r="M56" s="22"/>
      <c r="N56" s="22"/>
      <c r="O56" s="19" t="str">
        <f aca="false">IF($D56="","",INDEX(GradeBasic,MATCH($D56,GradeList,0))+INDEX(GradeHousing,MATCH($D56,GradeList,0))+INDEX(GradeTransport,MATCH($D56,GradeList,0))+INDEX(GradeBasic,MATCH($D56,GradeList,0))*INDEX(GradeBonus,MATCH($D56,GradeList,0))+(INDEX(GradeBasic,MATCH($D56,GradeList,0))+INDEX(GradeHousing,MATCH($D56,GradeList,0)))*IF($F56="Saudi",GosiSaudi,GosiOther))</f>
        <v/>
      </c>
      <c r="P56" s="19" t="str">
        <f aca="false">IF($D56="","",IF(INDEX(GradeRank,MATCH($D56,GradeList,0))&gt;=INDEX(GradeRank,MATCH("G14",GradeList,0)),OneOffSenior,OneOffJunior))</f>
        <v/>
      </c>
      <c r="Q56" s="19" t="str">
        <f aca="false">IF(OR($D56="",$I56="",$H56=""),"",$O56*$H56*(5-MATCH($I56,{"Q1";"Q2";"Q3";"Q4"},0))/4+$P56*$H56)</f>
        <v/>
      </c>
      <c r="R56" s="19" t="str">
        <f aca="false">IF($O56="","",$O56*$H56)</f>
        <v/>
      </c>
      <c r="S56" s="32" t="str">
        <f aca="false">IF(COUNTA($B56:$J56)+COUNTA($M56:$N56)=0,"",MID(IF($B56="",", unit","")&amp;IF($C56="",", job title","")&amp;IF($D56="",", grade","")&amp;IF($E56="",", workforce type","")&amp;IF($F56="",", Saudi basis","")&amp;IF($G56="",", nature","")&amp;IF(N($H56)&lt;=0,", FTE","")&amp;IF($I56="",", start quarter","")&amp;IF($J56="",", driver","")&amp;IF($M56="",", alternatives",""),3,300))</f>
        <v/>
      </c>
      <c r="T56" s="17" t="str">
        <f aca="false">IF($S56="","",COUNTIF($S$6:$S56,"?*"))</f>
        <v/>
      </c>
    </row>
    <row r="57" customFormat="false" ht="15" hidden="false" customHeight="false" outlineLevel="0" collapsed="false">
      <c r="A57" s="17" t="n">
        <v>52</v>
      </c>
      <c r="B57" s="22"/>
      <c r="C57" s="22"/>
      <c r="D57" s="22"/>
      <c r="E57" s="22"/>
      <c r="F57" s="22"/>
      <c r="G57" s="22"/>
      <c r="H57" s="25"/>
      <c r="I57" s="22"/>
      <c r="J57" s="22"/>
      <c r="K57" s="31" t="str">
        <f aca="false">IF($J57="","",IFERROR(INDEX(DriverCategory,MATCH($J57,DriverList,0)),"?"))</f>
        <v/>
      </c>
      <c r="L57" s="31" t="str">
        <f aca="false">IF($J57="","",IFERROR(INDEX(DriverRank,MATCH($J57,DriverList,0)),99))</f>
        <v/>
      </c>
      <c r="M57" s="22"/>
      <c r="N57" s="22"/>
      <c r="O57" s="19" t="str">
        <f aca="false">IF($D57="","",INDEX(GradeBasic,MATCH($D57,GradeList,0))+INDEX(GradeHousing,MATCH($D57,GradeList,0))+INDEX(GradeTransport,MATCH($D57,GradeList,0))+INDEX(GradeBasic,MATCH($D57,GradeList,0))*INDEX(GradeBonus,MATCH($D57,GradeList,0))+(INDEX(GradeBasic,MATCH($D57,GradeList,0))+INDEX(GradeHousing,MATCH($D57,GradeList,0)))*IF($F57="Saudi",GosiSaudi,GosiOther))</f>
        <v/>
      </c>
      <c r="P57" s="19" t="str">
        <f aca="false">IF($D57="","",IF(INDEX(GradeRank,MATCH($D57,GradeList,0))&gt;=INDEX(GradeRank,MATCH("G14",GradeList,0)),OneOffSenior,OneOffJunior))</f>
        <v/>
      </c>
      <c r="Q57" s="19" t="str">
        <f aca="false">IF(OR($D57="",$I57="",$H57=""),"",$O57*$H57*(5-MATCH($I57,{"Q1";"Q2";"Q3";"Q4"},0))/4+$P57*$H57)</f>
        <v/>
      </c>
      <c r="R57" s="19" t="str">
        <f aca="false">IF($O57="","",$O57*$H57)</f>
        <v/>
      </c>
      <c r="S57" s="32" t="str">
        <f aca="false">IF(COUNTA($B57:$J57)+COUNTA($M57:$N57)=0,"",MID(IF($B57="",", unit","")&amp;IF($C57="",", job title","")&amp;IF($D57="",", grade","")&amp;IF($E57="",", workforce type","")&amp;IF($F57="",", Saudi basis","")&amp;IF($G57="",", nature","")&amp;IF(N($H57)&lt;=0,", FTE","")&amp;IF($I57="",", start quarter","")&amp;IF($J57="",", driver","")&amp;IF($M57="",", alternatives",""),3,300))</f>
        <v/>
      </c>
      <c r="T57" s="17" t="str">
        <f aca="false">IF($S57="","",COUNTIF($S$6:$S57,"?*"))</f>
        <v/>
      </c>
    </row>
    <row r="58" customFormat="false" ht="15" hidden="false" customHeight="false" outlineLevel="0" collapsed="false">
      <c r="A58" s="17" t="n">
        <v>53</v>
      </c>
      <c r="B58" s="22"/>
      <c r="C58" s="22"/>
      <c r="D58" s="22"/>
      <c r="E58" s="22"/>
      <c r="F58" s="22"/>
      <c r="G58" s="22"/>
      <c r="H58" s="25"/>
      <c r="I58" s="22"/>
      <c r="J58" s="22"/>
      <c r="K58" s="31" t="str">
        <f aca="false">IF($J58="","",IFERROR(INDEX(DriverCategory,MATCH($J58,DriverList,0)),"?"))</f>
        <v/>
      </c>
      <c r="L58" s="31" t="str">
        <f aca="false">IF($J58="","",IFERROR(INDEX(DriverRank,MATCH($J58,DriverList,0)),99))</f>
        <v/>
      </c>
      <c r="M58" s="22"/>
      <c r="N58" s="22"/>
      <c r="O58" s="19" t="str">
        <f aca="false">IF($D58="","",INDEX(GradeBasic,MATCH($D58,GradeList,0))+INDEX(GradeHousing,MATCH($D58,GradeList,0))+INDEX(GradeTransport,MATCH($D58,GradeList,0))+INDEX(GradeBasic,MATCH($D58,GradeList,0))*INDEX(GradeBonus,MATCH($D58,GradeList,0))+(INDEX(GradeBasic,MATCH($D58,GradeList,0))+INDEX(GradeHousing,MATCH($D58,GradeList,0)))*IF($F58="Saudi",GosiSaudi,GosiOther))</f>
        <v/>
      </c>
      <c r="P58" s="19" t="str">
        <f aca="false">IF($D58="","",IF(INDEX(GradeRank,MATCH($D58,GradeList,0))&gt;=INDEX(GradeRank,MATCH("G14",GradeList,0)),OneOffSenior,OneOffJunior))</f>
        <v/>
      </c>
      <c r="Q58" s="19" t="str">
        <f aca="false">IF(OR($D58="",$I58="",$H58=""),"",$O58*$H58*(5-MATCH($I58,{"Q1";"Q2";"Q3";"Q4"},0))/4+$P58*$H58)</f>
        <v/>
      </c>
      <c r="R58" s="19" t="str">
        <f aca="false">IF($O58="","",$O58*$H58)</f>
        <v/>
      </c>
      <c r="S58" s="32" t="str">
        <f aca="false">IF(COUNTA($B58:$J58)+COUNTA($M58:$N58)=0,"",MID(IF($B58="",", unit","")&amp;IF($C58="",", job title","")&amp;IF($D58="",", grade","")&amp;IF($E58="",", workforce type","")&amp;IF($F58="",", Saudi basis","")&amp;IF($G58="",", nature","")&amp;IF(N($H58)&lt;=0,", FTE","")&amp;IF($I58="",", start quarter","")&amp;IF($J58="",", driver","")&amp;IF($M58="",", alternatives",""),3,300))</f>
        <v/>
      </c>
      <c r="T58" s="17" t="str">
        <f aca="false">IF($S58="","",COUNTIF($S$6:$S58,"?*"))</f>
        <v/>
      </c>
    </row>
    <row r="59" customFormat="false" ht="15" hidden="false" customHeight="false" outlineLevel="0" collapsed="false">
      <c r="A59" s="17" t="n">
        <v>54</v>
      </c>
      <c r="B59" s="22"/>
      <c r="C59" s="22"/>
      <c r="D59" s="22"/>
      <c r="E59" s="22"/>
      <c r="F59" s="22"/>
      <c r="G59" s="22"/>
      <c r="H59" s="25"/>
      <c r="I59" s="22"/>
      <c r="J59" s="22"/>
      <c r="K59" s="31" t="str">
        <f aca="false">IF($J59="","",IFERROR(INDEX(DriverCategory,MATCH($J59,DriverList,0)),"?"))</f>
        <v/>
      </c>
      <c r="L59" s="31" t="str">
        <f aca="false">IF($J59="","",IFERROR(INDEX(DriverRank,MATCH($J59,DriverList,0)),99))</f>
        <v/>
      </c>
      <c r="M59" s="22"/>
      <c r="N59" s="22"/>
      <c r="O59" s="19" t="str">
        <f aca="false">IF($D59="","",INDEX(GradeBasic,MATCH($D59,GradeList,0))+INDEX(GradeHousing,MATCH($D59,GradeList,0))+INDEX(GradeTransport,MATCH($D59,GradeList,0))+INDEX(GradeBasic,MATCH($D59,GradeList,0))*INDEX(GradeBonus,MATCH($D59,GradeList,0))+(INDEX(GradeBasic,MATCH($D59,GradeList,0))+INDEX(GradeHousing,MATCH($D59,GradeList,0)))*IF($F59="Saudi",GosiSaudi,GosiOther))</f>
        <v/>
      </c>
      <c r="P59" s="19" t="str">
        <f aca="false">IF($D59="","",IF(INDEX(GradeRank,MATCH($D59,GradeList,0))&gt;=INDEX(GradeRank,MATCH("G14",GradeList,0)),OneOffSenior,OneOffJunior))</f>
        <v/>
      </c>
      <c r="Q59" s="19" t="str">
        <f aca="false">IF(OR($D59="",$I59="",$H59=""),"",$O59*$H59*(5-MATCH($I59,{"Q1";"Q2";"Q3";"Q4"},0))/4+$P59*$H59)</f>
        <v/>
      </c>
      <c r="R59" s="19" t="str">
        <f aca="false">IF($O59="","",$O59*$H59)</f>
        <v/>
      </c>
      <c r="S59" s="32" t="str">
        <f aca="false">IF(COUNTA($B59:$J59)+COUNTA($M59:$N59)=0,"",MID(IF($B59="",", unit","")&amp;IF($C59="",", job title","")&amp;IF($D59="",", grade","")&amp;IF($E59="",", workforce type","")&amp;IF($F59="",", Saudi basis","")&amp;IF($G59="",", nature","")&amp;IF(N($H59)&lt;=0,", FTE","")&amp;IF($I59="",", start quarter","")&amp;IF($J59="",", driver","")&amp;IF($M59="",", alternatives",""),3,300))</f>
        <v/>
      </c>
      <c r="T59" s="17" t="str">
        <f aca="false">IF($S59="","",COUNTIF($S$6:$S59,"?*"))</f>
        <v/>
      </c>
    </row>
    <row r="60" customFormat="false" ht="15" hidden="false" customHeight="false" outlineLevel="0" collapsed="false">
      <c r="A60" s="17" t="n">
        <v>55</v>
      </c>
      <c r="B60" s="22"/>
      <c r="C60" s="22"/>
      <c r="D60" s="22"/>
      <c r="E60" s="22"/>
      <c r="F60" s="22"/>
      <c r="G60" s="22"/>
      <c r="H60" s="25"/>
      <c r="I60" s="22"/>
      <c r="J60" s="22"/>
      <c r="K60" s="31" t="str">
        <f aca="false">IF($J60="","",IFERROR(INDEX(DriverCategory,MATCH($J60,DriverList,0)),"?"))</f>
        <v/>
      </c>
      <c r="L60" s="31" t="str">
        <f aca="false">IF($J60="","",IFERROR(INDEX(DriverRank,MATCH($J60,DriverList,0)),99))</f>
        <v/>
      </c>
      <c r="M60" s="22"/>
      <c r="N60" s="22"/>
      <c r="O60" s="19" t="str">
        <f aca="false">IF($D60="","",INDEX(GradeBasic,MATCH($D60,GradeList,0))+INDEX(GradeHousing,MATCH($D60,GradeList,0))+INDEX(GradeTransport,MATCH($D60,GradeList,0))+INDEX(GradeBasic,MATCH($D60,GradeList,0))*INDEX(GradeBonus,MATCH($D60,GradeList,0))+(INDEX(GradeBasic,MATCH($D60,GradeList,0))+INDEX(GradeHousing,MATCH($D60,GradeList,0)))*IF($F60="Saudi",GosiSaudi,GosiOther))</f>
        <v/>
      </c>
      <c r="P60" s="19" t="str">
        <f aca="false">IF($D60="","",IF(INDEX(GradeRank,MATCH($D60,GradeList,0))&gt;=INDEX(GradeRank,MATCH("G14",GradeList,0)),OneOffSenior,OneOffJunior))</f>
        <v/>
      </c>
      <c r="Q60" s="19" t="str">
        <f aca="false">IF(OR($D60="",$I60="",$H60=""),"",$O60*$H60*(5-MATCH($I60,{"Q1";"Q2";"Q3";"Q4"},0))/4+$P60*$H60)</f>
        <v/>
      </c>
      <c r="R60" s="19" t="str">
        <f aca="false">IF($O60="","",$O60*$H60)</f>
        <v/>
      </c>
      <c r="S60" s="32" t="str">
        <f aca="false">IF(COUNTA($B60:$J60)+COUNTA($M60:$N60)=0,"",MID(IF($B60="",", unit","")&amp;IF($C60="",", job title","")&amp;IF($D60="",", grade","")&amp;IF($E60="",", workforce type","")&amp;IF($F60="",", Saudi basis","")&amp;IF($G60="",", nature","")&amp;IF(N($H60)&lt;=0,", FTE","")&amp;IF($I60="",", start quarter","")&amp;IF($J60="",", driver","")&amp;IF($M60="",", alternatives",""),3,300))</f>
        <v/>
      </c>
      <c r="T60" s="17" t="str">
        <f aca="false">IF($S60="","",COUNTIF($S$6:$S60,"?*"))</f>
        <v/>
      </c>
    </row>
    <row r="61" customFormat="false" ht="15" hidden="false" customHeight="false" outlineLevel="0" collapsed="false">
      <c r="A61" s="17" t="n">
        <v>56</v>
      </c>
      <c r="B61" s="22"/>
      <c r="C61" s="22"/>
      <c r="D61" s="22"/>
      <c r="E61" s="22"/>
      <c r="F61" s="22"/>
      <c r="G61" s="22"/>
      <c r="H61" s="25"/>
      <c r="I61" s="22"/>
      <c r="J61" s="22"/>
      <c r="K61" s="31" t="str">
        <f aca="false">IF($J61="","",IFERROR(INDEX(DriverCategory,MATCH($J61,DriverList,0)),"?"))</f>
        <v/>
      </c>
      <c r="L61" s="31" t="str">
        <f aca="false">IF($J61="","",IFERROR(INDEX(DriverRank,MATCH($J61,DriverList,0)),99))</f>
        <v/>
      </c>
      <c r="M61" s="22"/>
      <c r="N61" s="22"/>
      <c r="O61" s="19" t="str">
        <f aca="false">IF($D61="","",INDEX(GradeBasic,MATCH($D61,GradeList,0))+INDEX(GradeHousing,MATCH($D61,GradeList,0))+INDEX(GradeTransport,MATCH($D61,GradeList,0))+INDEX(GradeBasic,MATCH($D61,GradeList,0))*INDEX(GradeBonus,MATCH($D61,GradeList,0))+(INDEX(GradeBasic,MATCH($D61,GradeList,0))+INDEX(GradeHousing,MATCH($D61,GradeList,0)))*IF($F61="Saudi",GosiSaudi,GosiOther))</f>
        <v/>
      </c>
      <c r="P61" s="19" t="str">
        <f aca="false">IF($D61="","",IF(INDEX(GradeRank,MATCH($D61,GradeList,0))&gt;=INDEX(GradeRank,MATCH("G14",GradeList,0)),OneOffSenior,OneOffJunior))</f>
        <v/>
      </c>
      <c r="Q61" s="19" t="str">
        <f aca="false">IF(OR($D61="",$I61="",$H61=""),"",$O61*$H61*(5-MATCH($I61,{"Q1";"Q2";"Q3";"Q4"},0))/4+$P61*$H61)</f>
        <v/>
      </c>
      <c r="R61" s="19" t="str">
        <f aca="false">IF($O61="","",$O61*$H61)</f>
        <v/>
      </c>
      <c r="S61" s="32" t="str">
        <f aca="false">IF(COUNTA($B61:$J61)+COUNTA($M61:$N61)=0,"",MID(IF($B61="",", unit","")&amp;IF($C61="",", job title","")&amp;IF($D61="",", grade","")&amp;IF($E61="",", workforce type","")&amp;IF($F61="",", Saudi basis","")&amp;IF($G61="",", nature","")&amp;IF(N($H61)&lt;=0,", FTE","")&amp;IF($I61="",", start quarter","")&amp;IF($J61="",", driver","")&amp;IF($M61="",", alternatives",""),3,300))</f>
        <v/>
      </c>
      <c r="T61" s="17" t="str">
        <f aca="false">IF($S61="","",COUNTIF($S$6:$S61,"?*"))</f>
        <v/>
      </c>
    </row>
    <row r="62" customFormat="false" ht="15" hidden="false" customHeight="false" outlineLevel="0" collapsed="false">
      <c r="A62" s="17" t="n">
        <v>57</v>
      </c>
      <c r="B62" s="22"/>
      <c r="C62" s="22"/>
      <c r="D62" s="22"/>
      <c r="E62" s="22"/>
      <c r="F62" s="22"/>
      <c r="G62" s="22"/>
      <c r="H62" s="25"/>
      <c r="I62" s="22"/>
      <c r="J62" s="22"/>
      <c r="K62" s="31" t="str">
        <f aca="false">IF($J62="","",IFERROR(INDEX(DriverCategory,MATCH($J62,DriverList,0)),"?"))</f>
        <v/>
      </c>
      <c r="L62" s="31" t="str">
        <f aca="false">IF($J62="","",IFERROR(INDEX(DriverRank,MATCH($J62,DriverList,0)),99))</f>
        <v/>
      </c>
      <c r="M62" s="22"/>
      <c r="N62" s="22"/>
      <c r="O62" s="19" t="str">
        <f aca="false">IF($D62="","",INDEX(GradeBasic,MATCH($D62,GradeList,0))+INDEX(GradeHousing,MATCH($D62,GradeList,0))+INDEX(GradeTransport,MATCH($D62,GradeList,0))+INDEX(GradeBasic,MATCH($D62,GradeList,0))*INDEX(GradeBonus,MATCH($D62,GradeList,0))+(INDEX(GradeBasic,MATCH($D62,GradeList,0))+INDEX(GradeHousing,MATCH($D62,GradeList,0)))*IF($F62="Saudi",GosiSaudi,GosiOther))</f>
        <v/>
      </c>
      <c r="P62" s="19" t="str">
        <f aca="false">IF($D62="","",IF(INDEX(GradeRank,MATCH($D62,GradeList,0))&gt;=INDEX(GradeRank,MATCH("G14",GradeList,0)),OneOffSenior,OneOffJunior))</f>
        <v/>
      </c>
      <c r="Q62" s="19" t="str">
        <f aca="false">IF(OR($D62="",$I62="",$H62=""),"",$O62*$H62*(5-MATCH($I62,{"Q1";"Q2";"Q3";"Q4"},0))/4+$P62*$H62)</f>
        <v/>
      </c>
      <c r="R62" s="19" t="str">
        <f aca="false">IF($O62="","",$O62*$H62)</f>
        <v/>
      </c>
      <c r="S62" s="32" t="str">
        <f aca="false">IF(COUNTA($B62:$J62)+COUNTA($M62:$N62)=0,"",MID(IF($B62="",", unit","")&amp;IF($C62="",", job title","")&amp;IF($D62="",", grade","")&amp;IF($E62="",", workforce type","")&amp;IF($F62="",", Saudi basis","")&amp;IF($G62="",", nature","")&amp;IF(N($H62)&lt;=0,", FTE","")&amp;IF($I62="",", start quarter","")&amp;IF($J62="",", driver","")&amp;IF($M62="",", alternatives",""),3,300))</f>
        <v/>
      </c>
      <c r="T62" s="17" t="str">
        <f aca="false">IF($S62="","",COUNTIF($S$6:$S62,"?*"))</f>
        <v/>
      </c>
    </row>
    <row r="63" customFormat="false" ht="15" hidden="false" customHeight="false" outlineLevel="0" collapsed="false">
      <c r="A63" s="17" t="n">
        <v>58</v>
      </c>
      <c r="B63" s="22"/>
      <c r="C63" s="22"/>
      <c r="D63" s="22"/>
      <c r="E63" s="22"/>
      <c r="F63" s="22"/>
      <c r="G63" s="22"/>
      <c r="H63" s="25"/>
      <c r="I63" s="22"/>
      <c r="J63" s="22"/>
      <c r="K63" s="31" t="str">
        <f aca="false">IF($J63="","",IFERROR(INDEX(DriverCategory,MATCH($J63,DriverList,0)),"?"))</f>
        <v/>
      </c>
      <c r="L63" s="31" t="str">
        <f aca="false">IF($J63="","",IFERROR(INDEX(DriverRank,MATCH($J63,DriverList,0)),99))</f>
        <v/>
      </c>
      <c r="M63" s="22"/>
      <c r="N63" s="22"/>
      <c r="O63" s="19" t="str">
        <f aca="false">IF($D63="","",INDEX(GradeBasic,MATCH($D63,GradeList,0))+INDEX(GradeHousing,MATCH($D63,GradeList,0))+INDEX(GradeTransport,MATCH($D63,GradeList,0))+INDEX(GradeBasic,MATCH($D63,GradeList,0))*INDEX(GradeBonus,MATCH($D63,GradeList,0))+(INDEX(GradeBasic,MATCH($D63,GradeList,0))+INDEX(GradeHousing,MATCH($D63,GradeList,0)))*IF($F63="Saudi",GosiSaudi,GosiOther))</f>
        <v/>
      </c>
      <c r="P63" s="19" t="str">
        <f aca="false">IF($D63="","",IF(INDEX(GradeRank,MATCH($D63,GradeList,0))&gt;=INDEX(GradeRank,MATCH("G14",GradeList,0)),OneOffSenior,OneOffJunior))</f>
        <v/>
      </c>
      <c r="Q63" s="19" t="str">
        <f aca="false">IF(OR($D63="",$I63="",$H63=""),"",$O63*$H63*(5-MATCH($I63,{"Q1";"Q2";"Q3";"Q4"},0))/4+$P63*$H63)</f>
        <v/>
      </c>
      <c r="R63" s="19" t="str">
        <f aca="false">IF($O63="","",$O63*$H63)</f>
        <v/>
      </c>
      <c r="S63" s="32" t="str">
        <f aca="false">IF(COUNTA($B63:$J63)+COUNTA($M63:$N63)=0,"",MID(IF($B63="",", unit","")&amp;IF($C63="",", job title","")&amp;IF($D63="",", grade","")&amp;IF($E63="",", workforce type","")&amp;IF($F63="",", Saudi basis","")&amp;IF($G63="",", nature","")&amp;IF(N($H63)&lt;=0,", FTE","")&amp;IF($I63="",", start quarter","")&amp;IF($J63="",", driver","")&amp;IF($M63="",", alternatives",""),3,300))</f>
        <v/>
      </c>
      <c r="T63" s="17" t="str">
        <f aca="false">IF($S63="","",COUNTIF($S$6:$S63,"?*"))</f>
        <v/>
      </c>
    </row>
    <row r="64" customFormat="false" ht="15" hidden="false" customHeight="false" outlineLevel="0" collapsed="false">
      <c r="A64" s="17" t="n">
        <v>59</v>
      </c>
      <c r="B64" s="22"/>
      <c r="C64" s="22"/>
      <c r="D64" s="22"/>
      <c r="E64" s="22"/>
      <c r="F64" s="22"/>
      <c r="G64" s="22"/>
      <c r="H64" s="25"/>
      <c r="I64" s="22"/>
      <c r="J64" s="22"/>
      <c r="K64" s="31" t="str">
        <f aca="false">IF($J64="","",IFERROR(INDEX(DriverCategory,MATCH($J64,DriverList,0)),"?"))</f>
        <v/>
      </c>
      <c r="L64" s="31" t="str">
        <f aca="false">IF($J64="","",IFERROR(INDEX(DriverRank,MATCH($J64,DriverList,0)),99))</f>
        <v/>
      </c>
      <c r="M64" s="22"/>
      <c r="N64" s="22"/>
      <c r="O64" s="19" t="str">
        <f aca="false">IF($D64="","",INDEX(GradeBasic,MATCH($D64,GradeList,0))+INDEX(GradeHousing,MATCH($D64,GradeList,0))+INDEX(GradeTransport,MATCH($D64,GradeList,0))+INDEX(GradeBasic,MATCH($D64,GradeList,0))*INDEX(GradeBonus,MATCH($D64,GradeList,0))+(INDEX(GradeBasic,MATCH($D64,GradeList,0))+INDEX(GradeHousing,MATCH($D64,GradeList,0)))*IF($F64="Saudi",GosiSaudi,GosiOther))</f>
        <v/>
      </c>
      <c r="P64" s="19" t="str">
        <f aca="false">IF($D64="","",IF(INDEX(GradeRank,MATCH($D64,GradeList,0))&gt;=INDEX(GradeRank,MATCH("G14",GradeList,0)),OneOffSenior,OneOffJunior))</f>
        <v/>
      </c>
      <c r="Q64" s="19" t="str">
        <f aca="false">IF(OR($D64="",$I64="",$H64=""),"",$O64*$H64*(5-MATCH($I64,{"Q1";"Q2";"Q3";"Q4"},0))/4+$P64*$H64)</f>
        <v/>
      </c>
      <c r="R64" s="19" t="str">
        <f aca="false">IF($O64="","",$O64*$H64)</f>
        <v/>
      </c>
      <c r="S64" s="32" t="str">
        <f aca="false">IF(COUNTA($B64:$J64)+COUNTA($M64:$N64)=0,"",MID(IF($B64="",", unit","")&amp;IF($C64="",", job title","")&amp;IF($D64="",", grade","")&amp;IF($E64="",", workforce type","")&amp;IF($F64="",", Saudi basis","")&amp;IF($G64="",", nature","")&amp;IF(N($H64)&lt;=0,", FTE","")&amp;IF($I64="",", start quarter","")&amp;IF($J64="",", driver","")&amp;IF($M64="",", alternatives",""),3,300))</f>
        <v/>
      </c>
      <c r="T64" s="17" t="str">
        <f aca="false">IF($S64="","",COUNTIF($S$6:$S64,"?*"))</f>
        <v/>
      </c>
    </row>
    <row r="65" customFormat="false" ht="15" hidden="false" customHeight="false" outlineLevel="0" collapsed="false">
      <c r="A65" s="17" t="n">
        <v>60</v>
      </c>
      <c r="B65" s="22"/>
      <c r="C65" s="22"/>
      <c r="D65" s="22"/>
      <c r="E65" s="22"/>
      <c r="F65" s="22"/>
      <c r="G65" s="22"/>
      <c r="H65" s="25"/>
      <c r="I65" s="22"/>
      <c r="J65" s="22"/>
      <c r="K65" s="31" t="str">
        <f aca="false">IF($J65="","",IFERROR(INDEX(DriverCategory,MATCH($J65,DriverList,0)),"?"))</f>
        <v/>
      </c>
      <c r="L65" s="31" t="str">
        <f aca="false">IF($J65="","",IFERROR(INDEX(DriverRank,MATCH($J65,DriverList,0)),99))</f>
        <v/>
      </c>
      <c r="M65" s="22"/>
      <c r="N65" s="22"/>
      <c r="O65" s="19" t="str">
        <f aca="false">IF($D65="","",INDEX(GradeBasic,MATCH($D65,GradeList,0))+INDEX(GradeHousing,MATCH($D65,GradeList,0))+INDEX(GradeTransport,MATCH($D65,GradeList,0))+INDEX(GradeBasic,MATCH($D65,GradeList,0))*INDEX(GradeBonus,MATCH($D65,GradeList,0))+(INDEX(GradeBasic,MATCH($D65,GradeList,0))+INDEX(GradeHousing,MATCH($D65,GradeList,0)))*IF($F65="Saudi",GosiSaudi,GosiOther))</f>
        <v/>
      </c>
      <c r="P65" s="19" t="str">
        <f aca="false">IF($D65="","",IF(INDEX(GradeRank,MATCH($D65,GradeList,0))&gt;=INDEX(GradeRank,MATCH("G14",GradeList,0)),OneOffSenior,OneOffJunior))</f>
        <v/>
      </c>
      <c r="Q65" s="19" t="str">
        <f aca="false">IF(OR($D65="",$I65="",$H65=""),"",$O65*$H65*(5-MATCH($I65,{"Q1";"Q2";"Q3";"Q4"},0))/4+$P65*$H65)</f>
        <v/>
      </c>
      <c r="R65" s="19" t="str">
        <f aca="false">IF($O65="","",$O65*$H65)</f>
        <v/>
      </c>
      <c r="S65" s="32" t="str">
        <f aca="false">IF(COUNTA($B65:$J65)+COUNTA($M65:$N65)=0,"",MID(IF($B65="",", unit","")&amp;IF($C65="",", job title","")&amp;IF($D65="",", grade","")&amp;IF($E65="",", workforce type","")&amp;IF($F65="",", Saudi basis","")&amp;IF($G65="",", nature","")&amp;IF(N($H65)&lt;=0,", FTE","")&amp;IF($I65="",", start quarter","")&amp;IF($J65="",", driver","")&amp;IF($M65="",", alternatives",""),3,300))</f>
        <v/>
      </c>
      <c r="T65" s="17" t="str">
        <f aca="false">IF($S65="","",COUNTIF($S$6:$S65,"?*"))</f>
        <v/>
      </c>
    </row>
    <row r="66" customFormat="false" ht="15" hidden="false" customHeight="false" outlineLevel="0" collapsed="false">
      <c r="A66" s="17" t="n">
        <v>61</v>
      </c>
      <c r="B66" s="22"/>
      <c r="C66" s="22"/>
      <c r="D66" s="22"/>
      <c r="E66" s="22"/>
      <c r="F66" s="22"/>
      <c r="G66" s="22"/>
      <c r="H66" s="25"/>
      <c r="I66" s="22"/>
      <c r="J66" s="22"/>
      <c r="K66" s="31" t="str">
        <f aca="false">IF($J66="","",IFERROR(INDEX(DriverCategory,MATCH($J66,DriverList,0)),"?"))</f>
        <v/>
      </c>
      <c r="L66" s="31" t="str">
        <f aca="false">IF($J66="","",IFERROR(INDEX(DriverRank,MATCH($J66,DriverList,0)),99))</f>
        <v/>
      </c>
      <c r="M66" s="22"/>
      <c r="N66" s="22"/>
      <c r="O66" s="19" t="str">
        <f aca="false">IF($D66="","",INDEX(GradeBasic,MATCH($D66,GradeList,0))+INDEX(GradeHousing,MATCH($D66,GradeList,0))+INDEX(GradeTransport,MATCH($D66,GradeList,0))+INDEX(GradeBasic,MATCH($D66,GradeList,0))*INDEX(GradeBonus,MATCH($D66,GradeList,0))+(INDEX(GradeBasic,MATCH($D66,GradeList,0))+INDEX(GradeHousing,MATCH($D66,GradeList,0)))*IF($F66="Saudi",GosiSaudi,GosiOther))</f>
        <v/>
      </c>
      <c r="P66" s="19" t="str">
        <f aca="false">IF($D66="","",IF(INDEX(GradeRank,MATCH($D66,GradeList,0))&gt;=INDEX(GradeRank,MATCH("G14",GradeList,0)),OneOffSenior,OneOffJunior))</f>
        <v/>
      </c>
      <c r="Q66" s="19" t="str">
        <f aca="false">IF(OR($D66="",$I66="",$H66=""),"",$O66*$H66*(5-MATCH($I66,{"Q1";"Q2";"Q3";"Q4"},0))/4+$P66*$H66)</f>
        <v/>
      </c>
      <c r="R66" s="19" t="str">
        <f aca="false">IF($O66="","",$O66*$H66)</f>
        <v/>
      </c>
      <c r="S66" s="32" t="str">
        <f aca="false">IF(COUNTA($B66:$J66)+COUNTA($M66:$N66)=0,"",MID(IF($B66="",", unit","")&amp;IF($C66="",", job title","")&amp;IF($D66="",", grade","")&amp;IF($E66="",", workforce type","")&amp;IF($F66="",", Saudi basis","")&amp;IF($G66="",", nature","")&amp;IF(N($H66)&lt;=0,", FTE","")&amp;IF($I66="",", start quarter","")&amp;IF($J66="",", driver","")&amp;IF($M66="",", alternatives",""),3,300))</f>
        <v/>
      </c>
      <c r="T66" s="17" t="str">
        <f aca="false">IF($S66="","",COUNTIF($S$6:$S66,"?*"))</f>
        <v/>
      </c>
    </row>
    <row r="67" customFormat="false" ht="15" hidden="false" customHeight="false" outlineLevel="0" collapsed="false">
      <c r="A67" s="17" t="n">
        <v>62</v>
      </c>
      <c r="B67" s="22"/>
      <c r="C67" s="22"/>
      <c r="D67" s="22"/>
      <c r="E67" s="22"/>
      <c r="F67" s="22"/>
      <c r="G67" s="22"/>
      <c r="H67" s="25"/>
      <c r="I67" s="22"/>
      <c r="J67" s="22"/>
      <c r="K67" s="31" t="str">
        <f aca="false">IF($J67="","",IFERROR(INDEX(DriverCategory,MATCH($J67,DriverList,0)),"?"))</f>
        <v/>
      </c>
      <c r="L67" s="31" t="str">
        <f aca="false">IF($J67="","",IFERROR(INDEX(DriverRank,MATCH($J67,DriverList,0)),99))</f>
        <v/>
      </c>
      <c r="M67" s="22"/>
      <c r="N67" s="22"/>
      <c r="O67" s="19" t="str">
        <f aca="false">IF($D67="","",INDEX(GradeBasic,MATCH($D67,GradeList,0))+INDEX(GradeHousing,MATCH($D67,GradeList,0))+INDEX(GradeTransport,MATCH($D67,GradeList,0))+INDEX(GradeBasic,MATCH($D67,GradeList,0))*INDEX(GradeBonus,MATCH($D67,GradeList,0))+(INDEX(GradeBasic,MATCH($D67,GradeList,0))+INDEX(GradeHousing,MATCH($D67,GradeList,0)))*IF($F67="Saudi",GosiSaudi,GosiOther))</f>
        <v/>
      </c>
      <c r="P67" s="19" t="str">
        <f aca="false">IF($D67="","",IF(INDEX(GradeRank,MATCH($D67,GradeList,0))&gt;=INDEX(GradeRank,MATCH("G14",GradeList,0)),OneOffSenior,OneOffJunior))</f>
        <v/>
      </c>
      <c r="Q67" s="19" t="str">
        <f aca="false">IF(OR($D67="",$I67="",$H67=""),"",$O67*$H67*(5-MATCH($I67,{"Q1";"Q2";"Q3";"Q4"},0))/4+$P67*$H67)</f>
        <v/>
      </c>
      <c r="R67" s="19" t="str">
        <f aca="false">IF($O67="","",$O67*$H67)</f>
        <v/>
      </c>
      <c r="S67" s="32" t="str">
        <f aca="false">IF(COUNTA($B67:$J67)+COUNTA($M67:$N67)=0,"",MID(IF($B67="",", unit","")&amp;IF($C67="",", job title","")&amp;IF($D67="",", grade","")&amp;IF($E67="",", workforce type","")&amp;IF($F67="",", Saudi basis","")&amp;IF($G67="",", nature","")&amp;IF(N($H67)&lt;=0,", FTE","")&amp;IF($I67="",", start quarter","")&amp;IF($J67="",", driver","")&amp;IF($M67="",", alternatives",""),3,300))</f>
        <v/>
      </c>
      <c r="T67" s="17" t="str">
        <f aca="false">IF($S67="","",COUNTIF($S$6:$S67,"?*"))</f>
        <v/>
      </c>
    </row>
    <row r="68" customFormat="false" ht="15" hidden="false" customHeight="false" outlineLevel="0" collapsed="false">
      <c r="A68" s="17" t="n">
        <v>63</v>
      </c>
      <c r="B68" s="22"/>
      <c r="C68" s="22"/>
      <c r="D68" s="22"/>
      <c r="E68" s="22"/>
      <c r="F68" s="22"/>
      <c r="G68" s="22"/>
      <c r="H68" s="25"/>
      <c r="I68" s="22"/>
      <c r="J68" s="22"/>
      <c r="K68" s="31" t="str">
        <f aca="false">IF($J68="","",IFERROR(INDEX(DriverCategory,MATCH($J68,DriverList,0)),"?"))</f>
        <v/>
      </c>
      <c r="L68" s="31" t="str">
        <f aca="false">IF($J68="","",IFERROR(INDEX(DriverRank,MATCH($J68,DriverList,0)),99))</f>
        <v/>
      </c>
      <c r="M68" s="22"/>
      <c r="N68" s="22"/>
      <c r="O68" s="19" t="str">
        <f aca="false">IF($D68="","",INDEX(GradeBasic,MATCH($D68,GradeList,0))+INDEX(GradeHousing,MATCH($D68,GradeList,0))+INDEX(GradeTransport,MATCH($D68,GradeList,0))+INDEX(GradeBasic,MATCH($D68,GradeList,0))*INDEX(GradeBonus,MATCH($D68,GradeList,0))+(INDEX(GradeBasic,MATCH($D68,GradeList,0))+INDEX(GradeHousing,MATCH($D68,GradeList,0)))*IF($F68="Saudi",GosiSaudi,GosiOther))</f>
        <v/>
      </c>
      <c r="P68" s="19" t="str">
        <f aca="false">IF($D68="","",IF(INDEX(GradeRank,MATCH($D68,GradeList,0))&gt;=INDEX(GradeRank,MATCH("G14",GradeList,0)),OneOffSenior,OneOffJunior))</f>
        <v/>
      </c>
      <c r="Q68" s="19" t="str">
        <f aca="false">IF(OR($D68="",$I68="",$H68=""),"",$O68*$H68*(5-MATCH($I68,{"Q1";"Q2";"Q3";"Q4"},0))/4+$P68*$H68)</f>
        <v/>
      </c>
      <c r="R68" s="19" t="str">
        <f aca="false">IF($O68="","",$O68*$H68)</f>
        <v/>
      </c>
      <c r="S68" s="32" t="str">
        <f aca="false">IF(COUNTA($B68:$J68)+COUNTA($M68:$N68)=0,"",MID(IF($B68="",", unit","")&amp;IF($C68="",", job title","")&amp;IF($D68="",", grade","")&amp;IF($E68="",", workforce type","")&amp;IF($F68="",", Saudi basis","")&amp;IF($G68="",", nature","")&amp;IF(N($H68)&lt;=0,", FTE","")&amp;IF($I68="",", start quarter","")&amp;IF($J68="",", driver","")&amp;IF($M68="",", alternatives",""),3,300))</f>
        <v/>
      </c>
      <c r="T68" s="17" t="str">
        <f aca="false">IF($S68="","",COUNTIF($S$6:$S68,"?*"))</f>
        <v/>
      </c>
    </row>
    <row r="69" customFormat="false" ht="15" hidden="false" customHeight="false" outlineLevel="0" collapsed="false">
      <c r="A69" s="17" t="n">
        <v>64</v>
      </c>
      <c r="B69" s="22"/>
      <c r="C69" s="22"/>
      <c r="D69" s="22"/>
      <c r="E69" s="22"/>
      <c r="F69" s="22"/>
      <c r="G69" s="22"/>
      <c r="H69" s="25"/>
      <c r="I69" s="22"/>
      <c r="J69" s="22"/>
      <c r="K69" s="31" t="str">
        <f aca="false">IF($J69="","",IFERROR(INDEX(DriverCategory,MATCH($J69,DriverList,0)),"?"))</f>
        <v/>
      </c>
      <c r="L69" s="31" t="str">
        <f aca="false">IF($J69="","",IFERROR(INDEX(DriverRank,MATCH($J69,DriverList,0)),99))</f>
        <v/>
      </c>
      <c r="M69" s="22"/>
      <c r="N69" s="22"/>
      <c r="O69" s="19" t="str">
        <f aca="false">IF($D69="","",INDEX(GradeBasic,MATCH($D69,GradeList,0))+INDEX(GradeHousing,MATCH($D69,GradeList,0))+INDEX(GradeTransport,MATCH($D69,GradeList,0))+INDEX(GradeBasic,MATCH($D69,GradeList,0))*INDEX(GradeBonus,MATCH($D69,GradeList,0))+(INDEX(GradeBasic,MATCH($D69,GradeList,0))+INDEX(GradeHousing,MATCH($D69,GradeList,0)))*IF($F69="Saudi",GosiSaudi,GosiOther))</f>
        <v/>
      </c>
      <c r="P69" s="19" t="str">
        <f aca="false">IF($D69="","",IF(INDEX(GradeRank,MATCH($D69,GradeList,0))&gt;=INDEX(GradeRank,MATCH("G14",GradeList,0)),OneOffSenior,OneOffJunior))</f>
        <v/>
      </c>
      <c r="Q69" s="19" t="str">
        <f aca="false">IF(OR($D69="",$I69="",$H69=""),"",$O69*$H69*(5-MATCH($I69,{"Q1";"Q2";"Q3";"Q4"},0))/4+$P69*$H69)</f>
        <v/>
      </c>
      <c r="R69" s="19" t="str">
        <f aca="false">IF($O69="","",$O69*$H69)</f>
        <v/>
      </c>
      <c r="S69" s="32" t="str">
        <f aca="false">IF(COUNTA($B69:$J69)+COUNTA($M69:$N69)=0,"",MID(IF($B69="",", unit","")&amp;IF($C69="",", job title","")&amp;IF($D69="",", grade","")&amp;IF($E69="",", workforce type","")&amp;IF($F69="",", Saudi basis","")&amp;IF($G69="",", nature","")&amp;IF(N($H69)&lt;=0,", FTE","")&amp;IF($I69="",", start quarter","")&amp;IF($J69="",", driver","")&amp;IF($M69="",", alternatives",""),3,300))</f>
        <v/>
      </c>
      <c r="T69" s="17" t="str">
        <f aca="false">IF($S69="","",COUNTIF($S$6:$S69,"?*"))</f>
        <v/>
      </c>
    </row>
    <row r="70" customFormat="false" ht="15" hidden="false" customHeight="false" outlineLevel="0" collapsed="false">
      <c r="A70" s="17" t="n">
        <v>65</v>
      </c>
      <c r="B70" s="22"/>
      <c r="C70" s="22"/>
      <c r="D70" s="22"/>
      <c r="E70" s="22"/>
      <c r="F70" s="22"/>
      <c r="G70" s="22"/>
      <c r="H70" s="25"/>
      <c r="I70" s="22"/>
      <c r="J70" s="22"/>
      <c r="K70" s="31" t="str">
        <f aca="false">IF($J70="","",IFERROR(INDEX(DriverCategory,MATCH($J70,DriverList,0)),"?"))</f>
        <v/>
      </c>
      <c r="L70" s="31" t="str">
        <f aca="false">IF($J70="","",IFERROR(INDEX(DriverRank,MATCH($J70,DriverList,0)),99))</f>
        <v/>
      </c>
      <c r="M70" s="22"/>
      <c r="N70" s="22"/>
      <c r="O70" s="19" t="str">
        <f aca="false">IF($D70="","",INDEX(GradeBasic,MATCH($D70,GradeList,0))+INDEX(GradeHousing,MATCH($D70,GradeList,0))+INDEX(GradeTransport,MATCH($D70,GradeList,0))+INDEX(GradeBasic,MATCH($D70,GradeList,0))*INDEX(GradeBonus,MATCH($D70,GradeList,0))+(INDEX(GradeBasic,MATCH($D70,GradeList,0))+INDEX(GradeHousing,MATCH($D70,GradeList,0)))*IF($F70="Saudi",GosiSaudi,GosiOther))</f>
        <v/>
      </c>
      <c r="P70" s="19" t="str">
        <f aca="false">IF($D70="","",IF(INDEX(GradeRank,MATCH($D70,GradeList,0))&gt;=INDEX(GradeRank,MATCH("G14",GradeList,0)),OneOffSenior,OneOffJunior))</f>
        <v/>
      </c>
      <c r="Q70" s="19" t="str">
        <f aca="false">IF(OR($D70="",$I70="",$H70=""),"",$O70*$H70*(5-MATCH($I70,{"Q1";"Q2";"Q3";"Q4"},0))/4+$P70*$H70)</f>
        <v/>
      </c>
      <c r="R70" s="19" t="str">
        <f aca="false">IF($O70="","",$O70*$H70)</f>
        <v/>
      </c>
      <c r="S70" s="32" t="str">
        <f aca="false">IF(COUNTA($B70:$J70)+COUNTA($M70:$N70)=0,"",MID(IF($B70="",", unit","")&amp;IF($C70="",", job title","")&amp;IF($D70="",", grade","")&amp;IF($E70="",", workforce type","")&amp;IF($F70="",", Saudi basis","")&amp;IF($G70="",", nature","")&amp;IF(N($H70)&lt;=0,", FTE","")&amp;IF($I70="",", start quarter","")&amp;IF($J70="",", driver","")&amp;IF($M70="",", alternatives",""),3,300))</f>
        <v/>
      </c>
      <c r="T70" s="17" t="str">
        <f aca="false">IF($S70="","",COUNTIF($S$6:$S70,"?*"))</f>
        <v/>
      </c>
    </row>
    <row r="71" customFormat="false" ht="15" hidden="false" customHeight="false" outlineLevel="0" collapsed="false">
      <c r="A71" s="17" t="n">
        <v>66</v>
      </c>
      <c r="B71" s="22"/>
      <c r="C71" s="22"/>
      <c r="D71" s="22"/>
      <c r="E71" s="22"/>
      <c r="F71" s="22"/>
      <c r="G71" s="22"/>
      <c r="H71" s="25"/>
      <c r="I71" s="22"/>
      <c r="J71" s="22"/>
      <c r="K71" s="31" t="str">
        <f aca="false">IF($J71="","",IFERROR(INDEX(DriverCategory,MATCH($J71,DriverList,0)),"?"))</f>
        <v/>
      </c>
      <c r="L71" s="31" t="str">
        <f aca="false">IF($J71="","",IFERROR(INDEX(DriverRank,MATCH($J71,DriverList,0)),99))</f>
        <v/>
      </c>
      <c r="M71" s="22"/>
      <c r="N71" s="22"/>
      <c r="O71" s="19" t="str">
        <f aca="false">IF($D71="","",INDEX(GradeBasic,MATCH($D71,GradeList,0))+INDEX(GradeHousing,MATCH($D71,GradeList,0))+INDEX(GradeTransport,MATCH($D71,GradeList,0))+INDEX(GradeBasic,MATCH($D71,GradeList,0))*INDEX(GradeBonus,MATCH($D71,GradeList,0))+(INDEX(GradeBasic,MATCH($D71,GradeList,0))+INDEX(GradeHousing,MATCH($D71,GradeList,0)))*IF($F71="Saudi",GosiSaudi,GosiOther))</f>
        <v/>
      </c>
      <c r="P71" s="19" t="str">
        <f aca="false">IF($D71="","",IF(INDEX(GradeRank,MATCH($D71,GradeList,0))&gt;=INDEX(GradeRank,MATCH("G14",GradeList,0)),OneOffSenior,OneOffJunior))</f>
        <v/>
      </c>
      <c r="Q71" s="19" t="str">
        <f aca="false">IF(OR($D71="",$I71="",$H71=""),"",$O71*$H71*(5-MATCH($I71,{"Q1";"Q2";"Q3";"Q4"},0))/4+$P71*$H71)</f>
        <v/>
      </c>
      <c r="R71" s="19" t="str">
        <f aca="false">IF($O71="","",$O71*$H71)</f>
        <v/>
      </c>
      <c r="S71" s="32" t="str">
        <f aca="false">IF(COUNTA($B71:$J71)+COUNTA($M71:$N71)=0,"",MID(IF($B71="",", unit","")&amp;IF($C71="",", job title","")&amp;IF($D71="",", grade","")&amp;IF($E71="",", workforce type","")&amp;IF($F71="",", Saudi basis","")&amp;IF($G71="",", nature","")&amp;IF(N($H71)&lt;=0,", FTE","")&amp;IF($I71="",", start quarter","")&amp;IF($J71="",", driver","")&amp;IF($M71="",", alternatives",""),3,300))</f>
        <v/>
      </c>
      <c r="T71" s="17" t="str">
        <f aca="false">IF($S71="","",COUNTIF($S$6:$S71,"?*"))</f>
        <v/>
      </c>
    </row>
    <row r="72" customFormat="false" ht="15" hidden="false" customHeight="false" outlineLevel="0" collapsed="false">
      <c r="A72" s="17" t="n">
        <v>67</v>
      </c>
      <c r="B72" s="22"/>
      <c r="C72" s="22"/>
      <c r="D72" s="22"/>
      <c r="E72" s="22"/>
      <c r="F72" s="22"/>
      <c r="G72" s="22"/>
      <c r="H72" s="25"/>
      <c r="I72" s="22"/>
      <c r="J72" s="22"/>
      <c r="K72" s="31" t="str">
        <f aca="false">IF($J72="","",IFERROR(INDEX(DriverCategory,MATCH($J72,DriverList,0)),"?"))</f>
        <v/>
      </c>
      <c r="L72" s="31" t="str">
        <f aca="false">IF($J72="","",IFERROR(INDEX(DriverRank,MATCH($J72,DriverList,0)),99))</f>
        <v/>
      </c>
      <c r="M72" s="22"/>
      <c r="N72" s="22"/>
      <c r="O72" s="19" t="str">
        <f aca="false">IF($D72="","",INDEX(GradeBasic,MATCH($D72,GradeList,0))+INDEX(GradeHousing,MATCH($D72,GradeList,0))+INDEX(GradeTransport,MATCH($D72,GradeList,0))+INDEX(GradeBasic,MATCH($D72,GradeList,0))*INDEX(GradeBonus,MATCH($D72,GradeList,0))+(INDEX(GradeBasic,MATCH($D72,GradeList,0))+INDEX(GradeHousing,MATCH($D72,GradeList,0)))*IF($F72="Saudi",GosiSaudi,GosiOther))</f>
        <v/>
      </c>
      <c r="P72" s="19" t="str">
        <f aca="false">IF($D72="","",IF(INDEX(GradeRank,MATCH($D72,GradeList,0))&gt;=INDEX(GradeRank,MATCH("G14",GradeList,0)),OneOffSenior,OneOffJunior))</f>
        <v/>
      </c>
      <c r="Q72" s="19" t="str">
        <f aca="false">IF(OR($D72="",$I72="",$H72=""),"",$O72*$H72*(5-MATCH($I72,{"Q1";"Q2";"Q3";"Q4"},0))/4+$P72*$H72)</f>
        <v/>
      </c>
      <c r="R72" s="19" t="str">
        <f aca="false">IF($O72="","",$O72*$H72)</f>
        <v/>
      </c>
      <c r="S72" s="32" t="str">
        <f aca="false">IF(COUNTA($B72:$J72)+COUNTA($M72:$N72)=0,"",MID(IF($B72="",", unit","")&amp;IF($C72="",", job title","")&amp;IF($D72="",", grade","")&amp;IF($E72="",", workforce type","")&amp;IF($F72="",", Saudi basis","")&amp;IF($G72="",", nature","")&amp;IF(N($H72)&lt;=0,", FTE","")&amp;IF($I72="",", start quarter","")&amp;IF($J72="",", driver","")&amp;IF($M72="",", alternatives",""),3,300))</f>
        <v/>
      </c>
      <c r="T72" s="17" t="str">
        <f aca="false">IF($S72="","",COUNTIF($S$6:$S72,"?*"))</f>
        <v/>
      </c>
    </row>
    <row r="73" customFormat="false" ht="15" hidden="false" customHeight="false" outlineLevel="0" collapsed="false">
      <c r="A73" s="17" t="n">
        <v>68</v>
      </c>
      <c r="B73" s="22"/>
      <c r="C73" s="22"/>
      <c r="D73" s="22"/>
      <c r="E73" s="22"/>
      <c r="F73" s="22"/>
      <c r="G73" s="22"/>
      <c r="H73" s="25"/>
      <c r="I73" s="22"/>
      <c r="J73" s="22"/>
      <c r="K73" s="31" t="str">
        <f aca="false">IF($J73="","",IFERROR(INDEX(DriverCategory,MATCH($J73,DriverList,0)),"?"))</f>
        <v/>
      </c>
      <c r="L73" s="31" t="str">
        <f aca="false">IF($J73="","",IFERROR(INDEX(DriverRank,MATCH($J73,DriverList,0)),99))</f>
        <v/>
      </c>
      <c r="M73" s="22"/>
      <c r="N73" s="22"/>
      <c r="O73" s="19" t="str">
        <f aca="false">IF($D73="","",INDEX(GradeBasic,MATCH($D73,GradeList,0))+INDEX(GradeHousing,MATCH($D73,GradeList,0))+INDEX(GradeTransport,MATCH($D73,GradeList,0))+INDEX(GradeBasic,MATCH($D73,GradeList,0))*INDEX(GradeBonus,MATCH($D73,GradeList,0))+(INDEX(GradeBasic,MATCH($D73,GradeList,0))+INDEX(GradeHousing,MATCH($D73,GradeList,0)))*IF($F73="Saudi",GosiSaudi,GosiOther))</f>
        <v/>
      </c>
      <c r="P73" s="19" t="str">
        <f aca="false">IF($D73="","",IF(INDEX(GradeRank,MATCH($D73,GradeList,0))&gt;=INDEX(GradeRank,MATCH("G14",GradeList,0)),OneOffSenior,OneOffJunior))</f>
        <v/>
      </c>
      <c r="Q73" s="19" t="str">
        <f aca="false">IF(OR($D73="",$I73="",$H73=""),"",$O73*$H73*(5-MATCH($I73,{"Q1";"Q2";"Q3";"Q4"},0))/4+$P73*$H73)</f>
        <v/>
      </c>
      <c r="R73" s="19" t="str">
        <f aca="false">IF($O73="","",$O73*$H73)</f>
        <v/>
      </c>
      <c r="S73" s="32" t="str">
        <f aca="false">IF(COUNTA($B73:$J73)+COUNTA($M73:$N73)=0,"",MID(IF($B73="",", unit","")&amp;IF($C73="",", job title","")&amp;IF($D73="",", grade","")&amp;IF($E73="",", workforce type","")&amp;IF($F73="",", Saudi basis","")&amp;IF($G73="",", nature","")&amp;IF(N($H73)&lt;=0,", FTE","")&amp;IF($I73="",", start quarter","")&amp;IF($J73="",", driver","")&amp;IF($M73="",", alternatives",""),3,300))</f>
        <v/>
      </c>
      <c r="T73" s="17" t="str">
        <f aca="false">IF($S73="","",COUNTIF($S$6:$S73,"?*"))</f>
        <v/>
      </c>
    </row>
    <row r="74" customFormat="false" ht="15" hidden="false" customHeight="false" outlineLevel="0" collapsed="false">
      <c r="A74" s="17" t="n">
        <v>69</v>
      </c>
      <c r="B74" s="22"/>
      <c r="C74" s="22"/>
      <c r="D74" s="22"/>
      <c r="E74" s="22"/>
      <c r="F74" s="22"/>
      <c r="G74" s="22"/>
      <c r="H74" s="25"/>
      <c r="I74" s="22"/>
      <c r="J74" s="22"/>
      <c r="K74" s="31" t="str">
        <f aca="false">IF($J74="","",IFERROR(INDEX(DriverCategory,MATCH($J74,DriverList,0)),"?"))</f>
        <v/>
      </c>
      <c r="L74" s="31" t="str">
        <f aca="false">IF($J74="","",IFERROR(INDEX(DriverRank,MATCH($J74,DriverList,0)),99))</f>
        <v/>
      </c>
      <c r="M74" s="22"/>
      <c r="N74" s="22"/>
      <c r="O74" s="19" t="str">
        <f aca="false">IF($D74="","",INDEX(GradeBasic,MATCH($D74,GradeList,0))+INDEX(GradeHousing,MATCH($D74,GradeList,0))+INDEX(GradeTransport,MATCH($D74,GradeList,0))+INDEX(GradeBasic,MATCH($D74,GradeList,0))*INDEX(GradeBonus,MATCH($D74,GradeList,0))+(INDEX(GradeBasic,MATCH($D74,GradeList,0))+INDEX(GradeHousing,MATCH($D74,GradeList,0)))*IF($F74="Saudi",GosiSaudi,GosiOther))</f>
        <v/>
      </c>
      <c r="P74" s="19" t="str">
        <f aca="false">IF($D74="","",IF(INDEX(GradeRank,MATCH($D74,GradeList,0))&gt;=INDEX(GradeRank,MATCH("G14",GradeList,0)),OneOffSenior,OneOffJunior))</f>
        <v/>
      </c>
      <c r="Q74" s="19" t="str">
        <f aca="false">IF(OR($D74="",$I74="",$H74=""),"",$O74*$H74*(5-MATCH($I74,{"Q1";"Q2";"Q3";"Q4"},0))/4+$P74*$H74)</f>
        <v/>
      </c>
      <c r="R74" s="19" t="str">
        <f aca="false">IF($O74="","",$O74*$H74)</f>
        <v/>
      </c>
      <c r="S74" s="32" t="str">
        <f aca="false">IF(COUNTA($B74:$J74)+COUNTA($M74:$N74)=0,"",MID(IF($B74="",", unit","")&amp;IF($C74="",", job title","")&amp;IF($D74="",", grade","")&amp;IF($E74="",", workforce type","")&amp;IF($F74="",", Saudi basis","")&amp;IF($G74="",", nature","")&amp;IF(N($H74)&lt;=0,", FTE","")&amp;IF($I74="",", start quarter","")&amp;IF($J74="",", driver","")&amp;IF($M74="",", alternatives",""),3,300))</f>
        <v/>
      </c>
      <c r="T74" s="17" t="str">
        <f aca="false">IF($S74="","",COUNTIF($S$6:$S74,"?*"))</f>
        <v/>
      </c>
    </row>
    <row r="75" customFormat="false" ht="15" hidden="false" customHeight="false" outlineLevel="0" collapsed="false">
      <c r="A75" s="17" t="n">
        <v>70</v>
      </c>
      <c r="B75" s="22"/>
      <c r="C75" s="22"/>
      <c r="D75" s="22"/>
      <c r="E75" s="22"/>
      <c r="F75" s="22"/>
      <c r="G75" s="22"/>
      <c r="H75" s="25"/>
      <c r="I75" s="22"/>
      <c r="J75" s="22"/>
      <c r="K75" s="31" t="str">
        <f aca="false">IF($J75="","",IFERROR(INDEX(DriverCategory,MATCH($J75,DriverList,0)),"?"))</f>
        <v/>
      </c>
      <c r="L75" s="31" t="str">
        <f aca="false">IF($J75="","",IFERROR(INDEX(DriverRank,MATCH($J75,DriverList,0)),99))</f>
        <v/>
      </c>
      <c r="M75" s="22"/>
      <c r="N75" s="22"/>
      <c r="O75" s="19" t="str">
        <f aca="false">IF($D75="","",INDEX(GradeBasic,MATCH($D75,GradeList,0))+INDEX(GradeHousing,MATCH($D75,GradeList,0))+INDEX(GradeTransport,MATCH($D75,GradeList,0))+INDEX(GradeBasic,MATCH($D75,GradeList,0))*INDEX(GradeBonus,MATCH($D75,GradeList,0))+(INDEX(GradeBasic,MATCH($D75,GradeList,0))+INDEX(GradeHousing,MATCH($D75,GradeList,0)))*IF($F75="Saudi",GosiSaudi,GosiOther))</f>
        <v/>
      </c>
      <c r="P75" s="19" t="str">
        <f aca="false">IF($D75="","",IF(INDEX(GradeRank,MATCH($D75,GradeList,0))&gt;=INDEX(GradeRank,MATCH("G14",GradeList,0)),OneOffSenior,OneOffJunior))</f>
        <v/>
      </c>
      <c r="Q75" s="19" t="str">
        <f aca="false">IF(OR($D75="",$I75="",$H75=""),"",$O75*$H75*(5-MATCH($I75,{"Q1";"Q2";"Q3";"Q4"},0))/4+$P75*$H75)</f>
        <v/>
      </c>
      <c r="R75" s="19" t="str">
        <f aca="false">IF($O75="","",$O75*$H75)</f>
        <v/>
      </c>
      <c r="S75" s="32" t="str">
        <f aca="false">IF(COUNTA($B75:$J75)+COUNTA($M75:$N75)=0,"",MID(IF($B75="",", unit","")&amp;IF($C75="",", job title","")&amp;IF($D75="",", grade","")&amp;IF($E75="",", workforce type","")&amp;IF($F75="",", Saudi basis","")&amp;IF($G75="",", nature","")&amp;IF(N($H75)&lt;=0,", FTE","")&amp;IF($I75="",", start quarter","")&amp;IF($J75="",", driver","")&amp;IF($M75="",", alternatives",""),3,300))</f>
        <v/>
      </c>
      <c r="T75" s="17" t="str">
        <f aca="false">IF($S75="","",COUNTIF($S$6:$S75,"?*"))</f>
        <v/>
      </c>
    </row>
    <row r="76" customFormat="false" ht="15" hidden="false" customHeight="false" outlineLevel="0" collapsed="false">
      <c r="A76" s="17" t="n">
        <v>71</v>
      </c>
      <c r="B76" s="22"/>
      <c r="C76" s="22"/>
      <c r="D76" s="22"/>
      <c r="E76" s="22"/>
      <c r="F76" s="22"/>
      <c r="G76" s="22"/>
      <c r="H76" s="25"/>
      <c r="I76" s="22"/>
      <c r="J76" s="22"/>
      <c r="K76" s="31" t="str">
        <f aca="false">IF($J76="","",IFERROR(INDEX(DriverCategory,MATCH($J76,DriverList,0)),"?"))</f>
        <v/>
      </c>
      <c r="L76" s="31" t="str">
        <f aca="false">IF($J76="","",IFERROR(INDEX(DriverRank,MATCH($J76,DriverList,0)),99))</f>
        <v/>
      </c>
      <c r="M76" s="22"/>
      <c r="N76" s="22"/>
      <c r="O76" s="19" t="str">
        <f aca="false">IF($D76="","",INDEX(GradeBasic,MATCH($D76,GradeList,0))+INDEX(GradeHousing,MATCH($D76,GradeList,0))+INDEX(GradeTransport,MATCH($D76,GradeList,0))+INDEX(GradeBasic,MATCH($D76,GradeList,0))*INDEX(GradeBonus,MATCH($D76,GradeList,0))+(INDEX(GradeBasic,MATCH($D76,GradeList,0))+INDEX(GradeHousing,MATCH($D76,GradeList,0)))*IF($F76="Saudi",GosiSaudi,GosiOther))</f>
        <v/>
      </c>
      <c r="P76" s="19" t="str">
        <f aca="false">IF($D76="","",IF(INDEX(GradeRank,MATCH($D76,GradeList,0))&gt;=INDEX(GradeRank,MATCH("G14",GradeList,0)),OneOffSenior,OneOffJunior))</f>
        <v/>
      </c>
      <c r="Q76" s="19" t="str">
        <f aca="false">IF(OR($D76="",$I76="",$H76=""),"",$O76*$H76*(5-MATCH($I76,{"Q1";"Q2";"Q3";"Q4"},0))/4+$P76*$H76)</f>
        <v/>
      </c>
      <c r="R76" s="19" t="str">
        <f aca="false">IF($O76="","",$O76*$H76)</f>
        <v/>
      </c>
      <c r="S76" s="32" t="str">
        <f aca="false">IF(COUNTA($B76:$J76)+COUNTA($M76:$N76)=0,"",MID(IF($B76="",", unit","")&amp;IF($C76="",", job title","")&amp;IF($D76="",", grade","")&amp;IF($E76="",", workforce type","")&amp;IF($F76="",", Saudi basis","")&amp;IF($G76="",", nature","")&amp;IF(N($H76)&lt;=0,", FTE","")&amp;IF($I76="",", start quarter","")&amp;IF($J76="",", driver","")&amp;IF($M76="",", alternatives",""),3,300))</f>
        <v/>
      </c>
      <c r="T76" s="17" t="str">
        <f aca="false">IF($S76="","",COUNTIF($S$6:$S76,"?*"))</f>
        <v/>
      </c>
    </row>
    <row r="77" customFormat="false" ht="15" hidden="false" customHeight="false" outlineLevel="0" collapsed="false">
      <c r="A77" s="17" t="n">
        <v>72</v>
      </c>
      <c r="B77" s="22"/>
      <c r="C77" s="22"/>
      <c r="D77" s="22"/>
      <c r="E77" s="22"/>
      <c r="F77" s="22"/>
      <c r="G77" s="22"/>
      <c r="H77" s="25"/>
      <c r="I77" s="22"/>
      <c r="J77" s="22"/>
      <c r="K77" s="31" t="str">
        <f aca="false">IF($J77="","",IFERROR(INDEX(DriverCategory,MATCH($J77,DriverList,0)),"?"))</f>
        <v/>
      </c>
      <c r="L77" s="31" t="str">
        <f aca="false">IF($J77="","",IFERROR(INDEX(DriverRank,MATCH($J77,DriverList,0)),99))</f>
        <v/>
      </c>
      <c r="M77" s="22"/>
      <c r="N77" s="22"/>
      <c r="O77" s="19" t="str">
        <f aca="false">IF($D77="","",INDEX(GradeBasic,MATCH($D77,GradeList,0))+INDEX(GradeHousing,MATCH($D77,GradeList,0))+INDEX(GradeTransport,MATCH($D77,GradeList,0))+INDEX(GradeBasic,MATCH($D77,GradeList,0))*INDEX(GradeBonus,MATCH($D77,GradeList,0))+(INDEX(GradeBasic,MATCH($D77,GradeList,0))+INDEX(GradeHousing,MATCH($D77,GradeList,0)))*IF($F77="Saudi",GosiSaudi,GosiOther))</f>
        <v/>
      </c>
      <c r="P77" s="19" t="str">
        <f aca="false">IF($D77="","",IF(INDEX(GradeRank,MATCH($D77,GradeList,0))&gt;=INDEX(GradeRank,MATCH("G14",GradeList,0)),OneOffSenior,OneOffJunior))</f>
        <v/>
      </c>
      <c r="Q77" s="19" t="str">
        <f aca="false">IF(OR($D77="",$I77="",$H77=""),"",$O77*$H77*(5-MATCH($I77,{"Q1";"Q2";"Q3";"Q4"},0))/4+$P77*$H77)</f>
        <v/>
      </c>
      <c r="R77" s="19" t="str">
        <f aca="false">IF($O77="","",$O77*$H77)</f>
        <v/>
      </c>
      <c r="S77" s="32" t="str">
        <f aca="false">IF(COUNTA($B77:$J77)+COUNTA($M77:$N77)=0,"",MID(IF($B77="",", unit","")&amp;IF($C77="",", job title","")&amp;IF($D77="",", grade","")&amp;IF($E77="",", workforce type","")&amp;IF($F77="",", Saudi basis","")&amp;IF($G77="",", nature","")&amp;IF(N($H77)&lt;=0,", FTE","")&amp;IF($I77="",", start quarter","")&amp;IF($J77="",", driver","")&amp;IF($M77="",", alternatives",""),3,300))</f>
        <v/>
      </c>
      <c r="T77" s="17" t="str">
        <f aca="false">IF($S77="","",COUNTIF($S$6:$S77,"?*"))</f>
        <v/>
      </c>
    </row>
    <row r="78" customFormat="false" ht="15" hidden="false" customHeight="false" outlineLevel="0" collapsed="false">
      <c r="A78" s="17" t="n">
        <v>73</v>
      </c>
      <c r="B78" s="22"/>
      <c r="C78" s="22"/>
      <c r="D78" s="22"/>
      <c r="E78" s="22"/>
      <c r="F78" s="22"/>
      <c r="G78" s="22"/>
      <c r="H78" s="25"/>
      <c r="I78" s="22"/>
      <c r="J78" s="22"/>
      <c r="K78" s="31" t="str">
        <f aca="false">IF($J78="","",IFERROR(INDEX(DriverCategory,MATCH($J78,DriverList,0)),"?"))</f>
        <v/>
      </c>
      <c r="L78" s="31" t="str">
        <f aca="false">IF($J78="","",IFERROR(INDEX(DriverRank,MATCH($J78,DriverList,0)),99))</f>
        <v/>
      </c>
      <c r="M78" s="22"/>
      <c r="N78" s="22"/>
      <c r="O78" s="19" t="str">
        <f aca="false">IF($D78="","",INDEX(GradeBasic,MATCH($D78,GradeList,0))+INDEX(GradeHousing,MATCH($D78,GradeList,0))+INDEX(GradeTransport,MATCH($D78,GradeList,0))+INDEX(GradeBasic,MATCH($D78,GradeList,0))*INDEX(GradeBonus,MATCH($D78,GradeList,0))+(INDEX(GradeBasic,MATCH($D78,GradeList,0))+INDEX(GradeHousing,MATCH($D78,GradeList,0)))*IF($F78="Saudi",GosiSaudi,GosiOther))</f>
        <v/>
      </c>
      <c r="P78" s="19" t="str">
        <f aca="false">IF($D78="","",IF(INDEX(GradeRank,MATCH($D78,GradeList,0))&gt;=INDEX(GradeRank,MATCH("G14",GradeList,0)),OneOffSenior,OneOffJunior))</f>
        <v/>
      </c>
      <c r="Q78" s="19" t="str">
        <f aca="false">IF(OR($D78="",$I78="",$H78=""),"",$O78*$H78*(5-MATCH($I78,{"Q1";"Q2";"Q3";"Q4"},0))/4+$P78*$H78)</f>
        <v/>
      </c>
      <c r="R78" s="19" t="str">
        <f aca="false">IF($O78="","",$O78*$H78)</f>
        <v/>
      </c>
      <c r="S78" s="32" t="str">
        <f aca="false">IF(COUNTA($B78:$J78)+COUNTA($M78:$N78)=0,"",MID(IF($B78="",", unit","")&amp;IF($C78="",", job title","")&amp;IF($D78="",", grade","")&amp;IF($E78="",", workforce type","")&amp;IF($F78="",", Saudi basis","")&amp;IF($G78="",", nature","")&amp;IF(N($H78)&lt;=0,", FTE","")&amp;IF($I78="",", start quarter","")&amp;IF($J78="",", driver","")&amp;IF($M78="",", alternatives",""),3,300))</f>
        <v/>
      </c>
      <c r="T78" s="17" t="str">
        <f aca="false">IF($S78="","",COUNTIF($S$6:$S78,"?*"))</f>
        <v/>
      </c>
    </row>
    <row r="79" customFormat="false" ht="15" hidden="false" customHeight="false" outlineLevel="0" collapsed="false">
      <c r="A79" s="17" t="n">
        <v>74</v>
      </c>
      <c r="B79" s="22"/>
      <c r="C79" s="22"/>
      <c r="D79" s="22"/>
      <c r="E79" s="22"/>
      <c r="F79" s="22"/>
      <c r="G79" s="22"/>
      <c r="H79" s="25"/>
      <c r="I79" s="22"/>
      <c r="J79" s="22"/>
      <c r="K79" s="31" t="str">
        <f aca="false">IF($J79="","",IFERROR(INDEX(DriverCategory,MATCH($J79,DriverList,0)),"?"))</f>
        <v/>
      </c>
      <c r="L79" s="31" t="str">
        <f aca="false">IF($J79="","",IFERROR(INDEX(DriverRank,MATCH($J79,DriverList,0)),99))</f>
        <v/>
      </c>
      <c r="M79" s="22"/>
      <c r="N79" s="22"/>
      <c r="O79" s="19" t="str">
        <f aca="false">IF($D79="","",INDEX(GradeBasic,MATCH($D79,GradeList,0))+INDEX(GradeHousing,MATCH($D79,GradeList,0))+INDEX(GradeTransport,MATCH($D79,GradeList,0))+INDEX(GradeBasic,MATCH($D79,GradeList,0))*INDEX(GradeBonus,MATCH($D79,GradeList,0))+(INDEX(GradeBasic,MATCH($D79,GradeList,0))+INDEX(GradeHousing,MATCH($D79,GradeList,0)))*IF($F79="Saudi",GosiSaudi,GosiOther))</f>
        <v/>
      </c>
      <c r="P79" s="19" t="str">
        <f aca="false">IF($D79="","",IF(INDEX(GradeRank,MATCH($D79,GradeList,0))&gt;=INDEX(GradeRank,MATCH("G14",GradeList,0)),OneOffSenior,OneOffJunior))</f>
        <v/>
      </c>
      <c r="Q79" s="19" t="str">
        <f aca="false">IF(OR($D79="",$I79="",$H79=""),"",$O79*$H79*(5-MATCH($I79,{"Q1";"Q2";"Q3";"Q4"},0))/4+$P79*$H79)</f>
        <v/>
      </c>
      <c r="R79" s="19" t="str">
        <f aca="false">IF($O79="","",$O79*$H79)</f>
        <v/>
      </c>
      <c r="S79" s="32" t="str">
        <f aca="false">IF(COUNTA($B79:$J79)+COUNTA($M79:$N79)=0,"",MID(IF($B79="",", unit","")&amp;IF($C79="",", job title","")&amp;IF($D79="",", grade","")&amp;IF($E79="",", workforce type","")&amp;IF($F79="",", Saudi basis","")&amp;IF($G79="",", nature","")&amp;IF(N($H79)&lt;=0,", FTE","")&amp;IF($I79="",", start quarter","")&amp;IF($J79="",", driver","")&amp;IF($M79="",", alternatives",""),3,300))</f>
        <v/>
      </c>
      <c r="T79" s="17" t="str">
        <f aca="false">IF($S79="","",COUNTIF($S$6:$S79,"?*"))</f>
        <v/>
      </c>
    </row>
    <row r="80" customFormat="false" ht="15" hidden="false" customHeight="false" outlineLevel="0" collapsed="false">
      <c r="A80" s="17" t="n">
        <v>75</v>
      </c>
      <c r="B80" s="22"/>
      <c r="C80" s="22"/>
      <c r="D80" s="22"/>
      <c r="E80" s="22"/>
      <c r="F80" s="22"/>
      <c r="G80" s="22"/>
      <c r="H80" s="25"/>
      <c r="I80" s="22"/>
      <c r="J80" s="22"/>
      <c r="K80" s="31" t="str">
        <f aca="false">IF($J80="","",IFERROR(INDEX(DriverCategory,MATCH($J80,DriverList,0)),"?"))</f>
        <v/>
      </c>
      <c r="L80" s="31" t="str">
        <f aca="false">IF($J80="","",IFERROR(INDEX(DriverRank,MATCH($J80,DriverList,0)),99))</f>
        <v/>
      </c>
      <c r="M80" s="22"/>
      <c r="N80" s="22"/>
      <c r="O80" s="19" t="str">
        <f aca="false">IF($D80="","",INDEX(GradeBasic,MATCH($D80,GradeList,0))+INDEX(GradeHousing,MATCH($D80,GradeList,0))+INDEX(GradeTransport,MATCH($D80,GradeList,0))+INDEX(GradeBasic,MATCH($D80,GradeList,0))*INDEX(GradeBonus,MATCH($D80,GradeList,0))+(INDEX(GradeBasic,MATCH($D80,GradeList,0))+INDEX(GradeHousing,MATCH($D80,GradeList,0)))*IF($F80="Saudi",GosiSaudi,GosiOther))</f>
        <v/>
      </c>
      <c r="P80" s="19" t="str">
        <f aca="false">IF($D80="","",IF(INDEX(GradeRank,MATCH($D80,GradeList,0))&gt;=INDEX(GradeRank,MATCH("G14",GradeList,0)),OneOffSenior,OneOffJunior))</f>
        <v/>
      </c>
      <c r="Q80" s="19" t="str">
        <f aca="false">IF(OR($D80="",$I80="",$H80=""),"",$O80*$H80*(5-MATCH($I80,{"Q1";"Q2";"Q3";"Q4"},0))/4+$P80*$H80)</f>
        <v/>
      </c>
      <c r="R80" s="19" t="str">
        <f aca="false">IF($O80="","",$O80*$H80)</f>
        <v/>
      </c>
      <c r="S80" s="32" t="str">
        <f aca="false">IF(COUNTA($B80:$J80)+COUNTA($M80:$N80)=0,"",MID(IF($B80="",", unit","")&amp;IF($C80="",", job title","")&amp;IF($D80="",", grade","")&amp;IF($E80="",", workforce type","")&amp;IF($F80="",", Saudi basis","")&amp;IF($G80="",", nature","")&amp;IF(N($H80)&lt;=0,", FTE","")&amp;IF($I80="",", start quarter","")&amp;IF($J80="",", driver","")&amp;IF($M80="",", alternatives",""),3,300))</f>
        <v/>
      </c>
      <c r="T80" s="17" t="str">
        <f aca="false">IF($S80="","",COUNTIF($S$6:$S80,"?*"))</f>
        <v/>
      </c>
    </row>
    <row r="81" customFormat="false" ht="15" hidden="false" customHeight="false" outlineLevel="0" collapsed="false">
      <c r="A81" s="17" t="n">
        <v>76</v>
      </c>
      <c r="B81" s="22"/>
      <c r="C81" s="22"/>
      <c r="D81" s="22"/>
      <c r="E81" s="22"/>
      <c r="F81" s="22"/>
      <c r="G81" s="22"/>
      <c r="H81" s="25"/>
      <c r="I81" s="22"/>
      <c r="J81" s="22"/>
      <c r="K81" s="31" t="str">
        <f aca="false">IF($J81="","",IFERROR(INDEX(DriverCategory,MATCH($J81,DriverList,0)),"?"))</f>
        <v/>
      </c>
      <c r="L81" s="31" t="str">
        <f aca="false">IF($J81="","",IFERROR(INDEX(DriverRank,MATCH($J81,DriverList,0)),99))</f>
        <v/>
      </c>
      <c r="M81" s="22"/>
      <c r="N81" s="22"/>
      <c r="O81" s="19" t="str">
        <f aca="false">IF($D81="","",INDEX(GradeBasic,MATCH($D81,GradeList,0))+INDEX(GradeHousing,MATCH($D81,GradeList,0))+INDEX(GradeTransport,MATCH($D81,GradeList,0))+INDEX(GradeBasic,MATCH($D81,GradeList,0))*INDEX(GradeBonus,MATCH($D81,GradeList,0))+(INDEX(GradeBasic,MATCH($D81,GradeList,0))+INDEX(GradeHousing,MATCH($D81,GradeList,0)))*IF($F81="Saudi",GosiSaudi,GosiOther))</f>
        <v/>
      </c>
      <c r="P81" s="19" t="str">
        <f aca="false">IF($D81="","",IF(INDEX(GradeRank,MATCH($D81,GradeList,0))&gt;=INDEX(GradeRank,MATCH("G14",GradeList,0)),OneOffSenior,OneOffJunior))</f>
        <v/>
      </c>
      <c r="Q81" s="19" t="str">
        <f aca="false">IF(OR($D81="",$I81="",$H81=""),"",$O81*$H81*(5-MATCH($I81,{"Q1";"Q2";"Q3";"Q4"},0))/4+$P81*$H81)</f>
        <v/>
      </c>
      <c r="R81" s="19" t="str">
        <f aca="false">IF($O81="","",$O81*$H81)</f>
        <v/>
      </c>
      <c r="S81" s="32" t="str">
        <f aca="false">IF(COUNTA($B81:$J81)+COUNTA($M81:$N81)=0,"",MID(IF($B81="",", unit","")&amp;IF($C81="",", job title","")&amp;IF($D81="",", grade","")&amp;IF($E81="",", workforce type","")&amp;IF($F81="",", Saudi basis","")&amp;IF($G81="",", nature","")&amp;IF(N($H81)&lt;=0,", FTE","")&amp;IF($I81="",", start quarter","")&amp;IF($J81="",", driver","")&amp;IF($M81="",", alternatives",""),3,300))</f>
        <v/>
      </c>
      <c r="T81" s="17" t="str">
        <f aca="false">IF($S81="","",COUNTIF($S$6:$S81,"?*"))</f>
        <v/>
      </c>
    </row>
    <row r="82" customFormat="false" ht="15" hidden="false" customHeight="false" outlineLevel="0" collapsed="false">
      <c r="A82" s="17" t="n">
        <v>77</v>
      </c>
      <c r="B82" s="22"/>
      <c r="C82" s="22"/>
      <c r="D82" s="22"/>
      <c r="E82" s="22"/>
      <c r="F82" s="22"/>
      <c r="G82" s="22"/>
      <c r="H82" s="25"/>
      <c r="I82" s="22"/>
      <c r="J82" s="22"/>
      <c r="K82" s="31" t="str">
        <f aca="false">IF($J82="","",IFERROR(INDEX(DriverCategory,MATCH($J82,DriverList,0)),"?"))</f>
        <v/>
      </c>
      <c r="L82" s="31" t="str">
        <f aca="false">IF($J82="","",IFERROR(INDEX(DriverRank,MATCH($J82,DriverList,0)),99))</f>
        <v/>
      </c>
      <c r="M82" s="22"/>
      <c r="N82" s="22"/>
      <c r="O82" s="19" t="str">
        <f aca="false">IF($D82="","",INDEX(GradeBasic,MATCH($D82,GradeList,0))+INDEX(GradeHousing,MATCH($D82,GradeList,0))+INDEX(GradeTransport,MATCH($D82,GradeList,0))+INDEX(GradeBasic,MATCH($D82,GradeList,0))*INDEX(GradeBonus,MATCH($D82,GradeList,0))+(INDEX(GradeBasic,MATCH($D82,GradeList,0))+INDEX(GradeHousing,MATCH($D82,GradeList,0)))*IF($F82="Saudi",GosiSaudi,GosiOther))</f>
        <v/>
      </c>
      <c r="P82" s="19" t="str">
        <f aca="false">IF($D82="","",IF(INDEX(GradeRank,MATCH($D82,GradeList,0))&gt;=INDEX(GradeRank,MATCH("G14",GradeList,0)),OneOffSenior,OneOffJunior))</f>
        <v/>
      </c>
      <c r="Q82" s="19" t="str">
        <f aca="false">IF(OR($D82="",$I82="",$H82=""),"",$O82*$H82*(5-MATCH($I82,{"Q1";"Q2";"Q3";"Q4"},0))/4+$P82*$H82)</f>
        <v/>
      </c>
      <c r="R82" s="19" t="str">
        <f aca="false">IF($O82="","",$O82*$H82)</f>
        <v/>
      </c>
      <c r="S82" s="32" t="str">
        <f aca="false">IF(COUNTA($B82:$J82)+COUNTA($M82:$N82)=0,"",MID(IF($B82="",", unit","")&amp;IF($C82="",", job title","")&amp;IF($D82="",", grade","")&amp;IF($E82="",", workforce type","")&amp;IF($F82="",", Saudi basis","")&amp;IF($G82="",", nature","")&amp;IF(N($H82)&lt;=0,", FTE","")&amp;IF($I82="",", start quarter","")&amp;IF($J82="",", driver","")&amp;IF($M82="",", alternatives",""),3,300))</f>
        <v/>
      </c>
      <c r="T82" s="17" t="str">
        <f aca="false">IF($S82="","",COUNTIF($S$6:$S82,"?*"))</f>
        <v/>
      </c>
    </row>
    <row r="83" customFormat="false" ht="15" hidden="false" customHeight="false" outlineLevel="0" collapsed="false">
      <c r="A83" s="17" t="n">
        <v>78</v>
      </c>
      <c r="B83" s="22"/>
      <c r="C83" s="22"/>
      <c r="D83" s="22"/>
      <c r="E83" s="22"/>
      <c r="F83" s="22"/>
      <c r="G83" s="22"/>
      <c r="H83" s="25"/>
      <c r="I83" s="22"/>
      <c r="J83" s="22"/>
      <c r="K83" s="31" t="str">
        <f aca="false">IF($J83="","",IFERROR(INDEX(DriverCategory,MATCH($J83,DriverList,0)),"?"))</f>
        <v/>
      </c>
      <c r="L83" s="31" t="str">
        <f aca="false">IF($J83="","",IFERROR(INDEX(DriverRank,MATCH($J83,DriverList,0)),99))</f>
        <v/>
      </c>
      <c r="M83" s="22"/>
      <c r="N83" s="22"/>
      <c r="O83" s="19" t="str">
        <f aca="false">IF($D83="","",INDEX(GradeBasic,MATCH($D83,GradeList,0))+INDEX(GradeHousing,MATCH($D83,GradeList,0))+INDEX(GradeTransport,MATCH($D83,GradeList,0))+INDEX(GradeBasic,MATCH($D83,GradeList,0))*INDEX(GradeBonus,MATCH($D83,GradeList,0))+(INDEX(GradeBasic,MATCH($D83,GradeList,0))+INDEX(GradeHousing,MATCH($D83,GradeList,0)))*IF($F83="Saudi",GosiSaudi,GosiOther))</f>
        <v/>
      </c>
      <c r="P83" s="19" t="str">
        <f aca="false">IF($D83="","",IF(INDEX(GradeRank,MATCH($D83,GradeList,0))&gt;=INDEX(GradeRank,MATCH("G14",GradeList,0)),OneOffSenior,OneOffJunior))</f>
        <v/>
      </c>
      <c r="Q83" s="19" t="str">
        <f aca="false">IF(OR($D83="",$I83="",$H83=""),"",$O83*$H83*(5-MATCH($I83,{"Q1";"Q2";"Q3";"Q4"},0))/4+$P83*$H83)</f>
        <v/>
      </c>
      <c r="R83" s="19" t="str">
        <f aca="false">IF($O83="","",$O83*$H83)</f>
        <v/>
      </c>
      <c r="S83" s="32" t="str">
        <f aca="false">IF(COUNTA($B83:$J83)+COUNTA($M83:$N83)=0,"",MID(IF($B83="",", unit","")&amp;IF($C83="",", job title","")&amp;IF($D83="",", grade","")&amp;IF($E83="",", workforce type","")&amp;IF($F83="",", Saudi basis","")&amp;IF($G83="",", nature","")&amp;IF(N($H83)&lt;=0,", FTE","")&amp;IF($I83="",", start quarter","")&amp;IF($J83="",", driver","")&amp;IF($M83="",", alternatives",""),3,300))</f>
        <v/>
      </c>
      <c r="T83" s="17" t="str">
        <f aca="false">IF($S83="","",COUNTIF($S$6:$S83,"?*"))</f>
        <v/>
      </c>
    </row>
    <row r="84" customFormat="false" ht="15" hidden="false" customHeight="false" outlineLevel="0" collapsed="false">
      <c r="A84" s="17" t="n">
        <v>79</v>
      </c>
      <c r="B84" s="22"/>
      <c r="C84" s="22"/>
      <c r="D84" s="22"/>
      <c r="E84" s="22"/>
      <c r="F84" s="22"/>
      <c r="G84" s="22"/>
      <c r="H84" s="25"/>
      <c r="I84" s="22"/>
      <c r="J84" s="22"/>
      <c r="K84" s="31" t="str">
        <f aca="false">IF($J84="","",IFERROR(INDEX(DriverCategory,MATCH($J84,DriverList,0)),"?"))</f>
        <v/>
      </c>
      <c r="L84" s="31" t="str">
        <f aca="false">IF($J84="","",IFERROR(INDEX(DriverRank,MATCH($J84,DriverList,0)),99))</f>
        <v/>
      </c>
      <c r="M84" s="22"/>
      <c r="N84" s="22"/>
      <c r="O84" s="19" t="str">
        <f aca="false">IF($D84="","",INDEX(GradeBasic,MATCH($D84,GradeList,0))+INDEX(GradeHousing,MATCH($D84,GradeList,0))+INDEX(GradeTransport,MATCH($D84,GradeList,0))+INDEX(GradeBasic,MATCH($D84,GradeList,0))*INDEX(GradeBonus,MATCH($D84,GradeList,0))+(INDEX(GradeBasic,MATCH($D84,GradeList,0))+INDEX(GradeHousing,MATCH($D84,GradeList,0)))*IF($F84="Saudi",GosiSaudi,GosiOther))</f>
        <v/>
      </c>
      <c r="P84" s="19" t="str">
        <f aca="false">IF($D84="","",IF(INDEX(GradeRank,MATCH($D84,GradeList,0))&gt;=INDEX(GradeRank,MATCH("G14",GradeList,0)),OneOffSenior,OneOffJunior))</f>
        <v/>
      </c>
      <c r="Q84" s="19" t="str">
        <f aca="false">IF(OR($D84="",$I84="",$H84=""),"",$O84*$H84*(5-MATCH($I84,{"Q1";"Q2";"Q3";"Q4"},0))/4+$P84*$H84)</f>
        <v/>
      </c>
      <c r="R84" s="19" t="str">
        <f aca="false">IF($O84="","",$O84*$H84)</f>
        <v/>
      </c>
      <c r="S84" s="32" t="str">
        <f aca="false">IF(COUNTA($B84:$J84)+COUNTA($M84:$N84)=0,"",MID(IF($B84="",", unit","")&amp;IF($C84="",", job title","")&amp;IF($D84="",", grade","")&amp;IF($E84="",", workforce type","")&amp;IF($F84="",", Saudi basis","")&amp;IF($G84="",", nature","")&amp;IF(N($H84)&lt;=0,", FTE","")&amp;IF($I84="",", start quarter","")&amp;IF($J84="",", driver","")&amp;IF($M84="",", alternatives",""),3,300))</f>
        <v/>
      </c>
      <c r="T84" s="17" t="str">
        <f aca="false">IF($S84="","",COUNTIF($S$6:$S84,"?*"))</f>
        <v/>
      </c>
    </row>
    <row r="85" customFormat="false" ht="15" hidden="false" customHeight="false" outlineLevel="0" collapsed="false">
      <c r="A85" s="17" t="n">
        <v>80</v>
      </c>
      <c r="B85" s="22"/>
      <c r="C85" s="22"/>
      <c r="D85" s="22"/>
      <c r="E85" s="22"/>
      <c r="F85" s="22"/>
      <c r="G85" s="22"/>
      <c r="H85" s="25"/>
      <c r="I85" s="22"/>
      <c r="J85" s="22"/>
      <c r="K85" s="31" t="str">
        <f aca="false">IF($J85="","",IFERROR(INDEX(DriverCategory,MATCH($J85,DriverList,0)),"?"))</f>
        <v/>
      </c>
      <c r="L85" s="31" t="str">
        <f aca="false">IF($J85="","",IFERROR(INDEX(DriverRank,MATCH($J85,DriverList,0)),99))</f>
        <v/>
      </c>
      <c r="M85" s="22"/>
      <c r="N85" s="22"/>
      <c r="O85" s="19" t="str">
        <f aca="false">IF($D85="","",INDEX(GradeBasic,MATCH($D85,GradeList,0))+INDEX(GradeHousing,MATCH($D85,GradeList,0))+INDEX(GradeTransport,MATCH($D85,GradeList,0))+INDEX(GradeBasic,MATCH($D85,GradeList,0))*INDEX(GradeBonus,MATCH($D85,GradeList,0))+(INDEX(GradeBasic,MATCH($D85,GradeList,0))+INDEX(GradeHousing,MATCH($D85,GradeList,0)))*IF($F85="Saudi",GosiSaudi,GosiOther))</f>
        <v/>
      </c>
      <c r="P85" s="19" t="str">
        <f aca="false">IF($D85="","",IF(INDEX(GradeRank,MATCH($D85,GradeList,0))&gt;=INDEX(GradeRank,MATCH("G14",GradeList,0)),OneOffSenior,OneOffJunior))</f>
        <v/>
      </c>
      <c r="Q85" s="19" t="str">
        <f aca="false">IF(OR($D85="",$I85="",$H85=""),"",$O85*$H85*(5-MATCH($I85,{"Q1";"Q2";"Q3";"Q4"},0))/4+$P85*$H85)</f>
        <v/>
      </c>
      <c r="R85" s="19" t="str">
        <f aca="false">IF($O85="","",$O85*$H85)</f>
        <v/>
      </c>
      <c r="S85" s="32" t="str">
        <f aca="false">IF(COUNTA($B85:$J85)+COUNTA($M85:$N85)=0,"",MID(IF($B85="",", unit","")&amp;IF($C85="",", job title","")&amp;IF($D85="",", grade","")&amp;IF($E85="",", workforce type","")&amp;IF($F85="",", Saudi basis","")&amp;IF($G85="",", nature","")&amp;IF(N($H85)&lt;=0,", FTE","")&amp;IF($I85="",", start quarter","")&amp;IF($J85="",", driver","")&amp;IF($M85="",", alternatives",""),3,300))</f>
        <v/>
      </c>
      <c r="T85" s="17" t="str">
        <f aca="false">IF($S85="","",COUNTIF($S$6:$S85,"?*"))</f>
        <v/>
      </c>
    </row>
    <row r="86" customFormat="false" ht="15" hidden="false" customHeight="false" outlineLevel="0" collapsed="false">
      <c r="A86" s="17" t="n">
        <v>81</v>
      </c>
      <c r="B86" s="22"/>
      <c r="C86" s="22"/>
      <c r="D86" s="22"/>
      <c r="E86" s="22"/>
      <c r="F86" s="22"/>
      <c r="G86" s="22"/>
      <c r="H86" s="25"/>
      <c r="I86" s="22"/>
      <c r="J86" s="22"/>
      <c r="K86" s="31" t="str">
        <f aca="false">IF($J86="","",IFERROR(INDEX(DriverCategory,MATCH($J86,DriverList,0)),"?"))</f>
        <v/>
      </c>
      <c r="L86" s="31" t="str">
        <f aca="false">IF($J86="","",IFERROR(INDEX(DriverRank,MATCH($J86,DriverList,0)),99))</f>
        <v/>
      </c>
      <c r="M86" s="22"/>
      <c r="N86" s="22"/>
      <c r="O86" s="19" t="str">
        <f aca="false">IF($D86="","",INDEX(GradeBasic,MATCH($D86,GradeList,0))+INDEX(GradeHousing,MATCH($D86,GradeList,0))+INDEX(GradeTransport,MATCH($D86,GradeList,0))+INDEX(GradeBasic,MATCH($D86,GradeList,0))*INDEX(GradeBonus,MATCH($D86,GradeList,0))+(INDEX(GradeBasic,MATCH($D86,GradeList,0))+INDEX(GradeHousing,MATCH($D86,GradeList,0)))*IF($F86="Saudi",GosiSaudi,GosiOther))</f>
        <v/>
      </c>
      <c r="P86" s="19" t="str">
        <f aca="false">IF($D86="","",IF(INDEX(GradeRank,MATCH($D86,GradeList,0))&gt;=INDEX(GradeRank,MATCH("G14",GradeList,0)),OneOffSenior,OneOffJunior))</f>
        <v/>
      </c>
      <c r="Q86" s="19" t="str">
        <f aca="false">IF(OR($D86="",$I86="",$H86=""),"",$O86*$H86*(5-MATCH($I86,{"Q1";"Q2";"Q3";"Q4"},0))/4+$P86*$H86)</f>
        <v/>
      </c>
      <c r="R86" s="19" t="str">
        <f aca="false">IF($O86="","",$O86*$H86)</f>
        <v/>
      </c>
      <c r="S86" s="32" t="str">
        <f aca="false">IF(COUNTA($B86:$J86)+COUNTA($M86:$N86)=0,"",MID(IF($B86="",", unit","")&amp;IF($C86="",", job title","")&amp;IF($D86="",", grade","")&amp;IF($E86="",", workforce type","")&amp;IF($F86="",", Saudi basis","")&amp;IF($G86="",", nature","")&amp;IF(N($H86)&lt;=0,", FTE","")&amp;IF($I86="",", start quarter","")&amp;IF($J86="",", driver","")&amp;IF($M86="",", alternatives",""),3,300))</f>
        <v/>
      </c>
      <c r="T86" s="17" t="str">
        <f aca="false">IF($S86="","",COUNTIF($S$6:$S86,"?*"))</f>
        <v/>
      </c>
    </row>
    <row r="87" customFormat="false" ht="15" hidden="false" customHeight="false" outlineLevel="0" collapsed="false">
      <c r="A87" s="17" t="n">
        <v>82</v>
      </c>
      <c r="B87" s="22"/>
      <c r="C87" s="22"/>
      <c r="D87" s="22"/>
      <c r="E87" s="22"/>
      <c r="F87" s="22"/>
      <c r="G87" s="22"/>
      <c r="H87" s="25"/>
      <c r="I87" s="22"/>
      <c r="J87" s="22"/>
      <c r="K87" s="31" t="str">
        <f aca="false">IF($J87="","",IFERROR(INDEX(DriverCategory,MATCH($J87,DriverList,0)),"?"))</f>
        <v/>
      </c>
      <c r="L87" s="31" t="str">
        <f aca="false">IF($J87="","",IFERROR(INDEX(DriverRank,MATCH($J87,DriverList,0)),99))</f>
        <v/>
      </c>
      <c r="M87" s="22"/>
      <c r="N87" s="22"/>
      <c r="O87" s="19" t="str">
        <f aca="false">IF($D87="","",INDEX(GradeBasic,MATCH($D87,GradeList,0))+INDEX(GradeHousing,MATCH($D87,GradeList,0))+INDEX(GradeTransport,MATCH($D87,GradeList,0))+INDEX(GradeBasic,MATCH($D87,GradeList,0))*INDEX(GradeBonus,MATCH($D87,GradeList,0))+(INDEX(GradeBasic,MATCH($D87,GradeList,0))+INDEX(GradeHousing,MATCH($D87,GradeList,0)))*IF($F87="Saudi",GosiSaudi,GosiOther))</f>
        <v/>
      </c>
      <c r="P87" s="19" t="str">
        <f aca="false">IF($D87="","",IF(INDEX(GradeRank,MATCH($D87,GradeList,0))&gt;=INDEX(GradeRank,MATCH("G14",GradeList,0)),OneOffSenior,OneOffJunior))</f>
        <v/>
      </c>
      <c r="Q87" s="19" t="str">
        <f aca="false">IF(OR($D87="",$I87="",$H87=""),"",$O87*$H87*(5-MATCH($I87,{"Q1";"Q2";"Q3";"Q4"},0))/4+$P87*$H87)</f>
        <v/>
      </c>
      <c r="R87" s="19" t="str">
        <f aca="false">IF($O87="","",$O87*$H87)</f>
        <v/>
      </c>
      <c r="S87" s="32" t="str">
        <f aca="false">IF(COUNTA($B87:$J87)+COUNTA($M87:$N87)=0,"",MID(IF($B87="",", unit","")&amp;IF($C87="",", job title","")&amp;IF($D87="",", grade","")&amp;IF($E87="",", workforce type","")&amp;IF($F87="",", Saudi basis","")&amp;IF($G87="",", nature","")&amp;IF(N($H87)&lt;=0,", FTE","")&amp;IF($I87="",", start quarter","")&amp;IF($J87="",", driver","")&amp;IF($M87="",", alternatives",""),3,300))</f>
        <v/>
      </c>
      <c r="T87" s="17" t="str">
        <f aca="false">IF($S87="","",COUNTIF($S$6:$S87,"?*"))</f>
        <v/>
      </c>
    </row>
    <row r="88" customFormat="false" ht="15" hidden="false" customHeight="false" outlineLevel="0" collapsed="false">
      <c r="A88" s="17" t="n">
        <v>83</v>
      </c>
      <c r="B88" s="22"/>
      <c r="C88" s="22"/>
      <c r="D88" s="22"/>
      <c r="E88" s="22"/>
      <c r="F88" s="22"/>
      <c r="G88" s="22"/>
      <c r="H88" s="25"/>
      <c r="I88" s="22"/>
      <c r="J88" s="22"/>
      <c r="K88" s="31" t="str">
        <f aca="false">IF($J88="","",IFERROR(INDEX(DriverCategory,MATCH($J88,DriverList,0)),"?"))</f>
        <v/>
      </c>
      <c r="L88" s="31" t="str">
        <f aca="false">IF($J88="","",IFERROR(INDEX(DriverRank,MATCH($J88,DriverList,0)),99))</f>
        <v/>
      </c>
      <c r="M88" s="22"/>
      <c r="N88" s="22"/>
      <c r="O88" s="19" t="str">
        <f aca="false">IF($D88="","",INDEX(GradeBasic,MATCH($D88,GradeList,0))+INDEX(GradeHousing,MATCH($D88,GradeList,0))+INDEX(GradeTransport,MATCH($D88,GradeList,0))+INDEX(GradeBasic,MATCH($D88,GradeList,0))*INDEX(GradeBonus,MATCH($D88,GradeList,0))+(INDEX(GradeBasic,MATCH($D88,GradeList,0))+INDEX(GradeHousing,MATCH($D88,GradeList,0)))*IF($F88="Saudi",GosiSaudi,GosiOther))</f>
        <v/>
      </c>
      <c r="P88" s="19" t="str">
        <f aca="false">IF($D88="","",IF(INDEX(GradeRank,MATCH($D88,GradeList,0))&gt;=INDEX(GradeRank,MATCH("G14",GradeList,0)),OneOffSenior,OneOffJunior))</f>
        <v/>
      </c>
      <c r="Q88" s="19" t="str">
        <f aca="false">IF(OR($D88="",$I88="",$H88=""),"",$O88*$H88*(5-MATCH($I88,{"Q1";"Q2";"Q3";"Q4"},0))/4+$P88*$H88)</f>
        <v/>
      </c>
      <c r="R88" s="19" t="str">
        <f aca="false">IF($O88="","",$O88*$H88)</f>
        <v/>
      </c>
      <c r="S88" s="32" t="str">
        <f aca="false">IF(COUNTA($B88:$J88)+COUNTA($M88:$N88)=0,"",MID(IF($B88="",", unit","")&amp;IF($C88="",", job title","")&amp;IF($D88="",", grade","")&amp;IF($E88="",", workforce type","")&amp;IF($F88="",", Saudi basis","")&amp;IF($G88="",", nature","")&amp;IF(N($H88)&lt;=0,", FTE","")&amp;IF($I88="",", start quarter","")&amp;IF($J88="",", driver","")&amp;IF($M88="",", alternatives",""),3,300))</f>
        <v/>
      </c>
      <c r="T88" s="17" t="str">
        <f aca="false">IF($S88="","",COUNTIF($S$6:$S88,"?*"))</f>
        <v/>
      </c>
    </row>
    <row r="89" customFormat="false" ht="15" hidden="false" customHeight="false" outlineLevel="0" collapsed="false">
      <c r="A89" s="17" t="n">
        <v>84</v>
      </c>
      <c r="B89" s="22"/>
      <c r="C89" s="22"/>
      <c r="D89" s="22"/>
      <c r="E89" s="22"/>
      <c r="F89" s="22"/>
      <c r="G89" s="22"/>
      <c r="H89" s="25"/>
      <c r="I89" s="22"/>
      <c r="J89" s="22"/>
      <c r="K89" s="31" t="str">
        <f aca="false">IF($J89="","",IFERROR(INDEX(DriverCategory,MATCH($J89,DriverList,0)),"?"))</f>
        <v/>
      </c>
      <c r="L89" s="31" t="str">
        <f aca="false">IF($J89="","",IFERROR(INDEX(DriverRank,MATCH($J89,DriverList,0)),99))</f>
        <v/>
      </c>
      <c r="M89" s="22"/>
      <c r="N89" s="22"/>
      <c r="O89" s="19" t="str">
        <f aca="false">IF($D89="","",INDEX(GradeBasic,MATCH($D89,GradeList,0))+INDEX(GradeHousing,MATCH($D89,GradeList,0))+INDEX(GradeTransport,MATCH($D89,GradeList,0))+INDEX(GradeBasic,MATCH($D89,GradeList,0))*INDEX(GradeBonus,MATCH($D89,GradeList,0))+(INDEX(GradeBasic,MATCH($D89,GradeList,0))+INDEX(GradeHousing,MATCH($D89,GradeList,0)))*IF($F89="Saudi",GosiSaudi,GosiOther))</f>
        <v/>
      </c>
      <c r="P89" s="19" t="str">
        <f aca="false">IF($D89="","",IF(INDEX(GradeRank,MATCH($D89,GradeList,0))&gt;=INDEX(GradeRank,MATCH("G14",GradeList,0)),OneOffSenior,OneOffJunior))</f>
        <v/>
      </c>
      <c r="Q89" s="19" t="str">
        <f aca="false">IF(OR($D89="",$I89="",$H89=""),"",$O89*$H89*(5-MATCH($I89,{"Q1";"Q2";"Q3";"Q4"},0))/4+$P89*$H89)</f>
        <v/>
      </c>
      <c r="R89" s="19" t="str">
        <f aca="false">IF($O89="","",$O89*$H89)</f>
        <v/>
      </c>
      <c r="S89" s="32" t="str">
        <f aca="false">IF(COUNTA($B89:$J89)+COUNTA($M89:$N89)=0,"",MID(IF($B89="",", unit","")&amp;IF($C89="",", job title","")&amp;IF($D89="",", grade","")&amp;IF($E89="",", workforce type","")&amp;IF($F89="",", Saudi basis","")&amp;IF($G89="",", nature","")&amp;IF(N($H89)&lt;=0,", FTE","")&amp;IF($I89="",", start quarter","")&amp;IF($J89="",", driver","")&amp;IF($M89="",", alternatives",""),3,300))</f>
        <v/>
      </c>
      <c r="T89" s="17" t="str">
        <f aca="false">IF($S89="","",COUNTIF($S$6:$S89,"?*"))</f>
        <v/>
      </c>
    </row>
    <row r="90" customFormat="false" ht="15" hidden="false" customHeight="false" outlineLevel="0" collapsed="false">
      <c r="A90" s="17" t="n">
        <v>85</v>
      </c>
      <c r="B90" s="22"/>
      <c r="C90" s="22"/>
      <c r="D90" s="22"/>
      <c r="E90" s="22"/>
      <c r="F90" s="22"/>
      <c r="G90" s="22"/>
      <c r="H90" s="25"/>
      <c r="I90" s="22"/>
      <c r="J90" s="22"/>
      <c r="K90" s="31" t="str">
        <f aca="false">IF($J90="","",IFERROR(INDEX(DriverCategory,MATCH($J90,DriverList,0)),"?"))</f>
        <v/>
      </c>
      <c r="L90" s="31" t="str">
        <f aca="false">IF($J90="","",IFERROR(INDEX(DriverRank,MATCH($J90,DriverList,0)),99))</f>
        <v/>
      </c>
      <c r="M90" s="22"/>
      <c r="N90" s="22"/>
      <c r="O90" s="19" t="str">
        <f aca="false">IF($D90="","",INDEX(GradeBasic,MATCH($D90,GradeList,0))+INDEX(GradeHousing,MATCH($D90,GradeList,0))+INDEX(GradeTransport,MATCH($D90,GradeList,0))+INDEX(GradeBasic,MATCH($D90,GradeList,0))*INDEX(GradeBonus,MATCH($D90,GradeList,0))+(INDEX(GradeBasic,MATCH($D90,GradeList,0))+INDEX(GradeHousing,MATCH($D90,GradeList,0)))*IF($F90="Saudi",GosiSaudi,GosiOther))</f>
        <v/>
      </c>
      <c r="P90" s="19" t="str">
        <f aca="false">IF($D90="","",IF(INDEX(GradeRank,MATCH($D90,GradeList,0))&gt;=INDEX(GradeRank,MATCH("G14",GradeList,0)),OneOffSenior,OneOffJunior))</f>
        <v/>
      </c>
      <c r="Q90" s="19" t="str">
        <f aca="false">IF(OR($D90="",$I90="",$H90=""),"",$O90*$H90*(5-MATCH($I90,{"Q1";"Q2";"Q3";"Q4"},0))/4+$P90*$H90)</f>
        <v/>
      </c>
      <c r="R90" s="19" t="str">
        <f aca="false">IF($O90="","",$O90*$H90)</f>
        <v/>
      </c>
      <c r="S90" s="32" t="str">
        <f aca="false">IF(COUNTA($B90:$J90)+COUNTA($M90:$N90)=0,"",MID(IF($B90="",", unit","")&amp;IF($C90="",", job title","")&amp;IF($D90="",", grade","")&amp;IF($E90="",", workforce type","")&amp;IF($F90="",", Saudi basis","")&amp;IF($G90="",", nature","")&amp;IF(N($H90)&lt;=0,", FTE","")&amp;IF($I90="",", start quarter","")&amp;IF($J90="",", driver","")&amp;IF($M90="",", alternatives",""),3,300))</f>
        <v/>
      </c>
      <c r="T90" s="17" t="str">
        <f aca="false">IF($S90="","",COUNTIF($S$6:$S90,"?*"))</f>
        <v/>
      </c>
    </row>
    <row r="91" customFormat="false" ht="15" hidden="false" customHeight="false" outlineLevel="0" collapsed="false">
      <c r="A91" s="17" t="n">
        <v>86</v>
      </c>
      <c r="B91" s="22"/>
      <c r="C91" s="22"/>
      <c r="D91" s="22"/>
      <c r="E91" s="22"/>
      <c r="F91" s="22"/>
      <c r="G91" s="22"/>
      <c r="H91" s="25"/>
      <c r="I91" s="22"/>
      <c r="J91" s="22"/>
      <c r="K91" s="31" t="str">
        <f aca="false">IF($J91="","",IFERROR(INDEX(DriverCategory,MATCH($J91,DriverList,0)),"?"))</f>
        <v/>
      </c>
      <c r="L91" s="31" t="str">
        <f aca="false">IF($J91="","",IFERROR(INDEX(DriverRank,MATCH($J91,DriverList,0)),99))</f>
        <v/>
      </c>
      <c r="M91" s="22"/>
      <c r="N91" s="22"/>
      <c r="O91" s="19" t="str">
        <f aca="false">IF($D91="","",INDEX(GradeBasic,MATCH($D91,GradeList,0))+INDEX(GradeHousing,MATCH($D91,GradeList,0))+INDEX(GradeTransport,MATCH($D91,GradeList,0))+INDEX(GradeBasic,MATCH($D91,GradeList,0))*INDEX(GradeBonus,MATCH($D91,GradeList,0))+(INDEX(GradeBasic,MATCH($D91,GradeList,0))+INDEX(GradeHousing,MATCH($D91,GradeList,0)))*IF($F91="Saudi",GosiSaudi,GosiOther))</f>
        <v/>
      </c>
      <c r="P91" s="19" t="str">
        <f aca="false">IF($D91="","",IF(INDEX(GradeRank,MATCH($D91,GradeList,0))&gt;=INDEX(GradeRank,MATCH("G14",GradeList,0)),OneOffSenior,OneOffJunior))</f>
        <v/>
      </c>
      <c r="Q91" s="19" t="str">
        <f aca="false">IF(OR($D91="",$I91="",$H91=""),"",$O91*$H91*(5-MATCH($I91,{"Q1";"Q2";"Q3";"Q4"},0))/4+$P91*$H91)</f>
        <v/>
      </c>
      <c r="R91" s="19" t="str">
        <f aca="false">IF($O91="","",$O91*$H91)</f>
        <v/>
      </c>
      <c r="S91" s="32" t="str">
        <f aca="false">IF(COUNTA($B91:$J91)+COUNTA($M91:$N91)=0,"",MID(IF($B91="",", unit","")&amp;IF($C91="",", job title","")&amp;IF($D91="",", grade","")&amp;IF($E91="",", workforce type","")&amp;IF($F91="",", Saudi basis","")&amp;IF($G91="",", nature","")&amp;IF(N($H91)&lt;=0,", FTE","")&amp;IF($I91="",", start quarter","")&amp;IF($J91="",", driver","")&amp;IF($M91="",", alternatives",""),3,300))</f>
        <v/>
      </c>
      <c r="T91" s="17" t="str">
        <f aca="false">IF($S91="","",COUNTIF($S$6:$S91,"?*"))</f>
        <v/>
      </c>
    </row>
    <row r="92" customFormat="false" ht="15" hidden="false" customHeight="false" outlineLevel="0" collapsed="false">
      <c r="A92" s="17" t="n">
        <v>87</v>
      </c>
      <c r="B92" s="22"/>
      <c r="C92" s="22"/>
      <c r="D92" s="22"/>
      <c r="E92" s="22"/>
      <c r="F92" s="22"/>
      <c r="G92" s="22"/>
      <c r="H92" s="25"/>
      <c r="I92" s="22"/>
      <c r="J92" s="22"/>
      <c r="K92" s="31" t="str">
        <f aca="false">IF($J92="","",IFERROR(INDEX(DriverCategory,MATCH($J92,DriverList,0)),"?"))</f>
        <v/>
      </c>
      <c r="L92" s="31" t="str">
        <f aca="false">IF($J92="","",IFERROR(INDEX(DriverRank,MATCH($J92,DriverList,0)),99))</f>
        <v/>
      </c>
      <c r="M92" s="22"/>
      <c r="N92" s="22"/>
      <c r="O92" s="19" t="str">
        <f aca="false">IF($D92="","",INDEX(GradeBasic,MATCH($D92,GradeList,0))+INDEX(GradeHousing,MATCH($D92,GradeList,0))+INDEX(GradeTransport,MATCH($D92,GradeList,0))+INDEX(GradeBasic,MATCH($D92,GradeList,0))*INDEX(GradeBonus,MATCH($D92,GradeList,0))+(INDEX(GradeBasic,MATCH($D92,GradeList,0))+INDEX(GradeHousing,MATCH($D92,GradeList,0)))*IF($F92="Saudi",GosiSaudi,GosiOther))</f>
        <v/>
      </c>
      <c r="P92" s="19" t="str">
        <f aca="false">IF($D92="","",IF(INDEX(GradeRank,MATCH($D92,GradeList,0))&gt;=INDEX(GradeRank,MATCH("G14",GradeList,0)),OneOffSenior,OneOffJunior))</f>
        <v/>
      </c>
      <c r="Q92" s="19" t="str">
        <f aca="false">IF(OR($D92="",$I92="",$H92=""),"",$O92*$H92*(5-MATCH($I92,{"Q1";"Q2";"Q3";"Q4"},0))/4+$P92*$H92)</f>
        <v/>
      </c>
      <c r="R92" s="19" t="str">
        <f aca="false">IF($O92="","",$O92*$H92)</f>
        <v/>
      </c>
      <c r="S92" s="32" t="str">
        <f aca="false">IF(COUNTA($B92:$J92)+COUNTA($M92:$N92)=0,"",MID(IF($B92="",", unit","")&amp;IF($C92="",", job title","")&amp;IF($D92="",", grade","")&amp;IF($E92="",", workforce type","")&amp;IF($F92="",", Saudi basis","")&amp;IF($G92="",", nature","")&amp;IF(N($H92)&lt;=0,", FTE","")&amp;IF($I92="",", start quarter","")&amp;IF($J92="",", driver","")&amp;IF($M92="",", alternatives",""),3,300))</f>
        <v/>
      </c>
      <c r="T92" s="17" t="str">
        <f aca="false">IF($S92="","",COUNTIF($S$6:$S92,"?*"))</f>
        <v/>
      </c>
    </row>
    <row r="93" customFormat="false" ht="15" hidden="false" customHeight="false" outlineLevel="0" collapsed="false">
      <c r="A93" s="17" t="n">
        <v>88</v>
      </c>
      <c r="B93" s="22"/>
      <c r="C93" s="22"/>
      <c r="D93" s="22"/>
      <c r="E93" s="22"/>
      <c r="F93" s="22"/>
      <c r="G93" s="22"/>
      <c r="H93" s="25"/>
      <c r="I93" s="22"/>
      <c r="J93" s="22"/>
      <c r="K93" s="31" t="str">
        <f aca="false">IF($J93="","",IFERROR(INDEX(DriverCategory,MATCH($J93,DriverList,0)),"?"))</f>
        <v/>
      </c>
      <c r="L93" s="31" t="str">
        <f aca="false">IF($J93="","",IFERROR(INDEX(DriverRank,MATCH($J93,DriverList,0)),99))</f>
        <v/>
      </c>
      <c r="M93" s="22"/>
      <c r="N93" s="22"/>
      <c r="O93" s="19" t="str">
        <f aca="false">IF($D93="","",INDEX(GradeBasic,MATCH($D93,GradeList,0))+INDEX(GradeHousing,MATCH($D93,GradeList,0))+INDEX(GradeTransport,MATCH($D93,GradeList,0))+INDEX(GradeBasic,MATCH($D93,GradeList,0))*INDEX(GradeBonus,MATCH($D93,GradeList,0))+(INDEX(GradeBasic,MATCH($D93,GradeList,0))+INDEX(GradeHousing,MATCH($D93,GradeList,0)))*IF($F93="Saudi",GosiSaudi,GosiOther))</f>
        <v/>
      </c>
      <c r="P93" s="19" t="str">
        <f aca="false">IF($D93="","",IF(INDEX(GradeRank,MATCH($D93,GradeList,0))&gt;=INDEX(GradeRank,MATCH("G14",GradeList,0)),OneOffSenior,OneOffJunior))</f>
        <v/>
      </c>
      <c r="Q93" s="19" t="str">
        <f aca="false">IF(OR($D93="",$I93="",$H93=""),"",$O93*$H93*(5-MATCH($I93,{"Q1";"Q2";"Q3";"Q4"},0))/4+$P93*$H93)</f>
        <v/>
      </c>
      <c r="R93" s="19" t="str">
        <f aca="false">IF($O93="","",$O93*$H93)</f>
        <v/>
      </c>
      <c r="S93" s="32" t="str">
        <f aca="false">IF(COUNTA($B93:$J93)+COUNTA($M93:$N93)=0,"",MID(IF($B93="",", unit","")&amp;IF($C93="",", job title","")&amp;IF($D93="",", grade","")&amp;IF($E93="",", workforce type","")&amp;IF($F93="",", Saudi basis","")&amp;IF($G93="",", nature","")&amp;IF(N($H93)&lt;=0,", FTE","")&amp;IF($I93="",", start quarter","")&amp;IF($J93="",", driver","")&amp;IF($M93="",", alternatives",""),3,300))</f>
        <v/>
      </c>
      <c r="T93" s="17" t="str">
        <f aca="false">IF($S93="","",COUNTIF($S$6:$S93,"?*"))</f>
        <v/>
      </c>
    </row>
    <row r="94" customFormat="false" ht="15" hidden="false" customHeight="false" outlineLevel="0" collapsed="false">
      <c r="A94" s="17" t="n">
        <v>89</v>
      </c>
      <c r="B94" s="22"/>
      <c r="C94" s="22"/>
      <c r="D94" s="22"/>
      <c r="E94" s="22"/>
      <c r="F94" s="22"/>
      <c r="G94" s="22"/>
      <c r="H94" s="25"/>
      <c r="I94" s="22"/>
      <c r="J94" s="22"/>
      <c r="K94" s="31" t="str">
        <f aca="false">IF($J94="","",IFERROR(INDEX(DriverCategory,MATCH($J94,DriverList,0)),"?"))</f>
        <v/>
      </c>
      <c r="L94" s="31" t="str">
        <f aca="false">IF($J94="","",IFERROR(INDEX(DriverRank,MATCH($J94,DriverList,0)),99))</f>
        <v/>
      </c>
      <c r="M94" s="22"/>
      <c r="N94" s="22"/>
      <c r="O94" s="19" t="str">
        <f aca="false">IF($D94="","",INDEX(GradeBasic,MATCH($D94,GradeList,0))+INDEX(GradeHousing,MATCH($D94,GradeList,0))+INDEX(GradeTransport,MATCH($D94,GradeList,0))+INDEX(GradeBasic,MATCH($D94,GradeList,0))*INDEX(GradeBonus,MATCH($D94,GradeList,0))+(INDEX(GradeBasic,MATCH($D94,GradeList,0))+INDEX(GradeHousing,MATCH($D94,GradeList,0)))*IF($F94="Saudi",GosiSaudi,GosiOther))</f>
        <v/>
      </c>
      <c r="P94" s="19" t="str">
        <f aca="false">IF($D94="","",IF(INDEX(GradeRank,MATCH($D94,GradeList,0))&gt;=INDEX(GradeRank,MATCH("G14",GradeList,0)),OneOffSenior,OneOffJunior))</f>
        <v/>
      </c>
      <c r="Q94" s="19" t="str">
        <f aca="false">IF(OR($D94="",$I94="",$H94=""),"",$O94*$H94*(5-MATCH($I94,{"Q1";"Q2";"Q3";"Q4"},0))/4+$P94*$H94)</f>
        <v/>
      </c>
      <c r="R94" s="19" t="str">
        <f aca="false">IF($O94="","",$O94*$H94)</f>
        <v/>
      </c>
      <c r="S94" s="32" t="str">
        <f aca="false">IF(COUNTA($B94:$J94)+COUNTA($M94:$N94)=0,"",MID(IF($B94="",", unit","")&amp;IF($C94="",", job title","")&amp;IF($D94="",", grade","")&amp;IF($E94="",", workforce type","")&amp;IF($F94="",", Saudi basis","")&amp;IF($G94="",", nature","")&amp;IF(N($H94)&lt;=0,", FTE","")&amp;IF($I94="",", start quarter","")&amp;IF($J94="",", driver","")&amp;IF($M94="",", alternatives",""),3,300))</f>
        <v/>
      </c>
      <c r="T94" s="17" t="str">
        <f aca="false">IF($S94="","",COUNTIF($S$6:$S94,"?*"))</f>
        <v/>
      </c>
    </row>
    <row r="95" customFormat="false" ht="15" hidden="false" customHeight="false" outlineLevel="0" collapsed="false">
      <c r="A95" s="17" t="n">
        <v>90</v>
      </c>
      <c r="B95" s="22"/>
      <c r="C95" s="22"/>
      <c r="D95" s="22"/>
      <c r="E95" s="22"/>
      <c r="F95" s="22"/>
      <c r="G95" s="22"/>
      <c r="H95" s="25"/>
      <c r="I95" s="22"/>
      <c r="J95" s="22"/>
      <c r="K95" s="31" t="str">
        <f aca="false">IF($J95="","",IFERROR(INDEX(DriverCategory,MATCH($J95,DriverList,0)),"?"))</f>
        <v/>
      </c>
      <c r="L95" s="31" t="str">
        <f aca="false">IF($J95="","",IFERROR(INDEX(DriverRank,MATCH($J95,DriverList,0)),99))</f>
        <v/>
      </c>
      <c r="M95" s="22"/>
      <c r="N95" s="22"/>
      <c r="O95" s="19" t="str">
        <f aca="false">IF($D95="","",INDEX(GradeBasic,MATCH($D95,GradeList,0))+INDEX(GradeHousing,MATCH($D95,GradeList,0))+INDEX(GradeTransport,MATCH($D95,GradeList,0))+INDEX(GradeBasic,MATCH($D95,GradeList,0))*INDEX(GradeBonus,MATCH($D95,GradeList,0))+(INDEX(GradeBasic,MATCH($D95,GradeList,0))+INDEX(GradeHousing,MATCH($D95,GradeList,0)))*IF($F95="Saudi",GosiSaudi,GosiOther))</f>
        <v/>
      </c>
      <c r="P95" s="19" t="str">
        <f aca="false">IF($D95="","",IF(INDEX(GradeRank,MATCH($D95,GradeList,0))&gt;=INDEX(GradeRank,MATCH("G14",GradeList,0)),OneOffSenior,OneOffJunior))</f>
        <v/>
      </c>
      <c r="Q95" s="19" t="str">
        <f aca="false">IF(OR($D95="",$I95="",$H95=""),"",$O95*$H95*(5-MATCH($I95,{"Q1";"Q2";"Q3";"Q4"},0))/4+$P95*$H95)</f>
        <v/>
      </c>
      <c r="R95" s="19" t="str">
        <f aca="false">IF($O95="","",$O95*$H95)</f>
        <v/>
      </c>
      <c r="S95" s="32" t="str">
        <f aca="false">IF(COUNTA($B95:$J95)+COUNTA($M95:$N95)=0,"",MID(IF($B95="",", unit","")&amp;IF($C95="",", job title","")&amp;IF($D95="",", grade","")&amp;IF($E95="",", workforce type","")&amp;IF($F95="",", Saudi basis","")&amp;IF($G95="",", nature","")&amp;IF(N($H95)&lt;=0,", FTE","")&amp;IF($I95="",", start quarter","")&amp;IF($J95="",", driver","")&amp;IF($M95="",", alternatives",""),3,300))</f>
        <v/>
      </c>
      <c r="T95" s="17" t="str">
        <f aca="false">IF($S95="","",COUNTIF($S$6:$S95,"?*"))</f>
        <v/>
      </c>
    </row>
    <row r="96" customFormat="false" ht="15" hidden="false" customHeight="false" outlineLevel="0" collapsed="false">
      <c r="A96" s="17" t="n">
        <v>91</v>
      </c>
      <c r="B96" s="22"/>
      <c r="C96" s="22"/>
      <c r="D96" s="22"/>
      <c r="E96" s="22"/>
      <c r="F96" s="22"/>
      <c r="G96" s="22"/>
      <c r="H96" s="25"/>
      <c r="I96" s="22"/>
      <c r="J96" s="22"/>
      <c r="K96" s="31" t="str">
        <f aca="false">IF($J96="","",IFERROR(INDEX(DriverCategory,MATCH($J96,DriverList,0)),"?"))</f>
        <v/>
      </c>
      <c r="L96" s="31" t="str">
        <f aca="false">IF($J96="","",IFERROR(INDEX(DriverRank,MATCH($J96,DriverList,0)),99))</f>
        <v/>
      </c>
      <c r="M96" s="22"/>
      <c r="N96" s="22"/>
      <c r="O96" s="19" t="str">
        <f aca="false">IF($D96="","",INDEX(GradeBasic,MATCH($D96,GradeList,0))+INDEX(GradeHousing,MATCH($D96,GradeList,0))+INDEX(GradeTransport,MATCH($D96,GradeList,0))+INDEX(GradeBasic,MATCH($D96,GradeList,0))*INDEX(GradeBonus,MATCH($D96,GradeList,0))+(INDEX(GradeBasic,MATCH($D96,GradeList,0))+INDEX(GradeHousing,MATCH($D96,GradeList,0)))*IF($F96="Saudi",GosiSaudi,GosiOther))</f>
        <v/>
      </c>
      <c r="P96" s="19" t="str">
        <f aca="false">IF($D96="","",IF(INDEX(GradeRank,MATCH($D96,GradeList,0))&gt;=INDEX(GradeRank,MATCH("G14",GradeList,0)),OneOffSenior,OneOffJunior))</f>
        <v/>
      </c>
      <c r="Q96" s="19" t="str">
        <f aca="false">IF(OR($D96="",$I96="",$H96=""),"",$O96*$H96*(5-MATCH($I96,{"Q1";"Q2";"Q3";"Q4"},0))/4+$P96*$H96)</f>
        <v/>
      </c>
      <c r="R96" s="19" t="str">
        <f aca="false">IF($O96="","",$O96*$H96)</f>
        <v/>
      </c>
      <c r="S96" s="32" t="str">
        <f aca="false">IF(COUNTA($B96:$J96)+COUNTA($M96:$N96)=0,"",MID(IF($B96="",", unit","")&amp;IF($C96="",", job title","")&amp;IF($D96="",", grade","")&amp;IF($E96="",", workforce type","")&amp;IF($F96="",", Saudi basis","")&amp;IF($G96="",", nature","")&amp;IF(N($H96)&lt;=0,", FTE","")&amp;IF($I96="",", start quarter","")&amp;IF($J96="",", driver","")&amp;IF($M96="",", alternatives",""),3,300))</f>
        <v/>
      </c>
      <c r="T96" s="17" t="str">
        <f aca="false">IF($S96="","",COUNTIF($S$6:$S96,"?*"))</f>
        <v/>
      </c>
    </row>
    <row r="97" customFormat="false" ht="15" hidden="false" customHeight="false" outlineLevel="0" collapsed="false">
      <c r="A97" s="17" t="n">
        <v>92</v>
      </c>
      <c r="B97" s="22"/>
      <c r="C97" s="22"/>
      <c r="D97" s="22"/>
      <c r="E97" s="22"/>
      <c r="F97" s="22"/>
      <c r="G97" s="22"/>
      <c r="H97" s="25"/>
      <c r="I97" s="22"/>
      <c r="J97" s="22"/>
      <c r="K97" s="31" t="str">
        <f aca="false">IF($J97="","",IFERROR(INDEX(DriverCategory,MATCH($J97,DriverList,0)),"?"))</f>
        <v/>
      </c>
      <c r="L97" s="31" t="str">
        <f aca="false">IF($J97="","",IFERROR(INDEX(DriverRank,MATCH($J97,DriverList,0)),99))</f>
        <v/>
      </c>
      <c r="M97" s="22"/>
      <c r="N97" s="22"/>
      <c r="O97" s="19" t="str">
        <f aca="false">IF($D97="","",INDEX(GradeBasic,MATCH($D97,GradeList,0))+INDEX(GradeHousing,MATCH($D97,GradeList,0))+INDEX(GradeTransport,MATCH($D97,GradeList,0))+INDEX(GradeBasic,MATCH($D97,GradeList,0))*INDEX(GradeBonus,MATCH($D97,GradeList,0))+(INDEX(GradeBasic,MATCH($D97,GradeList,0))+INDEX(GradeHousing,MATCH($D97,GradeList,0)))*IF($F97="Saudi",GosiSaudi,GosiOther))</f>
        <v/>
      </c>
      <c r="P97" s="19" t="str">
        <f aca="false">IF($D97="","",IF(INDEX(GradeRank,MATCH($D97,GradeList,0))&gt;=INDEX(GradeRank,MATCH("G14",GradeList,0)),OneOffSenior,OneOffJunior))</f>
        <v/>
      </c>
      <c r="Q97" s="19" t="str">
        <f aca="false">IF(OR($D97="",$I97="",$H97=""),"",$O97*$H97*(5-MATCH($I97,{"Q1";"Q2";"Q3";"Q4"},0))/4+$P97*$H97)</f>
        <v/>
      </c>
      <c r="R97" s="19" t="str">
        <f aca="false">IF($O97="","",$O97*$H97)</f>
        <v/>
      </c>
      <c r="S97" s="32" t="str">
        <f aca="false">IF(COUNTA($B97:$J97)+COUNTA($M97:$N97)=0,"",MID(IF($B97="",", unit","")&amp;IF($C97="",", job title","")&amp;IF($D97="",", grade","")&amp;IF($E97="",", workforce type","")&amp;IF($F97="",", Saudi basis","")&amp;IF($G97="",", nature","")&amp;IF(N($H97)&lt;=0,", FTE","")&amp;IF($I97="",", start quarter","")&amp;IF($J97="",", driver","")&amp;IF($M97="",", alternatives",""),3,300))</f>
        <v/>
      </c>
      <c r="T97" s="17" t="str">
        <f aca="false">IF($S97="","",COUNTIF($S$6:$S97,"?*"))</f>
        <v/>
      </c>
    </row>
    <row r="98" customFormat="false" ht="15" hidden="false" customHeight="false" outlineLevel="0" collapsed="false">
      <c r="A98" s="17" t="n">
        <v>93</v>
      </c>
      <c r="B98" s="22"/>
      <c r="C98" s="22"/>
      <c r="D98" s="22"/>
      <c r="E98" s="22"/>
      <c r="F98" s="22"/>
      <c r="G98" s="22"/>
      <c r="H98" s="25"/>
      <c r="I98" s="22"/>
      <c r="J98" s="22"/>
      <c r="K98" s="31" t="str">
        <f aca="false">IF($J98="","",IFERROR(INDEX(DriverCategory,MATCH($J98,DriverList,0)),"?"))</f>
        <v/>
      </c>
      <c r="L98" s="31" t="str">
        <f aca="false">IF($J98="","",IFERROR(INDEX(DriverRank,MATCH($J98,DriverList,0)),99))</f>
        <v/>
      </c>
      <c r="M98" s="22"/>
      <c r="N98" s="22"/>
      <c r="O98" s="19" t="str">
        <f aca="false">IF($D98="","",INDEX(GradeBasic,MATCH($D98,GradeList,0))+INDEX(GradeHousing,MATCH($D98,GradeList,0))+INDEX(GradeTransport,MATCH($D98,GradeList,0))+INDEX(GradeBasic,MATCH($D98,GradeList,0))*INDEX(GradeBonus,MATCH($D98,GradeList,0))+(INDEX(GradeBasic,MATCH($D98,GradeList,0))+INDEX(GradeHousing,MATCH($D98,GradeList,0)))*IF($F98="Saudi",GosiSaudi,GosiOther))</f>
        <v/>
      </c>
      <c r="P98" s="19" t="str">
        <f aca="false">IF($D98="","",IF(INDEX(GradeRank,MATCH($D98,GradeList,0))&gt;=INDEX(GradeRank,MATCH("G14",GradeList,0)),OneOffSenior,OneOffJunior))</f>
        <v/>
      </c>
      <c r="Q98" s="19" t="str">
        <f aca="false">IF(OR($D98="",$I98="",$H98=""),"",$O98*$H98*(5-MATCH($I98,{"Q1";"Q2";"Q3";"Q4"},0))/4+$P98*$H98)</f>
        <v/>
      </c>
      <c r="R98" s="19" t="str">
        <f aca="false">IF($O98="","",$O98*$H98)</f>
        <v/>
      </c>
      <c r="S98" s="32" t="str">
        <f aca="false">IF(COUNTA($B98:$J98)+COUNTA($M98:$N98)=0,"",MID(IF($B98="",", unit","")&amp;IF($C98="",", job title","")&amp;IF($D98="",", grade","")&amp;IF($E98="",", workforce type","")&amp;IF($F98="",", Saudi basis","")&amp;IF($G98="",", nature","")&amp;IF(N($H98)&lt;=0,", FTE","")&amp;IF($I98="",", start quarter","")&amp;IF($J98="",", driver","")&amp;IF($M98="",", alternatives",""),3,300))</f>
        <v/>
      </c>
      <c r="T98" s="17" t="str">
        <f aca="false">IF($S98="","",COUNTIF($S$6:$S98,"?*"))</f>
        <v/>
      </c>
    </row>
    <row r="99" customFormat="false" ht="15" hidden="false" customHeight="false" outlineLevel="0" collapsed="false">
      <c r="A99" s="17" t="n">
        <v>94</v>
      </c>
      <c r="B99" s="22"/>
      <c r="C99" s="22"/>
      <c r="D99" s="22"/>
      <c r="E99" s="22"/>
      <c r="F99" s="22"/>
      <c r="G99" s="22"/>
      <c r="H99" s="25"/>
      <c r="I99" s="22"/>
      <c r="J99" s="22"/>
      <c r="K99" s="31" t="str">
        <f aca="false">IF($J99="","",IFERROR(INDEX(DriverCategory,MATCH($J99,DriverList,0)),"?"))</f>
        <v/>
      </c>
      <c r="L99" s="31" t="str">
        <f aca="false">IF($J99="","",IFERROR(INDEX(DriverRank,MATCH($J99,DriverList,0)),99))</f>
        <v/>
      </c>
      <c r="M99" s="22"/>
      <c r="N99" s="22"/>
      <c r="O99" s="19" t="str">
        <f aca="false">IF($D99="","",INDEX(GradeBasic,MATCH($D99,GradeList,0))+INDEX(GradeHousing,MATCH($D99,GradeList,0))+INDEX(GradeTransport,MATCH($D99,GradeList,0))+INDEX(GradeBasic,MATCH($D99,GradeList,0))*INDEX(GradeBonus,MATCH($D99,GradeList,0))+(INDEX(GradeBasic,MATCH($D99,GradeList,0))+INDEX(GradeHousing,MATCH($D99,GradeList,0)))*IF($F99="Saudi",GosiSaudi,GosiOther))</f>
        <v/>
      </c>
      <c r="P99" s="19" t="str">
        <f aca="false">IF($D99="","",IF(INDEX(GradeRank,MATCH($D99,GradeList,0))&gt;=INDEX(GradeRank,MATCH("G14",GradeList,0)),OneOffSenior,OneOffJunior))</f>
        <v/>
      </c>
      <c r="Q99" s="19" t="str">
        <f aca="false">IF(OR($D99="",$I99="",$H99=""),"",$O99*$H99*(5-MATCH($I99,{"Q1";"Q2";"Q3";"Q4"},0))/4+$P99*$H99)</f>
        <v/>
      </c>
      <c r="R99" s="19" t="str">
        <f aca="false">IF($O99="","",$O99*$H99)</f>
        <v/>
      </c>
      <c r="S99" s="32" t="str">
        <f aca="false">IF(COUNTA($B99:$J99)+COUNTA($M99:$N99)=0,"",MID(IF($B99="",", unit","")&amp;IF($C99="",", job title","")&amp;IF($D99="",", grade","")&amp;IF($E99="",", workforce type","")&amp;IF($F99="",", Saudi basis","")&amp;IF($G99="",", nature","")&amp;IF(N($H99)&lt;=0,", FTE","")&amp;IF($I99="",", start quarter","")&amp;IF($J99="",", driver","")&amp;IF($M99="",", alternatives",""),3,300))</f>
        <v/>
      </c>
      <c r="T99" s="17" t="str">
        <f aca="false">IF($S99="","",COUNTIF($S$6:$S99,"?*"))</f>
        <v/>
      </c>
    </row>
    <row r="100" customFormat="false" ht="15" hidden="false" customHeight="false" outlineLevel="0" collapsed="false">
      <c r="A100" s="17" t="n">
        <v>95</v>
      </c>
      <c r="B100" s="22"/>
      <c r="C100" s="22"/>
      <c r="D100" s="22"/>
      <c r="E100" s="22"/>
      <c r="F100" s="22"/>
      <c r="G100" s="22"/>
      <c r="H100" s="25"/>
      <c r="I100" s="22"/>
      <c r="J100" s="22"/>
      <c r="K100" s="31" t="str">
        <f aca="false">IF($J100="","",IFERROR(INDEX(DriverCategory,MATCH($J100,DriverList,0)),"?"))</f>
        <v/>
      </c>
      <c r="L100" s="31" t="str">
        <f aca="false">IF($J100="","",IFERROR(INDEX(DriverRank,MATCH($J100,DriverList,0)),99))</f>
        <v/>
      </c>
      <c r="M100" s="22"/>
      <c r="N100" s="22"/>
      <c r="O100" s="19" t="str">
        <f aca="false">IF($D100="","",INDEX(GradeBasic,MATCH($D100,GradeList,0))+INDEX(GradeHousing,MATCH($D100,GradeList,0))+INDEX(GradeTransport,MATCH($D100,GradeList,0))+INDEX(GradeBasic,MATCH($D100,GradeList,0))*INDEX(GradeBonus,MATCH($D100,GradeList,0))+(INDEX(GradeBasic,MATCH($D100,GradeList,0))+INDEX(GradeHousing,MATCH($D100,GradeList,0)))*IF($F100="Saudi",GosiSaudi,GosiOther))</f>
        <v/>
      </c>
      <c r="P100" s="19" t="str">
        <f aca="false">IF($D100="","",IF(INDEX(GradeRank,MATCH($D100,GradeList,0))&gt;=INDEX(GradeRank,MATCH("G14",GradeList,0)),OneOffSenior,OneOffJunior))</f>
        <v/>
      </c>
      <c r="Q100" s="19" t="str">
        <f aca="false">IF(OR($D100="",$I100="",$H100=""),"",$O100*$H100*(5-MATCH($I100,{"Q1";"Q2";"Q3";"Q4"},0))/4+$P100*$H100)</f>
        <v/>
      </c>
      <c r="R100" s="19" t="str">
        <f aca="false">IF($O100="","",$O100*$H100)</f>
        <v/>
      </c>
      <c r="S100" s="32" t="str">
        <f aca="false">IF(COUNTA($B100:$J100)+COUNTA($M100:$N100)=0,"",MID(IF($B100="",", unit","")&amp;IF($C100="",", job title","")&amp;IF($D100="",", grade","")&amp;IF($E100="",", workforce type","")&amp;IF($F100="",", Saudi basis","")&amp;IF($G100="",", nature","")&amp;IF(N($H100)&lt;=0,", FTE","")&amp;IF($I100="",", start quarter","")&amp;IF($J100="",", driver","")&amp;IF($M100="",", alternatives",""),3,300))</f>
        <v/>
      </c>
      <c r="T100" s="17" t="str">
        <f aca="false">IF($S100="","",COUNTIF($S$6:$S100,"?*"))</f>
        <v/>
      </c>
    </row>
    <row r="101" customFormat="false" ht="15" hidden="false" customHeight="false" outlineLevel="0" collapsed="false">
      <c r="A101" s="17" t="n">
        <v>96</v>
      </c>
      <c r="B101" s="22"/>
      <c r="C101" s="22"/>
      <c r="D101" s="22"/>
      <c r="E101" s="22"/>
      <c r="F101" s="22"/>
      <c r="G101" s="22"/>
      <c r="H101" s="25"/>
      <c r="I101" s="22"/>
      <c r="J101" s="22"/>
      <c r="K101" s="31" t="str">
        <f aca="false">IF($J101="","",IFERROR(INDEX(DriverCategory,MATCH($J101,DriverList,0)),"?"))</f>
        <v/>
      </c>
      <c r="L101" s="31" t="str">
        <f aca="false">IF($J101="","",IFERROR(INDEX(DriverRank,MATCH($J101,DriverList,0)),99))</f>
        <v/>
      </c>
      <c r="M101" s="22"/>
      <c r="N101" s="22"/>
      <c r="O101" s="19" t="str">
        <f aca="false">IF($D101="","",INDEX(GradeBasic,MATCH($D101,GradeList,0))+INDEX(GradeHousing,MATCH($D101,GradeList,0))+INDEX(GradeTransport,MATCH($D101,GradeList,0))+INDEX(GradeBasic,MATCH($D101,GradeList,0))*INDEX(GradeBonus,MATCH($D101,GradeList,0))+(INDEX(GradeBasic,MATCH($D101,GradeList,0))+INDEX(GradeHousing,MATCH($D101,GradeList,0)))*IF($F101="Saudi",GosiSaudi,GosiOther))</f>
        <v/>
      </c>
      <c r="P101" s="19" t="str">
        <f aca="false">IF($D101="","",IF(INDEX(GradeRank,MATCH($D101,GradeList,0))&gt;=INDEX(GradeRank,MATCH("G14",GradeList,0)),OneOffSenior,OneOffJunior))</f>
        <v/>
      </c>
      <c r="Q101" s="19" t="str">
        <f aca="false">IF(OR($D101="",$I101="",$H101=""),"",$O101*$H101*(5-MATCH($I101,{"Q1";"Q2";"Q3";"Q4"},0))/4+$P101*$H101)</f>
        <v/>
      </c>
      <c r="R101" s="19" t="str">
        <f aca="false">IF($O101="","",$O101*$H101)</f>
        <v/>
      </c>
      <c r="S101" s="32" t="str">
        <f aca="false">IF(COUNTA($B101:$J101)+COUNTA($M101:$N101)=0,"",MID(IF($B101="",", unit","")&amp;IF($C101="",", job title","")&amp;IF($D101="",", grade","")&amp;IF($E101="",", workforce type","")&amp;IF($F101="",", Saudi basis","")&amp;IF($G101="",", nature","")&amp;IF(N($H101)&lt;=0,", FTE","")&amp;IF($I101="",", start quarter","")&amp;IF($J101="",", driver","")&amp;IF($M101="",", alternatives",""),3,300))</f>
        <v/>
      </c>
      <c r="T101" s="17" t="str">
        <f aca="false">IF($S101="","",COUNTIF($S$6:$S101,"?*"))</f>
        <v/>
      </c>
    </row>
    <row r="102" customFormat="false" ht="15" hidden="false" customHeight="false" outlineLevel="0" collapsed="false">
      <c r="A102" s="17" t="n">
        <v>97</v>
      </c>
      <c r="B102" s="22"/>
      <c r="C102" s="22"/>
      <c r="D102" s="22"/>
      <c r="E102" s="22"/>
      <c r="F102" s="22"/>
      <c r="G102" s="22"/>
      <c r="H102" s="25"/>
      <c r="I102" s="22"/>
      <c r="J102" s="22"/>
      <c r="K102" s="31" t="str">
        <f aca="false">IF($J102="","",IFERROR(INDEX(DriverCategory,MATCH($J102,DriverList,0)),"?"))</f>
        <v/>
      </c>
      <c r="L102" s="31" t="str">
        <f aca="false">IF($J102="","",IFERROR(INDEX(DriverRank,MATCH($J102,DriverList,0)),99))</f>
        <v/>
      </c>
      <c r="M102" s="22"/>
      <c r="N102" s="22"/>
      <c r="O102" s="19" t="str">
        <f aca="false">IF($D102="","",INDEX(GradeBasic,MATCH($D102,GradeList,0))+INDEX(GradeHousing,MATCH($D102,GradeList,0))+INDEX(GradeTransport,MATCH($D102,GradeList,0))+INDEX(GradeBasic,MATCH($D102,GradeList,0))*INDEX(GradeBonus,MATCH($D102,GradeList,0))+(INDEX(GradeBasic,MATCH($D102,GradeList,0))+INDEX(GradeHousing,MATCH($D102,GradeList,0)))*IF($F102="Saudi",GosiSaudi,GosiOther))</f>
        <v/>
      </c>
      <c r="P102" s="19" t="str">
        <f aca="false">IF($D102="","",IF(INDEX(GradeRank,MATCH($D102,GradeList,0))&gt;=INDEX(GradeRank,MATCH("G14",GradeList,0)),OneOffSenior,OneOffJunior))</f>
        <v/>
      </c>
      <c r="Q102" s="19" t="str">
        <f aca="false">IF(OR($D102="",$I102="",$H102=""),"",$O102*$H102*(5-MATCH($I102,{"Q1";"Q2";"Q3";"Q4"},0))/4+$P102*$H102)</f>
        <v/>
      </c>
      <c r="R102" s="19" t="str">
        <f aca="false">IF($O102="","",$O102*$H102)</f>
        <v/>
      </c>
      <c r="S102" s="32" t="str">
        <f aca="false">IF(COUNTA($B102:$J102)+COUNTA($M102:$N102)=0,"",MID(IF($B102="",", unit","")&amp;IF($C102="",", job title","")&amp;IF($D102="",", grade","")&amp;IF($E102="",", workforce type","")&amp;IF($F102="",", Saudi basis","")&amp;IF($G102="",", nature","")&amp;IF(N($H102)&lt;=0,", FTE","")&amp;IF($I102="",", start quarter","")&amp;IF($J102="",", driver","")&amp;IF($M102="",", alternatives",""),3,300))</f>
        <v/>
      </c>
      <c r="T102" s="17" t="str">
        <f aca="false">IF($S102="","",COUNTIF($S$6:$S102,"?*"))</f>
        <v/>
      </c>
    </row>
    <row r="103" customFormat="false" ht="15" hidden="false" customHeight="false" outlineLevel="0" collapsed="false">
      <c r="A103" s="17" t="n">
        <v>98</v>
      </c>
      <c r="B103" s="22"/>
      <c r="C103" s="22"/>
      <c r="D103" s="22"/>
      <c r="E103" s="22"/>
      <c r="F103" s="22"/>
      <c r="G103" s="22"/>
      <c r="H103" s="25"/>
      <c r="I103" s="22"/>
      <c r="J103" s="22"/>
      <c r="K103" s="31" t="str">
        <f aca="false">IF($J103="","",IFERROR(INDEX(DriverCategory,MATCH($J103,DriverList,0)),"?"))</f>
        <v/>
      </c>
      <c r="L103" s="31" t="str">
        <f aca="false">IF($J103="","",IFERROR(INDEX(DriverRank,MATCH($J103,DriverList,0)),99))</f>
        <v/>
      </c>
      <c r="M103" s="22"/>
      <c r="N103" s="22"/>
      <c r="O103" s="19" t="str">
        <f aca="false">IF($D103="","",INDEX(GradeBasic,MATCH($D103,GradeList,0))+INDEX(GradeHousing,MATCH($D103,GradeList,0))+INDEX(GradeTransport,MATCH($D103,GradeList,0))+INDEX(GradeBasic,MATCH($D103,GradeList,0))*INDEX(GradeBonus,MATCH($D103,GradeList,0))+(INDEX(GradeBasic,MATCH($D103,GradeList,0))+INDEX(GradeHousing,MATCH($D103,GradeList,0)))*IF($F103="Saudi",GosiSaudi,GosiOther))</f>
        <v/>
      </c>
      <c r="P103" s="19" t="str">
        <f aca="false">IF($D103="","",IF(INDEX(GradeRank,MATCH($D103,GradeList,0))&gt;=INDEX(GradeRank,MATCH("G14",GradeList,0)),OneOffSenior,OneOffJunior))</f>
        <v/>
      </c>
      <c r="Q103" s="19" t="str">
        <f aca="false">IF(OR($D103="",$I103="",$H103=""),"",$O103*$H103*(5-MATCH($I103,{"Q1";"Q2";"Q3";"Q4"},0))/4+$P103*$H103)</f>
        <v/>
      </c>
      <c r="R103" s="19" t="str">
        <f aca="false">IF($O103="","",$O103*$H103)</f>
        <v/>
      </c>
      <c r="S103" s="32" t="str">
        <f aca="false">IF(COUNTA($B103:$J103)+COUNTA($M103:$N103)=0,"",MID(IF($B103="",", unit","")&amp;IF($C103="",", job title","")&amp;IF($D103="",", grade","")&amp;IF($E103="",", workforce type","")&amp;IF($F103="",", Saudi basis","")&amp;IF($G103="",", nature","")&amp;IF(N($H103)&lt;=0,", FTE","")&amp;IF($I103="",", start quarter","")&amp;IF($J103="",", driver","")&amp;IF($M103="",", alternatives",""),3,300))</f>
        <v/>
      </c>
      <c r="T103" s="17" t="str">
        <f aca="false">IF($S103="","",COUNTIF($S$6:$S103,"?*"))</f>
        <v/>
      </c>
    </row>
    <row r="104" customFormat="false" ht="15" hidden="false" customHeight="false" outlineLevel="0" collapsed="false">
      <c r="A104" s="17" t="n">
        <v>99</v>
      </c>
      <c r="B104" s="22"/>
      <c r="C104" s="22"/>
      <c r="D104" s="22"/>
      <c r="E104" s="22"/>
      <c r="F104" s="22"/>
      <c r="G104" s="22"/>
      <c r="H104" s="25"/>
      <c r="I104" s="22"/>
      <c r="J104" s="22"/>
      <c r="K104" s="31" t="str">
        <f aca="false">IF($J104="","",IFERROR(INDEX(DriverCategory,MATCH($J104,DriverList,0)),"?"))</f>
        <v/>
      </c>
      <c r="L104" s="31" t="str">
        <f aca="false">IF($J104="","",IFERROR(INDEX(DriverRank,MATCH($J104,DriverList,0)),99))</f>
        <v/>
      </c>
      <c r="M104" s="22"/>
      <c r="N104" s="22"/>
      <c r="O104" s="19" t="str">
        <f aca="false">IF($D104="","",INDEX(GradeBasic,MATCH($D104,GradeList,0))+INDEX(GradeHousing,MATCH($D104,GradeList,0))+INDEX(GradeTransport,MATCH($D104,GradeList,0))+INDEX(GradeBasic,MATCH($D104,GradeList,0))*INDEX(GradeBonus,MATCH($D104,GradeList,0))+(INDEX(GradeBasic,MATCH($D104,GradeList,0))+INDEX(GradeHousing,MATCH($D104,GradeList,0)))*IF($F104="Saudi",GosiSaudi,GosiOther))</f>
        <v/>
      </c>
      <c r="P104" s="19" t="str">
        <f aca="false">IF($D104="","",IF(INDEX(GradeRank,MATCH($D104,GradeList,0))&gt;=INDEX(GradeRank,MATCH("G14",GradeList,0)),OneOffSenior,OneOffJunior))</f>
        <v/>
      </c>
      <c r="Q104" s="19" t="str">
        <f aca="false">IF(OR($D104="",$I104="",$H104=""),"",$O104*$H104*(5-MATCH($I104,{"Q1";"Q2";"Q3";"Q4"},0))/4+$P104*$H104)</f>
        <v/>
      </c>
      <c r="R104" s="19" t="str">
        <f aca="false">IF($O104="","",$O104*$H104)</f>
        <v/>
      </c>
      <c r="S104" s="32" t="str">
        <f aca="false">IF(COUNTA($B104:$J104)+COUNTA($M104:$N104)=0,"",MID(IF($B104="",", unit","")&amp;IF($C104="",", job title","")&amp;IF($D104="",", grade","")&amp;IF($E104="",", workforce type","")&amp;IF($F104="",", Saudi basis","")&amp;IF($G104="",", nature","")&amp;IF(N($H104)&lt;=0,", FTE","")&amp;IF($I104="",", start quarter","")&amp;IF($J104="",", driver","")&amp;IF($M104="",", alternatives",""),3,300))</f>
        <v/>
      </c>
      <c r="T104" s="17" t="str">
        <f aca="false">IF($S104="","",COUNTIF($S$6:$S104,"?*"))</f>
        <v/>
      </c>
    </row>
    <row r="105" customFormat="false" ht="15" hidden="false" customHeight="false" outlineLevel="0" collapsed="false">
      <c r="A105" s="17" t="n">
        <v>100</v>
      </c>
      <c r="B105" s="22"/>
      <c r="C105" s="22"/>
      <c r="D105" s="22"/>
      <c r="E105" s="22"/>
      <c r="F105" s="22"/>
      <c r="G105" s="22"/>
      <c r="H105" s="25"/>
      <c r="I105" s="22"/>
      <c r="J105" s="22"/>
      <c r="K105" s="31" t="str">
        <f aca="false">IF($J105="","",IFERROR(INDEX(DriverCategory,MATCH($J105,DriverList,0)),"?"))</f>
        <v/>
      </c>
      <c r="L105" s="31" t="str">
        <f aca="false">IF($J105="","",IFERROR(INDEX(DriverRank,MATCH($J105,DriverList,0)),99))</f>
        <v/>
      </c>
      <c r="M105" s="22"/>
      <c r="N105" s="22"/>
      <c r="O105" s="19" t="str">
        <f aca="false">IF($D105="","",INDEX(GradeBasic,MATCH($D105,GradeList,0))+INDEX(GradeHousing,MATCH($D105,GradeList,0))+INDEX(GradeTransport,MATCH($D105,GradeList,0))+INDEX(GradeBasic,MATCH($D105,GradeList,0))*INDEX(GradeBonus,MATCH($D105,GradeList,0))+(INDEX(GradeBasic,MATCH($D105,GradeList,0))+INDEX(GradeHousing,MATCH($D105,GradeList,0)))*IF($F105="Saudi",GosiSaudi,GosiOther))</f>
        <v/>
      </c>
      <c r="P105" s="19" t="str">
        <f aca="false">IF($D105="","",IF(INDEX(GradeRank,MATCH($D105,GradeList,0))&gt;=INDEX(GradeRank,MATCH("G14",GradeList,0)),OneOffSenior,OneOffJunior))</f>
        <v/>
      </c>
      <c r="Q105" s="19" t="str">
        <f aca="false">IF(OR($D105="",$I105="",$H105=""),"",$O105*$H105*(5-MATCH($I105,{"Q1";"Q2";"Q3";"Q4"},0))/4+$P105*$H105)</f>
        <v/>
      </c>
      <c r="R105" s="19" t="str">
        <f aca="false">IF($O105="","",$O105*$H105)</f>
        <v/>
      </c>
      <c r="S105" s="32" t="str">
        <f aca="false">IF(COUNTA($B105:$J105)+COUNTA($M105:$N105)=0,"",MID(IF($B105="",", unit","")&amp;IF($C105="",", job title","")&amp;IF($D105="",", grade","")&amp;IF($E105="",", workforce type","")&amp;IF($F105="",", Saudi basis","")&amp;IF($G105="",", nature","")&amp;IF(N($H105)&lt;=0,", FTE","")&amp;IF($I105="",", start quarter","")&amp;IF($J105="",", driver","")&amp;IF($M105="",", alternatives",""),3,300))</f>
        <v/>
      </c>
      <c r="T105" s="17" t="str">
        <f aca="false">IF($S105="","",COUNTIF($S$6:$S105,"?*"))</f>
        <v/>
      </c>
    </row>
    <row r="106" customFormat="false" ht="15" hidden="false" customHeight="false" outlineLevel="0" collapsed="false">
      <c r="A106" s="17" t="n">
        <v>101</v>
      </c>
      <c r="B106" s="22"/>
      <c r="C106" s="22"/>
      <c r="D106" s="22"/>
      <c r="E106" s="22"/>
      <c r="F106" s="22"/>
      <c r="G106" s="22"/>
      <c r="H106" s="25"/>
      <c r="I106" s="22"/>
      <c r="J106" s="22"/>
      <c r="K106" s="31" t="str">
        <f aca="false">IF($J106="","",IFERROR(INDEX(DriverCategory,MATCH($J106,DriverList,0)),"?"))</f>
        <v/>
      </c>
      <c r="L106" s="31" t="str">
        <f aca="false">IF($J106="","",IFERROR(INDEX(DriverRank,MATCH($J106,DriverList,0)),99))</f>
        <v/>
      </c>
      <c r="M106" s="22"/>
      <c r="N106" s="22"/>
      <c r="O106" s="19" t="str">
        <f aca="false">IF($D106="","",INDEX(GradeBasic,MATCH($D106,GradeList,0))+INDEX(GradeHousing,MATCH($D106,GradeList,0))+INDEX(GradeTransport,MATCH($D106,GradeList,0))+INDEX(GradeBasic,MATCH($D106,GradeList,0))*INDEX(GradeBonus,MATCH($D106,GradeList,0))+(INDEX(GradeBasic,MATCH($D106,GradeList,0))+INDEX(GradeHousing,MATCH($D106,GradeList,0)))*IF($F106="Saudi",GosiSaudi,GosiOther))</f>
        <v/>
      </c>
      <c r="P106" s="19" t="str">
        <f aca="false">IF($D106="","",IF(INDEX(GradeRank,MATCH($D106,GradeList,0))&gt;=INDEX(GradeRank,MATCH("G14",GradeList,0)),OneOffSenior,OneOffJunior))</f>
        <v/>
      </c>
      <c r="Q106" s="19" t="str">
        <f aca="false">IF(OR($D106="",$I106="",$H106=""),"",$O106*$H106*(5-MATCH($I106,{"Q1";"Q2";"Q3";"Q4"},0))/4+$P106*$H106)</f>
        <v/>
      </c>
      <c r="R106" s="19" t="str">
        <f aca="false">IF($O106="","",$O106*$H106)</f>
        <v/>
      </c>
      <c r="S106" s="32" t="str">
        <f aca="false">IF(COUNTA($B106:$J106)+COUNTA($M106:$N106)=0,"",MID(IF($B106="",", unit","")&amp;IF($C106="",", job title","")&amp;IF($D106="",", grade","")&amp;IF($E106="",", workforce type","")&amp;IF($F106="",", Saudi basis","")&amp;IF($G106="",", nature","")&amp;IF(N($H106)&lt;=0,", FTE","")&amp;IF($I106="",", start quarter","")&amp;IF($J106="",", driver","")&amp;IF($M106="",", alternatives",""),3,300))</f>
        <v/>
      </c>
      <c r="T106" s="17" t="str">
        <f aca="false">IF($S106="","",COUNTIF($S$6:$S106,"?*"))</f>
        <v/>
      </c>
    </row>
    <row r="107" customFormat="false" ht="15" hidden="false" customHeight="false" outlineLevel="0" collapsed="false">
      <c r="A107" s="17" t="n">
        <v>102</v>
      </c>
      <c r="B107" s="22"/>
      <c r="C107" s="22"/>
      <c r="D107" s="22"/>
      <c r="E107" s="22"/>
      <c r="F107" s="22"/>
      <c r="G107" s="22"/>
      <c r="H107" s="25"/>
      <c r="I107" s="22"/>
      <c r="J107" s="22"/>
      <c r="K107" s="31" t="str">
        <f aca="false">IF($J107="","",IFERROR(INDEX(DriverCategory,MATCH($J107,DriverList,0)),"?"))</f>
        <v/>
      </c>
      <c r="L107" s="31" t="str">
        <f aca="false">IF($J107="","",IFERROR(INDEX(DriverRank,MATCH($J107,DriverList,0)),99))</f>
        <v/>
      </c>
      <c r="M107" s="22"/>
      <c r="N107" s="22"/>
      <c r="O107" s="19" t="str">
        <f aca="false">IF($D107="","",INDEX(GradeBasic,MATCH($D107,GradeList,0))+INDEX(GradeHousing,MATCH($D107,GradeList,0))+INDEX(GradeTransport,MATCH($D107,GradeList,0))+INDEX(GradeBasic,MATCH($D107,GradeList,0))*INDEX(GradeBonus,MATCH($D107,GradeList,0))+(INDEX(GradeBasic,MATCH($D107,GradeList,0))+INDEX(GradeHousing,MATCH($D107,GradeList,0)))*IF($F107="Saudi",GosiSaudi,GosiOther))</f>
        <v/>
      </c>
      <c r="P107" s="19" t="str">
        <f aca="false">IF($D107="","",IF(INDEX(GradeRank,MATCH($D107,GradeList,0))&gt;=INDEX(GradeRank,MATCH("G14",GradeList,0)),OneOffSenior,OneOffJunior))</f>
        <v/>
      </c>
      <c r="Q107" s="19" t="str">
        <f aca="false">IF(OR($D107="",$I107="",$H107=""),"",$O107*$H107*(5-MATCH($I107,{"Q1";"Q2";"Q3";"Q4"},0))/4+$P107*$H107)</f>
        <v/>
      </c>
      <c r="R107" s="19" t="str">
        <f aca="false">IF($O107="","",$O107*$H107)</f>
        <v/>
      </c>
      <c r="S107" s="32" t="str">
        <f aca="false">IF(COUNTA($B107:$J107)+COUNTA($M107:$N107)=0,"",MID(IF($B107="",", unit","")&amp;IF($C107="",", job title","")&amp;IF($D107="",", grade","")&amp;IF($E107="",", workforce type","")&amp;IF($F107="",", Saudi basis","")&amp;IF($G107="",", nature","")&amp;IF(N($H107)&lt;=0,", FTE","")&amp;IF($I107="",", start quarter","")&amp;IF($J107="",", driver","")&amp;IF($M107="",", alternatives",""),3,300))</f>
        <v/>
      </c>
      <c r="T107" s="17" t="str">
        <f aca="false">IF($S107="","",COUNTIF($S$6:$S107,"?*"))</f>
        <v/>
      </c>
    </row>
    <row r="108" customFormat="false" ht="15" hidden="false" customHeight="false" outlineLevel="0" collapsed="false">
      <c r="A108" s="17" t="n">
        <v>103</v>
      </c>
      <c r="B108" s="22"/>
      <c r="C108" s="22"/>
      <c r="D108" s="22"/>
      <c r="E108" s="22"/>
      <c r="F108" s="22"/>
      <c r="G108" s="22"/>
      <c r="H108" s="25"/>
      <c r="I108" s="22"/>
      <c r="J108" s="22"/>
      <c r="K108" s="31" t="str">
        <f aca="false">IF($J108="","",IFERROR(INDEX(DriverCategory,MATCH($J108,DriverList,0)),"?"))</f>
        <v/>
      </c>
      <c r="L108" s="31" t="str">
        <f aca="false">IF($J108="","",IFERROR(INDEX(DriverRank,MATCH($J108,DriverList,0)),99))</f>
        <v/>
      </c>
      <c r="M108" s="22"/>
      <c r="N108" s="22"/>
      <c r="O108" s="19" t="str">
        <f aca="false">IF($D108="","",INDEX(GradeBasic,MATCH($D108,GradeList,0))+INDEX(GradeHousing,MATCH($D108,GradeList,0))+INDEX(GradeTransport,MATCH($D108,GradeList,0))+INDEX(GradeBasic,MATCH($D108,GradeList,0))*INDEX(GradeBonus,MATCH($D108,GradeList,0))+(INDEX(GradeBasic,MATCH($D108,GradeList,0))+INDEX(GradeHousing,MATCH($D108,GradeList,0)))*IF($F108="Saudi",GosiSaudi,GosiOther))</f>
        <v/>
      </c>
      <c r="P108" s="19" t="str">
        <f aca="false">IF($D108="","",IF(INDEX(GradeRank,MATCH($D108,GradeList,0))&gt;=INDEX(GradeRank,MATCH("G14",GradeList,0)),OneOffSenior,OneOffJunior))</f>
        <v/>
      </c>
      <c r="Q108" s="19" t="str">
        <f aca="false">IF(OR($D108="",$I108="",$H108=""),"",$O108*$H108*(5-MATCH($I108,{"Q1";"Q2";"Q3";"Q4"},0))/4+$P108*$H108)</f>
        <v/>
      </c>
      <c r="R108" s="19" t="str">
        <f aca="false">IF($O108="","",$O108*$H108)</f>
        <v/>
      </c>
      <c r="S108" s="32" t="str">
        <f aca="false">IF(COUNTA($B108:$J108)+COUNTA($M108:$N108)=0,"",MID(IF($B108="",", unit","")&amp;IF($C108="",", job title","")&amp;IF($D108="",", grade","")&amp;IF($E108="",", workforce type","")&amp;IF($F108="",", Saudi basis","")&amp;IF($G108="",", nature","")&amp;IF(N($H108)&lt;=0,", FTE","")&amp;IF($I108="",", start quarter","")&amp;IF($J108="",", driver","")&amp;IF($M108="",", alternatives",""),3,300))</f>
        <v/>
      </c>
      <c r="T108" s="17" t="str">
        <f aca="false">IF($S108="","",COUNTIF($S$6:$S108,"?*"))</f>
        <v/>
      </c>
    </row>
    <row r="109" customFormat="false" ht="15" hidden="false" customHeight="false" outlineLevel="0" collapsed="false">
      <c r="A109" s="17" t="n">
        <v>104</v>
      </c>
      <c r="B109" s="22"/>
      <c r="C109" s="22"/>
      <c r="D109" s="22"/>
      <c r="E109" s="22"/>
      <c r="F109" s="22"/>
      <c r="G109" s="22"/>
      <c r="H109" s="25"/>
      <c r="I109" s="22"/>
      <c r="J109" s="22"/>
      <c r="K109" s="31" t="str">
        <f aca="false">IF($J109="","",IFERROR(INDEX(DriverCategory,MATCH($J109,DriverList,0)),"?"))</f>
        <v/>
      </c>
      <c r="L109" s="31" t="str">
        <f aca="false">IF($J109="","",IFERROR(INDEX(DriverRank,MATCH($J109,DriverList,0)),99))</f>
        <v/>
      </c>
      <c r="M109" s="22"/>
      <c r="N109" s="22"/>
      <c r="O109" s="19" t="str">
        <f aca="false">IF($D109="","",INDEX(GradeBasic,MATCH($D109,GradeList,0))+INDEX(GradeHousing,MATCH($D109,GradeList,0))+INDEX(GradeTransport,MATCH($D109,GradeList,0))+INDEX(GradeBasic,MATCH($D109,GradeList,0))*INDEX(GradeBonus,MATCH($D109,GradeList,0))+(INDEX(GradeBasic,MATCH($D109,GradeList,0))+INDEX(GradeHousing,MATCH($D109,GradeList,0)))*IF($F109="Saudi",GosiSaudi,GosiOther))</f>
        <v/>
      </c>
      <c r="P109" s="19" t="str">
        <f aca="false">IF($D109="","",IF(INDEX(GradeRank,MATCH($D109,GradeList,0))&gt;=INDEX(GradeRank,MATCH("G14",GradeList,0)),OneOffSenior,OneOffJunior))</f>
        <v/>
      </c>
      <c r="Q109" s="19" t="str">
        <f aca="false">IF(OR($D109="",$I109="",$H109=""),"",$O109*$H109*(5-MATCH($I109,{"Q1";"Q2";"Q3";"Q4"},0))/4+$P109*$H109)</f>
        <v/>
      </c>
      <c r="R109" s="19" t="str">
        <f aca="false">IF($O109="","",$O109*$H109)</f>
        <v/>
      </c>
      <c r="S109" s="32" t="str">
        <f aca="false">IF(COUNTA($B109:$J109)+COUNTA($M109:$N109)=0,"",MID(IF($B109="",", unit","")&amp;IF($C109="",", job title","")&amp;IF($D109="",", grade","")&amp;IF($E109="",", workforce type","")&amp;IF($F109="",", Saudi basis","")&amp;IF($G109="",", nature","")&amp;IF(N($H109)&lt;=0,", FTE","")&amp;IF($I109="",", start quarter","")&amp;IF($J109="",", driver","")&amp;IF($M109="",", alternatives",""),3,300))</f>
        <v/>
      </c>
      <c r="T109" s="17" t="str">
        <f aca="false">IF($S109="","",COUNTIF($S$6:$S109,"?*"))</f>
        <v/>
      </c>
    </row>
    <row r="110" customFormat="false" ht="15" hidden="false" customHeight="false" outlineLevel="0" collapsed="false">
      <c r="A110" s="17" t="n">
        <v>105</v>
      </c>
      <c r="B110" s="22"/>
      <c r="C110" s="22"/>
      <c r="D110" s="22"/>
      <c r="E110" s="22"/>
      <c r="F110" s="22"/>
      <c r="G110" s="22"/>
      <c r="H110" s="25"/>
      <c r="I110" s="22"/>
      <c r="J110" s="22"/>
      <c r="K110" s="31" t="str">
        <f aca="false">IF($J110="","",IFERROR(INDEX(DriverCategory,MATCH($J110,DriverList,0)),"?"))</f>
        <v/>
      </c>
      <c r="L110" s="31" t="str">
        <f aca="false">IF($J110="","",IFERROR(INDEX(DriverRank,MATCH($J110,DriverList,0)),99))</f>
        <v/>
      </c>
      <c r="M110" s="22"/>
      <c r="N110" s="22"/>
      <c r="O110" s="19" t="str">
        <f aca="false">IF($D110="","",INDEX(GradeBasic,MATCH($D110,GradeList,0))+INDEX(GradeHousing,MATCH($D110,GradeList,0))+INDEX(GradeTransport,MATCH($D110,GradeList,0))+INDEX(GradeBasic,MATCH($D110,GradeList,0))*INDEX(GradeBonus,MATCH($D110,GradeList,0))+(INDEX(GradeBasic,MATCH($D110,GradeList,0))+INDEX(GradeHousing,MATCH($D110,GradeList,0)))*IF($F110="Saudi",GosiSaudi,GosiOther))</f>
        <v/>
      </c>
      <c r="P110" s="19" t="str">
        <f aca="false">IF($D110="","",IF(INDEX(GradeRank,MATCH($D110,GradeList,0))&gt;=INDEX(GradeRank,MATCH("G14",GradeList,0)),OneOffSenior,OneOffJunior))</f>
        <v/>
      </c>
      <c r="Q110" s="19" t="str">
        <f aca="false">IF(OR($D110="",$I110="",$H110=""),"",$O110*$H110*(5-MATCH($I110,{"Q1";"Q2";"Q3";"Q4"},0))/4+$P110*$H110)</f>
        <v/>
      </c>
      <c r="R110" s="19" t="str">
        <f aca="false">IF($O110="","",$O110*$H110)</f>
        <v/>
      </c>
      <c r="S110" s="32" t="str">
        <f aca="false">IF(COUNTA($B110:$J110)+COUNTA($M110:$N110)=0,"",MID(IF($B110="",", unit","")&amp;IF($C110="",", job title","")&amp;IF($D110="",", grade","")&amp;IF($E110="",", workforce type","")&amp;IF($F110="",", Saudi basis","")&amp;IF($G110="",", nature","")&amp;IF(N($H110)&lt;=0,", FTE","")&amp;IF($I110="",", start quarter","")&amp;IF($J110="",", driver","")&amp;IF($M110="",", alternatives",""),3,300))</f>
        <v/>
      </c>
      <c r="T110" s="17" t="str">
        <f aca="false">IF($S110="","",COUNTIF($S$6:$S110,"?*"))</f>
        <v/>
      </c>
    </row>
    <row r="111" customFormat="false" ht="15" hidden="false" customHeight="false" outlineLevel="0" collapsed="false">
      <c r="A111" s="17" t="n">
        <v>106</v>
      </c>
      <c r="B111" s="22"/>
      <c r="C111" s="22"/>
      <c r="D111" s="22"/>
      <c r="E111" s="22"/>
      <c r="F111" s="22"/>
      <c r="G111" s="22"/>
      <c r="H111" s="25"/>
      <c r="I111" s="22"/>
      <c r="J111" s="22"/>
      <c r="K111" s="31" t="str">
        <f aca="false">IF($J111="","",IFERROR(INDEX(DriverCategory,MATCH($J111,DriverList,0)),"?"))</f>
        <v/>
      </c>
      <c r="L111" s="31" t="str">
        <f aca="false">IF($J111="","",IFERROR(INDEX(DriverRank,MATCH($J111,DriverList,0)),99))</f>
        <v/>
      </c>
      <c r="M111" s="22"/>
      <c r="N111" s="22"/>
      <c r="O111" s="19" t="str">
        <f aca="false">IF($D111="","",INDEX(GradeBasic,MATCH($D111,GradeList,0))+INDEX(GradeHousing,MATCH($D111,GradeList,0))+INDEX(GradeTransport,MATCH($D111,GradeList,0))+INDEX(GradeBasic,MATCH($D111,GradeList,0))*INDEX(GradeBonus,MATCH($D111,GradeList,0))+(INDEX(GradeBasic,MATCH($D111,GradeList,0))+INDEX(GradeHousing,MATCH($D111,GradeList,0)))*IF($F111="Saudi",GosiSaudi,GosiOther))</f>
        <v/>
      </c>
      <c r="P111" s="19" t="str">
        <f aca="false">IF($D111="","",IF(INDEX(GradeRank,MATCH($D111,GradeList,0))&gt;=INDEX(GradeRank,MATCH("G14",GradeList,0)),OneOffSenior,OneOffJunior))</f>
        <v/>
      </c>
      <c r="Q111" s="19" t="str">
        <f aca="false">IF(OR($D111="",$I111="",$H111=""),"",$O111*$H111*(5-MATCH($I111,{"Q1";"Q2";"Q3";"Q4"},0))/4+$P111*$H111)</f>
        <v/>
      </c>
      <c r="R111" s="19" t="str">
        <f aca="false">IF($O111="","",$O111*$H111)</f>
        <v/>
      </c>
      <c r="S111" s="32" t="str">
        <f aca="false">IF(COUNTA($B111:$J111)+COUNTA($M111:$N111)=0,"",MID(IF($B111="",", unit","")&amp;IF($C111="",", job title","")&amp;IF($D111="",", grade","")&amp;IF($E111="",", workforce type","")&amp;IF($F111="",", Saudi basis","")&amp;IF($G111="",", nature","")&amp;IF(N($H111)&lt;=0,", FTE","")&amp;IF($I111="",", start quarter","")&amp;IF($J111="",", driver","")&amp;IF($M111="",", alternatives",""),3,300))</f>
        <v/>
      </c>
      <c r="T111" s="17" t="str">
        <f aca="false">IF($S111="","",COUNTIF($S$6:$S111,"?*"))</f>
        <v/>
      </c>
    </row>
    <row r="112" customFormat="false" ht="15" hidden="false" customHeight="false" outlineLevel="0" collapsed="false">
      <c r="A112" s="17" t="n">
        <v>107</v>
      </c>
      <c r="B112" s="22"/>
      <c r="C112" s="22"/>
      <c r="D112" s="22"/>
      <c r="E112" s="22"/>
      <c r="F112" s="22"/>
      <c r="G112" s="22"/>
      <c r="H112" s="25"/>
      <c r="I112" s="22"/>
      <c r="J112" s="22"/>
      <c r="K112" s="31" t="str">
        <f aca="false">IF($J112="","",IFERROR(INDEX(DriverCategory,MATCH($J112,DriverList,0)),"?"))</f>
        <v/>
      </c>
      <c r="L112" s="31" t="str">
        <f aca="false">IF($J112="","",IFERROR(INDEX(DriverRank,MATCH($J112,DriverList,0)),99))</f>
        <v/>
      </c>
      <c r="M112" s="22"/>
      <c r="N112" s="22"/>
      <c r="O112" s="19" t="str">
        <f aca="false">IF($D112="","",INDEX(GradeBasic,MATCH($D112,GradeList,0))+INDEX(GradeHousing,MATCH($D112,GradeList,0))+INDEX(GradeTransport,MATCH($D112,GradeList,0))+INDEX(GradeBasic,MATCH($D112,GradeList,0))*INDEX(GradeBonus,MATCH($D112,GradeList,0))+(INDEX(GradeBasic,MATCH($D112,GradeList,0))+INDEX(GradeHousing,MATCH($D112,GradeList,0)))*IF($F112="Saudi",GosiSaudi,GosiOther))</f>
        <v/>
      </c>
      <c r="P112" s="19" t="str">
        <f aca="false">IF($D112="","",IF(INDEX(GradeRank,MATCH($D112,GradeList,0))&gt;=INDEX(GradeRank,MATCH("G14",GradeList,0)),OneOffSenior,OneOffJunior))</f>
        <v/>
      </c>
      <c r="Q112" s="19" t="str">
        <f aca="false">IF(OR($D112="",$I112="",$H112=""),"",$O112*$H112*(5-MATCH($I112,{"Q1";"Q2";"Q3";"Q4"},0))/4+$P112*$H112)</f>
        <v/>
      </c>
      <c r="R112" s="19" t="str">
        <f aca="false">IF($O112="","",$O112*$H112)</f>
        <v/>
      </c>
      <c r="S112" s="32" t="str">
        <f aca="false">IF(COUNTA($B112:$J112)+COUNTA($M112:$N112)=0,"",MID(IF($B112="",", unit","")&amp;IF($C112="",", job title","")&amp;IF($D112="",", grade","")&amp;IF($E112="",", workforce type","")&amp;IF($F112="",", Saudi basis","")&amp;IF($G112="",", nature","")&amp;IF(N($H112)&lt;=0,", FTE","")&amp;IF($I112="",", start quarter","")&amp;IF($J112="",", driver","")&amp;IF($M112="",", alternatives",""),3,300))</f>
        <v/>
      </c>
      <c r="T112" s="17" t="str">
        <f aca="false">IF($S112="","",COUNTIF($S$6:$S112,"?*"))</f>
        <v/>
      </c>
    </row>
    <row r="113" customFormat="false" ht="15" hidden="false" customHeight="false" outlineLevel="0" collapsed="false">
      <c r="A113" s="17" t="n">
        <v>108</v>
      </c>
      <c r="B113" s="22"/>
      <c r="C113" s="22"/>
      <c r="D113" s="22"/>
      <c r="E113" s="22"/>
      <c r="F113" s="22"/>
      <c r="G113" s="22"/>
      <c r="H113" s="25"/>
      <c r="I113" s="22"/>
      <c r="J113" s="22"/>
      <c r="K113" s="31" t="str">
        <f aca="false">IF($J113="","",IFERROR(INDEX(DriverCategory,MATCH($J113,DriverList,0)),"?"))</f>
        <v/>
      </c>
      <c r="L113" s="31" t="str">
        <f aca="false">IF($J113="","",IFERROR(INDEX(DriverRank,MATCH($J113,DriverList,0)),99))</f>
        <v/>
      </c>
      <c r="M113" s="22"/>
      <c r="N113" s="22"/>
      <c r="O113" s="19" t="str">
        <f aca="false">IF($D113="","",INDEX(GradeBasic,MATCH($D113,GradeList,0))+INDEX(GradeHousing,MATCH($D113,GradeList,0))+INDEX(GradeTransport,MATCH($D113,GradeList,0))+INDEX(GradeBasic,MATCH($D113,GradeList,0))*INDEX(GradeBonus,MATCH($D113,GradeList,0))+(INDEX(GradeBasic,MATCH($D113,GradeList,0))+INDEX(GradeHousing,MATCH($D113,GradeList,0)))*IF($F113="Saudi",GosiSaudi,GosiOther))</f>
        <v/>
      </c>
      <c r="P113" s="19" t="str">
        <f aca="false">IF($D113="","",IF(INDEX(GradeRank,MATCH($D113,GradeList,0))&gt;=INDEX(GradeRank,MATCH("G14",GradeList,0)),OneOffSenior,OneOffJunior))</f>
        <v/>
      </c>
      <c r="Q113" s="19" t="str">
        <f aca="false">IF(OR($D113="",$I113="",$H113=""),"",$O113*$H113*(5-MATCH($I113,{"Q1";"Q2";"Q3";"Q4"},0))/4+$P113*$H113)</f>
        <v/>
      </c>
      <c r="R113" s="19" t="str">
        <f aca="false">IF($O113="","",$O113*$H113)</f>
        <v/>
      </c>
      <c r="S113" s="32" t="str">
        <f aca="false">IF(COUNTA($B113:$J113)+COUNTA($M113:$N113)=0,"",MID(IF($B113="",", unit","")&amp;IF($C113="",", job title","")&amp;IF($D113="",", grade","")&amp;IF($E113="",", workforce type","")&amp;IF($F113="",", Saudi basis","")&amp;IF($G113="",", nature","")&amp;IF(N($H113)&lt;=0,", FTE","")&amp;IF($I113="",", start quarter","")&amp;IF($J113="",", driver","")&amp;IF($M113="",", alternatives",""),3,300))</f>
        <v/>
      </c>
      <c r="T113" s="17" t="str">
        <f aca="false">IF($S113="","",COUNTIF($S$6:$S113,"?*"))</f>
        <v/>
      </c>
    </row>
    <row r="114" customFormat="false" ht="15" hidden="false" customHeight="false" outlineLevel="0" collapsed="false">
      <c r="A114" s="17" t="n">
        <v>109</v>
      </c>
      <c r="B114" s="22"/>
      <c r="C114" s="22"/>
      <c r="D114" s="22"/>
      <c r="E114" s="22"/>
      <c r="F114" s="22"/>
      <c r="G114" s="22"/>
      <c r="H114" s="25"/>
      <c r="I114" s="22"/>
      <c r="J114" s="22"/>
      <c r="K114" s="31" t="str">
        <f aca="false">IF($J114="","",IFERROR(INDEX(DriverCategory,MATCH($J114,DriverList,0)),"?"))</f>
        <v/>
      </c>
      <c r="L114" s="31" t="str">
        <f aca="false">IF($J114="","",IFERROR(INDEX(DriverRank,MATCH($J114,DriverList,0)),99))</f>
        <v/>
      </c>
      <c r="M114" s="22"/>
      <c r="N114" s="22"/>
      <c r="O114" s="19" t="str">
        <f aca="false">IF($D114="","",INDEX(GradeBasic,MATCH($D114,GradeList,0))+INDEX(GradeHousing,MATCH($D114,GradeList,0))+INDEX(GradeTransport,MATCH($D114,GradeList,0))+INDEX(GradeBasic,MATCH($D114,GradeList,0))*INDEX(GradeBonus,MATCH($D114,GradeList,0))+(INDEX(GradeBasic,MATCH($D114,GradeList,0))+INDEX(GradeHousing,MATCH($D114,GradeList,0)))*IF($F114="Saudi",GosiSaudi,GosiOther))</f>
        <v/>
      </c>
      <c r="P114" s="19" t="str">
        <f aca="false">IF($D114="","",IF(INDEX(GradeRank,MATCH($D114,GradeList,0))&gt;=INDEX(GradeRank,MATCH("G14",GradeList,0)),OneOffSenior,OneOffJunior))</f>
        <v/>
      </c>
      <c r="Q114" s="19" t="str">
        <f aca="false">IF(OR($D114="",$I114="",$H114=""),"",$O114*$H114*(5-MATCH($I114,{"Q1";"Q2";"Q3";"Q4"},0))/4+$P114*$H114)</f>
        <v/>
      </c>
      <c r="R114" s="19" t="str">
        <f aca="false">IF($O114="","",$O114*$H114)</f>
        <v/>
      </c>
      <c r="S114" s="32" t="str">
        <f aca="false">IF(COUNTA($B114:$J114)+COUNTA($M114:$N114)=0,"",MID(IF($B114="",", unit","")&amp;IF($C114="",", job title","")&amp;IF($D114="",", grade","")&amp;IF($E114="",", workforce type","")&amp;IF($F114="",", Saudi basis","")&amp;IF($G114="",", nature","")&amp;IF(N($H114)&lt;=0,", FTE","")&amp;IF($I114="",", start quarter","")&amp;IF($J114="",", driver","")&amp;IF($M114="",", alternatives",""),3,300))</f>
        <v/>
      </c>
      <c r="T114" s="17" t="str">
        <f aca="false">IF($S114="","",COUNTIF($S$6:$S114,"?*"))</f>
        <v/>
      </c>
    </row>
    <row r="115" customFormat="false" ht="15" hidden="false" customHeight="false" outlineLevel="0" collapsed="false">
      <c r="A115" s="17" t="n">
        <v>110</v>
      </c>
      <c r="B115" s="22"/>
      <c r="C115" s="22"/>
      <c r="D115" s="22"/>
      <c r="E115" s="22"/>
      <c r="F115" s="22"/>
      <c r="G115" s="22"/>
      <c r="H115" s="25"/>
      <c r="I115" s="22"/>
      <c r="J115" s="22"/>
      <c r="K115" s="31" t="str">
        <f aca="false">IF($J115="","",IFERROR(INDEX(DriverCategory,MATCH($J115,DriverList,0)),"?"))</f>
        <v/>
      </c>
      <c r="L115" s="31" t="str">
        <f aca="false">IF($J115="","",IFERROR(INDEX(DriverRank,MATCH($J115,DriverList,0)),99))</f>
        <v/>
      </c>
      <c r="M115" s="22"/>
      <c r="N115" s="22"/>
      <c r="O115" s="19" t="str">
        <f aca="false">IF($D115="","",INDEX(GradeBasic,MATCH($D115,GradeList,0))+INDEX(GradeHousing,MATCH($D115,GradeList,0))+INDEX(GradeTransport,MATCH($D115,GradeList,0))+INDEX(GradeBasic,MATCH($D115,GradeList,0))*INDEX(GradeBonus,MATCH($D115,GradeList,0))+(INDEX(GradeBasic,MATCH($D115,GradeList,0))+INDEX(GradeHousing,MATCH($D115,GradeList,0)))*IF($F115="Saudi",GosiSaudi,GosiOther))</f>
        <v/>
      </c>
      <c r="P115" s="19" t="str">
        <f aca="false">IF($D115="","",IF(INDEX(GradeRank,MATCH($D115,GradeList,0))&gt;=INDEX(GradeRank,MATCH("G14",GradeList,0)),OneOffSenior,OneOffJunior))</f>
        <v/>
      </c>
      <c r="Q115" s="19" t="str">
        <f aca="false">IF(OR($D115="",$I115="",$H115=""),"",$O115*$H115*(5-MATCH($I115,{"Q1";"Q2";"Q3";"Q4"},0))/4+$P115*$H115)</f>
        <v/>
      </c>
      <c r="R115" s="19" t="str">
        <f aca="false">IF($O115="","",$O115*$H115)</f>
        <v/>
      </c>
      <c r="S115" s="32" t="str">
        <f aca="false">IF(COUNTA($B115:$J115)+COUNTA($M115:$N115)=0,"",MID(IF($B115="",", unit","")&amp;IF($C115="",", job title","")&amp;IF($D115="",", grade","")&amp;IF($E115="",", workforce type","")&amp;IF($F115="",", Saudi basis","")&amp;IF($G115="",", nature","")&amp;IF(N($H115)&lt;=0,", FTE","")&amp;IF($I115="",", start quarter","")&amp;IF($J115="",", driver","")&amp;IF($M115="",", alternatives",""),3,300))</f>
        <v/>
      </c>
      <c r="T115" s="17" t="str">
        <f aca="false">IF($S115="","",COUNTIF($S$6:$S115,"?*"))</f>
        <v/>
      </c>
    </row>
    <row r="116" customFormat="false" ht="15" hidden="false" customHeight="false" outlineLevel="0" collapsed="false">
      <c r="A116" s="17" t="n">
        <v>111</v>
      </c>
      <c r="B116" s="22"/>
      <c r="C116" s="22"/>
      <c r="D116" s="22"/>
      <c r="E116" s="22"/>
      <c r="F116" s="22"/>
      <c r="G116" s="22"/>
      <c r="H116" s="25"/>
      <c r="I116" s="22"/>
      <c r="J116" s="22"/>
      <c r="K116" s="31" t="str">
        <f aca="false">IF($J116="","",IFERROR(INDEX(DriverCategory,MATCH($J116,DriverList,0)),"?"))</f>
        <v/>
      </c>
      <c r="L116" s="31" t="str">
        <f aca="false">IF($J116="","",IFERROR(INDEX(DriverRank,MATCH($J116,DriverList,0)),99))</f>
        <v/>
      </c>
      <c r="M116" s="22"/>
      <c r="N116" s="22"/>
      <c r="O116" s="19" t="str">
        <f aca="false">IF($D116="","",INDEX(GradeBasic,MATCH($D116,GradeList,0))+INDEX(GradeHousing,MATCH($D116,GradeList,0))+INDEX(GradeTransport,MATCH($D116,GradeList,0))+INDEX(GradeBasic,MATCH($D116,GradeList,0))*INDEX(GradeBonus,MATCH($D116,GradeList,0))+(INDEX(GradeBasic,MATCH($D116,GradeList,0))+INDEX(GradeHousing,MATCH($D116,GradeList,0)))*IF($F116="Saudi",GosiSaudi,GosiOther))</f>
        <v/>
      </c>
      <c r="P116" s="19" t="str">
        <f aca="false">IF($D116="","",IF(INDEX(GradeRank,MATCH($D116,GradeList,0))&gt;=INDEX(GradeRank,MATCH("G14",GradeList,0)),OneOffSenior,OneOffJunior))</f>
        <v/>
      </c>
      <c r="Q116" s="19" t="str">
        <f aca="false">IF(OR($D116="",$I116="",$H116=""),"",$O116*$H116*(5-MATCH($I116,{"Q1";"Q2";"Q3";"Q4"},0))/4+$P116*$H116)</f>
        <v/>
      </c>
      <c r="R116" s="19" t="str">
        <f aca="false">IF($O116="","",$O116*$H116)</f>
        <v/>
      </c>
      <c r="S116" s="32" t="str">
        <f aca="false">IF(COUNTA($B116:$J116)+COUNTA($M116:$N116)=0,"",MID(IF($B116="",", unit","")&amp;IF($C116="",", job title","")&amp;IF($D116="",", grade","")&amp;IF($E116="",", workforce type","")&amp;IF($F116="",", Saudi basis","")&amp;IF($G116="",", nature","")&amp;IF(N($H116)&lt;=0,", FTE","")&amp;IF($I116="",", start quarter","")&amp;IF($J116="",", driver","")&amp;IF($M116="",", alternatives",""),3,300))</f>
        <v/>
      </c>
      <c r="T116" s="17" t="str">
        <f aca="false">IF($S116="","",COUNTIF($S$6:$S116,"?*"))</f>
        <v/>
      </c>
    </row>
    <row r="117" customFormat="false" ht="15" hidden="false" customHeight="false" outlineLevel="0" collapsed="false">
      <c r="A117" s="17" t="n">
        <v>112</v>
      </c>
      <c r="B117" s="22"/>
      <c r="C117" s="22"/>
      <c r="D117" s="22"/>
      <c r="E117" s="22"/>
      <c r="F117" s="22"/>
      <c r="G117" s="22"/>
      <c r="H117" s="25"/>
      <c r="I117" s="22"/>
      <c r="J117" s="22"/>
      <c r="K117" s="31" t="str">
        <f aca="false">IF($J117="","",IFERROR(INDEX(DriverCategory,MATCH($J117,DriverList,0)),"?"))</f>
        <v/>
      </c>
      <c r="L117" s="31" t="str">
        <f aca="false">IF($J117="","",IFERROR(INDEX(DriverRank,MATCH($J117,DriverList,0)),99))</f>
        <v/>
      </c>
      <c r="M117" s="22"/>
      <c r="N117" s="22"/>
      <c r="O117" s="19" t="str">
        <f aca="false">IF($D117="","",INDEX(GradeBasic,MATCH($D117,GradeList,0))+INDEX(GradeHousing,MATCH($D117,GradeList,0))+INDEX(GradeTransport,MATCH($D117,GradeList,0))+INDEX(GradeBasic,MATCH($D117,GradeList,0))*INDEX(GradeBonus,MATCH($D117,GradeList,0))+(INDEX(GradeBasic,MATCH($D117,GradeList,0))+INDEX(GradeHousing,MATCH($D117,GradeList,0)))*IF($F117="Saudi",GosiSaudi,GosiOther))</f>
        <v/>
      </c>
      <c r="P117" s="19" t="str">
        <f aca="false">IF($D117="","",IF(INDEX(GradeRank,MATCH($D117,GradeList,0))&gt;=INDEX(GradeRank,MATCH("G14",GradeList,0)),OneOffSenior,OneOffJunior))</f>
        <v/>
      </c>
      <c r="Q117" s="19" t="str">
        <f aca="false">IF(OR($D117="",$I117="",$H117=""),"",$O117*$H117*(5-MATCH($I117,{"Q1";"Q2";"Q3";"Q4"},0))/4+$P117*$H117)</f>
        <v/>
      </c>
      <c r="R117" s="19" t="str">
        <f aca="false">IF($O117="","",$O117*$H117)</f>
        <v/>
      </c>
      <c r="S117" s="32" t="str">
        <f aca="false">IF(COUNTA($B117:$J117)+COUNTA($M117:$N117)=0,"",MID(IF($B117="",", unit","")&amp;IF($C117="",", job title","")&amp;IF($D117="",", grade","")&amp;IF($E117="",", workforce type","")&amp;IF($F117="",", Saudi basis","")&amp;IF($G117="",", nature","")&amp;IF(N($H117)&lt;=0,", FTE","")&amp;IF($I117="",", start quarter","")&amp;IF($J117="",", driver","")&amp;IF($M117="",", alternatives",""),3,300))</f>
        <v/>
      </c>
      <c r="T117" s="17" t="str">
        <f aca="false">IF($S117="","",COUNTIF($S$6:$S117,"?*"))</f>
        <v/>
      </c>
    </row>
    <row r="118" customFormat="false" ht="15" hidden="false" customHeight="false" outlineLevel="0" collapsed="false">
      <c r="A118" s="17" t="n">
        <v>113</v>
      </c>
      <c r="B118" s="22"/>
      <c r="C118" s="22"/>
      <c r="D118" s="22"/>
      <c r="E118" s="22"/>
      <c r="F118" s="22"/>
      <c r="G118" s="22"/>
      <c r="H118" s="25"/>
      <c r="I118" s="22"/>
      <c r="J118" s="22"/>
      <c r="K118" s="31" t="str">
        <f aca="false">IF($J118="","",IFERROR(INDEX(DriverCategory,MATCH($J118,DriverList,0)),"?"))</f>
        <v/>
      </c>
      <c r="L118" s="31" t="str">
        <f aca="false">IF($J118="","",IFERROR(INDEX(DriverRank,MATCH($J118,DriverList,0)),99))</f>
        <v/>
      </c>
      <c r="M118" s="22"/>
      <c r="N118" s="22"/>
      <c r="O118" s="19" t="str">
        <f aca="false">IF($D118="","",INDEX(GradeBasic,MATCH($D118,GradeList,0))+INDEX(GradeHousing,MATCH($D118,GradeList,0))+INDEX(GradeTransport,MATCH($D118,GradeList,0))+INDEX(GradeBasic,MATCH($D118,GradeList,0))*INDEX(GradeBonus,MATCH($D118,GradeList,0))+(INDEX(GradeBasic,MATCH($D118,GradeList,0))+INDEX(GradeHousing,MATCH($D118,GradeList,0)))*IF($F118="Saudi",GosiSaudi,GosiOther))</f>
        <v/>
      </c>
      <c r="P118" s="19" t="str">
        <f aca="false">IF($D118="","",IF(INDEX(GradeRank,MATCH($D118,GradeList,0))&gt;=INDEX(GradeRank,MATCH("G14",GradeList,0)),OneOffSenior,OneOffJunior))</f>
        <v/>
      </c>
      <c r="Q118" s="19" t="str">
        <f aca="false">IF(OR($D118="",$I118="",$H118=""),"",$O118*$H118*(5-MATCH($I118,{"Q1";"Q2";"Q3";"Q4"},0))/4+$P118*$H118)</f>
        <v/>
      </c>
      <c r="R118" s="19" t="str">
        <f aca="false">IF($O118="","",$O118*$H118)</f>
        <v/>
      </c>
      <c r="S118" s="32" t="str">
        <f aca="false">IF(COUNTA($B118:$J118)+COUNTA($M118:$N118)=0,"",MID(IF($B118="",", unit","")&amp;IF($C118="",", job title","")&amp;IF($D118="",", grade","")&amp;IF($E118="",", workforce type","")&amp;IF($F118="",", Saudi basis","")&amp;IF($G118="",", nature","")&amp;IF(N($H118)&lt;=0,", FTE","")&amp;IF($I118="",", start quarter","")&amp;IF($J118="",", driver","")&amp;IF($M118="",", alternatives",""),3,300))</f>
        <v/>
      </c>
      <c r="T118" s="17" t="str">
        <f aca="false">IF($S118="","",COUNTIF($S$6:$S118,"?*"))</f>
        <v/>
      </c>
    </row>
    <row r="119" customFormat="false" ht="15" hidden="false" customHeight="false" outlineLevel="0" collapsed="false">
      <c r="A119" s="17" t="n">
        <v>114</v>
      </c>
      <c r="B119" s="22"/>
      <c r="C119" s="22"/>
      <c r="D119" s="22"/>
      <c r="E119" s="22"/>
      <c r="F119" s="22"/>
      <c r="G119" s="22"/>
      <c r="H119" s="25"/>
      <c r="I119" s="22"/>
      <c r="J119" s="22"/>
      <c r="K119" s="31" t="str">
        <f aca="false">IF($J119="","",IFERROR(INDEX(DriverCategory,MATCH($J119,DriverList,0)),"?"))</f>
        <v/>
      </c>
      <c r="L119" s="31" t="str">
        <f aca="false">IF($J119="","",IFERROR(INDEX(DriverRank,MATCH($J119,DriverList,0)),99))</f>
        <v/>
      </c>
      <c r="M119" s="22"/>
      <c r="N119" s="22"/>
      <c r="O119" s="19" t="str">
        <f aca="false">IF($D119="","",INDEX(GradeBasic,MATCH($D119,GradeList,0))+INDEX(GradeHousing,MATCH($D119,GradeList,0))+INDEX(GradeTransport,MATCH($D119,GradeList,0))+INDEX(GradeBasic,MATCH($D119,GradeList,0))*INDEX(GradeBonus,MATCH($D119,GradeList,0))+(INDEX(GradeBasic,MATCH($D119,GradeList,0))+INDEX(GradeHousing,MATCH($D119,GradeList,0)))*IF($F119="Saudi",GosiSaudi,GosiOther))</f>
        <v/>
      </c>
      <c r="P119" s="19" t="str">
        <f aca="false">IF($D119="","",IF(INDEX(GradeRank,MATCH($D119,GradeList,0))&gt;=INDEX(GradeRank,MATCH("G14",GradeList,0)),OneOffSenior,OneOffJunior))</f>
        <v/>
      </c>
      <c r="Q119" s="19" t="str">
        <f aca="false">IF(OR($D119="",$I119="",$H119=""),"",$O119*$H119*(5-MATCH($I119,{"Q1";"Q2";"Q3";"Q4"},0))/4+$P119*$H119)</f>
        <v/>
      </c>
      <c r="R119" s="19" t="str">
        <f aca="false">IF($O119="","",$O119*$H119)</f>
        <v/>
      </c>
      <c r="S119" s="32" t="str">
        <f aca="false">IF(COUNTA($B119:$J119)+COUNTA($M119:$N119)=0,"",MID(IF($B119="",", unit","")&amp;IF($C119="",", job title","")&amp;IF($D119="",", grade","")&amp;IF($E119="",", workforce type","")&amp;IF($F119="",", Saudi basis","")&amp;IF($G119="",", nature","")&amp;IF(N($H119)&lt;=0,", FTE","")&amp;IF($I119="",", start quarter","")&amp;IF($J119="",", driver","")&amp;IF($M119="",", alternatives",""),3,300))</f>
        <v/>
      </c>
      <c r="T119" s="17" t="str">
        <f aca="false">IF($S119="","",COUNTIF($S$6:$S119,"?*"))</f>
        <v/>
      </c>
    </row>
    <row r="120" customFormat="false" ht="15" hidden="false" customHeight="false" outlineLevel="0" collapsed="false">
      <c r="A120" s="17" t="n">
        <v>115</v>
      </c>
      <c r="B120" s="22"/>
      <c r="C120" s="22"/>
      <c r="D120" s="22"/>
      <c r="E120" s="22"/>
      <c r="F120" s="22"/>
      <c r="G120" s="22"/>
      <c r="H120" s="25"/>
      <c r="I120" s="22"/>
      <c r="J120" s="22"/>
      <c r="K120" s="31" t="str">
        <f aca="false">IF($J120="","",IFERROR(INDEX(DriverCategory,MATCH($J120,DriverList,0)),"?"))</f>
        <v/>
      </c>
      <c r="L120" s="31" t="str">
        <f aca="false">IF($J120="","",IFERROR(INDEX(DriverRank,MATCH($J120,DriverList,0)),99))</f>
        <v/>
      </c>
      <c r="M120" s="22"/>
      <c r="N120" s="22"/>
      <c r="O120" s="19" t="str">
        <f aca="false">IF($D120="","",INDEX(GradeBasic,MATCH($D120,GradeList,0))+INDEX(GradeHousing,MATCH($D120,GradeList,0))+INDEX(GradeTransport,MATCH($D120,GradeList,0))+INDEX(GradeBasic,MATCH($D120,GradeList,0))*INDEX(GradeBonus,MATCH($D120,GradeList,0))+(INDEX(GradeBasic,MATCH($D120,GradeList,0))+INDEX(GradeHousing,MATCH($D120,GradeList,0)))*IF($F120="Saudi",GosiSaudi,GosiOther))</f>
        <v/>
      </c>
      <c r="P120" s="19" t="str">
        <f aca="false">IF($D120="","",IF(INDEX(GradeRank,MATCH($D120,GradeList,0))&gt;=INDEX(GradeRank,MATCH("G14",GradeList,0)),OneOffSenior,OneOffJunior))</f>
        <v/>
      </c>
      <c r="Q120" s="19" t="str">
        <f aca="false">IF(OR($D120="",$I120="",$H120=""),"",$O120*$H120*(5-MATCH($I120,{"Q1";"Q2";"Q3";"Q4"},0))/4+$P120*$H120)</f>
        <v/>
      </c>
      <c r="R120" s="19" t="str">
        <f aca="false">IF($O120="","",$O120*$H120)</f>
        <v/>
      </c>
      <c r="S120" s="32" t="str">
        <f aca="false">IF(COUNTA($B120:$J120)+COUNTA($M120:$N120)=0,"",MID(IF($B120="",", unit","")&amp;IF($C120="",", job title","")&amp;IF($D120="",", grade","")&amp;IF($E120="",", workforce type","")&amp;IF($F120="",", Saudi basis","")&amp;IF($G120="",", nature","")&amp;IF(N($H120)&lt;=0,", FTE","")&amp;IF($I120="",", start quarter","")&amp;IF($J120="",", driver","")&amp;IF($M120="",", alternatives",""),3,300))</f>
        <v/>
      </c>
      <c r="T120" s="17" t="str">
        <f aca="false">IF($S120="","",COUNTIF($S$6:$S120,"?*"))</f>
        <v/>
      </c>
    </row>
    <row r="121" customFormat="false" ht="15" hidden="false" customHeight="false" outlineLevel="0" collapsed="false">
      <c r="A121" s="17" t="n">
        <v>116</v>
      </c>
      <c r="B121" s="22"/>
      <c r="C121" s="22"/>
      <c r="D121" s="22"/>
      <c r="E121" s="22"/>
      <c r="F121" s="22"/>
      <c r="G121" s="22"/>
      <c r="H121" s="25"/>
      <c r="I121" s="22"/>
      <c r="J121" s="22"/>
      <c r="K121" s="31" t="str">
        <f aca="false">IF($J121="","",IFERROR(INDEX(DriverCategory,MATCH($J121,DriverList,0)),"?"))</f>
        <v/>
      </c>
      <c r="L121" s="31" t="str">
        <f aca="false">IF($J121="","",IFERROR(INDEX(DriverRank,MATCH($J121,DriverList,0)),99))</f>
        <v/>
      </c>
      <c r="M121" s="22"/>
      <c r="N121" s="22"/>
      <c r="O121" s="19" t="str">
        <f aca="false">IF($D121="","",INDEX(GradeBasic,MATCH($D121,GradeList,0))+INDEX(GradeHousing,MATCH($D121,GradeList,0))+INDEX(GradeTransport,MATCH($D121,GradeList,0))+INDEX(GradeBasic,MATCH($D121,GradeList,0))*INDEX(GradeBonus,MATCH($D121,GradeList,0))+(INDEX(GradeBasic,MATCH($D121,GradeList,0))+INDEX(GradeHousing,MATCH($D121,GradeList,0)))*IF($F121="Saudi",GosiSaudi,GosiOther))</f>
        <v/>
      </c>
      <c r="P121" s="19" t="str">
        <f aca="false">IF($D121="","",IF(INDEX(GradeRank,MATCH($D121,GradeList,0))&gt;=INDEX(GradeRank,MATCH("G14",GradeList,0)),OneOffSenior,OneOffJunior))</f>
        <v/>
      </c>
      <c r="Q121" s="19" t="str">
        <f aca="false">IF(OR($D121="",$I121="",$H121=""),"",$O121*$H121*(5-MATCH($I121,{"Q1";"Q2";"Q3";"Q4"},0))/4+$P121*$H121)</f>
        <v/>
      </c>
      <c r="R121" s="19" t="str">
        <f aca="false">IF($O121="","",$O121*$H121)</f>
        <v/>
      </c>
      <c r="S121" s="32" t="str">
        <f aca="false">IF(COUNTA($B121:$J121)+COUNTA($M121:$N121)=0,"",MID(IF($B121="",", unit","")&amp;IF($C121="",", job title","")&amp;IF($D121="",", grade","")&amp;IF($E121="",", workforce type","")&amp;IF($F121="",", Saudi basis","")&amp;IF($G121="",", nature","")&amp;IF(N($H121)&lt;=0,", FTE","")&amp;IF($I121="",", start quarter","")&amp;IF($J121="",", driver","")&amp;IF($M121="",", alternatives",""),3,300))</f>
        <v/>
      </c>
      <c r="T121" s="17" t="str">
        <f aca="false">IF($S121="","",COUNTIF($S$6:$S121,"?*"))</f>
        <v/>
      </c>
    </row>
    <row r="122" customFormat="false" ht="15" hidden="false" customHeight="false" outlineLevel="0" collapsed="false">
      <c r="A122" s="17" t="n">
        <v>117</v>
      </c>
      <c r="B122" s="22"/>
      <c r="C122" s="22"/>
      <c r="D122" s="22"/>
      <c r="E122" s="22"/>
      <c r="F122" s="22"/>
      <c r="G122" s="22"/>
      <c r="H122" s="25"/>
      <c r="I122" s="22"/>
      <c r="J122" s="22"/>
      <c r="K122" s="31" t="str">
        <f aca="false">IF($J122="","",IFERROR(INDEX(DriverCategory,MATCH($J122,DriverList,0)),"?"))</f>
        <v/>
      </c>
      <c r="L122" s="31" t="str">
        <f aca="false">IF($J122="","",IFERROR(INDEX(DriverRank,MATCH($J122,DriverList,0)),99))</f>
        <v/>
      </c>
      <c r="M122" s="22"/>
      <c r="N122" s="22"/>
      <c r="O122" s="19" t="str">
        <f aca="false">IF($D122="","",INDEX(GradeBasic,MATCH($D122,GradeList,0))+INDEX(GradeHousing,MATCH($D122,GradeList,0))+INDEX(GradeTransport,MATCH($D122,GradeList,0))+INDEX(GradeBasic,MATCH($D122,GradeList,0))*INDEX(GradeBonus,MATCH($D122,GradeList,0))+(INDEX(GradeBasic,MATCH($D122,GradeList,0))+INDEX(GradeHousing,MATCH($D122,GradeList,0)))*IF($F122="Saudi",GosiSaudi,GosiOther))</f>
        <v/>
      </c>
      <c r="P122" s="19" t="str">
        <f aca="false">IF($D122="","",IF(INDEX(GradeRank,MATCH($D122,GradeList,0))&gt;=INDEX(GradeRank,MATCH("G14",GradeList,0)),OneOffSenior,OneOffJunior))</f>
        <v/>
      </c>
      <c r="Q122" s="19" t="str">
        <f aca="false">IF(OR($D122="",$I122="",$H122=""),"",$O122*$H122*(5-MATCH($I122,{"Q1";"Q2";"Q3";"Q4"},0))/4+$P122*$H122)</f>
        <v/>
      </c>
      <c r="R122" s="19" t="str">
        <f aca="false">IF($O122="","",$O122*$H122)</f>
        <v/>
      </c>
      <c r="S122" s="32" t="str">
        <f aca="false">IF(COUNTA($B122:$J122)+COUNTA($M122:$N122)=0,"",MID(IF($B122="",", unit","")&amp;IF($C122="",", job title","")&amp;IF($D122="",", grade","")&amp;IF($E122="",", workforce type","")&amp;IF($F122="",", Saudi basis","")&amp;IF($G122="",", nature","")&amp;IF(N($H122)&lt;=0,", FTE","")&amp;IF($I122="",", start quarter","")&amp;IF($J122="",", driver","")&amp;IF($M122="",", alternatives",""),3,300))</f>
        <v/>
      </c>
      <c r="T122" s="17" t="str">
        <f aca="false">IF($S122="","",COUNTIF($S$6:$S122,"?*"))</f>
        <v/>
      </c>
    </row>
    <row r="123" customFormat="false" ht="15" hidden="false" customHeight="false" outlineLevel="0" collapsed="false">
      <c r="A123" s="17" t="n">
        <v>118</v>
      </c>
      <c r="B123" s="22"/>
      <c r="C123" s="22"/>
      <c r="D123" s="22"/>
      <c r="E123" s="22"/>
      <c r="F123" s="22"/>
      <c r="G123" s="22"/>
      <c r="H123" s="25"/>
      <c r="I123" s="22"/>
      <c r="J123" s="22"/>
      <c r="K123" s="31" t="str">
        <f aca="false">IF($J123="","",IFERROR(INDEX(DriverCategory,MATCH($J123,DriverList,0)),"?"))</f>
        <v/>
      </c>
      <c r="L123" s="31" t="str">
        <f aca="false">IF($J123="","",IFERROR(INDEX(DriverRank,MATCH($J123,DriverList,0)),99))</f>
        <v/>
      </c>
      <c r="M123" s="22"/>
      <c r="N123" s="22"/>
      <c r="O123" s="19" t="str">
        <f aca="false">IF($D123="","",INDEX(GradeBasic,MATCH($D123,GradeList,0))+INDEX(GradeHousing,MATCH($D123,GradeList,0))+INDEX(GradeTransport,MATCH($D123,GradeList,0))+INDEX(GradeBasic,MATCH($D123,GradeList,0))*INDEX(GradeBonus,MATCH($D123,GradeList,0))+(INDEX(GradeBasic,MATCH($D123,GradeList,0))+INDEX(GradeHousing,MATCH($D123,GradeList,0)))*IF($F123="Saudi",GosiSaudi,GosiOther))</f>
        <v/>
      </c>
      <c r="P123" s="19" t="str">
        <f aca="false">IF($D123="","",IF(INDEX(GradeRank,MATCH($D123,GradeList,0))&gt;=INDEX(GradeRank,MATCH("G14",GradeList,0)),OneOffSenior,OneOffJunior))</f>
        <v/>
      </c>
      <c r="Q123" s="19" t="str">
        <f aca="false">IF(OR($D123="",$I123="",$H123=""),"",$O123*$H123*(5-MATCH($I123,{"Q1";"Q2";"Q3";"Q4"},0))/4+$P123*$H123)</f>
        <v/>
      </c>
      <c r="R123" s="19" t="str">
        <f aca="false">IF($O123="","",$O123*$H123)</f>
        <v/>
      </c>
      <c r="S123" s="32" t="str">
        <f aca="false">IF(COUNTA($B123:$J123)+COUNTA($M123:$N123)=0,"",MID(IF($B123="",", unit","")&amp;IF($C123="",", job title","")&amp;IF($D123="",", grade","")&amp;IF($E123="",", workforce type","")&amp;IF($F123="",", Saudi basis","")&amp;IF($G123="",", nature","")&amp;IF(N($H123)&lt;=0,", FTE","")&amp;IF($I123="",", start quarter","")&amp;IF($J123="",", driver","")&amp;IF($M123="",", alternatives",""),3,300))</f>
        <v/>
      </c>
      <c r="T123" s="17" t="str">
        <f aca="false">IF($S123="","",COUNTIF($S$6:$S123,"?*"))</f>
        <v/>
      </c>
    </row>
    <row r="124" customFormat="false" ht="15" hidden="false" customHeight="false" outlineLevel="0" collapsed="false">
      <c r="A124" s="17" t="n">
        <v>119</v>
      </c>
      <c r="B124" s="22"/>
      <c r="C124" s="22"/>
      <c r="D124" s="22"/>
      <c r="E124" s="22"/>
      <c r="F124" s="22"/>
      <c r="G124" s="22"/>
      <c r="H124" s="25"/>
      <c r="I124" s="22"/>
      <c r="J124" s="22"/>
      <c r="K124" s="31" t="str">
        <f aca="false">IF($J124="","",IFERROR(INDEX(DriverCategory,MATCH($J124,DriverList,0)),"?"))</f>
        <v/>
      </c>
      <c r="L124" s="31" t="str">
        <f aca="false">IF($J124="","",IFERROR(INDEX(DriverRank,MATCH($J124,DriverList,0)),99))</f>
        <v/>
      </c>
      <c r="M124" s="22"/>
      <c r="N124" s="22"/>
      <c r="O124" s="19" t="str">
        <f aca="false">IF($D124="","",INDEX(GradeBasic,MATCH($D124,GradeList,0))+INDEX(GradeHousing,MATCH($D124,GradeList,0))+INDEX(GradeTransport,MATCH($D124,GradeList,0))+INDEX(GradeBasic,MATCH($D124,GradeList,0))*INDEX(GradeBonus,MATCH($D124,GradeList,0))+(INDEX(GradeBasic,MATCH($D124,GradeList,0))+INDEX(GradeHousing,MATCH($D124,GradeList,0)))*IF($F124="Saudi",GosiSaudi,GosiOther))</f>
        <v/>
      </c>
      <c r="P124" s="19" t="str">
        <f aca="false">IF($D124="","",IF(INDEX(GradeRank,MATCH($D124,GradeList,0))&gt;=INDEX(GradeRank,MATCH("G14",GradeList,0)),OneOffSenior,OneOffJunior))</f>
        <v/>
      </c>
      <c r="Q124" s="19" t="str">
        <f aca="false">IF(OR($D124="",$I124="",$H124=""),"",$O124*$H124*(5-MATCH($I124,{"Q1";"Q2";"Q3";"Q4"},0))/4+$P124*$H124)</f>
        <v/>
      </c>
      <c r="R124" s="19" t="str">
        <f aca="false">IF($O124="","",$O124*$H124)</f>
        <v/>
      </c>
      <c r="S124" s="32" t="str">
        <f aca="false">IF(COUNTA($B124:$J124)+COUNTA($M124:$N124)=0,"",MID(IF($B124="",", unit","")&amp;IF($C124="",", job title","")&amp;IF($D124="",", grade","")&amp;IF($E124="",", workforce type","")&amp;IF($F124="",", Saudi basis","")&amp;IF($G124="",", nature","")&amp;IF(N($H124)&lt;=0,", FTE","")&amp;IF($I124="",", start quarter","")&amp;IF($J124="",", driver","")&amp;IF($M124="",", alternatives",""),3,300))</f>
        <v/>
      </c>
      <c r="T124" s="17" t="str">
        <f aca="false">IF($S124="","",COUNTIF($S$6:$S124,"?*"))</f>
        <v/>
      </c>
    </row>
    <row r="125" customFormat="false" ht="15" hidden="false" customHeight="false" outlineLevel="0" collapsed="false">
      <c r="A125" s="17" t="n">
        <v>120</v>
      </c>
      <c r="B125" s="22"/>
      <c r="C125" s="22"/>
      <c r="D125" s="22"/>
      <c r="E125" s="22"/>
      <c r="F125" s="22"/>
      <c r="G125" s="22"/>
      <c r="H125" s="25"/>
      <c r="I125" s="22"/>
      <c r="J125" s="22"/>
      <c r="K125" s="31" t="str">
        <f aca="false">IF($J125="","",IFERROR(INDEX(DriverCategory,MATCH($J125,DriverList,0)),"?"))</f>
        <v/>
      </c>
      <c r="L125" s="31" t="str">
        <f aca="false">IF($J125="","",IFERROR(INDEX(DriverRank,MATCH($J125,DriverList,0)),99))</f>
        <v/>
      </c>
      <c r="M125" s="22"/>
      <c r="N125" s="22"/>
      <c r="O125" s="19" t="str">
        <f aca="false">IF($D125="","",INDEX(GradeBasic,MATCH($D125,GradeList,0))+INDEX(GradeHousing,MATCH($D125,GradeList,0))+INDEX(GradeTransport,MATCH($D125,GradeList,0))+INDEX(GradeBasic,MATCH($D125,GradeList,0))*INDEX(GradeBonus,MATCH($D125,GradeList,0))+(INDEX(GradeBasic,MATCH($D125,GradeList,0))+INDEX(GradeHousing,MATCH($D125,GradeList,0)))*IF($F125="Saudi",GosiSaudi,GosiOther))</f>
        <v/>
      </c>
      <c r="P125" s="19" t="str">
        <f aca="false">IF($D125="","",IF(INDEX(GradeRank,MATCH($D125,GradeList,0))&gt;=INDEX(GradeRank,MATCH("G14",GradeList,0)),OneOffSenior,OneOffJunior))</f>
        <v/>
      </c>
      <c r="Q125" s="19" t="str">
        <f aca="false">IF(OR($D125="",$I125="",$H125=""),"",$O125*$H125*(5-MATCH($I125,{"Q1";"Q2";"Q3";"Q4"},0))/4+$P125*$H125)</f>
        <v/>
      </c>
      <c r="R125" s="19" t="str">
        <f aca="false">IF($O125="","",$O125*$H125)</f>
        <v/>
      </c>
      <c r="S125" s="32" t="str">
        <f aca="false">IF(COUNTA($B125:$J125)+COUNTA($M125:$N125)=0,"",MID(IF($B125="",", unit","")&amp;IF($C125="",", job title","")&amp;IF($D125="",", grade","")&amp;IF($E125="",", workforce type","")&amp;IF($F125="",", Saudi basis","")&amp;IF($G125="",", nature","")&amp;IF(N($H125)&lt;=0,", FTE","")&amp;IF($I125="",", start quarter","")&amp;IF($J125="",", driver","")&amp;IF($M125="",", alternatives",""),3,300))</f>
        <v/>
      </c>
      <c r="T125" s="17" t="str">
        <f aca="false">IF($S125="","",COUNTIF($S$6:$S125,"?*"))</f>
        <v/>
      </c>
    </row>
    <row r="126" customFormat="false" ht="15" hidden="false" customHeight="false" outlineLevel="0" collapsed="false">
      <c r="A126" s="17" t="n">
        <v>121</v>
      </c>
      <c r="B126" s="22"/>
      <c r="C126" s="22"/>
      <c r="D126" s="22"/>
      <c r="E126" s="22"/>
      <c r="F126" s="22"/>
      <c r="G126" s="22"/>
      <c r="H126" s="25"/>
      <c r="I126" s="22"/>
      <c r="J126" s="22"/>
      <c r="K126" s="31" t="str">
        <f aca="false">IF($J126="","",IFERROR(INDEX(DriverCategory,MATCH($J126,DriverList,0)),"?"))</f>
        <v/>
      </c>
      <c r="L126" s="31" t="str">
        <f aca="false">IF($J126="","",IFERROR(INDEX(DriverRank,MATCH($J126,DriverList,0)),99))</f>
        <v/>
      </c>
      <c r="M126" s="22"/>
      <c r="N126" s="22"/>
      <c r="O126" s="19" t="str">
        <f aca="false">IF($D126="","",INDEX(GradeBasic,MATCH($D126,GradeList,0))+INDEX(GradeHousing,MATCH($D126,GradeList,0))+INDEX(GradeTransport,MATCH($D126,GradeList,0))+INDEX(GradeBasic,MATCH($D126,GradeList,0))*INDEX(GradeBonus,MATCH($D126,GradeList,0))+(INDEX(GradeBasic,MATCH($D126,GradeList,0))+INDEX(GradeHousing,MATCH($D126,GradeList,0)))*IF($F126="Saudi",GosiSaudi,GosiOther))</f>
        <v/>
      </c>
      <c r="P126" s="19" t="str">
        <f aca="false">IF($D126="","",IF(INDEX(GradeRank,MATCH($D126,GradeList,0))&gt;=INDEX(GradeRank,MATCH("G14",GradeList,0)),OneOffSenior,OneOffJunior))</f>
        <v/>
      </c>
      <c r="Q126" s="19" t="str">
        <f aca="false">IF(OR($D126="",$I126="",$H126=""),"",$O126*$H126*(5-MATCH($I126,{"Q1";"Q2";"Q3";"Q4"},0))/4+$P126*$H126)</f>
        <v/>
      </c>
      <c r="R126" s="19" t="str">
        <f aca="false">IF($O126="","",$O126*$H126)</f>
        <v/>
      </c>
      <c r="S126" s="32" t="str">
        <f aca="false">IF(COUNTA($B126:$J126)+COUNTA($M126:$N126)=0,"",MID(IF($B126="",", unit","")&amp;IF($C126="",", job title","")&amp;IF($D126="",", grade","")&amp;IF($E126="",", workforce type","")&amp;IF($F126="",", Saudi basis","")&amp;IF($G126="",", nature","")&amp;IF(N($H126)&lt;=0,", FTE","")&amp;IF($I126="",", start quarter","")&amp;IF($J126="",", driver","")&amp;IF($M126="",", alternatives",""),3,300))</f>
        <v/>
      </c>
      <c r="T126" s="17" t="str">
        <f aca="false">IF($S126="","",COUNTIF($S$6:$S126,"?*"))</f>
        <v/>
      </c>
    </row>
    <row r="127" customFormat="false" ht="15" hidden="false" customHeight="false" outlineLevel="0" collapsed="false">
      <c r="A127" s="17" t="n">
        <v>122</v>
      </c>
      <c r="B127" s="22"/>
      <c r="C127" s="22"/>
      <c r="D127" s="22"/>
      <c r="E127" s="22"/>
      <c r="F127" s="22"/>
      <c r="G127" s="22"/>
      <c r="H127" s="25"/>
      <c r="I127" s="22"/>
      <c r="J127" s="22"/>
      <c r="K127" s="31" t="str">
        <f aca="false">IF($J127="","",IFERROR(INDEX(DriverCategory,MATCH($J127,DriverList,0)),"?"))</f>
        <v/>
      </c>
      <c r="L127" s="31" t="str">
        <f aca="false">IF($J127="","",IFERROR(INDEX(DriverRank,MATCH($J127,DriverList,0)),99))</f>
        <v/>
      </c>
      <c r="M127" s="22"/>
      <c r="N127" s="22"/>
      <c r="O127" s="19" t="str">
        <f aca="false">IF($D127="","",INDEX(GradeBasic,MATCH($D127,GradeList,0))+INDEX(GradeHousing,MATCH($D127,GradeList,0))+INDEX(GradeTransport,MATCH($D127,GradeList,0))+INDEX(GradeBasic,MATCH($D127,GradeList,0))*INDEX(GradeBonus,MATCH($D127,GradeList,0))+(INDEX(GradeBasic,MATCH($D127,GradeList,0))+INDEX(GradeHousing,MATCH($D127,GradeList,0)))*IF($F127="Saudi",GosiSaudi,GosiOther))</f>
        <v/>
      </c>
      <c r="P127" s="19" t="str">
        <f aca="false">IF($D127="","",IF(INDEX(GradeRank,MATCH($D127,GradeList,0))&gt;=INDEX(GradeRank,MATCH("G14",GradeList,0)),OneOffSenior,OneOffJunior))</f>
        <v/>
      </c>
      <c r="Q127" s="19" t="str">
        <f aca="false">IF(OR($D127="",$I127="",$H127=""),"",$O127*$H127*(5-MATCH($I127,{"Q1";"Q2";"Q3";"Q4"},0))/4+$P127*$H127)</f>
        <v/>
      </c>
      <c r="R127" s="19" t="str">
        <f aca="false">IF($O127="","",$O127*$H127)</f>
        <v/>
      </c>
      <c r="S127" s="32" t="str">
        <f aca="false">IF(COUNTA($B127:$J127)+COUNTA($M127:$N127)=0,"",MID(IF($B127="",", unit","")&amp;IF($C127="",", job title","")&amp;IF($D127="",", grade","")&amp;IF($E127="",", workforce type","")&amp;IF($F127="",", Saudi basis","")&amp;IF($G127="",", nature","")&amp;IF(N($H127)&lt;=0,", FTE","")&amp;IF($I127="",", start quarter","")&amp;IF($J127="",", driver","")&amp;IF($M127="",", alternatives",""),3,300))</f>
        <v/>
      </c>
      <c r="T127" s="17" t="str">
        <f aca="false">IF($S127="","",COUNTIF($S$6:$S127,"?*"))</f>
        <v/>
      </c>
    </row>
    <row r="128" customFormat="false" ht="15" hidden="false" customHeight="false" outlineLevel="0" collapsed="false">
      <c r="A128" s="17" t="n">
        <v>123</v>
      </c>
      <c r="B128" s="22"/>
      <c r="C128" s="22"/>
      <c r="D128" s="22"/>
      <c r="E128" s="22"/>
      <c r="F128" s="22"/>
      <c r="G128" s="22"/>
      <c r="H128" s="25"/>
      <c r="I128" s="22"/>
      <c r="J128" s="22"/>
      <c r="K128" s="31" t="str">
        <f aca="false">IF($J128="","",IFERROR(INDEX(DriverCategory,MATCH($J128,DriverList,0)),"?"))</f>
        <v/>
      </c>
      <c r="L128" s="31" t="str">
        <f aca="false">IF($J128="","",IFERROR(INDEX(DriverRank,MATCH($J128,DriverList,0)),99))</f>
        <v/>
      </c>
      <c r="M128" s="22"/>
      <c r="N128" s="22"/>
      <c r="O128" s="19" t="str">
        <f aca="false">IF($D128="","",INDEX(GradeBasic,MATCH($D128,GradeList,0))+INDEX(GradeHousing,MATCH($D128,GradeList,0))+INDEX(GradeTransport,MATCH($D128,GradeList,0))+INDEX(GradeBasic,MATCH($D128,GradeList,0))*INDEX(GradeBonus,MATCH($D128,GradeList,0))+(INDEX(GradeBasic,MATCH($D128,GradeList,0))+INDEX(GradeHousing,MATCH($D128,GradeList,0)))*IF($F128="Saudi",GosiSaudi,GosiOther))</f>
        <v/>
      </c>
      <c r="P128" s="19" t="str">
        <f aca="false">IF($D128="","",IF(INDEX(GradeRank,MATCH($D128,GradeList,0))&gt;=INDEX(GradeRank,MATCH("G14",GradeList,0)),OneOffSenior,OneOffJunior))</f>
        <v/>
      </c>
      <c r="Q128" s="19" t="str">
        <f aca="false">IF(OR($D128="",$I128="",$H128=""),"",$O128*$H128*(5-MATCH($I128,{"Q1";"Q2";"Q3";"Q4"},0))/4+$P128*$H128)</f>
        <v/>
      </c>
      <c r="R128" s="19" t="str">
        <f aca="false">IF($O128="","",$O128*$H128)</f>
        <v/>
      </c>
      <c r="S128" s="32" t="str">
        <f aca="false">IF(COUNTA($B128:$J128)+COUNTA($M128:$N128)=0,"",MID(IF($B128="",", unit","")&amp;IF($C128="",", job title","")&amp;IF($D128="",", grade","")&amp;IF($E128="",", workforce type","")&amp;IF($F128="",", Saudi basis","")&amp;IF($G128="",", nature","")&amp;IF(N($H128)&lt;=0,", FTE","")&amp;IF($I128="",", start quarter","")&amp;IF($J128="",", driver","")&amp;IF($M128="",", alternatives",""),3,300))</f>
        <v/>
      </c>
      <c r="T128" s="17" t="str">
        <f aca="false">IF($S128="","",COUNTIF($S$6:$S128,"?*"))</f>
        <v/>
      </c>
    </row>
    <row r="129" customFormat="false" ht="15" hidden="false" customHeight="false" outlineLevel="0" collapsed="false">
      <c r="A129" s="17" t="n">
        <v>124</v>
      </c>
      <c r="B129" s="22"/>
      <c r="C129" s="22"/>
      <c r="D129" s="22"/>
      <c r="E129" s="22"/>
      <c r="F129" s="22"/>
      <c r="G129" s="22"/>
      <c r="H129" s="25"/>
      <c r="I129" s="22"/>
      <c r="J129" s="22"/>
      <c r="K129" s="31" t="str">
        <f aca="false">IF($J129="","",IFERROR(INDEX(DriverCategory,MATCH($J129,DriverList,0)),"?"))</f>
        <v/>
      </c>
      <c r="L129" s="31" t="str">
        <f aca="false">IF($J129="","",IFERROR(INDEX(DriverRank,MATCH($J129,DriverList,0)),99))</f>
        <v/>
      </c>
      <c r="M129" s="22"/>
      <c r="N129" s="22"/>
      <c r="O129" s="19" t="str">
        <f aca="false">IF($D129="","",INDEX(GradeBasic,MATCH($D129,GradeList,0))+INDEX(GradeHousing,MATCH($D129,GradeList,0))+INDEX(GradeTransport,MATCH($D129,GradeList,0))+INDEX(GradeBasic,MATCH($D129,GradeList,0))*INDEX(GradeBonus,MATCH($D129,GradeList,0))+(INDEX(GradeBasic,MATCH($D129,GradeList,0))+INDEX(GradeHousing,MATCH($D129,GradeList,0)))*IF($F129="Saudi",GosiSaudi,GosiOther))</f>
        <v/>
      </c>
      <c r="P129" s="19" t="str">
        <f aca="false">IF($D129="","",IF(INDEX(GradeRank,MATCH($D129,GradeList,0))&gt;=INDEX(GradeRank,MATCH("G14",GradeList,0)),OneOffSenior,OneOffJunior))</f>
        <v/>
      </c>
      <c r="Q129" s="19" t="str">
        <f aca="false">IF(OR($D129="",$I129="",$H129=""),"",$O129*$H129*(5-MATCH($I129,{"Q1";"Q2";"Q3";"Q4"},0))/4+$P129*$H129)</f>
        <v/>
      </c>
      <c r="R129" s="19" t="str">
        <f aca="false">IF($O129="","",$O129*$H129)</f>
        <v/>
      </c>
      <c r="S129" s="32" t="str">
        <f aca="false">IF(COUNTA($B129:$J129)+COUNTA($M129:$N129)=0,"",MID(IF($B129="",", unit","")&amp;IF($C129="",", job title","")&amp;IF($D129="",", grade","")&amp;IF($E129="",", workforce type","")&amp;IF($F129="",", Saudi basis","")&amp;IF($G129="",", nature","")&amp;IF(N($H129)&lt;=0,", FTE","")&amp;IF($I129="",", start quarter","")&amp;IF($J129="",", driver","")&amp;IF($M129="",", alternatives",""),3,300))</f>
        <v/>
      </c>
      <c r="T129" s="17" t="str">
        <f aca="false">IF($S129="","",COUNTIF($S$6:$S129,"?*"))</f>
        <v/>
      </c>
    </row>
    <row r="130" customFormat="false" ht="15" hidden="false" customHeight="false" outlineLevel="0" collapsed="false">
      <c r="A130" s="17" t="n">
        <v>125</v>
      </c>
      <c r="B130" s="22"/>
      <c r="C130" s="22"/>
      <c r="D130" s="22"/>
      <c r="E130" s="22"/>
      <c r="F130" s="22"/>
      <c r="G130" s="22"/>
      <c r="H130" s="25"/>
      <c r="I130" s="22"/>
      <c r="J130" s="22"/>
      <c r="K130" s="31" t="str">
        <f aca="false">IF($J130="","",IFERROR(INDEX(DriverCategory,MATCH($J130,DriverList,0)),"?"))</f>
        <v/>
      </c>
      <c r="L130" s="31" t="str">
        <f aca="false">IF($J130="","",IFERROR(INDEX(DriverRank,MATCH($J130,DriverList,0)),99))</f>
        <v/>
      </c>
      <c r="M130" s="22"/>
      <c r="N130" s="22"/>
      <c r="O130" s="19" t="str">
        <f aca="false">IF($D130="","",INDEX(GradeBasic,MATCH($D130,GradeList,0))+INDEX(GradeHousing,MATCH($D130,GradeList,0))+INDEX(GradeTransport,MATCH($D130,GradeList,0))+INDEX(GradeBasic,MATCH($D130,GradeList,0))*INDEX(GradeBonus,MATCH($D130,GradeList,0))+(INDEX(GradeBasic,MATCH($D130,GradeList,0))+INDEX(GradeHousing,MATCH($D130,GradeList,0)))*IF($F130="Saudi",GosiSaudi,GosiOther))</f>
        <v/>
      </c>
      <c r="P130" s="19" t="str">
        <f aca="false">IF($D130="","",IF(INDEX(GradeRank,MATCH($D130,GradeList,0))&gt;=INDEX(GradeRank,MATCH("G14",GradeList,0)),OneOffSenior,OneOffJunior))</f>
        <v/>
      </c>
      <c r="Q130" s="19" t="str">
        <f aca="false">IF(OR($D130="",$I130="",$H130=""),"",$O130*$H130*(5-MATCH($I130,{"Q1";"Q2";"Q3";"Q4"},0))/4+$P130*$H130)</f>
        <v/>
      </c>
      <c r="R130" s="19" t="str">
        <f aca="false">IF($O130="","",$O130*$H130)</f>
        <v/>
      </c>
      <c r="S130" s="32" t="str">
        <f aca="false">IF(COUNTA($B130:$J130)+COUNTA($M130:$N130)=0,"",MID(IF($B130="",", unit","")&amp;IF($C130="",", job title","")&amp;IF($D130="",", grade","")&amp;IF($E130="",", workforce type","")&amp;IF($F130="",", Saudi basis","")&amp;IF($G130="",", nature","")&amp;IF(N($H130)&lt;=0,", FTE","")&amp;IF($I130="",", start quarter","")&amp;IF($J130="",", driver","")&amp;IF($M130="",", alternatives",""),3,300))</f>
        <v/>
      </c>
      <c r="T130" s="17" t="str">
        <f aca="false">IF($S130="","",COUNTIF($S$6:$S130,"?*"))</f>
        <v/>
      </c>
    </row>
    <row r="131" customFormat="false" ht="15" hidden="false" customHeight="false" outlineLevel="0" collapsed="false">
      <c r="A131" s="17" t="n">
        <v>126</v>
      </c>
      <c r="B131" s="22"/>
      <c r="C131" s="22"/>
      <c r="D131" s="22"/>
      <c r="E131" s="22"/>
      <c r="F131" s="22"/>
      <c r="G131" s="22"/>
      <c r="H131" s="25"/>
      <c r="I131" s="22"/>
      <c r="J131" s="22"/>
      <c r="K131" s="31" t="str">
        <f aca="false">IF($J131="","",IFERROR(INDEX(DriverCategory,MATCH($J131,DriverList,0)),"?"))</f>
        <v/>
      </c>
      <c r="L131" s="31" t="str">
        <f aca="false">IF($J131="","",IFERROR(INDEX(DriverRank,MATCH($J131,DriverList,0)),99))</f>
        <v/>
      </c>
      <c r="M131" s="22"/>
      <c r="N131" s="22"/>
      <c r="O131" s="19" t="str">
        <f aca="false">IF($D131="","",INDEX(GradeBasic,MATCH($D131,GradeList,0))+INDEX(GradeHousing,MATCH($D131,GradeList,0))+INDEX(GradeTransport,MATCH($D131,GradeList,0))+INDEX(GradeBasic,MATCH($D131,GradeList,0))*INDEX(GradeBonus,MATCH($D131,GradeList,0))+(INDEX(GradeBasic,MATCH($D131,GradeList,0))+INDEX(GradeHousing,MATCH($D131,GradeList,0)))*IF($F131="Saudi",GosiSaudi,GosiOther))</f>
        <v/>
      </c>
      <c r="P131" s="19" t="str">
        <f aca="false">IF($D131="","",IF(INDEX(GradeRank,MATCH($D131,GradeList,0))&gt;=INDEX(GradeRank,MATCH("G14",GradeList,0)),OneOffSenior,OneOffJunior))</f>
        <v/>
      </c>
      <c r="Q131" s="19" t="str">
        <f aca="false">IF(OR($D131="",$I131="",$H131=""),"",$O131*$H131*(5-MATCH($I131,{"Q1";"Q2";"Q3";"Q4"},0))/4+$P131*$H131)</f>
        <v/>
      </c>
      <c r="R131" s="19" t="str">
        <f aca="false">IF($O131="","",$O131*$H131)</f>
        <v/>
      </c>
      <c r="S131" s="32" t="str">
        <f aca="false">IF(COUNTA($B131:$J131)+COUNTA($M131:$N131)=0,"",MID(IF($B131="",", unit","")&amp;IF($C131="",", job title","")&amp;IF($D131="",", grade","")&amp;IF($E131="",", workforce type","")&amp;IF($F131="",", Saudi basis","")&amp;IF($G131="",", nature","")&amp;IF(N($H131)&lt;=0,", FTE","")&amp;IF($I131="",", start quarter","")&amp;IF($J131="",", driver","")&amp;IF($M131="",", alternatives",""),3,300))</f>
        <v/>
      </c>
      <c r="T131" s="17" t="str">
        <f aca="false">IF($S131="","",COUNTIF($S$6:$S131,"?*"))</f>
        <v/>
      </c>
    </row>
    <row r="132" customFormat="false" ht="15" hidden="false" customHeight="false" outlineLevel="0" collapsed="false">
      <c r="A132" s="17" t="n">
        <v>127</v>
      </c>
      <c r="B132" s="22"/>
      <c r="C132" s="22"/>
      <c r="D132" s="22"/>
      <c r="E132" s="22"/>
      <c r="F132" s="22"/>
      <c r="G132" s="22"/>
      <c r="H132" s="25"/>
      <c r="I132" s="22"/>
      <c r="J132" s="22"/>
      <c r="K132" s="31" t="str">
        <f aca="false">IF($J132="","",IFERROR(INDEX(DriverCategory,MATCH($J132,DriverList,0)),"?"))</f>
        <v/>
      </c>
      <c r="L132" s="31" t="str">
        <f aca="false">IF($J132="","",IFERROR(INDEX(DriverRank,MATCH($J132,DriverList,0)),99))</f>
        <v/>
      </c>
      <c r="M132" s="22"/>
      <c r="N132" s="22"/>
      <c r="O132" s="19" t="str">
        <f aca="false">IF($D132="","",INDEX(GradeBasic,MATCH($D132,GradeList,0))+INDEX(GradeHousing,MATCH($D132,GradeList,0))+INDEX(GradeTransport,MATCH($D132,GradeList,0))+INDEX(GradeBasic,MATCH($D132,GradeList,0))*INDEX(GradeBonus,MATCH($D132,GradeList,0))+(INDEX(GradeBasic,MATCH($D132,GradeList,0))+INDEX(GradeHousing,MATCH($D132,GradeList,0)))*IF($F132="Saudi",GosiSaudi,GosiOther))</f>
        <v/>
      </c>
      <c r="P132" s="19" t="str">
        <f aca="false">IF($D132="","",IF(INDEX(GradeRank,MATCH($D132,GradeList,0))&gt;=INDEX(GradeRank,MATCH("G14",GradeList,0)),OneOffSenior,OneOffJunior))</f>
        <v/>
      </c>
      <c r="Q132" s="19" t="str">
        <f aca="false">IF(OR($D132="",$I132="",$H132=""),"",$O132*$H132*(5-MATCH($I132,{"Q1";"Q2";"Q3";"Q4"},0))/4+$P132*$H132)</f>
        <v/>
      </c>
      <c r="R132" s="19" t="str">
        <f aca="false">IF($O132="","",$O132*$H132)</f>
        <v/>
      </c>
      <c r="S132" s="32" t="str">
        <f aca="false">IF(COUNTA($B132:$J132)+COUNTA($M132:$N132)=0,"",MID(IF($B132="",", unit","")&amp;IF($C132="",", job title","")&amp;IF($D132="",", grade","")&amp;IF($E132="",", workforce type","")&amp;IF($F132="",", Saudi basis","")&amp;IF($G132="",", nature","")&amp;IF(N($H132)&lt;=0,", FTE","")&amp;IF($I132="",", start quarter","")&amp;IF($J132="",", driver","")&amp;IF($M132="",", alternatives",""),3,300))</f>
        <v/>
      </c>
      <c r="T132" s="17" t="str">
        <f aca="false">IF($S132="","",COUNTIF($S$6:$S132,"?*"))</f>
        <v/>
      </c>
    </row>
    <row r="133" customFormat="false" ht="15" hidden="false" customHeight="false" outlineLevel="0" collapsed="false">
      <c r="A133" s="17" t="n">
        <v>128</v>
      </c>
      <c r="B133" s="22"/>
      <c r="C133" s="22"/>
      <c r="D133" s="22"/>
      <c r="E133" s="22"/>
      <c r="F133" s="22"/>
      <c r="G133" s="22"/>
      <c r="H133" s="25"/>
      <c r="I133" s="22"/>
      <c r="J133" s="22"/>
      <c r="K133" s="31" t="str">
        <f aca="false">IF($J133="","",IFERROR(INDEX(DriverCategory,MATCH($J133,DriverList,0)),"?"))</f>
        <v/>
      </c>
      <c r="L133" s="31" t="str">
        <f aca="false">IF($J133="","",IFERROR(INDEX(DriverRank,MATCH($J133,DriverList,0)),99))</f>
        <v/>
      </c>
      <c r="M133" s="22"/>
      <c r="N133" s="22"/>
      <c r="O133" s="19" t="str">
        <f aca="false">IF($D133="","",INDEX(GradeBasic,MATCH($D133,GradeList,0))+INDEX(GradeHousing,MATCH($D133,GradeList,0))+INDEX(GradeTransport,MATCH($D133,GradeList,0))+INDEX(GradeBasic,MATCH($D133,GradeList,0))*INDEX(GradeBonus,MATCH($D133,GradeList,0))+(INDEX(GradeBasic,MATCH($D133,GradeList,0))+INDEX(GradeHousing,MATCH($D133,GradeList,0)))*IF($F133="Saudi",GosiSaudi,GosiOther))</f>
        <v/>
      </c>
      <c r="P133" s="19" t="str">
        <f aca="false">IF($D133="","",IF(INDEX(GradeRank,MATCH($D133,GradeList,0))&gt;=INDEX(GradeRank,MATCH("G14",GradeList,0)),OneOffSenior,OneOffJunior))</f>
        <v/>
      </c>
      <c r="Q133" s="19" t="str">
        <f aca="false">IF(OR($D133="",$I133="",$H133=""),"",$O133*$H133*(5-MATCH($I133,{"Q1";"Q2";"Q3";"Q4"},0))/4+$P133*$H133)</f>
        <v/>
      </c>
      <c r="R133" s="19" t="str">
        <f aca="false">IF($O133="","",$O133*$H133)</f>
        <v/>
      </c>
      <c r="S133" s="32" t="str">
        <f aca="false">IF(COUNTA($B133:$J133)+COUNTA($M133:$N133)=0,"",MID(IF($B133="",", unit","")&amp;IF($C133="",", job title","")&amp;IF($D133="",", grade","")&amp;IF($E133="",", workforce type","")&amp;IF($F133="",", Saudi basis","")&amp;IF($G133="",", nature","")&amp;IF(N($H133)&lt;=0,", FTE","")&amp;IF($I133="",", start quarter","")&amp;IF($J133="",", driver","")&amp;IF($M133="",", alternatives",""),3,300))</f>
        <v/>
      </c>
      <c r="T133" s="17" t="str">
        <f aca="false">IF($S133="","",COUNTIF($S$6:$S133,"?*"))</f>
        <v/>
      </c>
    </row>
    <row r="134" customFormat="false" ht="15" hidden="false" customHeight="false" outlineLevel="0" collapsed="false">
      <c r="A134" s="17" t="n">
        <v>129</v>
      </c>
      <c r="B134" s="22"/>
      <c r="C134" s="22"/>
      <c r="D134" s="22"/>
      <c r="E134" s="22"/>
      <c r="F134" s="22"/>
      <c r="G134" s="22"/>
      <c r="H134" s="25"/>
      <c r="I134" s="22"/>
      <c r="J134" s="22"/>
      <c r="K134" s="31" t="str">
        <f aca="false">IF($J134="","",IFERROR(INDEX(DriverCategory,MATCH($J134,DriverList,0)),"?"))</f>
        <v/>
      </c>
      <c r="L134" s="31" t="str">
        <f aca="false">IF($J134="","",IFERROR(INDEX(DriverRank,MATCH($J134,DriverList,0)),99))</f>
        <v/>
      </c>
      <c r="M134" s="22"/>
      <c r="N134" s="22"/>
      <c r="O134" s="19" t="str">
        <f aca="false">IF($D134="","",INDEX(GradeBasic,MATCH($D134,GradeList,0))+INDEX(GradeHousing,MATCH($D134,GradeList,0))+INDEX(GradeTransport,MATCH($D134,GradeList,0))+INDEX(GradeBasic,MATCH($D134,GradeList,0))*INDEX(GradeBonus,MATCH($D134,GradeList,0))+(INDEX(GradeBasic,MATCH($D134,GradeList,0))+INDEX(GradeHousing,MATCH($D134,GradeList,0)))*IF($F134="Saudi",GosiSaudi,GosiOther))</f>
        <v/>
      </c>
      <c r="P134" s="19" t="str">
        <f aca="false">IF($D134="","",IF(INDEX(GradeRank,MATCH($D134,GradeList,0))&gt;=INDEX(GradeRank,MATCH("G14",GradeList,0)),OneOffSenior,OneOffJunior))</f>
        <v/>
      </c>
      <c r="Q134" s="19" t="str">
        <f aca="false">IF(OR($D134="",$I134="",$H134=""),"",$O134*$H134*(5-MATCH($I134,{"Q1";"Q2";"Q3";"Q4"},0))/4+$P134*$H134)</f>
        <v/>
      </c>
      <c r="R134" s="19" t="str">
        <f aca="false">IF($O134="","",$O134*$H134)</f>
        <v/>
      </c>
      <c r="S134" s="32" t="str">
        <f aca="false">IF(COUNTA($B134:$J134)+COUNTA($M134:$N134)=0,"",MID(IF($B134="",", unit","")&amp;IF($C134="",", job title","")&amp;IF($D134="",", grade","")&amp;IF($E134="",", workforce type","")&amp;IF($F134="",", Saudi basis","")&amp;IF($G134="",", nature","")&amp;IF(N($H134)&lt;=0,", FTE","")&amp;IF($I134="",", start quarter","")&amp;IF($J134="",", driver","")&amp;IF($M134="",", alternatives",""),3,300))</f>
        <v/>
      </c>
      <c r="T134" s="17" t="str">
        <f aca="false">IF($S134="","",COUNTIF($S$6:$S134,"?*"))</f>
        <v/>
      </c>
    </row>
    <row r="135" customFormat="false" ht="15" hidden="false" customHeight="false" outlineLevel="0" collapsed="false">
      <c r="A135" s="17" t="n">
        <v>130</v>
      </c>
      <c r="B135" s="22"/>
      <c r="C135" s="22"/>
      <c r="D135" s="22"/>
      <c r="E135" s="22"/>
      <c r="F135" s="22"/>
      <c r="G135" s="22"/>
      <c r="H135" s="25"/>
      <c r="I135" s="22"/>
      <c r="J135" s="22"/>
      <c r="K135" s="31" t="str">
        <f aca="false">IF($J135="","",IFERROR(INDEX(DriverCategory,MATCH($J135,DriverList,0)),"?"))</f>
        <v/>
      </c>
      <c r="L135" s="31" t="str">
        <f aca="false">IF($J135="","",IFERROR(INDEX(DriverRank,MATCH($J135,DriverList,0)),99))</f>
        <v/>
      </c>
      <c r="M135" s="22"/>
      <c r="N135" s="22"/>
      <c r="O135" s="19" t="str">
        <f aca="false">IF($D135="","",INDEX(GradeBasic,MATCH($D135,GradeList,0))+INDEX(GradeHousing,MATCH($D135,GradeList,0))+INDEX(GradeTransport,MATCH($D135,GradeList,0))+INDEX(GradeBasic,MATCH($D135,GradeList,0))*INDEX(GradeBonus,MATCH($D135,GradeList,0))+(INDEX(GradeBasic,MATCH($D135,GradeList,0))+INDEX(GradeHousing,MATCH($D135,GradeList,0)))*IF($F135="Saudi",GosiSaudi,GosiOther))</f>
        <v/>
      </c>
      <c r="P135" s="19" t="str">
        <f aca="false">IF($D135="","",IF(INDEX(GradeRank,MATCH($D135,GradeList,0))&gt;=INDEX(GradeRank,MATCH("G14",GradeList,0)),OneOffSenior,OneOffJunior))</f>
        <v/>
      </c>
      <c r="Q135" s="19" t="str">
        <f aca="false">IF(OR($D135="",$I135="",$H135=""),"",$O135*$H135*(5-MATCH($I135,{"Q1";"Q2";"Q3";"Q4"},0))/4+$P135*$H135)</f>
        <v/>
      </c>
      <c r="R135" s="19" t="str">
        <f aca="false">IF($O135="","",$O135*$H135)</f>
        <v/>
      </c>
      <c r="S135" s="32" t="str">
        <f aca="false">IF(COUNTA($B135:$J135)+COUNTA($M135:$N135)=0,"",MID(IF($B135="",", unit","")&amp;IF($C135="",", job title","")&amp;IF($D135="",", grade","")&amp;IF($E135="",", workforce type","")&amp;IF($F135="",", Saudi basis","")&amp;IF($G135="",", nature","")&amp;IF(N($H135)&lt;=0,", FTE","")&amp;IF($I135="",", start quarter","")&amp;IF($J135="",", driver","")&amp;IF($M135="",", alternatives",""),3,300))</f>
        <v/>
      </c>
      <c r="T135" s="17" t="str">
        <f aca="false">IF($S135="","",COUNTIF($S$6:$S135,"?*"))</f>
        <v/>
      </c>
    </row>
    <row r="136" customFormat="false" ht="15" hidden="false" customHeight="false" outlineLevel="0" collapsed="false">
      <c r="A136" s="17" t="n">
        <v>131</v>
      </c>
      <c r="B136" s="22"/>
      <c r="C136" s="22"/>
      <c r="D136" s="22"/>
      <c r="E136" s="22"/>
      <c r="F136" s="22"/>
      <c r="G136" s="22"/>
      <c r="H136" s="25"/>
      <c r="I136" s="22"/>
      <c r="J136" s="22"/>
      <c r="K136" s="31" t="str">
        <f aca="false">IF($J136="","",IFERROR(INDEX(DriverCategory,MATCH($J136,DriverList,0)),"?"))</f>
        <v/>
      </c>
      <c r="L136" s="31" t="str">
        <f aca="false">IF($J136="","",IFERROR(INDEX(DriverRank,MATCH($J136,DriverList,0)),99))</f>
        <v/>
      </c>
      <c r="M136" s="22"/>
      <c r="N136" s="22"/>
      <c r="O136" s="19" t="str">
        <f aca="false">IF($D136="","",INDEX(GradeBasic,MATCH($D136,GradeList,0))+INDEX(GradeHousing,MATCH($D136,GradeList,0))+INDEX(GradeTransport,MATCH($D136,GradeList,0))+INDEX(GradeBasic,MATCH($D136,GradeList,0))*INDEX(GradeBonus,MATCH($D136,GradeList,0))+(INDEX(GradeBasic,MATCH($D136,GradeList,0))+INDEX(GradeHousing,MATCH($D136,GradeList,0)))*IF($F136="Saudi",GosiSaudi,GosiOther))</f>
        <v/>
      </c>
      <c r="P136" s="19" t="str">
        <f aca="false">IF($D136="","",IF(INDEX(GradeRank,MATCH($D136,GradeList,0))&gt;=INDEX(GradeRank,MATCH("G14",GradeList,0)),OneOffSenior,OneOffJunior))</f>
        <v/>
      </c>
      <c r="Q136" s="19" t="str">
        <f aca="false">IF(OR($D136="",$I136="",$H136=""),"",$O136*$H136*(5-MATCH($I136,{"Q1";"Q2";"Q3";"Q4"},0))/4+$P136*$H136)</f>
        <v/>
      </c>
      <c r="R136" s="19" t="str">
        <f aca="false">IF($O136="","",$O136*$H136)</f>
        <v/>
      </c>
      <c r="S136" s="32" t="str">
        <f aca="false">IF(COUNTA($B136:$J136)+COUNTA($M136:$N136)=0,"",MID(IF($B136="",", unit","")&amp;IF($C136="",", job title","")&amp;IF($D136="",", grade","")&amp;IF($E136="",", workforce type","")&amp;IF($F136="",", Saudi basis","")&amp;IF($G136="",", nature","")&amp;IF(N($H136)&lt;=0,", FTE","")&amp;IF($I136="",", start quarter","")&amp;IF($J136="",", driver","")&amp;IF($M136="",", alternatives",""),3,300))</f>
        <v/>
      </c>
      <c r="T136" s="17" t="str">
        <f aca="false">IF($S136="","",COUNTIF($S$6:$S136,"?*"))</f>
        <v/>
      </c>
    </row>
    <row r="137" customFormat="false" ht="15" hidden="false" customHeight="false" outlineLevel="0" collapsed="false">
      <c r="A137" s="17" t="n">
        <v>132</v>
      </c>
      <c r="B137" s="22"/>
      <c r="C137" s="22"/>
      <c r="D137" s="22"/>
      <c r="E137" s="22"/>
      <c r="F137" s="22"/>
      <c r="G137" s="22"/>
      <c r="H137" s="25"/>
      <c r="I137" s="22"/>
      <c r="J137" s="22"/>
      <c r="K137" s="31" t="str">
        <f aca="false">IF($J137="","",IFERROR(INDEX(DriverCategory,MATCH($J137,DriverList,0)),"?"))</f>
        <v/>
      </c>
      <c r="L137" s="31" t="str">
        <f aca="false">IF($J137="","",IFERROR(INDEX(DriverRank,MATCH($J137,DriverList,0)),99))</f>
        <v/>
      </c>
      <c r="M137" s="22"/>
      <c r="N137" s="22"/>
      <c r="O137" s="19" t="str">
        <f aca="false">IF($D137="","",INDEX(GradeBasic,MATCH($D137,GradeList,0))+INDEX(GradeHousing,MATCH($D137,GradeList,0))+INDEX(GradeTransport,MATCH($D137,GradeList,0))+INDEX(GradeBasic,MATCH($D137,GradeList,0))*INDEX(GradeBonus,MATCH($D137,GradeList,0))+(INDEX(GradeBasic,MATCH($D137,GradeList,0))+INDEX(GradeHousing,MATCH($D137,GradeList,0)))*IF($F137="Saudi",GosiSaudi,GosiOther))</f>
        <v/>
      </c>
      <c r="P137" s="19" t="str">
        <f aca="false">IF($D137="","",IF(INDEX(GradeRank,MATCH($D137,GradeList,0))&gt;=INDEX(GradeRank,MATCH("G14",GradeList,0)),OneOffSenior,OneOffJunior))</f>
        <v/>
      </c>
      <c r="Q137" s="19" t="str">
        <f aca="false">IF(OR($D137="",$I137="",$H137=""),"",$O137*$H137*(5-MATCH($I137,{"Q1";"Q2";"Q3";"Q4"},0))/4+$P137*$H137)</f>
        <v/>
      </c>
      <c r="R137" s="19" t="str">
        <f aca="false">IF($O137="","",$O137*$H137)</f>
        <v/>
      </c>
      <c r="S137" s="32" t="str">
        <f aca="false">IF(COUNTA($B137:$J137)+COUNTA($M137:$N137)=0,"",MID(IF($B137="",", unit","")&amp;IF($C137="",", job title","")&amp;IF($D137="",", grade","")&amp;IF($E137="",", workforce type","")&amp;IF($F137="",", Saudi basis","")&amp;IF($G137="",", nature","")&amp;IF(N($H137)&lt;=0,", FTE","")&amp;IF($I137="",", start quarter","")&amp;IF($J137="",", driver","")&amp;IF($M137="",", alternatives",""),3,300))</f>
        <v/>
      </c>
      <c r="T137" s="17" t="str">
        <f aca="false">IF($S137="","",COUNTIF($S$6:$S137,"?*"))</f>
        <v/>
      </c>
    </row>
    <row r="138" customFormat="false" ht="15" hidden="false" customHeight="false" outlineLevel="0" collapsed="false">
      <c r="A138" s="17" t="n">
        <v>133</v>
      </c>
      <c r="B138" s="22"/>
      <c r="C138" s="22"/>
      <c r="D138" s="22"/>
      <c r="E138" s="22"/>
      <c r="F138" s="22"/>
      <c r="G138" s="22"/>
      <c r="H138" s="25"/>
      <c r="I138" s="22"/>
      <c r="J138" s="22"/>
      <c r="K138" s="31" t="str">
        <f aca="false">IF($J138="","",IFERROR(INDEX(DriverCategory,MATCH($J138,DriverList,0)),"?"))</f>
        <v/>
      </c>
      <c r="L138" s="31" t="str">
        <f aca="false">IF($J138="","",IFERROR(INDEX(DriverRank,MATCH($J138,DriverList,0)),99))</f>
        <v/>
      </c>
      <c r="M138" s="22"/>
      <c r="N138" s="22"/>
      <c r="O138" s="19" t="str">
        <f aca="false">IF($D138="","",INDEX(GradeBasic,MATCH($D138,GradeList,0))+INDEX(GradeHousing,MATCH($D138,GradeList,0))+INDEX(GradeTransport,MATCH($D138,GradeList,0))+INDEX(GradeBasic,MATCH($D138,GradeList,0))*INDEX(GradeBonus,MATCH($D138,GradeList,0))+(INDEX(GradeBasic,MATCH($D138,GradeList,0))+INDEX(GradeHousing,MATCH($D138,GradeList,0)))*IF($F138="Saudi",GosiSaudi,GosiOther))</f>
        <v/>
      </c>
      <c r="P138" s="19" t="str">
        <f aca="false">IF($D138="","",IF(INDEX(GradeRank,MATCH($D138,GradeList,0))&gt;=INDEX(GradeRank,MATCH("G14",GradeList,0)),OneOffSenior,OneOffJunior))</f>
        <v/>
      </c>
      <c r="Q138" s="19" t="str">
        <f aca="false">IF(OR($D138="",$I138="",$H138=""),"",$O138*$H138*(5-MATCH($I138,{"Q1";"Q2";"Q3";"Q4"},0))/4+$P138*$H138)</f>
        <v/>
      </c>
      <c r="R138" s="19" t="str">
        <f aca="false">IF($O138="","",$O138*$H138)</f>
        <v/>
      </c>
      <c r="S138" s="32" t="str">
        <f aca="false">IF(COUNTA($B138:$J138)+COUNTA($M138:$N138)=0,"",MID(IF($B138="",", unit","")&amp;IF($C138="",", job title","")&amp;IF($D138="",", grade","")&amp;IF($E138="",", workforce type","")&amp;IF($F138="",", Saudi basis","")&amp;IF($G138="",", nature","")&amp;IF(N($H138)&lt;=0,", FTE","")&amp;IF($I138="",", start quarter","")&amp;IF($J138="",", driver","")&amp;IF($M138="",", alternatives",""),3,300))</f>
        <v/>
      </c>
      <c r="T138" s="17" t="str">
        <f aca="false">IF($S138="","",COUNTIF($S$6:$S138,"?*"))</f>
        <v/>
      </c>
    </row>
    <row r="139" customFormat="false" ht="15" hidden="false" customHeight="false" outlineLevel="0" collapsed="false">
      <c r="A139" s="17" t="n">
        <v>134</v>
      </c>
      <c r="B139" s="22"/>
      <c r="C139" s="22"/>
      <c r="D139" s="22"/>
      <c r="E139" s="22"/>
      <c r="F139" s="22"/>
      <c r="G139" s="22"/>
      <c r="H139" s="25"/>
      <c r="I139" s="22"/>
      <c r="J139" s="22"/>
      <c r="K139" s="31" t="str">
        <f aca="false">IF($J139="","",IFERROR(INDEX(DriverCategory,MATCH($J139,DriverList,0)),"?"))</f>
        <v/>
      </c>
      <c r="L139" s="31" t="str">
        <f aca="false">IF($J139="","",IFERROR(INDEX(DriverRank,MATCH($J139,DriverList,0)),99))</f>
        <v/>
      </c>
      <c r="M139" s="22"/>
      <c r="N139" s="22"/>
      <c r="O139" s="19" t="str">
        <f aca="false">IF($D139="","",INDEX(GradeBasic,MATCH($D139,GradeList,0))+INDEX(GradeHousing,MATCH($D139,GradeList,0))+INDEX(GradeTransport,MATCH($D139,GradeList,0))+INDEX(GradeBasic,MATCH($D139,GradeList,0))*INDEX(GradeBonus,MATCH($D139,GradeList,0))+(INDEX(GradeBasic,MATCH($D139,GradeList,0))+INDEX(GradeHousing,MATCH($D139,GradeList,0)))*IF($F139="Saudi",GosiSaudi,GosiOther))</f>
        <v/>
      </c>
      <c r="P139" s="19" t="str">
        <f aca="false">IF($D139="","",IF(INDEX(GradeRank,MATCH($D139,GradeList,0))&gt;=INDEX(GradeRank,MATCH("G14",GradeList,0)),OneOffSenior,OneOffJunior))</f>
        <v/>
      </c>
      <c r="Q139" s="19" t="str">
        <f aca="false">IF(OR($D139="",$I139="",$H139=""),"",$O139*$H139*(5-MATCH($I139,{"Q1";"Q2";"Q3";"Q4"},0))/4+$P139*$H139)</f>
        <v/>
      </c>
      <c r="R139" s="19" t="str">
        <f aca="false">IF($O139="","",$O139*$H139)</f>
        <v/>
      </c>
      <c r="S139" s="32" t="str">
        <f aca="false">IF(COUNTA($B139:$J139)+COUNTA($M139:$N139)=0,"",MID(IF($B139="",", unit","")&amp;IF($C139="",", job title","")&amp;IF($D139="",", grade","")&amp;IF($E139="",", workforce type","")&amp;IF($F139="",", Saudi basis","")&amp;IF($G139="",", nature","")&amp;IF(N($H139)&lt;=0,", FTE","")&amp;IF($I139="",", start quarter","")&amp;IF($J139="",", driver","")&amp;IF($M139="",", alternatives",""),3,300))</f>
        <v/>
      </c>
      <c r="T139" s="17" t="str">
        <f aca="false">IF($S139="","",COUNTIF($S$6:$S139,"?*"))</f>
        <v/>
      </c>
    </row>
    <row r="140" customFormat="false" ht="15" hidden="false" customHeight="false" outlineLevel="0" collapsed="false">
      <c r="A140" s="17" t="n">
        <v>135</v>
      </c>
      <c r="B140" s="22"/>
      <c r="C140" s="22"/>
      <c r="D140" s="22"/>
      <c r="E140" s="22"/>
      <c r="F140" s="22"/>
      <c r="G140" s="22"/>
      <c r="H140" s="25"/>
      <c r="I140" s="22"/>
      <c r="J140" s="22"/>
      <c r="K140" s="31" t="str">
        <f aca="false">IF($J140="","",IFERROR(INDEX(DriverCategory,MATCH($J140,DriverList,0)),"?"))</f>
        <v/>
      </c>
      <c r="L140" s="31" t="str">
        <f aca="false">IF($J140="","",IFERROR(INDEX(DriverRank,MATCH($J140,DriverList,0)),99))</f>
        <v/>
      </c>
      <c r="M140" s="22"/>
      <c r="N140" s="22"/>
      <c r="O140" s="19" t="str">
        <f aca="false">IF($D140="","",INDEX(GradeBasic,MATCH($D140,GradeList,0))+INDEX(GradeHousing,MATCH($D140,GradeList,0))+INDEX(GradeTransport,MATCH($D140,GradeList,0))+INDEX(GradeBasic,MATCH($D140,GradeList,0))*INDEX(GradeBonus,MATCH($D140,GradeList,0))+(INDEX(GradeBasic,MATCH($D140,GradeList,0))+INDEX(GradeHousing,MATCH($D140,GradeList,0)))*IF($F140="Saudi",GosiSaudi,GosiOther))</f>
        <v/>
      </c>
      <c r="P140" s="19" t="str">
        <f aca="false">IF($D140="","",IF(INDEX(GradeRank,MATCH($D140,GradeList,0))&gt;=INDEX(GradeRank,MATCH("G14",GradeList,0)),OneOffSenior,OneOffJunior))</f>
        <v/>
      </c>
      <c r="Q140" s="19" t="str">
        <f aca="false">IF(OR($D140="",$I140="",$H140=""),"",$O140*$H140*(5-MATCH($I140,{"Q1";"Q2";"Q3";"Q4"},0))/4+$P140*$H140)</f>
        <v/>
      </c>
      <c r="R140" s="19" t="str">
        <f aca="false">IF($O140="","",$O140*$H140)</f>
        <v/>
      </c>
      <c r="S140" s="32" t="str">
        <f aca="false">IF(COUNTA($B140:$J140)+COUNTA($M140:$N140)=0,"",MID(IF($B140="",", unit","")&amp;IF($C140="",", job title","")&amp;IF($D140="",", grade","")&amp;IF($E140="",", workforce type","")&amp;IF($F140="",", Saudi basis","")&amp;IF($G140="",", nature","")&amp;IF(N($H140)&lt;=0,", FTE","")&amp;IF($I140="",", start quarter","")&amp;IF($J140="",", driver","")&amp;IF($M140="",", alternatives",""),3,300))</f>
        <v/>
      </c>
      <c r="T140" s="17" t="str">
        <f aca="false">IF($S140="","",COUNTIF($S$6:$S140,"?*"))</f>
        <v/>
      </c>
    </row>
    <row r="141" customFormat="false" ht="15" hidden="false" customHeight="false" outlineLevel="0" collapsed="false">
      <c r="A141" s="17" t="n">
        <v>136</v>
      </c>
      <c r="B141" s="22"/>
      <c r="C141" s="22"/>
      <c r="D141" s="22"/>
      <c r="E141" s="22"/>
      <c r="F141" s="22"/>
      <c r="G141" s="22"/>
      <c r="H141" s="25"/>
      <c r="I141" s="22"/>
      <c r="J141" s="22"/>
      <c r="K141" s="31" t="str">
        <f aca="false">IF($J141="","",IFERROR(INDEX(DriverCategory,MATCH($J141,DriverList,0)),"?"))</f>
        <v/>
      </c>
      <c r="L141" s="31" t="str">
        <f aca="false">IF($J141="","",IFERROR(INDEX(DriverRank,MATCH($J141,DriverList,0)),99))</f>
        <v/>
      </c>
      <c r="M141" s="22"/>
      <c r="N141" s="22"/>
      <c r="O141" s="19" t="str">
        <f aca="false">IF($D141="","",INDEX(GradeBasic,MATCH($D141,GradeList,0))+INDEX(GradeHousing,MATCH($D141,GradeList,0))+INDEX(GradeTransport,MATCH($D141,GradeList,0))+INDEX(GradeBasic,MATCH($D141,GradeList,0))*INDEX(GradeBonus,MATCH($D141,GradeList,0))+(INDEX(GradeBasic,MATCH($D141,GradeList,0))+INDEX(GradeHousing,MATCH($D141,GradeList,0)))*IF($F141="Saudi",GosiSaudi,GosiOther))</f>
        <v/>
      </c>
      <c r="P141" s="19" t="str">
        <f aca="false">IF($D141="","",IF(INDEX(GradeRank,MATCH($D141,GradeList,0))&gt;=INDEX(GradeRank,MATCH("G14",GradeList,0)),OneOffSenior,OneOffJunior))</f>
        <v/>
      </c>
      <c r="Q141" s="19" t="str">
        <f aca="false">IF(OR($D141="",$I141="",$H141=""),"",$O141*$H141*(5-MATCH($I141,{"Q1";"Q2";"Q3";"Q4"},0))/4+$P141*$H141)</f>
        <v/>
      </c>
      <c r="R141" s="19" t="str">
        <f aca="false">IF($O141="","",$O141*$H141)</f>
        <v/>
      </c>
      <c r="S141" s="32" t="str">
        <f aca="false">IF(COUNTA($B141:$J141)+COUNTA($M141:$N141)=0,"",MID(IF($B141="",", unit","")&amp;IF($C141="",", job title","")&amp;IF($D141="",", grade","")&amp;IF($E141="",", workforce type","")&amp;IF($F141="",", Saudi basis","")&amp;IF($G141="",", nature","")&amp;IF(N($H141)&lt;=0,", FTE","")&amp;IF($I141="",", start quarter","")&amp;IF($J141="",", driver","")&amp;IF($M141="",", alternatives",""),3,300))</f>
        <v/>
      </c>
      <c r="T141" s="17" t="str">
        <f aca="false">IF($S141="","",COUNTIF($S$6:$S141,"?*"))</f>
        <v/>
      </c>
    </row>
    <row r="142" customFormat="false" ht="15" hidden="false" customHeight="false" outlineLevel="0" collapsed="false">
      <c r="A142" s="17" t="n">
        <v>137</v>
      </c>
      <c r="B142" s="22"/>
      <c r="C142" s="22"/>
      <c r="D142" s="22"/>
      <c r="E142" s="22"/>
      <c r="F142" s="22"/>
      <c r="G142" s="22"/>
      <c r="H142" s="25"/>
      <c r="I142" s="22"/>
      <c r="J142" s="22"/>
      <c r="K142" s="31" t="str">
        <f aca="false">IF($J142="","",IFERROR(INDEX(DriverCategory,MATCH($J142,DriverList,0)),"?"))</f>
        <v/>
      </c>
      <c r="L142" s="31" t="str">
        <f aca="false">IF($J142="","",IFERROR(INDEX(DriverRank,MATCH($J142,DriverList,0)),99))</f>
        <v/>
      </c>
      <c r="M142" s="22"/>
      <c r="N142" s="22"/>
      <c r="O142" s="19" t="str">
        <f aca="false">IF($D142="","",INDEX(GradeBasic,MATCH($D142,GradeList,0))+INDEX(GradeHousing,MATCH($D142,GradeList,0))+INDEX(GradeTransport,MATCH($D142,GradeList,0))+INDEX(GradeBasic,MATCH($D142,GradeList,0))*INDEX(GradeBonus,MATCH($D142,GradeList,0))+(INDEX(GradeBasic,MATCH($D142,GradeList,0))+INDEX(GradeHousing,MATCH($D142,GradeList,0)))*IF($F142="Saudi",GosiSaudi,GosiOther))</f>
        <v/>
      </c>
      <c r="P142" s="19" t="str">
        <f aca="false">IF($D142="","",IF(INDEX(GradeRank,MATCH($D142,GradeList,0))&gt;=INDEX(GradeRank,MATCH("G14",GradeList,0)),OneOffSenior,OneOffJunior))</f>
        <v/>
      </c>
      <c r="Q142" s="19" t="str">
        <f aca="false">IF(OR($D142="",$I142="",$H142=""),"",$O142*$H142*(5-MATCH($I142,{"Q1";"Q2";"Q3";"Q4"},0))/4+$P142*$H142)</f>
        <v/>
      </c>
      <c r="R142" s="19" t="str">
        <f aca="false">IF($O142="","",$O142*$H142)</f>
        <v/>
      </c>
      <c r="S142" s="32" t="str">
        <f aca="false">IF(COUNTA($B142:$J142)+COUNTA($M142:$N142)=0,"",MID(IF($B142="",", unit","")&amp;IF($C142="",", job title","")&amp;IF($D142="",", grade","")&amp;IF($E142="",", workforce type","")&amp;IF($F142="",", Saudi basis","")&amp;IF($G142="",", nature","")&amp;IF(N($H142)&lt;=0,", FTE","")&amp;IF($I142="",", start quarter","")&amp;IF($J142="",", driver","")&amp;IF($M142="",", alternatives",""),3,300))</f>
        <v/>
      </c>
      <c r="T142" s="17" t="str">
        <f aca="false">IF($S142="","",COUNTIF($S$6:$S142,"?*"))</f>
        <v/>
      </c>
    </row>
    <row r="143" customFormat="false" ht="15" hidden="false" customHeight="false" outlineLevel="0" collapsed="false">
      <c r="A143" s="17" t="n">
        <v>138</v>
      </c>
      <c r="B143" s="22"/>
      <c r="C143" s="22"/>
      <c r="D143" s="22"/>
      <c r="E143" s="22"/>
      <c r="F143" s="22"/>
      <c r="G143" s="22"/>
      <c r="H143" s="25"/>
      <c r="I143" s="22"/>
      <c r="J143" s="22"/>
      <c r="K143" s="31" t="str">
        <f aca="false">IF($J143="","",IFERROR(INDEX(DriverCategory,MATCH($J143,DriverList,0)),"?"))</f>
        <v/>
      </c>
      <c r="L143" s="31" t="str">
        <f aca="false">IF($J143="","",IFERROR(INDEX(DriverRank,MATCH($J143,DriverList,0)),99))</f>
        <v/>
      </c>
      <c r="M143" s="22"/>
      <c r="N143" s="22"/>
      <c r="O143" s="19" t="str">
        <f aca="false">IF($D143="","",INDEX(GradeBasic,MATCH($D143,GradeList,0))+INDEX(GradeHousing,MATCH($D143,GradeList,0))+INDEX(GradeTransport,MATCH($D143,GradeList,0))+INDEX(GradeBasic,MATCH($D143,GradeList,0))*INDEX(GradeBonus,MATCH($D143,GradeList,0))+(INDEX(GradeBasic,MATCH($D143,GradeList,0))+INDEX(GradeHousing,MATCH($D143,GradeList,0)))*IF($F143="Saudi",GosiSaudi,GosiOther))</f>
        <v/>
      </c>
      <c r="P143" s="19" t="str">
        <f aca="false">IF($D143="","",IF(INDEX(GradeRank,MATCH($D143,GradeList,0))&gt;=INDEX(GradeRank,MATCH("G14",GradeList,0)),OneOffSenior,OneOffJunior))</f>
        <v/>
      </c>
      <c r="Q143" s="19" t="str">
        <f aca="false">IF(OR($D143="",$I143="",$H143=""),"",$O143*$H143*(5-MATCH($I143,{"Q1";"Q2";"Q3";"Q4"},0))/4+$P143*$H143)</f>
        <v/>
      </c>
      <c r="R143" s="19" t="str">
        <f aca="false">IF($O143="","",$O143*$H143)</f>
        <v/>
      </c>
      <c r="S143" s="32" t="str">
        <f aca="false">IF(COUNTA($B143:$J143)+COUNTA($M143:$N143)=0,"",MID(IF($B143="",", unit","")&amp;IF($C143="",", job title","")&amp;IF($D143="",", grade","")&amp;IF($E143="",", workforce type","")&amp;IF($F143="",", Saudi basis","")&amp;IF($G143="",", nature","")&amp;IF(N($H143)&lt;=0,", FTE","")&amp;IF($I143="",", start quarter","")&amp;IF($J143="",", driver","")&amp;IF($M143="",", alternatives",""),3,300))</f>
        <v/>
      </c>
      <c r="T143" s="17" t="str">
        <f aca="false">IF($S143="","",COUNTIF($S$6:$S143,"?*"))</f>
        <v/>
      </c>
    </row>
    <row r="144" customFormat="false" ht="15" hidden="false" customHeight="false" outlineLevel="0" collapsed="false">
      <c r="A144" s="17" t="n">
        <v>139</v>
      </c>
      <c r="B144" s="22"/>
      <c r="C144" s="22"/>
      <c r="D144" s="22"/>
      <c r="E144" s="22"/>
      <c r="F144" s="22"/>
      <c r="G144" s="22"/>
      <c r="H144" s="25"/>
      <c r="I144" s="22"/>
      <c r="J144" s="22"/>
      <c r="K144" s="31" t="str">
        <f aca="false">IF($J144="","",IFERROR(INDEX(DriverCategory,MATCH($J144,DriverList,0)),"?"))</f>
        <v/>
      </c>
      <c r="L144" s="31" t="str">
        <f aca="false">IF($J144="","",IFERROR(INDEX(DriverRank,MATCH($J144,DriverList,0)),99))</f>
        <v/>
      </c>
      <c r="M144" s="22"/>
      <c r="N144" s="22"/>
      <c r="O144" s="19" t="str">
        <f aca="false">IF($D144="","",INDEX(GradeBasic,MATCH($D144,GradeList,0))+INDEX(GradeHousing,MATCH($D144,GradeList,0))+INDEX(GradeTransport,MATCH($D144,GradeList,0))+INDEX(GradeBasic,MATCH($D144,GradeList,0))*INDEX(GradeBonus,MATCH($D144,GradeList,0))+(INDEX(GradeBasic,MATCH($D144,GradeList,0))+INDEX(GradeHousing,MATCH($D144,GradeList,0)))*IF($F144="Saudi",GosiSaudi,GosiOther))</f>
        <v/>
      </c>
      <c r="P144" s="19" t="str">
        <f aca="false">IF($D144="","",IF(INDEX(GradeRank,MATCH($D144,GradeList,0))&gt;=INDEX(GradeRank,MATCH("G14",GradeList,0)),OneOffSenior,OneOffJunior))</f>
        <v/>
      </c>
      <c r="Q144" s="19" t="str">
        <f aca="false">IF(OR($D144="",$I144="",$H144=""),"",$O144*$H144*(5-MATCH($I144,{"Q1";"Q2";"Q3";"Q4"},0))/4+$P144*$H144)</f>
        <v/>
      </c>
      <c r="R144" s="19" t="str">
        <f aca="false">IF($O144="","",$O144*$H144)</f>
        <v/>
      </c>
      <c r="S144" s="32" t="str">
        <f aca="false">IF(COUNTA($B144:$J144)+COUNTA($M144:$N144)=0,"",MID(IF($B144="",", unit","")&amp;IF($C144="",", job title","")&amp;IF($D144="",", grade","")&amp;IF($E144="",", workforce type","")&amp;IF($F144="",", Saudi basis","")&amp;IF($G144="",", nature","")&amp;IF(N($H144)&lt;=0,", FTE","")&amp;IF($I144="",", start quarter","")&amp;IF($J144="",", driver","")&amp;IF($M144="",", alternatives",""),3,300))</f>
        <v/>
      </c>
      <c r="T144" s="17" t="str">
        <f aca="false">IF($S144="","",COUNTIF($S$6:$S144,"?*"))</f>
        <v/>
      </c>
    </row>
    <row r="145" customFormat="false" ht="15" hidden="false" customHeight="false" outlineLevel="0" collapsed="false">
      <c r="A145" s="17" t="n">
        <v>140</v>
      </c>
      <c r="B145" s="22"/>
      <c r="C145" s="22"/>
      <c r="D145" s="22"/>
      <c r="E145" s="22"/>
      <c r="F145" s="22"/>
      <c r="G145" s="22"/>
      <c r="H145" s="25"/>
      <c r="I145" s="22"/>
      <c r="J145" s="22"/>
      <c r="K145" s="31" t="str">
        <f aca="false">IF($J145="","",IFERROR(INDEX(DriverCategory,MATCH($J145,DriverList,0)),"?"))</f>
        <v/>
      </c>
      <c r="L145" s="31" t="str">
        <f aca="false">IF($J145="","",IFERROR(INDEX(DriverRank,MATCH($J145,DriverList,0)),99))</f>
        <v/>
      </c>
      <c r="M145" s="22"/>
      <c r="N145" s="22"/>
      <c r="O145" s="19" t="str">
        <f aca="false">IF($D145="","",INDEX(GradeBasic,MATCH($D145,GradeList,0))+INDEX(GradeHousing,MATCH($D145,GradeList,0))+INDEX(GradeTransport,MATCH($D145,GradeList,0))+INDEX(GradeBasic,MATCH($D145,GradeList,0))*INDEX(GradeBonus,MATCH($D145,GradeList,0))+(INDEX(GradeBasic,MATCH($D145,GradeList,0))+INDEX(GradeHousing,MATCH($D145,GradeList,0)))*IF($F145="Saudi",GosiSaudi,GosiOther))</f>
        <v/>
      </c>
      <c r="P145" s="19" t="str">
        <f aca="false">IF($D145="","",IF(INDEX(GradeRank,MATCH($D145,GradeList,0))&gt;=INDEX(GradeRank,MATCH("G14",GradeList,0)),OneOffSenior,OneOffJunior))</f>
        <v/>
      </c>
      <c r="Q145" s="19" t="str">
        <f aca="false">IF(OR($D145="",$I145="",$H145=""),"",$O145*$H145*(5-MATCH($I145,{"Q1";"Q2";"Q3";"Q4"},0))/4+$P145*$H145)</f>
        <v/>
      </c>
      <c r="R145" s="19" t="str">
        <f aca="false">IF($O145="","",$O145*$H145)</f>
        <v/>
      </c>
      <c r="S145" s="32" t="str">
        <f aca="false">IF(COUNTA($B145:$J145)+COUNTA($M145:$N145)=0,"",MID(IF($B145="",", unit","")&amp;IF($C145="",", job title","")&amp;IF($D145="",", grade","")&amp;IF($E145="",", workforce type","")&amp;IF($F145="",", Saudi basis","")&amp;IF($G145="",", nature","")&amp;IF(N($H145)&lt;=0,", FTE","")&amp;IF($I145="",", start quarter","")&amp;IF($J145="",", driver","")&amp;IF($M145="",", alternatives",""),3,300))</f>
        <v/>
      </c>
      <c r="T145" s="17" t="str">
        <f aca="false">IF($S145="","",COUNTIF($S$6:$S145,"?*"))</f>
        <v/>
      </c>
    </row>
    <row r="146" customFormat="false" ht="15" hidden="false" customHeight="false" outlineLevel="0" collapsed="false">
      <c r="A146" s="17" t="n">
        <v>141</v>
      </c>
      <c r="B146" s="22"/>
      <c r="C146" s="22"/>
      <c r="D146" s="22"/>
      <c r="E146" s="22"/>
      <c r="F146" s="22"/>
      <c r="G146" s="22"/>
      <c r="H146" s="25"/>
      <c r="I146" s="22"/>
      <c r="J146" s="22"/>
      <c r="K146" s="31" t="str">
        <f aca="false">IF($J146="","",IFERROR(INDEX(DriverCategory,MATCH($J146,DriverList,0)),"?"))</f>
        <v/>
      </c>
      <c r="L146" s="31" t="str">
        <f aca="false">IF($J146="","",IFERROR(INDEX(DriverRank,MATCH($J146,DriverList,0)),99))</f>
        <v/>
      </c>
      <c r="M146" s="22"/>
      <c r="N146" s="22"/>
      <c r="O146" s="19" t="str">
        <f aca="false">IF($D146="","",INDEX(GradeBasic,MATCH($D146,GradeList,0))+INDEX(GradeHousing,MATCH($D146,GradeList,0))+INDEX(GradeTransport,MATCH($D146,GradeList,0))+INDEX(GradeBasic,MATCH($D146,GradeList,0))*INDEX(GradeBonus,MATCH($D146,GradeList,0))+(INDEX(GradeBasic,MATCH($D146,GradeList,0))+INDEX(GradeHousing,MATCH($D146,GradeList,0)))*IF($F146="Saudi",GosiSaudi,GosiOther))</f>
        <v/>
      </c>
      <c r="P146" s="19" t="str">
        <f aca="false">IF($D146="","",IF(INDEX(GradeRank,MATCH($D146,GradeList,0))&gt;=INDEX(GradeRank,MATCH("G14",GradeList,0)),OneOffSenior,OneOffJunior))</f>
        <v/>
      </c>
      <c r="Q146" s="19" t="str">
        <f aca="false">IF(OR($D146="",$I146="",$H146=""),"",$O146*$H146*(5-MATCH($I146,{"Q1";"Q2";"Q3";"Q4"},0))/4+$P146*$H146)</f>
        <v/>
      </c>
      <c r="R146" s="19" t="str">
        <f aca="false">IF($O146="","",$O146*$H146)</f>
        <v/>
      </c>
      <c r="S146" s="32" t="str">
        <f aca="false">IF(COUNTA($B146:$J146)+COUNTA($M146:$N146)=0,"",MID(IF($B146="",", unit","")&amp;IF($C146="",", job title","")&amp;IF($D146="",", grade","")&amp;IF($E146="",", workforce type","")&amp;IF($F146="",", Saudi basis","")&amp;IF($G146="",", nature","")&amp;IF(N($H146)&lt;=0,", FTE","")&amp;IF($I146="",", start quarter","")&amp;IF($J146="",", driver","")&amp;IF($M146="",", alternatives",""),3,300))</f>
        <v/>
      </c>
      <c r="T146" s="17" t="str">
        <f aca="false">IF($S146="","",COUNTIF($S$6:$S146,"?*"))</f>
        <v/>
      </c>
    </row>
    <row r="147" customFormat="false" ht="15" hidden="false" customHeight="false" outlineLevel="0" collapsed="false">
      <c r="A147" s="17" t="n">
        <v>142</v>
      </c>
      <c r="B147" s="22"/>
      <c r="C147" s="22"/>
      <c r="D147" s="22"/>
      <c r="E147" s="22"/>
      <c r="F147" s="22"/>
      <c r="G147" s="22"/>
      <c r="H147" s="25"/>
      <c r="I147" s="22"/>
      <c r="J147" s="22"/>
      <c r="K147" s="31" t="str">
        <f aca="false">IF($J147="","",IFERROR(INDEX(DriverCategory,MATCH($J147,DriverList,0)),"?"))</f>
        <v/>
      </c>
      <c r="L147" s="31" t="str">
        <f aca="false">IF($J147="","",IFERROR(INDEX(DriverRank,MATCH($J147,DriverList,0)),99))</f>
        <v/>
      </c>
      <c r="M147" s="22"/>
      <c r="N147" s="22"/>
      <c r="O147" s="19" t="str">
        <f aca="false">IF($D147="","",INDEX(GradeBasic,MATCH($D147,GradeList,0))+INDEX(GradeHousing,MATCH($D147,GradeList,0))+INDEX(GradeTransport,MATCH($D147,GradeList,0))+INDEX(GradeBasic,MATCH($D147,GradeList,0))*INDEX(GradeBonus,MATCH($D147,GradeList,0))+(INDEX(GradeBasic,MATCH($D147,GradeList,0))+INDEX(GradeHousing,MATCH($D147,GradeList,0)))*IF($F147="Saudi",GosiSaudi,GosiOther))</f>
        <v/>
      </c>
      <c r="P147" s="19" t="str">
        <f aca="false">IF($D147="","",IF(INDEX(GradeRank,MATCH($D147,GradeList,0))&gt;=INDEX(GradeRank,MATCH("G14",GradeList,0)),OneOffSenior,OneOffJunior))</f>
        <v/>
      </c>
      <c r="Q147" s="19" t="str">
        <f aca="false">IF(OR($D147="",$I147="",$H147=""),"",$O147*$H147*(5-MATCH($I147,{"Q1";"Q2";"Q3";"Q4"},0))/4+$P147*$H147)</f>
        <v/>
      </c>
      <c r="R147" s="19" t="str">
        <f aca="false">IF($O147="","",$O147*$H147)</f>
        <v/>
      </c>
      <c r="S147" s="32" t="str">
        <f aca="false">IF(COUNTA($B147:$J147)+COUNTA($M147:$N147)=0,"",MID(IF($B147="",", unit","")&amp;IF($C147="",", job title","")&amp;IF($D147="",", grade","")&amp;IF($E147="",", workforce type","")&amp;IF($F147="",", Saudi basis","")&amp;IF($G147="",", nature","")&amp;IF(N($H147)&lt;=0,", FTE","")&amp;IF($I147="",", start quarter","")&amp;IF($J147="",", driver","")&amp;IF($M147="",", alternatives",""),3,300))</f>
        <v/>
      </c>
      <c r="T147" s="17" t="str">
        <f aca="false">IF($S147="","",COUNTIF($S$6:$S147,"?*"))</f>
        <v/>
      </c>
    </row>
    <row r="148" customFormat="false" ht="15" hidden="false" customHeight="false" outlineLevel="0" collapsed="false">
      <c r="A148" s="17" t="n">
        <v>143</v>
      </c>
      <c r="B148" s="22"/>
      <c r="C148" s="22"/>
      <c r="D148" s="22"/>
      <c r="E148" s="22"/>
      <c r="F148" s="22"/>
      <c r="G148" s="22"/>
      <c r="H148" s="25"/>
      <c r="I148" s="22"/>
      <c r="J148" s="22"/>
      <c r="K148" s="31" t="str">
        <f aca="false">IF($J148="","",IFERROR(INDEX(DriverCategory,MATCH($J148,DriverList,0)),"?"))</f>
        <v/>
      </c>
      <c r="L148" s="31" t="str">
        <f aca="false">IF($J148="","",IFERROR(INDEX(DriverRank,MATCH($J148,DriverList,0)),99))</f>
        <v/>
      </c>
      <c r="M148" s="22"/>
      <c r="N148" s="22"/>
      <c r="O148" s="19" t="str">
        <f aca="false">IF($D148="","",INDEX(GradeBasic,MATCH($D148,GradeList,0))+INDEX(GradeHousing,MATCH($D148,GradeList,0))+INDEX(GradeTransport,MATCH($D148,GradeList,0))+INDEX(GradeBasic,MATCH($D148,GradeList,0))*INDEX(GradeBonus,MATCH($D148,GradeList,0))+(INDEX(GradeBasic,MATCH($D148,GradeList,0))+INDEX(GradeHousing,MATCH($D148,GradeList,0)))*IF($F148="Saudi",GosiSaudi,GosiOther))</f>
        <v/>
      </c>
      <c r="P148" s="19" t="str">
        <f aca="false">IF($D148="","",IF(INDEX(GradeRank,MATCH($D148,GradeList,0))&gt;=INDEX(GradeRank,MATCH("G14",GradeList,0)),OneOffSenior,OneOffJunior))</f>
        <v/>
      </c>
      <c r="Q148" s="19" t="str">
        <f aca="false">IF(OR($D148="",$I148="",$H148=""),"",$O148*$H148*(5-MATCH($I148,{"Q1";"Q2";"Q3";"Q4"},0))/4+$P148*$H148)</f>
        <v/>
      </c>
      <c r="R148" s="19" t="str">
        <f aca="false">IF($O148="","",$O148*$H148)</f>
        <v/>
      </c>
      <c r="S148" s="32" t="str">
        <f aca="false">IF(COUNTA($B148:$J148)+COUNTA($M148:$N148)=0,"",MID(IF($B148="",", unit","")&amp;IF($C148="",", job title","")&amp;IF($D148="",", grade","")&amp;IF($E148="",", workforce type","")&amp;IF($F148="",", Saudi basis","")&amp;IF($G148="",", nature","")&amp;IF(N($H148)&lt;=0,", FTE","")&amp;IF($I148="",", start quarter","")&amp;IF($J148="",", driver","")&amp;IF($M148="",", alternatives",""),3,300))</f>
        <v/>
      </c>
      <c r="T148" s="17" t="str">
        <f aca="false">IF($S148="","",COUNTIF($S$6:$S148,"?*"))</f>
        <v/>
      </c>
    </row>
    <row r="149" customFormat="false" ht="15" hidden="false" customHeight="false" outlineLevel="0" collapsed="false">
      <c r="A149" s="17" t="n">
        <v>144</v>
      </c>
      <c r="B149" s="22"/>
      <c r="C149" s="22"/>
      <c r="D149" s="22"/>
      <c r="E149" s="22"/>
      <c r="F149" s="22"/>
      <c r="G149" s="22"/>
      <c r="H149" s="25"/>
      <c r="I149" s="22"/>
      <c r="J149" s="22"/>
      <c r="K149" s="31" t="str">
        <f aca="false">IF($J149="","",IFERROR(INDEX(DriverCategory,MATCH($J149,DriverList,0)),"?"))</f>
        <v/>
      </c>
      <c r="L149" s="31" t="str">
        <f aca="false">IF($J149="","",IFERROR(INDEX(DriverRank,MATCH($J149,DriverList,0)),99))</f>
        <v/>
      </c>
      <c r="M149" s="22"/>
      <c r="N149" s="22"/>
      <c r="O149" s="19" t="str">
        <f aca="false">IF($D149="","",INDEX(GradeBasic,MATCH($D149,GradeList,0))+INDEX(GradeHousing,MATCH($D149,GradeList,0))+INDEX(GradeTransport,MATCH($D149,GradeList,0))+INDEX(GradeBasic,MATCH($D149,GradeList,0))*INDEX(GradeBonus,MATCH($D149,GradeList,0))+(INDEX(GradeBasic,MATCH($D149,GradeList,0))+INDEX(GradeHousing,MATCH($D149,GradeList,0)))*IF($F149="Saudi",GosiSaudi,GosiOther))</f>
        <v/>
      </c>
      <c r="P149" s="19" t="str">
        <f aca="false">IF($D149="","",IF(INDEX(GradeRank,MATCH($D149,GradeList,0))&gt;=INDEX(GradeRank,MATCH("G14",GradeList,0)),OneOffSenior,OneOffJunior))</f>
        <v/>
      </c>
      <c r="Q149" s="19" t="str">
        <f aca="false">IF(OR($D149="",$I149="",$H149=""),"",$O149*$H149*(5-MATCH($I149,{"Q1";"Q2";"Q3";"Q4"},0))/4+$P149*$H149)</f>
        <v/>
      </c>
      <c r="R149" s="19" t="str">
        <f aca="false">IF($O149="","",$O149*$H149)</f>
        <v/>
      </c>
      <c r="S149" s="32" t="str">
        <f aca="false">IF(COUNTA($B149:$J149)+COUNTA($M149:$N149)=0,"",MID(IF($B149="",", unit","")&amp;IF($C149="",", job title","")&amp;IF($D149="",", grade","")&amp;IF($E149="",", workforce type","")&amp;IF($F149="",", Saudi basis","")&amp;IF($G149="",", nature","")&amp;IF(N($H149)&lt;=0,", FTE","")&amp;IF($I149="",", start quarter","")&amp;IF($J149="",", driver","")&amp;IF($M149="",", alternatives",""),3,300))</f>
        <v/>
      </c>
      <c r="T149" s="17" t="str">
        <f aca="false">IF($S149="","",COUNTIF($S$6:$S149,"?*"))</f>
        <v/>
      </c>
    </row>
    <row r="150" customFormat="false" ht="15" hidden="false" customHeight="false" outlineLevel="0" collapsed="false">
      <c r="A150" s="17" t="n">
        <v>145</v>
      </c>
      <c r="B150" s="22"/>
      <c r="C150" s="22"/>
      <c r="D150" s="22"/>
      <c r="E150" s="22"/>
      <c r="F150" s="22"/>
      <c r="G150" s="22"/>
      <c r="H150" s="25"/>
      <c r="I150" s="22"/>
      <c r="J150" s="22"/>
      <c r="K150" s="31" t="str">
        <f aca="false">IF($J150="","",IFERROR(INDEX(DriverCategory,MATCH($J150,DriverList,0)),"?"))</f>
        <v/>
      </c>
      <c r="L150" s="31" t="str">
        <f aca="false">IF($J150="","",IFERROR(INDEX(DriverRank,MATCH($J150,DriverList,0)),99))</f>
        <v/>
      </c>
      <c r="M150" s="22"/>
      <c r="N150" s="22"/>
      <c r="O150" s="19" t="str">
        <f aca="false">IF($D150="","",INDEX(GradeBasic,MATCH($D150,GradeList,0))+INDEX(GradeHousing,MATCH($D150,GradeList,0))+INDEX(GradeTransport,MATCH($D150,GradeList,0))+INDEX(GradeBasic,MATCH($D150,GradeList,0))*INDEX(GradeBonus,MATCH($D150,GradeList,0))+(INDEX(GradeBasic,MATCH($D150,GradeList,0))+INDEX(GradeHousing,MATCH($D150,GradeList,0)))*IF($F150="Saudi",GosiSaudi,GosiOther))</f>
        <v/>
      </c>
      <c r="P150" s="19" t="str">
        <f aca="false">IF($D150="","",IF(INDEX(GradeRank,MATCH($D150,GradeList,0))&gt;=INDEX(GradeRank,MATCH("G14",GradeList,0)),OneOffSenior,OneOffJunior))</f>
        <v/>
      </c>
      <c r="Q150" s="19" t="str">
        <f aca="false">IF(OR($D150="",$I150="",$H150=""),"",$O150*$H150*(5-MATCH($I150,{"Q1";"Q2";"Q3";"Q4"},0))/4+$P150*$H150)</f>
        <v/>
      </c>
      <c r="R150" s="19" t="str">
        <f aca="false">IF($O150="","",$O150*$H150)</f>
        <v/>
      </c>
      <c r="S150" s="32" t="str">
        <f aca="false">IF(COUNTA($B150:$J150)+COUNTA($M150:$N150)=0,"",MID(IF($B150="",", unit","")&amp;IF($C150="",", job title","")&amp;IF($D150="",", grade","")&amp;IF($E150="",", workforce type","")&amp;IF($F150="",", Saudi basis","")&amp;IF($G150="",", nature","")&amp;IF(N($H150)&lt;=0,", FTE","")&amp;IF($I150="",", start quarter","")&amp;IF($J150="",", driver","")&amp;IF($M150="",", alternatives",""),3,300))</f>
        <v/>
      </c>
      <c r="T150" s="17" t="str">
        <f aca="false">IF($S150="","",COUNTIF($S$6:$S150,"?*"))</f>
        <v/>
      </c>
    </row>
    <row r="151" customFormat="false" ht="15" hidden="false" customHeight="false" outlineLevel="0" collapsed="false">
      <c r="A151" s="17" t="n">
        <v>146</v>
      </c>
      <c r="B151" s="22"/>
      <c r="C151" s="22"/>
      <c r="D151" s="22"/>
      <c r="E151" s="22"/>
      <c r="F151" s="22"/>
      <c r="G151" s="22"/>
      <c r="H151" s="25"/>
      <c r="I151" s="22"/>
      <c r="J151" s="22"/>
      <c r="K151" s="31" t="str">
        <f aca="false">IF($J151="","",IFERROR(INDEX(DriverCategory,MATCH($J151,DriverList,0)),"?"))</f>
        <v/>
      </c>
      <c r="L151" s="31" t="str">
        <f aca="false">IF($J151="","",IFERROR(INDEX(DriverRank,MATCH($J151,DriverList,0)),99))</f>
        <v/>
      </c>
      <c r="M151" s="22"/>
      <c r="N151" s="22"/>
      <c r="O151" s="19" t="str">
        <f aca="false">IF($D151="","",INDEX(GradeBasic,MATCH($D151,GradeList,0))+INDEX(GradeHousing,MATCH($D151,GradeList,0))+INDEX(GradeTransport,MATCH($D151,GradeList,0))+INDEX(GradeBasic,MATCH($D151,GradeList,0))*INDEX(GradeBonus,MATCH($D151,GradeList,0))+(INDEX(GradeBasic,MATCH($D151,GradeList,0))+INDEX(GradeHousing,MATCH($D151,GradeList,0)))*IF($F151="Saudi",GosiSaudi,GosiOther))</f>
        <v/>
      </c>
      <c r="P151" s="19" t="str">
        <f aca="false">IF($D151="","",IF(INDEX(GradeRank,MATCH($D151,GradeList,0))&gt;=INDEX(GradeRank,MATCH("G14",GradeList,0)),OneOffSenior,OneOffJunior))</f>
        <v/>
      </c>
      <c r="Q151" s="19" t="str">
        <f aca="false">IF(OR($D151="",$I151="",$H151=""),"",$O151*$H151*(5-MATCH($I151,{"Q1";"Q2";"Q3";"Q4"},0))/4+$P151*$H151)</f>
        <v/>
      </c>
      <c r="R151" s="19" t="str">
        <f aca="false">IF($O151="","",$O151*$H151)</f>
        <v/>
      </c>
      <c r="S151" s="32" t="str">
        <f aca="false">IF(COUNTA($B151:$J151)+COUNTA($M151:$N151)=0,"",MID(IF($B151="",", unit","")&amp;IF($C151="",", job title","")&amp;IF($D151="",", grade","")&amp;IF($E151="",", workforce type","")&amp;IF($F151="",", Saudi basis","")&amp;IF($G151="",", nature","")&amp;IF(N($H151)&lt;=0,", FTE","")&amp;IF($I151="",", start quarter","")&amp;IF($J151="",", driver","")&amp;IF($M151="",", alternatives",""),3,300))</f>
        <v/>
      </c>
      <c r="T151" s="17" t="str">
        <f aca="false">IF($S151="","",COUNTIF($S$6:$S151,"?*"))</f>
        <v/>
      </c>
    </row>
    <row r="152" customFormat="false" ht="15" hidden="false" customHeight="false" outlineLevel="0" collapsed="false">
      <c r="A152" s="17" t="n">
        <v>147</v>
      </c>
      <c r="B152" s="22"/>
      <c r="C152" s="22"/>
      <c r="D152" s="22"/>
      <c r="E152" s="22"/>
      <c r="F152" s="22"/>
      <c r="G152" s="22"/>
      <c r="H152" s="25"/>
      <c r="I152" s="22"/>
      <c r="J152" s="22"/>
      <c r="K152" s="31" t="str">
        <f aca="false">IF($J152="","",IFERROR(INDEX(DriverCategory,MATCH($J152,DriverList,0)),"?"))</f>
        <v/>
      </c>
      <c r="L152" s="31" t="str">
        <f aca="false">IF($J152="","",IFERROR(INDEX(DriverRank,MATCH($J152,DriverList,0)),99))</f>
        <v/>
      </c>
      <c r="M152" s="22"/>
      <c r="N152" s="22"/>
      <c r="O152" s="19" t="str">
        <f aca="false">IF($D152="","",INDEX(GradeBasic,MATCH($D152,GradeList,0))+INDEX(GradeHousing,MATCH($D152,GradeList,0))+INDEX(GradeTransport,MATCH($D152,GradeList,0))+INDEX(GradeBasic,MATCH($D152,GradeList,0))*INDEX(GradeBonus,MATCH($D152,GradeList,0))+(INDEX(GradeBasic,MATCH($D152,GradeList,0))+INDEX(GradeHousing,MATCH($D152,GradeList,0)))*IF($F152="Saudi",GosiSaudi,GosiOther))</f>
        <v/>
      </c>
      <c r="P152" s="19" t="str">
        <f aca="false">IF($D152="","",IF(INDEX(GradeRank,MATCH($D152,GradeList,0))&gt;=INDEX(GradeRank,MATCH("G14",GradeList,0)),OneOffSenior,OneOffJunior))</f>
        <v/>
      </c>
      <c r="Q152" s="19" t="str">
        <f aca="false">IF(OR($D152="",$I152="",$H152=""),"",$O152*$H152*(5-MATCH($I152,{"Q1";"Q2";"Q3";"Q4"},0))/4+$P152*$H152)</f>
        <v/>
      </c>
      <c r="R152" s="19" t="str">
        <f aca="false">IF($O152="","",$O152*$H152)</f>
        <v/>
      </c>
      <c r="S152" s="32" t="str">
        <f aca="false">IF(COUNTA($B152:$J152)+COUNTA($M152:$N152)=0,"",MID(IF($B152="",", unit","")&amp;IF($C152="",", job title","")&amp;IF($D152="",", grade","")&amp;IF($E152="",", workforce type","")&amp;IF($F152="",", Saudi basis","")&amp;IF($G152="",", nature","")&amp;IF(N($H152)&lt;=0,", FTE","")&amp;IF($I152="",", start quarter","")&amp;IF($J152="",", driver","")&amp;IF($M152="",", alternatives",""),3,300))</f>
        <v/>
      </c>
      <c r="T152" s="17" t="str">
        <f aca="false">IF($S152="","",COUNTIF($S$6:$S152,"?*"))</f>
        <v/>
      </c>
    </row>
    <row r="153" customFormat="false" ht="15" hidden="false" customHeight="false" outlineLevel="0" collapsed="false">
      <c r="A153" s="17" t="n">
        <v>148</v>
      </c>
      <c r="B153" s="22"/>
      <c r="C153" s="22"/>
      <c r="D153" s="22"/>
      <c r="E153" s="22"/>
      <c r="F153" s="22"/>
      <c r="G153" s="22"/>
      <c r="H153" s="25"/>
      <c r="I153" s="22"/>
      <c r="J153" s="22"/>
      <c r="K153" s="31" t="str">
        <f aca="false">IF($J153="","",IFERROR(INDEX(DriverCategory,MATCH($J153,DriverList,0)),"?"))</f>
        <v/>
      </c>
      <c r="L153" s="31" t="str">
        <f aca="false">IF($J153="","",IFERROR(INDEX(DriverRank,MATCH($J153,DriverList,0)),99))</f>
        <v/>
      </c>
      <c r="M153" s="22"/>
      <c r="N153" s="22"/>
      <c r="O153" s="19" t="str">
        <f aca="false">IF($D153="","",INDEX(GradeBasic,MATCH($D153,GradeList,0))+INDEX(GradeHousing,MATCH($D153,GradeList,0))+INDEX(GradeTransport,MATCH($D153,GradeList,0))+INDEX(GradeBasic,MATCH($D153,GradeList,0))*INDEX(GradeBonus,MATCH($D153,GradeList,0))+(INDEX(GradeBasic,MATCH($D153,GradeList,0))+INDEX(GradeHousing,MATCH($D153,GradeList,0)))*IF($F153="Saudi",GosiSaudi,GosiOther))</f>
        <v/>
      </c>
      <c r="P153" s="19" t="str">
        <f aca="false">IF($D153="","",IF(INDEX(GradeRank,MATCH($D153,GradeList,0))&gt;=INDEX(GradeRank,MATCH("G14",GradeList,0)),OneOffSenior,OneOffJunior))</f>
        <v/>
      </c>
      <c r="Q153" s="19" t="str">
        <f aca="false">IF(OR($D153="",$I153="",$H153=""),"",$O153*$H153*(5-MATCH($I153,{"Q1";"Q2";"Q3";"Q4"},0))/4+$P153*$H153)</f>
        <v/>
      </c>
      <c r="R153" s="19" t="str">
        <f aca="false">IF($O153="","",$O153*$H153)</f>
        <v/>
      </c>
      <c r="S153" s="32" t="str">
        <f aca="false">IF(COUNTA($B153:$J153)+COUNTA($M153:$N153)=0,"",MID(IF($B153="",", unit","")&amp;IF($C153="",", job title","")&amp;IF($D153="",", grade","")&amp;IF($E153="",", workforce type","")&amp;IF($F153="",", Saudi basis","")&amp;IF($G153="",", nature","")&amp;IF(N($H153)&lt;=0,", FTE","")&amp;IF($I153="",", start quarter","")&amp;IF($J153="",", driver","")&amp;IF($M153="",", alternatives",""),3,300))</f>
        <v/>
      </c>
      <c r="T153" s="17" t="str">
        <f aca="false">IF($S153="","",COUNTIF($S$6:$S153,"?*"))</f>
        <v/>
      </c>
    </row>
    <row r="154" customFormat="false" ht="15" hidden="false" customHeight="false" outlineLevel="0" collapsed="false">
      <c r="A154" s="17" t="n">
        <v>149</v>
      </c>
      <c r="B154" s="22"/>
      <c r="C154" s="22"/>
      <c r="D154" s="22"/>
      <c r="E154" s="22"/>
      <c r="F154" s="22"/>
      <c r="G154" s="22"/>
      <c r="H154" s="25"/>
      <c r="I154" s="22"/>
      <c r="J154" s="22"/>
      <c r="K154" s="31" t="str">
        <f aca="false">IF($J154="","",IFERROR(INDEX(DriverCategory,MATCH($J154,DriverList,0)),"?"))</f>
        <v/>
      </c>
      <c r="L154" s="31" t="str">
        <f aca="false">IF($J154="","",IFERROR(INDEX(DriverRank,MATCH($J154,DriverList,0)),99))</f>
        <v/>
      </c>
      <c r="M154" s="22"/>
      <c r="N154" s="22"/>
      <c r="O154" s="19" t="str">
        <f aca="false">IF($D154="","",INDEX(GradeBasic,MATCH($D154,GradeList,0))+INDEX(GradeHousing,MATCH($D154,GradeList,0))+INDEX(GradeTransport,MATCH($D154,GradeList,0))+INDEX(GradeBasic,MATCH($D154,GradeList,0))*INDEX(GradeBonus,MATCH($D154,GradeList,0))+(INDEX(GradeBasic,MATCH($D154,GradeList,0))+INDEX(GradeHousing,MATCH($D154,GradeList,0)))*IF($F154="Saudi",GosiSaudi,GosiOther))</f>
        <v/>
      </c>
      <c r="P154" s="19" t="str">
        <f aca="false">IF($D154="","",IF(INDEX(GradeRank,MATCH($D154,GradeList,0))&gt;=INDEX(GradeRank,MATCH("G14",GradeList,0)),OneOffSenior,OneOffJunior))</f>
        <v/>
      </c>
      <c r="Q154" s="19" t="str">
        <f aca="false">IF(OR($D154="",$I154="",$H154=""),"",$O154*$H154*(5-MATCH($I154,{"Q1";"Q2";"Q3";"Q4"},0))/4+$P154*$H154)</f>
        <v/>
      </c>
      <c r="R154" s="19" t="str">
        <f aca="false">IF($O154="","",$O154*$H154)</f>
        <v/>
      </c>
      <c r="S154" s="32" t="str">
        <f aca="false">IF(COUNTA($B154:$J154)+COUNTA($M154:$N154)=0,"",MID(IF($B154="",", unit","")&amp;IF($C154="",", job title","")&amp;IF($D154="",", grade","")&amp;IF($E154="",", workforce type","")&amp;IF($F154="",", Saudi basis","")&amp;IF($G154="",", nature","")&amp;IF(N($H154)&lt;=0,", FTE","")&amp;IF($I154="",", start quarter","")&amp;IF($J154="",", driver","")&amp;IF($M154="",", alternatives",""),3,300))</f>
        <v/>
      </c>
      <c r="T154" s="17" t="str">
        <f aca="false">IF($S154="","",COUNTIF($S$6:$S154,"?*"))</f>
        <v/>
      </c>
    </row>
    <row r="155" customFormat="false" ht="15" hidden="false" customHeight="false" outlineLevel="0" collapsed="false">
      <c r="A155" s="17" t="n">
        <v>150</v>
      </c>
      <c r="B155" s="22"/>
      <c r="C155" s="22"/>
      <c r="D155" s="22"/>
      <c r="E155" s="22"/>
      <c r="F155" s="22"/>
      <c r="G155" s="22"/>
      <c r="H155" s="25"/>
      <c r="I155" s="22"/>
      <c r="J155" s="22"/>
      <c r="K155" s="31" t="str">
        <f aca="false">IF($J155="","",IFERROR(INDEX(DriverCategory,MATCH($J155,DriverList,0)),"?"))</f>
        <v/>
      </c>
      <c r="L155" s="31" t="str">
        <f aca="false">IF($J155="","",IFERROR(INDEX(DriverRank,MATCH($J155,DriverList,0)),99))</f>
        <v/>
      </c>
      <c r="M155" s="22"/>
      <c r="N155" s="22"/>
      <c r="O155" s="19" t="str">
        <f aca="false">IF($D155="","",INDEX(GradeBasic,MATCH($D155,GradeList,0))+INDEX(GradeHousing,MATCH($D155,GradeList,0))+INDEX(GradeTransport,MATCH($D155,GradeList,0))+INDEX(GradeBasic,MATCH($D155,GradeList,0))*INDEX(GradeBonus,MATCH($D155,GradeList,0))+(INDEX(GradeBasic,MATCH($D155,GradeList,0))+INDEX(GradeHousing,MATCH($D155,GradeList,0)))*IF($F155="Saudi",GosiSaudi,GosiOther))</f>
        <v/>
      </c>
      <c r="P155" s="19" t="str">
        <f aca="false">IF($D155="","",IF(INDEX(GradeRank,MATCH($D155,GradeList,0))&gt;=INDEX(GradeRank,MATCH("G14",GradeList,0)),OneOffSenior,OneOffJunior))</f>
        <v/>
      </c>
      <c r="Q155" s="19" t="str">
        <f aca="false">IF(OR($D155="",$I155="",$H155=""),"",$O155*$H155*(5-MATCH($I155,{"Q1";"Q2";"Q3";"Q4"},0))/4+$P155*$H155)</f>
        <v/>
      </c>
      <c r="R155" s="19" t="str">
        <f aca="false">IF($O155="","",$O155*$H155)</f>
        <v/>
      </c>
      <c r="S155" s="32" t="str">
        <f aca="false">IF(COUNTA($B155:$J155)+COUNTA($M155:$N155)=0,"",MID(IF($B155="",", unit","")&amp;IF($C155="",", job title","")&amp;IF($D155="",", grade","")&amp;IF($E155="",", workforce type","")&amp;IF($F155="",", Saudi basis","")&amp;IF($G155="",", nature","")&amp;IF(N($H155)&lt;=0,", FTE","")&amp;IF($I155="",", start quarter","")&amp;IF($J155="",", driver","")&amp;IF($M155="",", alternatives",""),3,300))</f>
        <v/>
      </c>
      <c r="T155" s="17" t="str">
        <f aca="false">IF($S155="","",COUNTIF($S$6:$S155,"?*"))</f>
        <v/>
      </c>
    </row>
    <row r="156" customFormat="false" ht="15" hidden="false" customHeight="false" outlineLevel="0" collapsed="false">
      <c r="A156" s="17" t="n">
        <v>151</v>
      </c>
      <c r="B156" s="22"/>
      <c r="C156" s="22"/>
      <c r="D156" s="22"/>
      <c r="E156" s="22"/>
      <c r="F156" s="22"/>
      <c r="G156" s="22"/>
      <c r="H156" s="25"/>
      <c r="I156" s="22"/>
      <c r="J156" s="22"/>
      <c r="K156" s="31" t="str">
        <f aca="false">IF($J156="","",IFERROR(INDEX(DriverCategory,MATCH($J156,DriverList,0)),"?"))</f>
        <v/>
      </c>
      <c r="L156" s="31" t="str">
        <f aca="false">IF($J156="","",IFERROR(INDEX(DriverRank,MATCH($J156,DriverList,0)),99))</f>
        <v/>
      </c>
      <c r="M156" s="22"/>
      <c r="N156" s="22"/>
      <c r="O156" s="19" t="str">
        <f aca="false">IF($D156="","",INDEX(GradeBasic,MATCH($D156,GradeList,0))+INDEX(GradeHousing,MATCH($D156,GradeList,0))+INDEX(GradeTransport,MATCH($D156,GradeList,0))+INDEX(GradeBasic,MATCH($D156,GradeList,0))*INDEX(GradeBonus,MATCH($D156,GradeList,0))+(INDEX(GradeBasic,MATCH($D156,GradeList,0))+INDEX(GradeHousing,MATCH($D156,GradeList,0)))*IF($F156="Saudi",GosiSaudi,GosiOther))</f>
        <v/>
      </c>
      <c r="P156" s="19" t="str">
        <f aca="false">IF($D156="","",IF(INDEX(GradeRank,MATCH($D156,GradeList,0))&gt;=INDEX(GradeRank,MATCH("G14",GradeList,0)),OneOffSenior,OneOffJunior))</f>
        <v/>
      </c>
      <c r="Q156" s="19" t="str">
        <f aca="false">IF(OR($D156="",$I156="",$H156=""),"",$O156*$H156*(5-MATCH($I156,{"Q1";"Q2";"Q3";"Q4"},0))/4+$P156*$H156)</f>
        <v/>
      </c>
      <c r="R156" s="19" t="str">
        <f aca="false">IF($O156="","",$O156*$H156)</f>
        <v/>
      </c>
      <c r="S156" s="32" t="str">
        <f aca="false">IF(COUNTA($B156:$J156)+COUNTA($M156:$N156)=0,"",MID(IF($B156="",", unit","")&amp;IF($C156="",", job title","")&amp;IF($D156="",", grade","")&amp;IF($E156="",", workforce type","")&amp;IF($F156="",", Saudi basis","")&amp;IF($G156="",", nature","")&amp;IF(N($H156)&lt;=0,", FTE","")&amp;IF($I156="",", start quarter","")&amp;IF($J156="",", driver","")&amp;IF($M156="",", alternatives",""),3,300))</f>
        <v/>
      </c>
      <c r="T156" s="17" t="str">
        <f aca="false">IF($S156="","",COUNTIF($S$6:$S156,"?*"))</f>
        <v/>
      </c>
    </row>
    <row r="157" customFormat="false" ht="15" hidden="false" customHeight="false" outlineLevel="0" collapsed="false">
      <c r="A157" s="17" t="n">
        <v>152</v>
      </c>
      <c r="B157" s="22"/>
      <c r="C157" s="22"/>
      <c r="D157" s="22"/>
      <c r="E157" s="22"/>
      <c r="F157" s="22"/>
      <c r="G157" s="22"/>
      <c r="H157" s="25"/>
      <c r="I157" s="22"/>
      <c r="J157" s="22"/>
      <c r="K157" s="31" t="str">
        <f aca="false">IF($J157="","",IFERROR(INDEX(DriverCategory,MATCH($J157,DriverList,0)),"?"))</f>
        <v/>
      </c>
      <c r="L157" s="31" t="str">
        <f aca="false">IF($J157="","",IFERROR(INDEX(DriverRank,MATCH($J157,DriverList,0)),99))</f>
        <v/>
      </c>
      <c r="M157" s="22"/>
      <c r="N157" s="22"/>
      <c r="O157" s="19" t="str">
        <f aca="false">IF($D157="","",INDEX(GradeBasic,MATCH($D157,GradeList,0))+INDEX(GradeHousing,MATCH($D157,GradeList,0))+INDEX(GradeTransport,MATCH($D157,GradeList,0))+INDEX(GradeBasic,MATCH($D157,GradeList,0))*INDEX(GradeBonus,MATCH($D157,GradeList,0))+(INDEX(GradeBasic,MATCH($D157,GradeList,0))+INDEX(GradeHousing,MATCH($D157,GradeList,0)))*IF($F157="Saudi",GosiSaudi,GosiOther))</f>
        <v/>
      </c>
      <c r="P157" s="19" t="str">
        <f aca="false">IF($D157="","",IF(INDEX(GradeRank,MATCH($D157,GradeList,0))&gt;=INDEX(GradeRank,MATCH("G14",GradeList,0)),OneOffSenior,OneOffJunior))</f>
        <v/>
      </c>
      <c r="Q157" s="19" t="str">
        <f aca="false">IF(OR($D157="",$I157="",$H157=""),"",$O157*$H157*(5-MATCH($I157,{"Q1";"Q2";"Q3";"Q4"},0))/4+$P157*$H157)</f>
        <v/>
      </c>
      <c r="R157" s="19" t="str">
        <f aca="false">IF($O157="","",$O157*$H157)</f>
        <v/>
      </c>
      <c r="S157" s="32" t="str">
        <f aca="false">IF(COUNTA($B157:$J157)+COUNTA($M157:$N157)=0,"",MID(IF($B157="",", unit","")&amp;IF($C157="",", job title","")&amp;IF($D157="",", grade","")&amp;IF($E157="",", workforce type","")&amp;IF($F157="",", Saudi basis","")&amp;IF($G157="",", nature","")&amp;IF(N($H157)&lt;=0,", FTE","")&amp;IF($I157="",", start quarter","")&amp;IF($J157="",", driver","")&amp;IF($M157="",", alternatives",""),3,300))</f>
        <v/>
      </c>
      <c r="T157" s="17" t="str">
        <f aca="false">IF($S157="","",COUNTIF($S$6:$S157,"?*"))</f>
        <v/>
      </c>
    </row>
    <row r="158" customFormat="false" ht="15" hidden="false" customHeight="false" outlineLevel="0" collapsed="false">
      <c r="A158" s="17" t="n">
        <v>153</v>
      </c>
      <c r="B158" s="22"/>
      <c r="C158" s="22"/>
      <c r="D158" s="22"/>
      <c r="E158" s="22"/>
      <c r="F158" s="22"/>
      <c r="G158" s="22"/>
      <c r="H158" s="25"/>
      <c r="I158" s="22"/>
      <c r="J158" s="22"/>
      <c r="K158" s="31" t="str">
        <f aca="false">IF($J158="","",IFERROR(INDEX(DriverCategory,MATCH($J158,DriverList,0)),"?"))</f>
        <v/>
      </c>
      <c r="L158" s="31" t="str">
        <f aca="false">IF($J158="","",IFERROR(INDEX(DriverRank,MATCH($J158,DriverList,0)),99))</f>
        <v/>
      </c>
      <c r="M158" s="22"/>
      <c r="N158" s="22"/>
      <c r="O158" s="19" t="str">
        <f aca="false">IF($D158="","",INDEX(GradeBasic,MATCH($D158,GradeList,0))+INDEX(GradeHousing,MATCH($D158,GradeList,0))+INDEX(GradeTransport,MATCH($D158,GradeList,0))+INDEX(GradeBasic,MATCH($D158,GradeList,0))*INDEX(GradeBonus,MATCH($D158,GradeList,0))+(INDEX(GradeBasic,MATCH($D158,GradeList,0))+INDEX(GradeHousing,MATCH($D158,GradeList,0)))*IF($F158="Saudi",GosiSaudi,GosiOther))</f>
        <v/>
      </c>
      <c r="P158" s="19" t="str">
        <f aca="false">IF($D158="","",IF(INDEX(GradeRank,MATCH($D158,GradeList,0))&gt;=INDEX(GradeRank,MATCH("G14",GradeList,0)),OneOffSenior,OneOffJunior))</f>
        <v/>
      </c>
      <c r="Q158" s="19" t="str">
        <f aca="false">IF(OR($D158="",$I158="",$H158=""),"",$O158*$H158*(5-MATCH($I158,{"Q1";"Q2";"Q3";"Q4"},0))/4+$P158*$H158)</f>
        <v/>
      </c>
      <c r="R158" s="19" t="str">
        <f aca="false">IF($O158="","",$O158*$H158)</f>
        <v/>
      </c>
      <c r="S158" s="32" t="str">
        <f aca="false">IF(COUNTA($B158:$J158)+COUNTA($M158:$N158)=0,"",MID(IF($B158="",", unit","")&amp;IF($C158="",", job title","")&amp;IF($D158="",", grade","")&amp;IF($E158="",", workforce type","")&amp;IF($F158="",", Saudi basis","")&amp;IF($G158="",", nature","")&amp;IF(N($H158)&lt;=0,", FTE","")&amp;IF($I158="",", start quarter","")&amp;IF($J158="",", driver","")&amp;IF($M158="",", alternatives",""),3,300))</f>
        <v/>
      </c>
      <c r="T158" s="17" t="str">
        <f aca="false">IF($S158="","",COUNTIF($S$6:$S158,"?*"))</f>
        <v/>
      </c>
    </row>
    <row r="159" customFormat="false" ht="15" hidden="false" customHeight="false" outlineLevel="0" collapsed="false">
      <c r="A159" s="17" t="n">
        <v>154</v>
      </c>
      <c r="B159" s="22"/>
      <c r="C159" s="22"/>
      <c r="D159" s="22"/>
      <c r="E159" s="22"/>
      <c r="F159" s="22"/>
      <c r="G159" s="22"/>
      <c r="H159" s="25"/>
      <c r="I159" s="22"/>
      <c r="J159" s="22"/>
      <c r="K159" s="31" t="str">
        <f aca="false">IF($J159="","",IFERROR(INDEX(DriverCategory,MATCH($J159,DriverList,0)),"?"))</f>
        <v/>
      </c>
      <c r="L159" s="31" t="str">
        <f aca="false">IF($J159="","",IFERROR(INDEX(DriverRank,MATCH($J159,DriverList,0)),99))</f>
        <v/>
      </c>
      <c r="M159" s="22"/>
      <c r="N159" s="22"/>
      <c r="O159" s="19" t="str">
        <f aca="false">IF($D159="","",INDEX(GradeBasic,MATCH($D159,GradeList,0))+INDEX(GradeHousing,MATCH($D159,GradeList,0))+INDEX(GradeTransport,MATCH($D159,GradeList,0))+INDEX(GradeBasic,MATCH($D159,GradeList,0))*INDEX(GradeBonus,MATCH($D159,GradeList,0))+(INDEX(GradeBasic,MATCH($D159,GradeList,0))+INDEX(GradeHousing,MATCH($D159,GradeList,0)))*IF($F159="Saudi",GosiSaudi,GosiOther))</f>
        <v/>
      </c>
      <c r="P159" s="19" t="str">
        <f aca="false">IF($D159="","",IF(INDEX(GradeRank,MATCH($D159,GradeList,0))&gt;=INDEX(GradeRank,MATCH("G14",GradeList,0)),OneOffSenior,OneOffJunior))</f>
        <v/>
      </c>
      <c r="Q159" s="19" t="str">
        <f aca="false">IF(OR($D159="",$I159="",$H159=""),"",$O159*$H159*(5-MATCH($I159,{"Q1";"Q2";"Q3";"Q4"},0))/4+$P159*$H159)</f>
        <v/>
      </c>
      <c r="R159" s="19" t="str">
        <f aca="false">IF($O159="","",$O159*$H159)</f>
        <v/>
      </c>
      <c r="S159" s="32" t="str">
        <f aca="false">IF(COUNTA($B159:$J159)+COUNTA($M159:$N159)=0,"",MID(IF($B159="",", unit","")&amp;IF($C159="",", job title","")&amp;IF($D159="",", grade","")&amp;IF($E159="",", workforce type","")&amp;IF($F159="",", Saudi basis","")&amp;IF($G159="",", nature","")&amp;IF(N($H159)&lt;=0,", FTE","")&amp;IF($I159="",", start quarter","")&amp;IF($J159="",", driver","")&amp;IF($M159="",", alternatives",""),3,300))</f>
        <v/>
      </c>
      <c r="T159" s="17" t="str">
        <f aca="false">IF($S159="","",COUNTIF($S$6:$S159,"?*"))</f>
        <v/>
      </c>
    </row>
    <row r="160" customFormat="false" ht="15" hidden="false" customHeight="false" outlineLevel="0" collapsed="false">
      <c r="A160" s="17" t="n">
        <v>155</v>
      </c>
      <c r="B160" s="22"/>
      <c r="C160" s="22"/>
      <c r="D160" s="22"/>
      <c r="E160" s="22"/>
      <c r="F160" s="22"/>
      <c r="G160" s="22"/>
      <c r="H160" s="25"/>
      <c r="I160" s="22"/>
      <c r="J160" s="22"/>
      <c r="K160" s="31" t="str">
        <f aca="false">IF($J160="","",IFERROR(INDEX(DriverCategory,MATCH($J160,DriverList,0)),"?"))</f>
        <v/>
      </c>
      <c r="L160" s="31" t="str">
        <f aca="false">IF($J160="","",IFERROR(INDEX(DriverRank,MATCH($J160,DriverList,0)),99))</f>
        <v/>
      </c>
      <c r="M160" s="22"/>
      <c r="N160" s="22"/>
      <c r="O160" s="19" t="str">
        <f aca="false">IF($D160="","",INDEX(GradeBasic,MATCH($D160,GradeList,0))+INDEX(GradeHousing,MATCH($D160,GradeList,0))+INDEX(GradeTransport,MATCH($D160,GradeList,0))+INDEX(GradeBasic,MATCH($D160,GradeList,0))*INDEX(GradeBonus,MATCH($D160,GradeList,0))+(INDEX(GradeBasic,MATCH($D160,GradeList,0))+INDEX(GradeHousing,MATCH($D160,GradeList,0)))*IF($F160="Saudi",GosiSaudi,GosiOther))</f>
        <v/>
      </c>
      <c r="P160" s="19" t="str">
        <f aca="false">IF($D160="","",IF(INDEX(GradeRank,MATCH($D160,GradeList,0))&gt;=INDEX(GradeRank,MATCH("G14",GradeList,0)),OneOffSenior,OneOffJunior))</f>
        <v/>
      </c>
      <c r="Q160" s="19" t="str">
        <f aca="false">IF(OR($D160="",$I160="",$H160=""),"",$O160*$H160*(5-MATCH($I160,{"Q1";"Q2";"Q3";"Q4"},0))/4+$P160*$H160)</f>
        <v/>
      </c>
      <c r="R160" s="19" t="str">
        <f aca="false">IF($O160="","",$O160*$H160)</f>
        <v/>
      </c>
      <c r="S160" s="32" t="str">
        <f aca="false">IF(COUNTA($B160:$J160)+COUNTA($M160:$N160)=0,"",MID(IF($B160="",", unit","")&amp;IF($C160="",", job title","")&amp;IF($D160="",", grade","")&amp;IF($E160="",", workforce type","")&amp;IF($F160="",", Saudi basis","")&amp;IF($G160="",", nature","")&amp;IF(N($H160)&lt;=0,", FTE","")&amp;IF($I160="",", start quarter","")&amp;IF($J160="",", driver","")&amp;IF($M160="",", alternatives",""),3,300))</f>
        <v/>
      </c>
      <c r="T160" s="17" t="str">
        <f aca="false">IF($S160="","",COUNTIF($S$6:$S160,"?*"))</f>
        <v/>
      </c>
    </row>
    <row r="161" customFormat="false" ht="15" hidden="false" customHeight="false" outlineLevel="0" collapsed="false">
      <c r="A161" s="17" t="n">
        <v>156</v>
      </c>
      <c r="B161" s="22"/>
      <c r="C161" s="22"/>
      <c r="D161" s="22"/>
      <c r="E161" s="22"/>
      <c r="F161" s="22"/>
      <c r="G161" s="22"/>
      <c r="H161" s="25"/>
      <c r="I161" s="22"/>
      <c r="J161" s="22"/>
      <c r="K161" s="31" t="str">
        <f aca="false">IF($J161="","",IFERROR(INDEX(DriverCategory,MATCH($J161,DriverList,0)),"?"))</f>
        <v/>
      </c>
      <c r="L161" s="31" t="str">
        <f aca="false">IF($J161="","",IFERROR(INDEX(DriverRank,MATCH($J161,DriverList,0)),99))</f>
        <v/>
      </c>
      <c r="M161" s="22"/>
      <c r="N161" s="22"/>
      <c r="O161" s="19" t="str">
        <f aca="false">IF($D161="","",INDEX(GradeBasic,MATCH($D161,GradeList,0))+INDEX(GradeHousing,MATCH($D161,GradeList,0))+INDEX(GradeTransport,MATCH($D161,GradeList,0))+INDEX(GradeBasic,MATCH($D161,GradeList,0))*INDEX(GradeBonus,MATCH($D161,GradeList,0))+(INDEX(GradeBasic,MATCH($D161,GradeList,0))+INDEX(GradeHousing,MATCH($D161,GradeList,0)))*IF($F161="Saudi",GosiSaudi,GosiOther))</f>
        <v/>
      </c>
      <c r="P161" s="19" t="str">
        <f aca="false">IF($D161="","",IF(INDEX(GradeRank,MATCH($D161,GradeList,0))&gt;=INDEX(GradeRank,MATCH("G14",GradeList,0)),OneOffSenior,OneOffJunior))</f>
        <v/>
      </c>
      <c r="Q161" s="19" t="str">
        <f aca="false">IF(OR($D161="",$I161="",$H161=""),"",$O161*$H161*(5-MATCH($I161,{"Q1";"Q2";"Q3";"Q4"},0))/4+$P161*$H161)</f>
        <v/>
      </c>
      <c r="R161" s="19" t="str">
        <f aca="false">IF($O161="","",$O161*$H161)</f>
        <v/>
      </c>
      <c r="S161" s="32" t="str">
        <f aca="false">IF(COUNTA($B161:$J161)+COUNTA($M161:$N161)=0,"",MID(IF($B161="",", unit","")&amp;IF($C161="",", job title","")&amp;IF($D161="",", grade","")&amp;IF($E161="",", workforce type","")&amp;IF($F161="",", Saudi basis","")&amp;IF($G161="",", nature","")&amp;IF(N($H161)&lt;=0,", FTE","")&amp;IF($I161="",", start quarter","")&amp;IF($J161="",", driver","")&amp;IF($M161="",", alternatives",""),3,300))</f>
        <v/>
      </c>
      <c r="T161" s="17" t="str">
        <f aca="false">IF($S161="","",COUNTIF($S$6:$S161,"?*"))</f>
        <v/>
      </c>
    </row>
    <row r="162" customFormat="false" ht="15" hidden="false" customHeight="false" outlineLevel="0" collapsed="false">
      <c r="A162" s="17" t="n">
        <v>157</v>
      </c>
      <c r="B162" s="22"/>
      <c r="C162" s="22"/>
      <c r="D162" s="22"/>
      <c r="E162" s="22"/>
      <c r="F162" s="22"/>
      <c r="G162" s="22"/>
      <c r="H162" s="25"/>
      <c r="I162" s="22"/>
      <c r="J162" s="22"/>
      <c r="K162" s="31" t="str">
        <f aca="false">IF($J162="","",IFERROR(INDEX(DriverCategory,MATCH($J162,DriverList,0)),"?"))</f>
        <v/>
      </c>
      <c r="L162" s="31" t="str">
        <f aca="false">IF($J162="","",IFERROR(INDEX(DriverRank,MATCH($J162,DriverList,0)),99))</f>
        <v/>
      </c>
      <c r="M162" s="22"/>
      <c r="N162" s="22"/>
      <c r="O162" s="19" t="str">
        <f aca="false">IF($D162="","",INDEX(GradeBasic,MATCH($D162,GradeList,0))+INDEX(GradeHousing,MATCH($D162,GradeList,0))+INDEX(GradeTransport,MATCH($D162,GradeList,0))+INDEX(GradeBasic,MATCH($D162,GradeList,0))*INDEX(GradeBonus,MATCH($D162,GradeList,0))+(INDEX(GradeBasic,MATCH($D162,GradeList,0))+INDEX(GradeHousing,MATCH($D162,GradeList,0)))*IF($F162="Saudi",GosiSaudi,GosiOther))</f>
        <v/>
      </c>
      <c r="P162" s="19" t="str">
        <f aca="false">IF($D162="","",IF(INDEX(GradeRank,MATCH($D162,GradeList,0))&gt;=INDEX(GradeRank,MATCH("G14",GradeList,0)),OneOffSenior,OneOffJunior))</f>
        <v/>
      </c>
      <c r="Q162" s="19" t="str">
        <f aca="false">IF(OR($D162="",$I162="",$H162=""),"",$O162*$H162*(5-MATCH($I162,{"Q1";"Q2";"Q3";"Q4"},0))/4+$P162*$H162)</f>
        <v/>
      </c>
      <c r="R162" s="19" t="str">
        <f aca="false">IF($O162="","",$O162*$H162)</f>
        <v/>
      </c>
      <c r="S162" s="32" t="str">
        <f aca="false">IF(COUNTA($B162:$J162)+COUNTA($M162:$N162)=0,"",MID(IF($B162="",", unit","")&amp;IF($C162="",", job title","")&amp;IF($D162="",", grade","")&amp;IF($E162="",", workforce type","")&amp;IF($F162="",", Saudi basis","")&amp;IF($G162="",", nature","")&amp;IF(N($H162)&lt;=0,", FTE","")&amp;IF($I162="",", start quarter","")&amp;IF($J162="",", driver","")&amp;IF($M162="",", alternatives",""),3,300))</f>
        <v/>
      </c>
      <c r="T162" s="17" t="str">
        <f aca="false">IF($S162="","",COUNTIF($S$6:$S162,"?*"))</f>
        <v/>
      </c>
    </row>
    <row r="163" customFormat="false" ht="15" hidden="false" customHeight="false" outlineLevel="0" collapsed="false">
      <c r="A163" s="17" t="n">
        <v>158</v>
      </c>
      <c r="B163" s="22"/>
      <c r="C163" s="22"/>
      <c r="D163" s="22"/>
      <c r="E163" s="22"/>
      <c r="F163" s="22"/>
      <c r="G163" s="22"/>
      <c r="H163" s="25"/>
      <c r="I163" s="22"/>
      <c r="J163" s="22"/>
      <c r="K163" s="31" t="str">
        <f aca="false">IF($J163="","",IFERROR(INDEX(DriverCategory,MATCH($J163,DriverList,0)),"?"))</f>
        <v/>
      </c>
      <c r="L163" s="31" t="str">
        <f aca="false">IF($J163="","",IFERROR(INDEX(DriverRank,MATCH($J163,DriverList,0)),99))</f>
        <v/>
      </c>
      <c r="M163" s="22"/>
      <c r="N163" s="22"/>
      <c r="O163" s="19" t="str">
        <f aca="false">IF($D163="","",INDEX(GradeBasic,MATCH($D163,GradeList,0))+INDEX(GradeHousing,MATCH($D163,GradeList,0))+INDEX(GradeTransport,MATCH($D163,GradeList,0))+INDEX(GradeBasic,MATCH($D163,GradeList,0))*INDEX(GradeBonus,MATCH($D163,GradeList,0))+(INDEX(GradeBasic,MATCH($D163,GradeList,0))+INDEX(GradeHousing,MATCH($D163,GradeList,0)))*IF($F163="Saudi",GosiSaudi,GosiOther))</f>
        <v/>
      </c>
      <c r="P163" s="19" t="str">
        <f aca="false">IF($D163="","",IF(INDEX(GradeRank,MATCH($D163,GradeList,0))&gt;=INDEX(GradeRank,MATCH("G14",GradeList,0)),OneOffSenior,OneOffJunior))</f>
        <v/>
      </c>
      <c r="Q163" s="19" t="str">
        <f aca="false">IF(OR($D163="",$I163="",$H163=""),"",$O163*$H163*(5-MATCH($I163,{"Q1";"Q2";"Q3";"Q4"},0))/4+$P163*$H163)</f>
        <v/>
      </c>
      <c r="R163" s="19" t="str">
        <f aca="false">IF($O163="","",$O163*$H163)</f>
        <v/>
      </c>
      <c r="S163" s="32" t="str">
        <f aca="false">IF(COUNTA($B163:$J163)+COUNTA($M163:$N163)=0,"",MID(IF($B163="",", unit","")&amp;IF($C163="",", job title","")&amp;IF($D163="",", grade","")&amp;IF($E163="",", workforce type","")&amp;IF($F163="",", Saudi basis","")&amp;IF($G163="",", nature","")&amp;IF(N($H163)&lt;=0,", FTE","")&amp;IF($I163="",", start quarter","")&amp;IF($J163="",", driver","")&amp;IF($M163="",", alternatives",""),3,300))</f>
        <v/>
      </c>
      <c r="T163" s="17" t="str">
        <f aca="false">IF($S163="","",COUNTIF($S$6:$S163,"?*"))</f>
        <v/>
      </c>
    </row>
    <row r="164" customFormat="false" ht="15" hidden="false" customHeight="false" outlineLevel="0" collapsed="false">
      <c r="A164" s="17" t="n">
        <v>159</v>
      </c>
      <c r="B164" s="22"/>
      <c r="C164" s="22"/>
      <c r="D164" s="22"/>
      <c r="E164" s="22"/>
      <c r="F164" s="22"/>
      <c r="G164" s="22"/>
      <c r="H164" s="25"/>
      <c r="I164" s="22"/>
      <c r="J164" s="22"/>
      <c r="K164" s="31" t="str">
        <f aca="false">IF($J164="","",IFERROR(INDEX(DriverCategory,MATCH($J164,DriverList,0)),"?"))</f>
        <v/>
      </c>
      <c r="L164" s="31" t="str">
        <f aca="false">IF($J164="","",IFERROR(INDEX(DriverRank,MATCH($J164,DriverList,0)),99))</f>
        <v/>
      </c>
      <c r="M164" s="22"/>
      <c r="N164" s="22"/>
      <c r="O164" s="19" t="str">
        <f aca="false">IF($D164="","",INDEX(GradeBasic,MATCH($D164,GradeList,0))+INDEX(GradeHousing,MATCH($D164,GradeList,0))+INDEX(GradeTransport,MATCH($D164,GradeList,0))+INDEX(GradeBasic,MATCH($D164,GradeList,0))*INDEX(GradeBonus,MATCH($D164,GradeList,0))+(INDEX(GradeBasic,MATCH($D164,GradeList,0))+INDEX(GradeHousing,MATCH($D164,GradeList,0)))*IF($F164="Saudi",GosiSaudi,GosiOther))</f>
        <v/>
      </c>
      <c r="P164" s="19" t="str">
        <f aca="false">IF($D164="","",IF(INDEX(GradeRank,MATCH($D164,GradeList,0))&gt;=INDEX(GradeRank,MATCH("G14",GradeList,0)),OneOffSenior,OneOffJunior))</f>
        <v/>
      </c>
      <c r="Q164" s="19" t="str">
        <f aca="false">IF(OR($D164="",$I164="",$H164=""),"",$O164*$H164*(5-MATCH($I164,{"Q1";"Q2";"Q3";"Q4"},0))/4+$P164*$H164)</f>
        <v/>
      </c>
      <c r="R164" s="19" t="str">
        <f aca="false">IF($O164="","",$O164*$H164)</f>
        <v/>
      </c>
      <c r="S164" s="32" t="str">
        <f aca="false">IF(COUNTA($B164:$J164)+COUNTA($M164:$N164)=0,"",MID(IF($B164="",", unit","")&amp;IF($C164="",", job title","")&amp;IF($D164="",", grade","")&amp;IF($E164="",", workforce type","")&amp;IF($F164="",", Saudi basis","")&amp;IF($G164="",", nature","")&amp;IF(N($H164)&lt;=0,", FTE","")&amp;IF($I164="",", start quarter","")&amp;IF($J164="",", driver","")&amp;IF($M164="",", alternatives",""),3,300))</f>
        <v/>
      </c>
      <c r="T164" s="17" t="str">
        <f aca="false">IF($S164="","",COUNTIF($S$6:$S164,"?*"))</f>
        <v/>
      </c>
    </row>
    <row r="165" customFormat="false" ht="15" hidden="false" customHeight="false" outlineLevel="0" collapsed="false">
      <c r="A165" s="17" t="n">
        <v>160</v>
      </c>
      <c r="B165" s="22"/>
      <c r="C165" s="22"/>
      <c r="D165" s="22"/>
      <c r="E165" s="22"/>
      <c r="F165" s="22"/>
      <c r="G165" s="22"/>
      <c r="H165" s="25"/>
      <c r="I165" s="22"/>
      <c r="J165" s="22"/>
      <c r="K165" s="31" t="str">
        <f aca="false">IF($J165="","",IFERROR(INDEX(DriverCategory,MATCH($J165,DriverList,0)),"?"))</f>
        <v/>
      </c>
      <c r="L165" s="31" t="str">
        <f aca="false">IF($J165="","",IFERROR(INDEX(DriverRank,MATCH($J165,DriverList,0)),99))</f>
        <v/>
      </c>
      <c r="M165" s="22"/>
      <c r="N165" s="22"/>
      <c r="O165" s="19" t="str">
        <f aca="false">IF($D165="","",INDEX(GradeBasic,MATCH($D165,GradeList,0))+INDEX(GradeHousing,MATCH($D165,GradeList,0))+INDEX(GradeTransport,MATCH($D165,GradeList,0))+INDEX(GradeBasic,MATCH($D165,GradeList,0))*INDEX(GradeBonus,MATCH($D165,GradeList,0))+(INDEX(GradeBasic,MATCH($D165,GradeList,0))+INDEX(GradeHousing,MATCH($D165,GradeList,0)))*IF($F165="Saudi",GosiSaudi,GosiOther))</f>
        <v/>
      </c>
      <c r="P165" s="19" t="str">
        <f aca="false">IF($D165="","",IF(INDEX(GradeRank,MATCH($D165,GradeList,0))&gt;=INDEX(GradeRank,MATCH("G14",GradeList,0)),OneOffSenior,OneOffJunior))</f>
        <v/>
      </c>
      <c r="Q165" s="19" t="str">
        <f aca="false">IF(OR($D165="",$I165="",$H165=""),"",$O165*$H165*(5-MATCH($I165,{"Q1";"Q2";"Q3";"Q4"},0))/4+$P165*$H165)</f>
        <v/>
      </c>
      <c r="R165" s="19" t="str">
        <f aca="false">IF($O165="","",$O165*$H165)</f>
        <v/>
      </c>
      <c r="S165" s="32" t="str">
        <f aca="false">IF(COUNTA($B165:$J165)+COUNTA($M165:$N165)=0,"",MID(IF($B165="",", unit","")&amp;IF($C165="",", job title","")&amp;IF($D165="",", grade","")&amp;IF($E165="",", workforce type","")&amp;IF($F165="",", Saudi basis","")&amp;IF($G165="",", nature","")&amp;IF(N($H165)&lt;=0,", FTE","")&amp;IF($I165="",", start quarter","")&amp;IF($J165="",", driver","")&amp;IF($M165="",", alternatives",""),3,300))</f>
        <v/>
      </c>
      <c r="T165" s="17" t="str">
        <f aca="false">IF($S165="","",COUNTIF($S$6:$S165,"?*"))</f>
        <v/>
      </c>
    </row>
    <row r="166" customFormat="false" ht="15" hidden="false" customHeight="false" outlineLevel="0" collapsed="false">
      <c r="A166" s="17" t="n">
        <v>161</v>
      </c>
      <c r="B166" s="22"/>
      <c r="C166" s="22"/>
      <c r="D166" s="22"/>
      <c r="E166" s="22"/>
      <c r="F166" s="22"/>
      <c r="G166" s="22"/>
      <c r="H166" s="25"/>
      <c r="I166" s="22"/>
      <c r="J166" s="22"/>
      <c r="K166" s="31" t="str">
        <f aca="false">IF($J166="","",IFERROR(INDEX(DriverCategory,MATCH($J166,DriverList,0)),"?"))</f>
        <v/>
      </c>
      <c r="L166" s="31" t="str">
        <f aca="false">IF($J166="","",IFERROR(INDEX(DriverRank,MATCH($J166,DriverList,0)),99))</f>
        <v/>
      </c>
      <c r="M166" s="22"/>
      <c r="N166" s="22"/>
      <c r="O166" s="19" t="str">
        <f aca="false">IF($D166="","",INDEX(GradeBasic,MATCH($D166,GradeList,0))+INDEX(GradeHousing,MATCH($D166,GradeList,0))+INDEX(GradeTransport,MATCH($D166,GradeList,0))+INDEX(GradeBasic,MATCH($D166,GradeList,0))*INDEX(GradeBonus,MATCH($D166,GradeList,0))+(INDEX(GradeBasic,MATCH($D166,GradeList,0))+INDEX(GradeHousing,MATCH($D166,GradeList,0)))*IF($F166="Saudi",GosiSaudi,GosiOther))</f>
        <v/>
      </c>
      <c r="P166" s="19" t="str">
        <f aca="false">IF($D166="","",IF(INDEX(GradeRank,MATCH($D166,GradeList,0))&gt;=INDEX(GradeRank,MATCH("G14",GradeList,0)),OneOffSenior,OneOffJunior))</f>
        <v/>
      </c>
      <c r="Q166" s="19" t="str">
        <f aca="false">IF(OR($D166="",$I166="",$H166=""),"",$O166*$H166*(5-MATCH($I166,{"Q1";"Q2";"Q3";"Q4"},0))/4+$P166*$H166)</f>
        <v/>
      </c>
      <c r="R166" s="19" t="str">
        <f aca="false">IF($O166="","",$O166*$H166)</f>
        <v/>
      </c>
      <c r="S166" s="32" t="str">
        <f aca="false">IF(COUNTA($B166:$J166)+COUNTA($M166:$N166)=0,"",MID(IF($B166="",", unit","")&amp;IF($C166="",", job title","")&amp;IF($D166="",", grade","")&amp;IF($E166="",", workforce type","")&amp;IF($F166="",", Saudi basis","")&amp;IF($G166="",", nature","")&amp;IF(N($H166)&lt;=0,", FTE","")&amp;IF($I166="",", start quarter","")&amp;IF($J166="",", driver","")&amp;IF($M166="",", alternatives",""),3,300))</f>
        <v/>
      </c>
      <c r="T166" s="17" t="str">
        <f aca="false">IF($S166="","",COUNTIF($S$6:$S166,"?*"))</f>
        <v/>
      </c>
    </row>
    <row r="167" customFormat="false" ht="15" hidden="false" customHeight="false" outlineLevel="0" collapsed="false">
      <c r="A167" s="17" t="n">
        <v>162</v>
      </c>
      <c r="B167" s="22"/>
      <c r="C167" s="22"/>
      <c r="D167" s="22"/>
      <c r="E167" s="22"/>
      <c r="F167" s="22"/>
      <c r="G167" s="22"/>
      <c r="H167" s="25"/>
      <c r="I167" s="22"/>
      <c r="J167" s="22"/>
      <c r="K167" s="31" t="str">
        <f aca="false">IF($J167="","",IFERROR(INDEX(DriverCategory,MATCH($J167,DriverList,0)),"?"))</f>
        <v/>
      </c>
      <c r="L167" s="31" t="str">
        <f aca="false">IF($J167="","",IFERROR(INDEX(DriverRank,MATCH($J167,DriverList,0)),99))</f>
        <v/>
      </c>
      <c r="M167" s="22"/>
      <c r="N167" s="22"/>
      <c r="O167" s="19" t="str">
        <f aca="false">IF($D167="","",INDEX(GradeBasic,MATCH($D167,GradeList,0))+INDEX(GradeHousing,MATCH($D167,GradeList,0))+INDEX(GradeTransport,MATCH($D167,GradeList,0))+INDEX(GradeBasic,MATCH($D167,GradeList,0))*INDEX(GradeBonus,MATCH($D167,GradeList,0))+(INDEX(GradeBasic,MATCH($D167,GradeList,0))+INDEX(GradeHousing,MATCH($D167,GradeList,0)))*IF($F167="Saudi",GosiSaudi,GosiOther))</f>
        <v/>
      </c>
      <c r="P167" s="19" t="str">
        <f aca="false">IF($D167="","",IF(INDEX(GradeRank,MATCH($D167,GradeList,0))&gt;=INDEX(GradeRank,MATCH("G14",GradeList,0)),OneOffSenior,OneOffJunior))</f>
        <v/>
      </c>
      <c r="Q167" s="19" t="str">
        <f aca="false">IF(OR($D167="",$I167="",$H167=""),"",$O167*$H167*(5-MATCH($I167,{"Q1";"Q2";"Q3";"Q4"},0))/4+$P167*$H167)</f>
        <v/>
      </c>
      <c r="R167" s="19" t="str">
        <f aca="false">IF($O167="","",$O167*$H167)</f>
        <v/>
      </c>
      <c r="S167" s="32" t="str">
        <f aca="false">IF(COUNTA($B167:$J167)+COUNTA($M167:$N167)=0,"",MID(IF($B167="",", unit","")&amp;IF($C167="",", job title","")&amp;IF($D167="",", grade","")&amp;IF($E167="",", workforce type","")&amp;IF($F167="",", Saudi basis","")&amp;IF($G167="",", nature","")&amp;IF(N($H167)&lt;=0,", FTE","")&amp;IF($I167="",", start quarter","")&amp;IF($J167="",", driver","")&amp;IF($M167="",", alternatives",""),3,300))</f>
        <v/>
      </c>
      <c r="T167" s="17" t="str">
        <f aca="false">IF($S167="","",COUNTIF($S$6:$S167,"?*"))</f>
        <v/>
      </c>
    </row>
    <row r="168" customFormat="false" ht="15" hidden="false" customHeight="false" outlineLevel="0" collapsed="false">
      <c r="A168" s="17" t="n">
        <v>163</v>
      </c>
      <c r="B168" s="22"/>
      <c r="C168" s="22"/>
      <c r="D168" s="22"/>
      <c r="E168" s="22"/>
      <c r="F168" s="22"/>
      <c r="G168" s="22"/>
      <c r="H168" s="25"/>
      <c r="I168" s="22"/>
      <c r="J168" s="22"/>
      <c r="K168" s="31" t="str">
        <f aca="false">IF($J168="","",IFERROR(INDEX(DriverCategory,MATCH($J168,DriverList,0)),"?"))</f>
        <v/>
      </c>
      <c r="L168" s="31" t="str">
        <f aca="false">IF($J168="","",IFERROR(INDEX(DriverRank,MATCH($J168,DriverList,0)),99))</f>
        <v/>
      </c>
      <c r="M168" s="22"/>
      <c r="N168" s="22"/>
      <c r="O168" s="19" t="str">
        <f aca="false">IF($D168="","",INDEX(GradeBasic,MATCH($D168,GradeList,0))+INDEX(GradeHousing,MATCH($D168,GradeList,0))+INDEX(GradeTransport,MATCH($D168,GradeList,0))+INDEX(GradeBasic,MATCH($D168,GradeList,0))*INDEX(GradeBonus,MATCH($D168,GradeList,0))+(INDEX(GradeBasic,MATCH($D168,GradeList,0))+INDEX(GradeHousing,MATCH($D168,GradeList,0)))*IF($F168="Saudi",GosiSaudi,GosiOther))</f>
        <v/>
      </c>
      <c r="P168" s="19" t="str">
        <f aca="false">IF($D168="","",IF(INDEX(GradeRank,MATCH($D168,GradeList,0))&gt;=INDEX(GradeRank,MATCH("G14",GradeList,0)),OneOffSenior,OneOffJunior))</f>
        <v/>
      </c>
      <c r="Q168" s="19" t="str">
        <f aca="false">IF(OR($D168="",$I168="",$H168=""),"",$O168*$H168*(5-MATCH($I168,{"Q1";"Q2";"Q3";"Q4"},0))/4+$P168*$H168)</f>
        <v/>
      </c>
      <c r="R168" s="19" t="str">
        <f aca="false">IF($O168="","",$O168*$H168)</f>
        <v/>
      </c>
      <c r="S168" s="32" t="str">
        <f aca="false">IF(COUNTA($B168:$J168)+COUNTA($M168:$N168)=0,"",MID(IF($B168="",", unit","")&amp;IF($C168="",", job title","")&amp;IF($D168="",", grade","")&amp;IF($E168="",", workforce type","")&amp;IF($F168="",", Saudi basis","")&amp;IF($G168="",", nature","")&amp;IF(N($H168)&lt;=0,", FTE","")&amp;IF($I168="",", start quarter","")&amp;IF($J168="",", driver","")&amp;IF($M168="",", alternatives",""),3,300))</f>
        <v/>
      </c>
      <c r="T168" s="17" t="str">
        <f aca="false">IF($S168="","",COUNTIF($S$6:$S168,"?*"))</f>
        <v/>
      </c>
    </row>
    <row r="169" customFormat="false" ht="15" hidden="false" customHeight="false" outlineLevel="0" collapsed="false">
      <c r="A169" s="17" t="n">
        <v>164</v>
      </c>
      <c r="B169" s="22"/>
      <c r="C169" s="22"/>
      <c r="D169" s="22"/>
      <c r="E169" s="22"/>
      <c r="F169" s="22"/>
      <c r="G169" s="22"/>
      <c r="H169" s="25"/>
      <c r="I169" s="22"/>
      <c r="J169" s="22"/>
      <c r="K169" s="31" t="str">
        <f aca="false">IF($J169="","",IFERROR(INDEX(DriverCategory,MATCH($J169,DriverList,0)),"?"))</f>
        <v/>
      </c>
      <c r="L169" s="31" t="str">
        <f aca="false">IF($J169="","",IFERROR(INDEX(DriverRank,MATCH($J169,DriverList,0)),99))</f>
        <v/>
      </c>
      <c r="M169" s="22"/>
      <c r="N169" s="22"/>
      <c r="O169" s="19" t="str">
        <f aca="false">IF($D169="","",INDEX(GradeBasic,MATCH($D169,GradeList,0))+INDEX(GradeHousing,MATCH($D169,GradeList,0))+INDEX(GradeTransport,MATCH($D169,GradeList,0))+INDEX(GradeBasic,MATCH($D169,GradeList,0))*INDEX(GradeBonus,MATCH($D169,GradeList,0))+(INDEX(GradeBasic,MATCH($D169,GradeList,0))+INDEX(GradeHousing,MATCH($D169,GradeList,0)))*IF($F169="Saudi",GosiSaudi,GosiOther))</f>
        <v/>
      </c>
      <c r="P169" s="19" t="str">
        <f aca="false">IF($D169="","",IF(INDEX(GradeRank,MATCH($D169,GradeList,0))&gt;=INDEX(GradeRank,MATCH("G14",GradeList,0)),OneOffSenior,OneOffJunior))</f>
        <v/>
      </c>
      <c r="Q169" s="19" t="str">
        <f aca="false">IF(OR($D169="",$I169="",$H169=""),"",$O169*$H169*(5-MATCH($I169,{"Q1";"Q2";"Q3";"Q4"},0))/4+$P169*$H169)</f>
        <v/>
      </c>
      <c r="R169" s="19" t="str">
        <f aca="false">IF($O169="","",$O169*$H169)</f>
        <v/>
      </c>
      <c r="S169" s="32" t="str">
        <f aca="false">IF(COUNTA($B169:$J169)+COUNTA($M169:$N169)=0,"",MID(IF($B169="",", unit","")&amp;IF($C169="",", job title","")&amp;IF($D169="",", grade","")&amp;IF($E169="",", workforce type","")&amp;IF($F169="",", Saudi basis","")&amp;IF($G169="",", nature","")&amp;IF(N($H169)&lt;=0,", FTE","")&amp;IF($I169="",", start quarter","")&amp;IF($J169="",", driver","")&amp;IF($M169="",", alternatives",""),3,300))</f>
        <v/>
      </c>
      <c r="T169" s="17" t="str">
        <f aca="false">IF($S169="","",COUNTIF($S$6:$S169,"?*"))</f>
        <v/>
      </c>
    </row>
    <row r="170" customFormat="false" ht="15" hidden="false" customHeight="false" outlineLevel="0" collapsed="false">
      <c r="A170" s="17" t="n">
        <v>165</v>
      </c>
      <c r="B170" s="22"/>
      <c r="C170" s="22"/>
      <c r="D170" s="22"/>
      <c r="E170" s="22"/>
      <c r="F170" s="22"/>
      <c r="G170" s="22"/>
      <c r="H170" s="25"/>
      <c r="I170" s="22"/>
      <c r="J170" s="22"/>
      <c r="K170" s="31" t="str">
        <f aca="false">IF($J170="","",IFERROR(INDEX(DriverCategory,MATCH($J170,DriverList,0)),"?"))</f>
        <v/>
      </c>
      <c r="L170" s="31" t="str">
        <f aca="false">IF($J170="","",IFERROR(INDEX(DriverRank,MATCH($J170,DriverList,0)),99))</f>
        <v/>
      </c>
      <c r="M170" s="22"/>
      <c r="N170" s="22"/>
      <c r="O170" s="19" t="str">
        <f aca="false">IF($D170="","",INDEX(GradeBasic,MATCH($D170,GradeList,0))+INDEX(GradeHousing,MATCH($D170,GradeList,0))+INDEX(GradeTransport,MATCH($D170,GradeList,0))+INDEX(GradeBasic,MATCH($D170,GradeList,0))*INDEX(GradeBonus,MATCH($D170,GradeList,0))+(INDEX(GradeBasic,MATCH($D170,GradeList,0))+INDEX(GradeHousing,MATCH($D170,GradeList,0)))*IF($F170="Saudi",GosiSaudi,GosiOther))</f>
        <v/>
      </c>
      <c r="P170" s="19" t="str">
        <f aca="false">IF($D170="","",IF(INDEX(GradeRank,MATCH($D170,GradeList,0))&gt;=INDEX(GradeRank,MATCH("G14",GradeList,0)),OneOffSenior,OneOffJunior))</f>
        <v/>
      </c>
      <c r="Q170" s="19" t="str">
        <f aca="false">IF(OR($D170="",$I170="",$H170=""),"",$O170*$H170*(5-MATCH($I170,{"Q1";"Q2";"Q3";"Q4"},0))/4+$P170*$H170)</f>
        <v/>
      </c>
      <c r="R170" s="19" t="str">
        <f aca="false">IF($O170="","",$O170*$H170)</f>
        <v/>
      </c>
      <c r="S170" s="32" t="str">
        <f aca="false">IF(COUNTA($B170:$J170)+COUNTA($M170:$N170)=0,"",MID(IF($B170="",", unit","")&amp;IF($C170="",", job title","")&amp;IF($D170="",", grade","")&amp;IF($E170="",", workforce type","")&amp;IF($F170="",", Saudi basis","")&amp;IF($G170="",", nature","")&amp;IF(N($H170)&lt;=0,", FTE","")&amp;IF($I170="",", start quarter","")&amp;IF($J170="",", driver","")&amp;IF($M170="",", alternatives",""),3,300))</f>
        <v/>
      </c>
      <c r="T170" s="17" t="str">
        <f aca="false">IF($S170="","",COUNTIF($S$6:$S170,"?*"))</f>
        <v/>
      </c>
    </row>
    <row r="171" customFormat="false" ht="15" hidden="false" customHeight="false" outlineLevel="0" collapsed="false">
      <c r="A171" s="17" t="n">
        <v>166</v>
      </c>
      <c r="B171" s="22"/>
      <c r="C171" s="22"/>
      <c r="D171" s="22"/>
      <c r="E171" s="22"/>
      <c r="F171" s="22"/>
      <c r="G171" s="22"/>
      <c r="H171" s="25"/>
      <c r="I171" s="22"/>
      <c r="J171" s="22"/>
      <c r="K171" s="31" t="str">
        <f aca="false">IF($J171="","",IFERROR(INDEX(DriverCategory,MATCH($J171,DriverList,0)),"?"))</f>
        <v/>
      </c>
      <c r="L171" s="31" t="str">
        <f aca="false">IF($J171="","",IFERROR(INDEX(DriverRank,MATCH($J171,DriverList,0)),99))</f>
        <v/>
      </c>
      <c r="M171" s="22"/>
      <c r="N171" s="22"/>
      <c r="O171" s="19" t="str">
        <f aca="false">IF($D171="","",INDEX(GradeBasic,MATCH($D171,GradeList,0))+INDEX(GradeHousing,MATCH($D171,GradeList,0))+INDEX(GradeTransport,MATCH($D171,GradeList,0))+INDEX(GradeBasic,MATCH($D171,GradeList,0))*INDEX(GradeBonus,MATCH($D171,GradeList,0))+(INDEX(GradeBasic,MATCH($D171,GradeList,0))+INDEX(GradeHousing,MATCH($D171,GradeList,0)))*IF($F171="Saudi",GosiSaudi,GosiOther))</f>
        <v/>
      </c>
      <c r="P171" s="19" t="str">
        <f aca="false">IF($D171="","",IF(INDEX(GradeRank,MATCH($D171,GradeList,0))&gt;=INDEX(GradeRank,MATCH("G14",GradeList,0)),OneOffSenior,OneOffJunior))</f>
        <v/>
      </c>
      <c r="Q171" s="19" t="str">
        <f aca="false">IF(OR($D171="",$I171="",$H171=""),"",$O171*$H171*(5-MATCH($I171,{"Q1";"Q2";"Q3";"Q4"},0))/4+$P171*$H171)</f>
        <v/>
      </c>
      <c r="R171" s="19" t="str">
        <f aca="false">IF($O171="","",$O171*$H171)</f>
        <v/>
      </c>
      <c r="S171" s="32" t="str">
        <f aca="false">IF(COUNTA($B171:$J171)+COUNTA($M171:$N171)=0,"",MID(IF($B171="",", unit","")&amp;IF($C171="",", job title","")&amp;IF($D171="",", grade","")&amp;IF($E171="",", workforce type","")&amp;IF($F171="",", Saudi basis","")&amp;IF($G171="",", nature","")&amp;IF(N($H171)&lt;=0,", FTE","")&amp;IF($I171="",", start quarter","")&amp;IF($J171="",", driver","")&amp;IF($M171="",", alternatives",""),3,300))</f>
        <v/>
      </c>
      <c r="T171" s="17" t="str">
        <f aca="false">IF($S171="","",COUNTIF($S$6:$S171,"?*"))</f>
        <v/>
      </c>
    </row>
    <row r="172" customFormat="false" ht="15" hidden="false" customHeight="false" outlineLevel="0" collapsed="false">
      <c r="A172" s="17" t="n">
        <v>167</v>
      </c>
      <c r="B172" s="22"/>
      <c r="C172" s="22"/>
      <c r="D172" s="22"/>
      <c r="E172" s="22"/>
      <c r="F172" s="22"/>
      <c r="G172" s="22"/>
      <c r="H172" s="25"/>
      <c r="I172" s="22"/>
      <c r="J172" s="22"/>
      <c r="K172" s="31" t="str">
        <f aca="false">IF($J172="","",IFERROR(INDEX(DriverCategory,MATCH($J172,DriverList,0)),"?"))</f>
        <v/>
      </c>
      <c r="L172" s="31" t="str">
        <f aca="false">IF($J172="","",IFERROR(INDEX(DriverRank,MATCH($J172,DriverList,0)),99))</f>
        <v/>
      </c>
      <c r="M172" s="22"/>
      <c r="N172" s="22"/>
      <c r="O172" s="19" t="str">
        <f aca="false">IF($D172="","",INDEX(GradeBasic,MATCH($D172,GradeList,0))+INDEX(GradeHousing,MATCH($D172,GradeList,0))+INDEX(GradeTransport,MATCH($D172,GradeList,0))+INDEX(GradeBasic,MATCH($D172,GradeList,0))*INDEX(GradeBonus,MATCH($D172,GradeList,0))+(INDEX(GradeBasic,MATCH($D172,GradeList,0))+INDEX(GradeHousing,MATCH($D172,GradeList,0)))*IF($F172="Saudi",GosiSaudi,GosiOther))</f>
        <v/>
      </c>
      <c r="P172" s="19" t="str">
        <f aca="false">IF($D172="","",IF(INDEX(GradeRank,MATCH($D172,GradeList,0))&gt;=INDEX(GradeRank,MATCH("G14",GradeList,0)),OneOffSenior,OneOffJunior))</f>
        <v/>
      </c>
      <c r="Q172" s="19" t="str">
        <f aca="false">IF(OR($D172="",$I172="",$H172=""),"",$O172*$H172*(5-MATCH($I172,{"Q1";"Q2";"Q3";"Q4"},0))/4+$P172*$H172)</f>
        <v/>
      </c>
      <c r="R172" s="19" t="str">
        <f aca="false">IF($O172="","",$O172*$H172)</f>
        <v/>
      </c>
      <c r="S172" s="32" t="str">
        <f aca="false">IF(COUNTA($B172:$J172)+COUNTA($M172:$N172)=0,"",MID(IF($B172="",", unit","")&amp;IF($C172="",", job title","")&amp;IF($D172="",", grade","")&amp;IF($E172="",", workforce type","")&amp;IF($F172="",", Saudi basis","")&amp;IF($G172="",", nature","")&amp;IF(N($H172)&lt;=0,", FTE","")&amp;IF($I172="",", start quarter","")&amp;IF($J172="",", driver","")&amp;IF($M172="",", alternatives",""),3,300))</f>
        <v/>
      </c>
      <c r="T172" s="17" t="str">
        <f aca="false">IF($S172="","",COUNTIF($S$6:$S172,"?*"))</f>
        <v/>
      </c>
    </row>
    <row r="173" customFormat="false" ht="15" hidden="false" customHeight="false" outlineLevel="0" collapsed="false">
      <c r="A173" s="17" t="n">
        <v>168</v>
      </c>
      <c r="B173" s="22"/>
      <c r="C173" s="22"/>
      <c r="D173" s="22"/>
      <c r="E173" s="22"/>
      <c r="F173" s="22"/>
      <c r="G173" s="22"/>
      <c r="H173" s="25"/>
      <c r="I173" s="22"/>
      <c r="J173" s="22"/>
      <c r="K173" s="31" t="str">
        <f aca="false">IF($J173="","",IFERROR(INDEX(DriverCategory,MATCH($J173,DriverList,0)),"?"))</f>
        <v/>
      </c>
      <c r="L173" s="31" t="str">
        <f aca="false">IF($J173="","",IFERROR(INDEX(DriverRank,MATCH($J173,DriverList,0)),99))</f>
        <v/>
      </c>
      <c r="M173" s="22"/>
      <c r="N173" s="22"/>
      <c r="O173" s="19" t="str">
        <f aca="false">IF($D173="","",INDEX(GradeBasic,MATCH($D173,GradeList,0))+INDEX(GradeHousing,MATCH($D173,GradeList,0))+INDEX(GradeTransport,MATCH($D173,GradeList,0))+INDEX(GradeBasic,MATCH($D173,GradeList,0))*INDEX(GradeBonus,MATCH($D173,GradeList,0))+(INDEX(GradeBasic,MATCH($D173,GradeList,0))+INDEX(GradeHousing,MATCH($D173,GradeList,0)))*IF($F173="Saudi",GosiSaudi,GosiOther))</f>
        <v/>
      </c>
      <c r="P173" s="19" t="str">
        <f aca="false">IF($D173="","",IF(INDEX(GradeRank,MATCH($D173,GradeList,0))&gt;=INDEX(GradeRank,MATCH("G14",GradeList,0)),OneOffSenior,OneOffJunior))</f>
        <v/>
      </c>
      <c r="Q173" s="19" t="str">
        <f aca="false">IF(OR($D173="",$I173="",$H173=""),"",$O173*$H173*(5-MATCH($I173,{"Q1";"Q2";"Q3";"Q4"},0))/4+$P173*$H173)</f>
        <v/>
      </c>
      <c r="R173" s="19" t="str">
        <f aca="false">IF($O173="","",$O173*$H173)</f>
        <v/>
      </c>
      <c r="S173" s="32" t="str">
        <f aca="false">IF(COUNTA($B173:$J173)+COUNTA($M173:$N173)=0,"",MID(IF($B173="",", unit","")&amp;IF($C173="",", job title","")&amp;IF($D173="",", grade","")&amp;IF($E173="",", workforce type","")&amp;IF($F173="",", Saudi basis","")&amp;IF($G173="",", nature","")&amp;IF(N($H173)&lt;=0,", FTE","")&amp;IF($I173="",", start quarter","")&amp;IF($J173="",", driver","")&amp;IF($M173="",", alternatives",""),3,300))</f>
        <v/>
      </c>
      <c r="T173" s="17" t="str">
        <f aca="false">IF($S173="","",COUNTIF($S$6:$S173,"?*"))</f>
        <v/>
      </c>
    </row>
    <row r="174" customFormat="false" ht="15" hidden="false" customHeight="false" outlineLevel="0" collapsed="false">
      <c r="A174" s="17" t="n">
        <v>169</v>
      </c>
      <c r="B174" s="22"/>
      <c r="C174" s="22"/>
      <c r="D174" s="22"/>
      <c r="E174" s="22"/>
      <c r="F174" s="22"/>
      <c r="G174" s="22"/>
      <c r="H174" s="25"/>
      <c r="I174" s="22"/>
      <c r="J174" s="22"/>
      <c r="K174" s="31" t="str">
        <f aca="false">IF($J174="","",IFERROR(INDEX(DriverCategory,MATCH($J174,DriverList,0)),"?"))</f>
        <v/>
      </c>
      <c r="L174" s="31" t="str">
        <f aca="false">IF($J174="","",IFERROR(INDEX(DriverRank,MATCH($J174,DriverList,0)),99))</f>
        <v/>
      </c>
      <c r="M174" s="22"/>
      <c r="N174" s="22"/>
      <c r="O174" s="19" t="str">
        <f aca="false">IF($D174="","",INDEX(GradeBasic,MATCH($D174,GradeList,0))+INDEX(GradeHousing,MATCH($D174,GradeList,0))+INDEX(GradeTransport,MATCH($D174,GradeList,0))+INDEX(GradeBasic,MATCH($D174,GradeList,0))*INDEX(GradeBonus,MATCH($D174,GradeList,0))+(INDEX(GradeBasic,MATCH($D174,GradeList,0))+INDEX(GradeHousing,MATCH($D174,GradeList,0)))*IF($F174="Saudi",GosiSaudi,GosiOther))</f>
        <v/>
      </c>
      <c r="P174" s="19" t="str">
        <f aca="false">IF($D174="","",IF(INDEX(GradeRank,MATCH($D174,GradeList,0))&gt;=INDEX(GradeRank,MATCH("G14",GradeList,0)),OneOffSenior,OneOffJunior))</f>
        <v/>
      </c>
      <c r="Q174" s="19" t="str">
        <f aca="false">IF(OR($D174="",$I174="",$H174=""),"",$O174*$H174*(5-MATCH($I174,{"Q1";"Q2";"Q3";"Q4"},0))/4+$P174*$H174)</f>
        <v/>
      </c>
      <c r="R174" s="19" t="str">
        <f aca="false">IF($O174="","",$O174*$H174)</f>
        <v/>
      </c>
      <c r="S174" s="32" t="str">
        <f aca="false">IF(COUNTA($B174:$J174)+COUNTA($M174:$N174)=0,"",MID(IF($B174="",", unit","")&amp;IF($C174="",", job title","")&amp;IF($D174="",", grade","")&amp;IF($E174="",", workforce type","")&amp;IF($F174="",", Saudi basis","")&amp;IF($G174="",", nature","")&amp;IF(N($H174)&lt;=0,", FTE","")&amp;IF($I174="",", start quarter","")&amp;IF($J174="",", driver","")&amp;IF($M174="",", alternatives",""),3,300))</f>
        <v/>
      </c>
      <c r="T174" s="17" t="str">
        <f aca="false">IF($S174="","",COUNTIF($S$6:$S174,"?*"))</f>
        <v/>
      </c>
    </row>
    <row r="175" customFormat="false" ht="15" hidden="false" customHeight="false" outlineLevel="0" collapsed="false">
      <c r="A175" s="17" t="n">
        <v>170</v>
      </c>
      <c r="B175" s="22"/>
      <c r="C175" s="22"/>
      <c r="D175" s="22"/>
      <c r="E175" s="22"/>
      <c r="F175" s="22"/>
      <c r="G175" s="22"/>
      <c r="H175" s="25"/>
      <c r="I175" s="22"/>
      <c r="J175" s="22"/>
      <c r="K175" s="31" t="str">
        <f aca="false">IF($J175="","",IFERROR(INDEX(DriverCategory,MATCH($J175,DriverList,0)),"?"))</f>
        <v/>
      </c>
      <c r="L175" s="31" t="str">
        <f aca="false">IF($J175="","",IFERROR(INDEX(DriverRank,MATCH($J175,DriverList,0)),99))</f>
        <v/>
      </c>
      <c r="M175" s="22"/>
      <c r="N175" s="22"/>
      <c r="O175" s="19" t="str">
        <f aca="false">IF($D175="","",INDEX(GradeBasic,MATCH($D175,GradeList,0))+INDEX(GradeHousing,MATCH($D175,GradeList,0))+INDEX(GradeTransport,MATCH($D175,GradeList,0))+INDEX(GradeBasic,MATCH($D175,GradeList,0))*INDEX(GradeBonus,MATCH($D175,GradeList,0))+(INDEX(GradeBasic,MATCH($D175,GradeList,0))+INDEX(GradeHousing,MATCH($D175,GradeList,0)))*IF($F175="Saudi",GosiSaudi,GosiOther))</f>
        <v/>
      </c>
      <c r="P175" s="19" t="str">
        <f aca="false">IF($D175="","",IF(INDEX(GradeRank,MATCH($D175,GradeList,0))&gt;=INDEX(GradeRank,MATCH("G14",GradeList,0)),OneOffSenior,OneOffJunior))</f>
        <v/>
      </c>
      <c r="Q175" s="19" t="str">
        <f aca="false">IF(OR($D175="",$I175="",$H175=""),"",$O175*$H175*(5-MATCH($I175,{"Q1";"Q2";"Q3";"Q4"},0))/4+$P175*$H175)</f>
        <v/>
      </c>
      <c r="R175" s="19" t="str">
        <f aca="false">IF($O175="","",$O175*$H175)</f>
        <v/>
      </c>
      <c r="S175" s="32" t="str">
        <f aca="false">IF(COUNTA($B175:$J175)+COUNTA($M175:$N175)=0,"",MID(IF($B175="",", unit","")&amp;IF($C175="",", job title","")&amp;IF($D175="",", grade","")&amp;IF($E175="",", workforce type","")&amp;IF($F175="",", Saudi basis","")&amp;IF($G175="",", nature","")&amp;IF(N($H175)&lt;=0,", FTE","")&amp;IF($I175="",", start quarter","")&amp;IF($J175="",", driver","")&amp;IF($M175="",", alternatives",""),3,300))</f>
        <v/>
      </c>
      <c r="T175" s="17" t="str">
        <f aca="false">IF($S175="","",COUNTIF($S$6:$S175,"?*"))</f>
        <v/>
      </c>
    </row>
    <row r="176" customFormat="false" ht="15" hidden="false" customHeight="false" outlineLevel="0" collapsed="false">
      <c r="A176" s="17" t="n">
        <v>171</v>
      </c>
      <c r="B176" s="22"/>
      <c r="C176" s="22"/>
      <c r="D176" s="22"/>
      <c r="E176" s="22"/>
      <c r="F176" s="22"/>
      <c r="G176" s="22"/>
      <c r="H176" s="25"/>
      <c r="I176" s="22"/>
      <c r="J176" s="22"/>
      <c r="K176" s="31" t="str">
        <f aca="false">IF($J176="","",IFERROR(INDEX(DriverCategory,MATCH($J176,DriverList,0)),"?"))</f>
        <v/>
      </c>
      <c r="L176" s="31" t="str">
        <f aca="false">IF($J176="","",IFERROR(INDEX(DriverRank,MATCH($J176,DriverList,0)),99))</f>
        <v/>
      </c>
      <c r="M176" s="22"/>
      <c r="N176" s="22"/>
      <c r="O176" s="19" t="str">
        <f aca="false">IF($D176="","",INDEX(GradeBasic,MATCH($D176,GradeList,0))+INDEX(GradeHousing,MATCH($D176,GradeList,0))+INDEX(GradeTransport,MATCH($D176,GradeList,0))+INDEX(GradeBasic,MATCH($D176,GradeList,0))*INDEX(GradeBonus,MATCH($D176,GradeList,0))+(INDEX(GradeBasic,MATCH($D176,GradeList,0))+INDEX(GradeHousing,MATCH($D176,GradeList,0)))*IF($F176="Saudi",GosiSaudi,GosiOther))</f>
        <v/>
      </c>
      <c r="P176" s="19" t="str">
        <f aca="false">IF($D176="","",IF(INDEX(GradeRank,MATCH($D176,GradeList,0))&gt;=INDEX(GradeRank,MATCH("G14",GradeList,0)),OneOffSenior,OneOffJunior))</f>
        <v/>
      </c>
      <c r="Q176" s="19" t="str">
        <f aca="false">IF(OR($D176="",$I176="",$H176=""),"",$O176*$H176*(5-MATCH($I176,{"Q1";"Q2";"Q3";"Q4"},0))/4+$P176*$H176)</f>
        <v/>
      </c>
      <c r="R176" s="19" t="str">
        <f aca="false">IF($O176="","",$O176*$H176)</f>
        <v/>
      </c>
      <c r="S176" s="32" t="str">
        <f aca="false">IF(COUNTA($B176:$J176)+COUNTA($M176:$N176)=0,"",MID(IF($B176="",", unit","")&amp;IF($C176="",", job title","")&amp;IF($D176="",", grade","")&amp;IF($E176="",", workforce type","")&amp;IF($F176="",", Saudi basis","")&amp;IF($G176="",", nature","")&amp;IF(N($H176)&lt;=0,", FTE","")&amp;IF($I176="",", start quarter","")&amp;IF($J176="",", driver","")&amp;IF($M176="",", alternatives",""),3,300))</f>
        <v/>
      </c>
      <c r="T176" s="17" t="str">
        <f aca="false">IF($S176="","",COUNTIF($S$6:$S176,"?*"))</f>
        <v/>
      </c>
    </row>
    <row r="177" customFormat="false" ht="15" hidden="false" customHeight="false" outlineLevel="0" collapsed="false">
      <c r="A177" s="17" t="n">
        <v>172</v>
      </c>
      <c r="B177" s="22"/>
      <c r="C177" s="22"/>
      <c r="D177" s="22"/>
      <c r="E177" s="22"/>
      <c r="F177" s="22"/>
      <c r="G177" s="22"/>
      <c r="H177" s="25"/>
      <c r="I177" s="22"/>
      <c r="J177" s="22"/>
      <c r="K177" s="31" t="str">
        <f aca="false">IF($J177="","",IFERROR(INDEX(DriverCategory,MATCH($J177,DriverList,0)),"?"))</f>
        <v/>
      </c>
      <c r="L177" s="31" t="str">
        <f aca="false">IF($J177="","",IFERROR(INDEX(DriverRank,MATCH($J177,DriverList,0)),99))</f>
        <v/>
      </c>
      <c r="M177" s="22"/>
      <c r="N177" s="22"/>
      <c r="O177" s="19" t="str">
        <f aca="false">IF($D177="","",INDEX(GradeBasic,MATCH($D177,GradeList,0))+INDEX(GradeHousing,MATCH($D177,GradeList,0))+INDEX(GradeTransport,MATCH($D177,GradeList,0))+INDEX(GradeBasic,MATCH($D177,GradeList,0))*INDEX(GradeBonus,MATCH($D177,GradeList,0))+(INDEX(GradeBasic,MATCH($D177,GradeList,0))+INDEX(GradeHousing,MATCH($D177,GradeList,0)))*IF($F177="Saudi",GosiSaudi,GosiOther))</f>
        <v/>
      </c>
      <c r="P177" s="19" t="str">
        <f aca="false">IF($D177="","",IF(INDEX(GradeRank,MATCH($D177,GradeList,0))&gt;=INDEX(GradeRank,MATCH("G14",GradeList,0)),OneOffSenior,OneOffJunior))</f>
        <v/>
      </c>
      <c r="Q177" s="19" t="str">
        <f aca="false">IF(OR($D177="",$I177="",$H177=""),"",$O177*$H177*(5-MATCH($I177,{"Q1";"Q2";"Q3";"Q4"},0))/4+$P177*$H177)</f>
        <v/>
      </c>
      <c r="R177" s="19" t="str">
        <f aca="false">IF($O177="","",$O177*$H177)</f>
        <v/>
      </c>
      <c r="S177" s="32" t="str">
        <f aca="false">IF(COUNTA($B177:$J177)+COUNTA($M177:$N177)=0,"",MID(IF($B177="",", unit","")&amp;IF($C177="",", job title","")&amp;IF($D177="",", grade","")&amp;IF($E177="",", workforce type","")&amp;IF($F177="",", Saudi basis","")&amp;IF($G177="",", nature","")&amp;IF(N($H177)&lt;=0,", FTE","")&amp;IF($I177="",", start quarter","")&amp;IF($J177="",", driver","")&amp;IF($M177="",", alternatives",""),3,300))</f>
        <v/>
      </c>
      <c r="T177" s="17" t="str">
        <f aca="false">IF($S177="","",COUNTIF($S$6:$S177,"?*"))</f>
        <v/>
      </c>
    </row>
    <row r="178" customFormat="false" ht="15" hidden="false" customHeight="false" outlineLevel="0" collapsed="false">
      <c r="A178" s="17" t="n">
        <v>173</v>
      </c>
      <c r="B178" s="22"/>
      <c r="C178" s="22"/>
      <c r="D178" s="22"/>
      <c r="E178" s="22"/>
      <c r="F178" s="22"/>
      <c r="G178" s="22"/>
      <c r="H178" s="25"/>
      <c r="I178" s="22"/>
      <c r="J178" s="22"/>
      <c r="K178" s="31" t="str">
        <f aca="false">IF($J178="","",IFERROR(INDEX(DriverCategory,MATCH($J178,DriverList,0)),"?"))</f>
        <v/>
      </c>
      <c r="L178" s="31" t="str">
        <f aca="false">IF($J178="","",IFERROR(INDEX(DriverRank,MATCH($J178,DriverList,0)),99))</f>
        <v/>
      </c>
      <c r="M178" s="22"/>
      <c r="N178" s="22"/>
      <c r="O178" s="19" t="str">
        <f aca="false">IF($D178="","",INDEX(GradeBasic,MATCH($D178,GradeList,0))+INDEX(GradeHousing,MATCH($D178,GradeList,0))+INDEX(GradeTransport,MATCH($D178,GradeList,0))+INDEX(GradeBasic,MATCH($D178,GradeList,0))*INDEX(GradeBonus,MATCH($D178,GradeList,0))+(INDEX(GradeBasic,MATCH($D178,GradeList,0))+INDEX(GradeHousing,MATCH($D178,GradeList,0)))*IF($F178="Saudi",GosiSaudi,GosiOther))</f>
        <v/>
      </c>
      <c r="P178" s="19" t="str">
        <f aca="false">IF($D178="","",IF(INDEX(GradeRank,MATCH($D178,GradeList,0))&gt;=INDEX(GradeRank,MATCH("G14",GradeList,0)),OneOffSenior,OneOffJunior))</f>
        <v/>
      </c>
      <c r="Q178" s="19" t="str">
        <f aca="false">IF(OR($D178="",$I178="",$H178=""),"",$O178*$H178*(5-MATCH($I178,{"Q1";"Q2";"Q3";"Q4"},0))/4+$P178*$H178)</f>
        <v/>
      </c>
      <c r="R178" s="19" t="str">
        <f aca="false">IF($O178="","",$O178*$H178)</f>
        <v/>
      </c>
      <c r="S178" s="32" t="str">
        <f aca="false">IF(COUNTA($B178:$J178)+COUNTA($M178:$N178)=0,"",MID(IF($B178="",", unit","")&amp;IF($C178="",", job title","")&amp;IF($D178="",", grade","")&amp;IF($E178="",", workforce type","")&amp;IF($F178="",", Saudi basis","")&amp;IF($G178="",", nature","")&amp;IF(N($H178)&lt;=0,", FTE","")&amp;IF($I178="",", start quarter","")&amp;IF($J178="",", driver","")&amp;IF($M178="",", alternatives",""),3,300))</f>
        <v/>
      </c>
      <c r="T178" s="17" t="str">
        <f aca="false">IF($S178="","",COUNTIF($S$6:$S178,"?*"))</f>
        <v/>
      </c>
    </row>
    <row r="179" customFormat="false" ht="15" hidden="false" customHeight="false" outlineLevel="0" collapsed="false">
      <c r="A179" s="17" t="n">
        <v>174</v>
      </c>
      <c r="B179" s="22"/>
      <c r="C179" s="22"/>
      <c r="D179" s="22"/>
      <c r="E179" s="22"/>
      <c r="F179" s="22"/>
      <c r="G179" s="22"/>
      <c r="H179" s="25"/>
      <c r="I179" s="22"/>
      <c r="J179" s="22"/>
      <c r="K179" s="31" t="str">
        <f aca="false">IF($J179="","",IFERROR(INDEX(DriverCategory,MATCH($J179,DriverList,0)),"?"))</f>
        <v/>
      </c>
      <c r="L179" s="31" t="str">
        <f aca="false">IF($J179="","",IFERROR(INDEX(DriverRank,MATCH($J179,DriverList,0)),99))</f>
        <v/>
      </c>
      <c r="M179" s="22"/>
      <c r="N179" s="22"/>
      <c r="O179" s="19" t="str">
        <f aca="false">IF($D179="","",INDEX(GradeBasic,MATCH($D179,GradeList,0))+INDEX(GradeHousing,MATCH($D179,GradeList,0))+INDEX(GradeTransport,MATCH($D179,GradeList,0))+INDEX(GradeBasic,MATCH($D179,GradeList,0))*INDEX(GradeBonus,MATCH($D179,GradeList,0))+(INDEX(GradeBasic,MATCH($D179,GradeList,0))+INDEX(GradeHousing,MATCH($D179,GradeList,0)))*IF($F179="Saudi",GosiSaudi,GosiOther))</f>
        <v/>
      </c>
      <c r="P179" s="19" t="str">
        <f aca="false">IF($D179="","",IF(INDEX(GradeRank,MATCH($D179,GradeList,0))&gt;=INDEX(GradeRank,MATCH("G14",GradeList,0)),OneOffSenior,OneOffJunior))</f>
        <v/>
      </c>
      <c r="Q179" s="19" t="str">
        <f aca="false">IF(OR($D179="",$I179="",$H179=""),"",$O179*$H179*(5-MATCH($I179,{"Q1";"Q2";"Q3";"Q4"},0))/4+$P179*$H179)</f>
        <v/>
      </c>
      <c r="R179" s="19" t="str">
        <f aca="false">IF($O179="","",$O179*$H179)</f>
        <v/>
      </c>
      <c r="S179" s="32" t="str">
        <f aca="false">IF(COUNTA($B179:$J179)+COUNTA($M179:$N179)=0,"",MID(IF($B179="",", unit","")&amp;IF($C179="",", job title","")&amp;IF($D179="",", grade","")&amp;IF($E179="",", workforce type","")&amp;IF($F179="",", Saudi basis","")&amp;IF($G179="",", nature","")&amp;IF(N($H179)&lt;=0,", FTE","")&amp;IF($I179="",", start quarter","")&amp;IF($J179="",", driver","")&amp;IF($M179="",", alternatives",""),3,300))</f>
        <v/>
      </c>
      <c r="T179" s="17" t="str">
        <f aca="false">IF($S179="","",COUNTIF($S$6:$S179,"?*"))</f>
        <v/>
      </c>
    </row>
    <row r="180" customFormat="false" ht="15" hidden="false" customHeight="false" outlineLevel="0" collapsed="false">
      <c r="A180" s="17" t="n">
        <v>175</v>
      </c>
      <c r="B180" s="22"/>
      <c r="C180" s="22"/>
      <c r="D180" s="22"/>
      <c r="E180" s="22"/>
      <c r="F180" s="22"/>
      <c r="G180" s="22"/>
      <c r="H180" s="25"/>
      <c r="I180" s="22"/>
      <c r="J180" s="22"/>
      <c r="K180" s="31" t="str">
        <f aca="false">IF($J180="","",IFERROR(INDEX(DriverCategory,MATCH($J180,DriverList,0)),"?"))</f>
        <v/>
      </c>
      <c r="L180" s="31" t="str">
        <f aca="false">IF($J180="","",IFERROR(INDEX(DriverRank,MATCH($J180,DriverList,0)),99))</f>
        <v/>
      </c>
      <c r="M180" s="22"/>
      <c r="N180" s="22"/>
      <c r="O180" s="19" t="str">
        <f aca="false">IF($D180="","",INDEX(GradeBasic,MATCH($D180,GradeList,0))+INDEX(GradeHousing,MATCH($D180,GradeList,0))+INDEX(GradeTransport,MATCH($D180,GradeList,0))+INDEX(GradeBasic,MATCH($D180,GradeList,0))*INDEX(GradeBonus,MATCH($D180,GradeList,0))+(INDEX(GradeBasic,MATCH($D180,GradeList,0))+INDEX(GradeHousing,MATCH($D180,GradeList,0)))*IF($F180="Saudi",GosiSaudi,GosiOther))</f>
        <v/>
      </c>
      <c r="P180" s="19" t="str">
        <f aca="false">IF($D180="","",IF(INDEX(GradeRank,MATCH($D180,GradeList,0))&gt;=INDEX(GradeRank,MATCH("G14",GradeList,0)),OneOffSenior,OneOffJunior))</f>
        <v/>
      </c>
      <c r="Q180" s="19" t="str">
        <f aca="false">IF(OR($D180="",$I180="",$H180=""),"",$O180*$H180*(5-MATCH($I180,{"Q1";"Q2";"Q3";"Q4"},0))/4+$P180*$H180)</f>
        <v/>
      </c>
      <c r="R180" s="19" t="str">
        <f aca="false">IF($O180="","",$O180*$H180)</f>
        <v/>
      </c>
      <c r="S180" s="32" t="str">
        <f aca="false">IF(COUNTA($B180:$J180)+COUNTA($M180:$N180)=0,"",MID(IF($B180="",", unit","")&amp;IF($C180="",", job title","")&amp;IF($D180="",", grade","")&amp;IF($E180="",", workforce type","")&amp;IF($F180="",", Saudi basis","")&amp;IF($G180="",", nature","")&amp;IF(N($H180)&lt;=0,", FTE","")&amp;IF($I180="",", start quarter","")&amp;IF($J180="",", driver","")&amp;IF($M180="",", alternatives",""),3,300))</f>
        <v/>
      </c>
      <c r="T180" s="17" t="str">
        <f aca="false">IF($S180="","",COUNTIF($S$6:$S180,"?*"))</f>
        <v/>
      </c>
    </row>
    <row r="181" customFormat="false" ht="15" hidden="false" customHeight="false" outlineLevel="0" collapsed="false">
      <c r="A181" s="17" t="n">
        <v>176</v>
      </c>
      <c r="B181" s="22"/>
      <c r="C181" s="22"/>
      <c r="D181" s="22"/>
      <c r="E181" s="22"/>
      <c r="F181" s="22"/>
      <c r="G181" s="22"/>
      <c r="H181" s="25"/>
      <c r="I181" s="22"/>
      <c r="J181" s="22"/>
      <c r="K181" s="31" t="str">
        <f aca="false">IF($J181="","",IFERROR(INDEX(DriverCategory,MATCH($J181,DriverList,0)),"?"))</f>
        <v/>
      </c>
      <c r="L181" s="31" t="str">
        <f aca="false">IF($J181="","",IFERROR(INDEX(DriverRank,MATCH($J181,DriverList,0)),99))</f>
        <v/>
      </c>
      <c r="M181" s="22"/>
      <c r="N181" s="22"/>
      <c r="O181" s="19" t="str">
        <f aca="false">IF($D181="","",INDEX(GradeBasic,MATCH($D181,GradeList,0))+INDEX(GradeHousing,MATCH($D181,GradeList,0))+INDEX(GradeTransport,MATCH($D181,GradeList,0))+INDEX(GradeBasic,MATCH($D181,GradeList,0))*INDEX(GradeBonus,MATCH($D181,GradeList,0))+(INDEX(GradeBasic,MATCH($D181,GradeList,0))+INDEX(GradeHousing,MATCH($D181,GradeList,0)))*IF($F181="Saudi",GosiSaudi,GosiOther))</f>
        <v/>
      </c>
      <c r="P181" s="19" t="str">
        <f aca="false">IF($D181="","",IF(INDEX(GradeRank,MATCH($D181,GradeList,0))&gt;=INDEX(GradeRank,MATCH("G14",GradeList,0)),OneOffSenior,OneOffJunior))</f>
        <v/>
      </c>
      <c r="Q181" s="19" t="str">
        <f aca="false">IF(OR($D181="",$I181="",$H181=""),"",$O181*$H181*(5-MATCH($I181,{"Q1";"Q2";"Q3";"Q4"},0))/4+$P181*$H181)</f>
        <v/>
      </c>
      <c r="R181" s="19" t="str">
        <f aca="false">IF($O181="","",$O181*$H181)</f>
        <v/>
      </c>
      <c r="S181" s="32" t="str">
        <f aca="false">IF(COUNTA($B181:$J181)+COUNTA($M181:$N181)=0,"",MID(IF($B181="",", unit","")&amp;IF($C181="",", job title","")&amp;IF($D181="",", grade","")&amp;IF($E181="",", workforce type","")&amp;IF($F181="",", Saudi basis","")&amp;IF($G181="",", nature","")&amp;IF(N($H181)&lt;=0,", FTE","")&amp;IF($I181="",", start quarter","")&amp;IF($J181="",", driver","")&amp;IF($M181="",", alternatives",""),3,300))</f>
        <v/>
      </c>
      <c r="T181" s="17" t="str">
        <f aca="false">IF($S181="","",COUNTIF($S$6:$S181,"?*"))</f>
        <v/>
      </c>
    </row>
    <row r="182" customFormat="false" ht="15" hidden="false" customHeight="false" outlineLevel="0" collapsed="false">
      <c r="A182" s="17" t="n">
        <v>177</v>
      </c>
      <c r="B182" s="22"/>
      <c r="C182" s="22"/>
      <c r="D182" s="22"/>
      <c r="E182" s="22"/>
      <c r="F182" s="22"/>
      <c r="G182" s="22"/>
      <c r="H182" s="25"/>
      <c r="I182" s="22"/>
      <c r="J182" s="22"/>
      <c r="K182" s="31" t="str">
        <f aca="false">IF($J182="","",IFERROR(INDEX(DriverCategory,MATCH($J182,DriverList,0)),"?"))</f>
        <v/>
      </c>
      <c r="L182" s="31" t="str">
        <f aca="false">IF($J182="","",IFERROR(INDEX(DriverRank,MATCH($J182,DriverList,0)),99))</f>
        <v/>
      </c>
      <c r="M182" s="22"/>
      <c r="N182" s="22"/>
      <c r="O182" s="19" t="str">
        <f aca="false">IF($D182="","",INDEX(GradeBasic,MATCH($D182,GradeList,0))+INDEX(GradeHousing,MATCH($D182,GradeList,0))+INDEX(GradeTransport,MATCH($D182,GradeList,0))+INDEX(GradeBasic,MATCH($D182,GradeList,0))*INDEX(GradeBonus,MATCH($D182,GradeList,0))+(INDEX(GradeBasic,MATCH($D182,GradeList,0))+INDEX(GradeHousing,MATCH($D182,GradeList,0)))*IF($F182="Saudi",GosiSaudi,GosiOther))</f>
        <v/>
      </c>
      <c r="P182" s="19" t="str">
        <f aca="false">IF($D182="","",IF(INDEX(GradeRank,MATCH($D182,GradeList,0))&gt;=INDEX(GradeRank,MATCH("G14",GradeList,0)),OneOffSenior,OneOffJunior))</f>
        <v/>
      </c>
      <c r="Q182" s="19" t="str">
        <f aca="false">IF(OR($D182="",$I182="",$H182=""),"",$O182*$H182*(5-MATCH($I182,{"Q1";"Q2";"Q3";"Q4"},0))/4+$P182*$H182)</f>
        <v/>
      </c>
      <c r="R182" s="19" t="str">
        <f aca="false">IF($O182="","",$O182*$H182)</f>
        <v/>
      </c>
      <c r="S182" s="32" t="str">
        <f aca="false">IF(COUNTA($B182:$J182)+COUNTA($M182:$N182)=0,"",MID(IF($B182="",", unit","")&amp;IF($C182="",", job title","")&amp;IF($D182="",", grade","")&amp;IF($E182="",", workforce type","")&amp;IF($F182="",", Saudi basis","")&amp;IF($G182="",", nature","")&amp;IF(N($H182)&lt;=0,", FTE","")&amp;IF($I182="",", start quarter","")&amp;IF($J182="",", driver","")&amp;IF($M182="",", alternatives",""),3,300))</f>
        <v/>
      </c>
      <c r="T182" s="17" t="str">
        <f aca="false">IF($S182="","",COUNTIF($S$6:$S182,"?*"))</f>
        <v/>
      </c>
    </row>
    <row r="183" customFormat="false" ht="15" hidden="false" customHeight="false" outlineLevel="0" collapsed="false">
      <c r="A183" s="17" t="n">
        <v>178</v>
      </c>
      <c r="B183" s="22"/>
      <c r="C183" s="22"/>
      <c r="D183" s="22"/>
      <c r="E183" s="22"/>
      <c r="F183" s="22"/>
      <c r="G183" s="22"/>
      <c r="H183" s="25"/>
      <c r="I183" s="22"/>
      <c r="J183" s="22"/>
      <c r="K183" s="31" t="str">
        <f aca="false">IF($J183="","",IFERROR(INDEX(DriverCategory,MATCH($J183,DriverList,0)),"?"))</f>
        <v/>
      </c>
      <c r="L183" s="31" t="str">
        <f aca="false">IF($J183="","",IFERROR(INDEX(DriverRank,MATCH($J183,DriverList,0)),99))</f>
        <v/>
      </c>
      <c r="M183" s="22"/>
      <c r="N183" s="22"/>
      <c r="O183" s="19" t="str">
        <f aca="false">IF($D183="","",INDEX(GradeBasic,MATCH($D183,GradeList,0))+INDEX(GradeHousing,MATCH($D183,GradeList,0))+INDEX(GradeTransport,MATCH($D183,GradeList,0))+INDEX(GradeBasic,MATCH($D183,GradeList,0))*INDEX(GradeBonus,MATCH($D183,GradeList,0))+(INDEX(GradeBasic,MATCH($D183,GradeList,0))+INDEX(GradeHousing,MATCH($D183,GradeList,0)))*IF($F183="Saudi",GosiSaudi,GosiOther))</f>
        <v/>
      </c>
      <c r="P183" s="19" t="str">
        <f aca="false">IF($D183="","",IF(INDEX(GradeRank,MATCH($D183,GradeList,0))&gt;=INDEX(GradeRank,MATCH("G14",GradeList,0)),OneOffSenior,OneOffJunior))</f>
        <v/>
      </c>
      <c r="Q183" s="19" t="str">
        <f aca="false">IF(OR($D183="",$I183="",$H183=""),"",$O183*$H183*(5-MATCH($I183,{"Q1";"Q2";"Q3";"Q4"},0))/4+$P183*$H183)</f>
        <v/>
      </c>
      <c r="R183" s="19" t="str">
        <f aca="false">IF($O183="","",$O183*$H183)</f>
        <v/>
      </c>
      <c r="S183" s="32" t="str">
        <f aca="false">IF(COUNTA($B183:$J183)+COUNTA($M183:$N183)=0,"",MID(IF($B183="",", unit","")&amp;IF($C183="",", job title","")&amp;IF($D183="",", grade","")&amp;IF($E183="",", workforce type","")&amp;IF($F183="",", Saudi basis","")&amp;IF($G183="",", nature","")&amp;IF(N($H183)&lt;=0,", FTE","")&amp;IF($I183="",", start quarter","")&amp;IF($J183="",", driver","")&amp;IF($M183="",", alternatives",""),3,300))</f>
        <v/>
      </c>
      <c r="T183" s="17" t="str">
        <f aca="false">IF($S183="","",COUNTIF($S$6:$S183,"?*"))</f>
        <v/>
      </c>
    </row>
    <row r="184" customFormat="false" ht="15" hidden="false" customHeight="false" outlineLevel="0" collapsed="false">
      <c r="A184" s="17" t="n">
        <v>179</v>
      </c>
      <c r="B184" s="22"/>
      <c r="C184" s="22"/>
      <c r="D184" s="22"/>
      <c r="E184" s="22"/>
      <c r="F184" s="22"/>
      <c r="G184" s="22"/>
      <c r="H184" s="25"/>
      <c r="I184" s="22"/>
      <c r="J184" s="22"/>
      <c r="K184" s="31" t="str">
        <f aca="false">IF($J184="","",IFERROR(INDEX(DriverCategory,MATCH($J184,DriverList,0)),"?"))</f>
        <v/>
      </c>
      <c r="L184" s="31" t="str">
        <f aca="false">IF($J184="","",IFERROR(INDEX(DriverRank,MATCH($J184,DriverList,0)),99))</f>
        <v/>
      </c>
      <c r="M184" s="22"/>
      <c r="N184" s="22"/>
      <c r="O184" s="19" t="str">
        <f aca="false">IF($D184="","",INDEX(GradeBasic,MATCH($D184,GradeList,0))+INDEX(GradeHousing,MATCH($D184,GradeList,0))+INDEX(GradeTransport,MATCH($D184,GradeList,0))+INDEX(GradeBasic,MATCH($D184,GradeList,0))*INDEX(GradeBonus,MATCH($D184,GradeList,0))+(INDEX(GradeBasic,MATCH($D184,GradeList,0))+INDEX(GradeHousing,MATCH($D184,GradeList,0)))*IF($F184="Saudi",GosiSaudi,GosiOther))</f>
        <v/>
      </c>
      <c r="P184" s="19" t="str">
        <f aca="false">IF($D184="","",IF(INDEX(GradeRank,MATCH($D184,GradeList,0))&gt;=INDEX(GradeRank,MATCH("G14",GradeList,0)),OneOffSenior,OneOffJunior))</f>
        <v/>
      </c>
      <c r="Q184" s="19" t="str">
        <f aca="false">IF(OR($D184="",$I184="",$H184=""),"",$O184*$H184*(5-MATCH($I184,{"Q1";"Q2";"Q3";"Q4"},0))/4+$P184*$H184)</f>
        <v/>
      </c>
      <c r="R184" s="19" t="str">
        <f aca="false">IF($O184="","",$O184*$H184)</f>
        <v/>
      </c>
      <c r="S184" s="32" t="str">
        <f aca="false">IF(COUNTA($B184:$J184)+COUNTA($M184:$N184)=0,"",MID(IF($B184="",", unit","")&amp;IF($C184="",", job title","")&amp;IF($D184="",", grade","")&amp;IF($E184="",", workforce type","")&amp;IF($F184="",", Saudi basis","")&amp;IF($G184="",", nature","")&amp;IF(N($H184)&lt;=0,", FTE","")&amp;IF($I184="",", start quarter","")&amp;IF($J184="",", driver","")&amp;IF($M184="",", alternatives",""),3,300))</f>
        <v/>
      </c>
      <c r="T184" s="17" t="str">
        <f aca="false">IF($S184="","",COUNTIF($S$6:$S184,"?*"))</f>
        <v/>
      </c>
    </row>
    <row r="185" customFormat="false" ht="15" hidden="false" customHeight="false" outlineLevel="0" collapsed="false">
      <c r="A185" s="17" t="n">
        <v>180</v>
      </c>
      <c r="B185" s="22"/>
      <c r="C185" s="22"/>
      <c r="D185" s="22"/>
      <c r="E185" s="22"/>
      <c r="F185" s="22"/>
      <c r="G185" s="22"/>
      <c r="H185" s="25"/>
      <c r="I185" s="22"/>
      <c r="J185" s="22"/>
      <c r="K185" s="31" t="str">
        <f aca="false">IF($J185="","",IFERROR(INDEX(DriverCategory,MATCH($J185,DriverList,0)),"?"))</f>
        <v/>
      </c>
      <c r="L185" s="31" t="str">
        <f aca="false">IF($J185="","",IFERROR(INDEX(DriverRank,MATCH($J185,DriverList,0)),99))</f>
        <v/>
      </c>
      <c r="M185" s="22"/>
      <c r="N185" s="22"/>
      <c r="O185" s="19" t="str">
        <f aca="false">IF($D185="","",INDEX(GradeBasic,MATCH($D185,GradeList,0))+INDEX(GradeHousing,MATCH($D185,GradeList,0))+INDEX(GradeTransport,MATCH($D185,GradeList,0))+INDEX(GradeBasic,MATCH($D185,GradeList,0))*INDEX(GradeBonus,MATCH($D185,GradeList,0))+(INDEX(GradeBasic,MATCH($D185,GradeList,0))+INDEX(GradeHousing,MATCH($D185,GradeList,0)))*IF($F185="Saudi",GosiSaudi,GosiOther))</f>
        <v/>
      </c>
      <c r="P185" s="19" t="str">
        <f aca="false">IF($D185="","",IF(INDEX(GradeRank,MATCH($D185,GradeList,0))&gt;=INDEX(GradeRank,MATCH("G14",GradeList,0)),OneOffSenior,OneOffJunior))</f>
        <v/>
      </c>
      <c r="Q185" s="19" t="str">
        <f aca="false">IF(OR($D185="",$I185="",$H185=""),"",$O185*$H185*(5-MATCH($I185,{"Q1";"Q2";"Q3";"Q4"},0))/4+$P185*$H185)</f>
        <v/>
      </c>
      <c r="R185" s="19" t="str">
        <f aca="false">IF($O185="","",$O185*$H185)</f>
        <v/>
      </c>
      <c r="S185" s="32" t="str">
        <f aca="false">IF(COUNTA($B185:$J185)+COUNTA($M185:$N185)=0,"",MID(IF($B185="",", unit","")&amp;IF($C185="",", job title","")&amp;IF($D185="",", grade","")&amp;IF($E185="",", workforce type","")&amp;IF($F185="",", Saudi basis","")&amp;IF($G185="",", nature","")&amp;IF(N($H185)&lt;=0,", FTE","")&amp;IF($I185="",", start quarter","")&amp;IF($J185="",", driver","")&amp;IF($M185="",", alternatives",""),3,300))</f>
        <v/>
      </c>
      <c r="T185" s="17" t="str">
        <f aca="false">IF($S185="","",COUNTIF($S$6:$S185,"?*"))</f>
        <v/>
      </c>
    </row>
    <row r="186" customFormat="false" ht="15" hidden="false" customHeight="false" outlineLevel="0" collapsed="false">
      <c r="A186" s="17" t="n">
        <v>181</v>
      </c>
      <c r="B186" s="22"/>
      <c r="C186" s="22"/>
      <c r="D186" s="22"/>
      <c r="E186" s="22"/>
      <c r="F186" s="22"/>
      <c r="G186" s="22"/>
      <c r="H186" s="25"/>
      <c r="I186" s="22"/>
      <c r="J186" s="22"/>
      <c r="K186" s="31" t="str">
        <f aca="false">IF($J186="","",IFERROR(INDEX(DriverCategory,MATCH($J186,DriverList,0)),"?"))</f>
        <v/>
      </c>
      <c r="L186" s="31" t="str">
        <f aca="false">IF($J186="","",IFERROR(INDEX(DriverRank,MATCH($J186,DriverList,0)),99))</f>
        <v/>
      </c>
      <c r="M186" s="22"/>
      <c r="N186" s="22"/>
      <c r="O186" s="19" t="str">
        <f aca="false">IF($D186="","",INDEX(GradeBasic,MATCH($D186,GradeList,0))+INDEX(GradeHousing,MATCH($D186,GradeList,0))+INDEX(GradeTransport,MATCH($D186,GradeList,0))+INDEX(GradeBasic,MATCH($D186,GradeList,0))*INDEX(GradeBonus,MATCH($D186,GradeList,0))+(INDEX(GradeBasic,MATCH($D186,GradeList,0))+INDEX(GradeHousing,MATCH($D186,GradeList,0)))*IF($F186="Saudi",GosiSaudi,GosiOther))</f>
        <v/>
      </c>
      <c r="P186" s="19" t="str">
        <f aca="false">IF($D186="","",IF(INDEX(GradeRank,MATCH($D186,GradeList,0))&gt;=INDEX(GradeRank,MATCH("G14",GradeList,0)),OneOffSenior,OneOffJunior))</f>
        <v/>
      </c>
      <c r="Q186" s="19" t="str">
        <f aca="false">IF(OR($D186="",$I186="",$H186=""),"",$O186*$H186*(5-MATCH($I186,{"Q1";"Q2";"Q3";"Q4"},0))/4+$P186*$H186)</f>
        <v/>
      </c>
      <c r="R186" s="19" t="str">
        <f aca="false">IF($O186="","",$O186*$H186)</f>
        <v/>
      </c>
      <c r="S186" s="32" t="str">
        <f aca="false">IF(COUNTA($B186:$J186)+COUNTA($M186:$N186)=0,"",MID(IF($B186="",", unit","")&amp;IF($C186="",", job title","")&amp;IF($D186="",", grade","")&amp;IF($E186="",", workforce type","")&amp;IF($F186="",", Saudi basis","")&amp;IF($G186="",", nature","")&amp;IF(N($H186)&lt;=0,", FTE","")&amp;IF($I186="",", start quarter","")&amp;IF($J186="",", driver","")&amp;IF($M186="",", alternatives",""),3,300))</f>
        <v/>
      </c>
      <c r="T186" s="17" t="str">
        <f aca="false">IF($S186="","",COUNTIF($S$6:$S186,"?*"))</f>
        <v/>
      </c>
    </row>
    <row r="187" customFormat="false" ht="15" hidden="false" customHeight="false" outlineLevel="0" collapsed="false">
      <c r="A187" s="17" t="n">
        <v>182</v>
      </c>
      <c r="B187" s="22"/>
      <c r="C187" s="22"/>
      <c r="D187" s="22"/>
      <c r="E187" s="22"/>
      <c r="F187" s="22"/>
      <c r="G187" s="22"/>
      <c r="H187" s="25"/>
      <c r="I187" s="22"/>
      <c r="J187" s="22"/>
      <c r="K187" s="31" t="str">
        <f aca="false">IF($J187="","",IFERROR(INDEX(DriverCategory,MATCH($J187,DriverList,0)),"?"))</f>
        <v/>
      </c>
      <c r="L187" s="31" t="str">
        <f aca="false">IF($J187="","",IFERROR(INDEX(DriverRank,MATCH($J187,DriverList,0)),99))</f>
        <v/>
      </c>
      <c r="M187" s="22"/>
      <c r="N187" s="22"/>
      <c r="O187" s="19" t="str">
        <f aca="false">IF($D187="","",INDEX(GradeBasic,MATCH($D187,GradeList,0))+INDEX(GradeHousing,MATCH($D187,GradeList,0))+INDEX(GradeTransport,MATCH($D187,GradeList,0))+INDEX(GradeBasic,MATCH($D187,GradeList,0))*INDEX(GradeBonus,MATCH($D187,GradeList,0))+(INDEX(GradeBasic,MATCH($D187,GradeList,0))+INDEX(GradeHousing,MATCH($D187,GradeList,0)))*IF($F187="Saudi",GosiSaudi,GosiOther))</f>
        <v/>
      </c>
      <c r="P187" s="19" t="str">
        <f aca="false">IF($D187="","",IF(INDEX(GradeRank,MATCH($D187,GradeList,0))&gt;=INDEX(GradeRank,MATCH("G14",GradeList,0)),OneOffSenior,OneOffJunior))</f>
        <v/>
      </c>
      <c r="Q187" s="19" t="str">
        <f aca="false">IF(OR($D187="",$I187="",$H187=""),"",$O187*$H187*(5-MATCH($I187,{"Q1";"Q2";"Q3";"Q4"},0))/4+$P187*$H187)</f>
        <v/>
      </c>
      <c r="R187" s="19" t="str">
        <f aca="false">IF($O187="","",$O187*$H187)</f>
        <v/>
      </c>
      <c r="S187" s="32" t="str">
        <f aca="false">IF(COUNTA($B187:$J187)+COUNTA($M187:$N187)=0,"",MID(IF($B187="",", unit","")&amp;IF($C187="",", job title","")&amp;IF($D187="",", grade","")&amp;IF($E187="",", workforce type","")&amp;IF($F187="",", Saudi basis","")&amp;IF($G187="",", nature","")&amp;IF(N($H187)&lt;=0,", FTE","")&amp;IF($I187="",", start quarter","")&amp;IF($J187="",", driver","")&amp;IF($M187="",", alternatives",""),3,300))</f>
        <v/>
      </c>
      <c r="T187" s="17" t="str">
        <f aca="false">IF($S187="","",COUNTIF($S$6:$S187,"?*"))</f>
        <v/>
      </c>
    </row>
    <row r="188" customFormat="false" ht="15" hidden="false" customHeight="false" outlineLevel="0" collapsed="false">
      <c r="A188" s="17" t="n">
        <v>183</v>
      </c>
      <c r="B188" s="22"/>
      <c r="C188" s="22"/>
      <c r="D188" s="22"/>
      <c r="E188" s="22"/>
      <c r="F188" s="22"/>
      <c r="G188" s="22"/>
      <c r="H188" s="25"/>
      <c r="I188" s="22"/>
      <c r="J188" s="22"/>
      <c r="K188" s="31" t="str">
        <f aca="false">IF($J188="","",IFERROR(INDEX(DriverCategory,MATCH($J188,DriverList,0)),"?"))</f>
        <v/>
      </c>
      <c r="L188" s="31" t="str">
        <f aca="false">IF($J188="","",IFERROR(INDEX(DriverRank,MATCH($J188,DriverList,0)),99))</f>
        <v/>
      </c>
      <c r="M188" s="22"/>
      <c r="N188" s="22"/>
      <c r="O188" s="19" t="str">
        <f aca="false">IF($D188="","",INDEX(GradeBasic,MATCH($D188,GradeList,0))+INDEX(GradeHousing,MATCH($D188,GradeList,0))+INDEX(GradeTransport,MATCH($D188,GradeList,0))+INDEX(GradeBasic,MATCH($D188,GradeList,0))*INDEX(GradeBonus,MATCH($D188,GradeList,0))+(INDEX(GradeBasic,MATCH($D188,GradeList,0))+INDEX(GradeHousing,MATCH($D188,GradeList,0)))*IF($F188="Saudi",GosiSaudi,GosiOther))</f>
        <v/>
      </c>
      <c r="P188" s="19" t="str">
        <f aca="false">IF($D188="","",IF(INDEX(GradeRank,MATCH($D188,GradeList,0))&gt;=INDEX(GradeRank,MATCH("G14",GradeList,0)),OneOffSenior,OneOffJunior))</f>
        <v/>
      </c>
      <c r="Q188" s="19" t="str">
        <f aca="false">IF(OR($D188="",$I188="",$H188=""),"",$O188*$H188*(5-MATCH($I188,{"Q1";"Q2";"Q3";"Q4"},0))/4+$P188*$H188)</f>
        <v/>
      </c>
      <c r="R188" s="19" t="str">
        <f aca="false">IF($O188="","",$O188*$H188)</f>
        <v/>
      </c>
      <c r="S188" s="32" t="str">
        <f aca="false">IF(COUNTA($B188:$J188)+COUNTA($M188:$N188)=0,"",MID(IF($B188="",", unit","")&amp;IF($C188="",", job title","")&amp;IF($D188="",", grade","")&amp;IF($E188="",", workforce type","")&amp;IF($F188="",", Saudi basis","")&amp;IF($G188="",", nature","")&amp;IF(N($H188)&lt;=0,", FTE","")&amp;IF($I188="",", start quarter","")&amp;IF($J188="",", driver","")&amp;IF($M188="",", alternatives",""),3,300))</f>
        <v/>
      </c>
      <c r="T188" s="17" t="str">
        <f aca="false">IF($S188="","",COUNTIF($S$6:$S188,"?*"))</f>
        <v/>
      </c>
    </row>
    <row r="189" customFormat="false" ht="15" hidden="false" customHeight="false" outlineLevel="0" collapsed="false">
      <c r="A189" s="17" t="n">
        <v>184</v>
      </c>
      <c r="B189" s="22"/>
      <c r="C189" s="22"/>
      <c r="D189" s="22"/>
      <c r="E189" s="22"/>
      <c r="F189" s="22"/>
      <c r="G189" s="22"/>
      <c r="H189" s="25"/>
      <c r="I189" s="22"/>
      <c r="J189" s="22"/>
      <c r="K189" s="31" t="str">
        <f aca="false">IF($J189="","",IFERROR(INDEX(DriverCategory,MATCH($J189,DriverList,0)),"?"))</f>
        <v/>
      </c>
      <c r="L189" s="31" t="str">
        <f aca="false">IF($J189="","",IFERROR(INDEX(DriverRank,MATCH($J189,DriverList,0)),99))</f>
        <v/>
      </c>
      <c r="M189" s="22"/>
      <c r="N189" s="22"/>
      <c r="O189" s="19" t="str">
        <f aca="false">IF($D189="","",INDEX(GradeBasic,MATCH($D189,GradeList,0))+INDEX(GradeHousing,MATCH($D189,GradeList,0))+INDEX(GradeTransport,MATCH($D189,GradeList,0))+INDEX(GradeBasic,MATCH($D189,GradeList,0))*INDEX(GradeBonus,MATCH($D189,GradeList,0))+(INDEX(GradeBasic,MATCH($D189,GradeList,0))+INDEX(GradeHousing,MATCH($D189,GradeList,0)))*IF($F189="Saudi",GosiSaudi,GosiOther))</f>
        <v/>
      </c>
      <c r="P189" s="19" t="str">
        <f aca="false">IF($D189="","",IF(INDEX(GradeRank,MATCH($D189,GradeList,0))&gt;=INDEX(GradeRank,MATCH("G14",GradeList,0)),OneOffSenior,OneOffJunior))</f>
        <v/>
      </c>
      <c r="Q189" s="19" t="str">
        <f aca="false">IF(OR($D189="",$I189="",$H189=""),"",$O189*$H189*(5-MATCH($I189,{"Q1";"Q2";"Q3";"Q4"},0))/4+$P189*$H189)</f>
        <v/>
      </c>
      <c r="R189" s="19" t="str">
        <f aca="false">IF($O189="","",$O189*$H189)</f>
        <v/>
      </c>
      <c r="S189" s="32" t="str">
        <f aca="false">IF(COUNTA($B189:$J189)+COUNTA($M189:$N189)=0,"",MID(IF($B189="",", unit","")&amp;IF($C189="",", job title","")&amp;IF($D189="",", grade","")&amp;IF($E189="",", workforce type","")&amp;IF($F189="",", Saudi basis","")&amp;IF($G189="",", nature","")&amp;IF(N($H189)&lt;=0,", FTE","")&amp;IF($I189="",", start quarter","")&amp;IF($J189="",", driver","")&amp;IF($M189="",", alternatives",""),3,300))</f>
        <v/>
      </c>
      <c r="T189" s="17" t="str">
        <f aca="false">IF($S189="","",COUNTIF($S$6:$S189,"?*"))</f>
        <v/>
      </c>
    </row>
    <row r="190" customFormat="false" ht="15" hidden="false" customHeight="false" outlineLevel="0" collapsed="false">
      <c r="A190" s="17" t="n">
        <v>185</v>
      </c>
      <c r="B190" s="22"/>
      <c r="C190" s="22"/>
      <c r="D190" s="22"/>
      <c r="E190" s="22"/>
      <c r="F190" s="22"/>
      <c r="G190" s="22"/>
      <c r="H190" s="25"/>
      <c r="I190" s="22"/>
      <c r="J190" s="22"/>
      <c r="K190" s="31" t="str">
        <f aca="false">IF($J190="","",IFERROR(INDEX(DriverCategory,MATCH($J190,DriverList,0)),"?"))</f>
        <v/>
      </c>
      <c r="L190" s="31" t="str">
        <f aca="false">IF($J190="","",IFERROR(INDEX(DriverRank,MATCH($J190,DriverList,0)),99))</f>
        <v/>
      </c>
      <c r="M190" s="22"/>
      <c r="N190" s="22"/>
      <c r="O190" s="19" t="str">
        <f aca="false">IF($D190="","",INDEX(GradeBasic,MATCH($D190,GradeList,0))+INDEX(GradeHousing,MATCH($D190,GradeList,0))+INDEX(GradeTransport,MATCH($D190,GradeList,0))+INDEX(GradeBasic,MATCH($D190,GradeList,0))*INDEX(GradeBonus,MATCH($D190,GradeList,0))+(INDEX(GradeBasic,MATCH($D190,GradeList,0))+INDEX(GradeHousing,MATCH($D190,GradeList,0)))*IF($F190="Saudi",GosiSaudi,GosiOther))</f>
        <v/>
      </c>
      <c r="P190" s="19" t="str">
        <f aca="false">IF($D190="","",IF(INDEX(GradeRank,MATCH($D190,GradeList,0))&gt;=INDEX(GradeRank,MATCH("G14",GradeList,0)),OneOffSenior,OneOffJunior))</f>
        <v/>
      </c>
      <c r="Q190" s="19" t="str">
        <f aca="false">IF(OR($D190="",$I190="",$H190=""),"",$O190*$H190*(5-MATCH($I190,{"Q1";"Q2";"Q3";"Q4"},0))/4+$P190*$H190)</f>
        <v/>
      </c>
      <c r="R190" s="19" t="str">
        <f aca="false">IF($O190="","",$O190*$H190)</f>
        <v/>
      </c>
      <c r="S190" s="32" t="str">
        <f aca="false">IF(COUNTA($B190:$J190)+COUNTA($M190:$N190)=0,"",MID(IF($B190="",", unit","")&amp;IF($C190="",", job title","")&amp;IF($D190="",", grade","")&amp;IF($E190="",", workforce type","")&amp;IF($F190="",", Saudi basis","")&amp;IF($G190="",", nature","")&amp;IF(N($H190)&lt;=0,", FTE","")&amp;IF($I190="",", start quarter","")&amp;IF($J190="",", driver","")&amp;IF($M190="",", alternatives",""),3,300))</f>
        <v/>
      </c>
      <c r="T190" s="17" t="str">
        <f aca="false">IF($S190="","",COUNTIF($S$6:$S190,"?*"))</f>
        <v/>
      </c>
    </row>
    <row r="191" customFormat="false" ht="15" hidden="false" customHeight="false" outlineLevel="0" collapsed="false">
      <c r="A191" s="17" t="n">
        <v>186</v>
      </c>
      <c r="B191" s="22"/>
      <c r="C191" s="22"/>
      <c r="D191" s="22"/>
      <c r="E191" s="22"/>
      <c r="F191" s="22"/>
      <c r="G191" s="22"/>
      <c r="H191" s="25"/>
      <c r="I191" s="22"/>
      <c r="J191" s="22"/>
      <c r="K191" s="31" t="str">
        <f aca="false">IF($J191="","",IFERROR(INDEX(DriverCategory,MATCH($J191,DriverList,0)),"?"))</f>
        <v/>
      </c>
      <c r="L191" s="31" t="str">
        <f aca="false">IF($J191="","",IFERROR(INDEX(DriverRank,MATCH($J191,DriverList,0)),99))</f>
        <v/>
      </c>
      <c r="M191" s="22"/>
      <c r="N191" s="22"/>
      <c r="O191" s="19" t="str">
        <f aca="false">IF($D191="","",INDEX(GradeBasic,MATCH($D191,GradeList,0))+INDEX(GradeHousing,MATCH($D191,GradeList,0))+INDEX(GradeTransport,MATCH($D191,GradeList,0))+INDEX(GradeBasic,MATCH($D191,GradeList,0))*INDEX(GradeBonus,MATCH($D191,GradeList,0))+(INDEX(GradeBasic,MATCH($D191,GradeList,0))+INDEX(GradeHousing,MATCH($D191,GradeList,0)))*IF($F191="Saudi",GosiSaudi,GosiOther))</f>
        <v/>
      </c>
      <c r="P191" s="19" t="str">
        <f aca="false">IF($D191="","",IF(INDEX(GradeRank,MATCH($D191,GradeList,0))&gt;=INDEX(GradeRank,MATCH("G14",GradeList,0)),OneOffSenior,OneOffJunior))</f>
        <v/>
      </c>
      <c r="Q191" s="19" t="str">
        <f aca="false">IF(OR($D191="",$I191="",$H191=""),"",$O191*$H191*(5-MATCH($I191,{"Q1";"Q2";"Q3";"Q4"},0))/4+$P191*$H191)</f>
        <v/>
      </c>
      <c r="R191" s="19" t="str">
        <f aca="false">IF($O191="","",$O191*$H191)</f>
        <v/>
      </c>
      <c r="S191" s="32" t="str">
        <f aca="false">IF(COUNTA($B191:$J191)+COUNTA($M191:$N191)=0,"",MID(IF($B191="",", unit","")&amp;IF($C191="",", job title","")&amp;IF($D191="",", grade","")&amp;IF($E191="",", workforce type","")&amp;IF($F191="",", Saudi basis","")&amp;IF($G191="",", nature","")&amp;IF(N($H191)&lt;=0,", FTE","")&amp;IF($I191="",", start quarter","")&amp;IF($J191="",", driver","")&amp;IF($M191="",", alternatives",""),3,300))</f>
        <v/>
      </c>
      <c r="T191" s="17" t="str">
        <f aca="false">IF($S191="","",COUNTIF($S$6:$S191,"?*"))</f>
        <v/>
      </c>
    </row>
    <row r="192" customFormat="false" ht="15" hidden="false" customHeight="false" outlineLevel="0" collapsed="false">
      <c r="A192" s="17" t="n">
        <v>187</v>
      </c>
      <c r="B192" s="22"/>
      <c r="C192" s="22"/>
      <c r="D192" s="22"/>
      <c r="E192" s="22"/>
      <c r="F192" s="22"/>
      <c r="G192" s="22"/>
      <c r="H192" s="25"/>
      <c r="I192" s="22"/>
      <c r="J192" s="22"/>
      <c r="K192" s="31" t="str">
        <f aca="false">IF($J192="","",IFERROR(INDEX(DriverCategory,MATCH($J192,DriverList,0)),"?"))</f>
        <v/>
      </c>
      <c r="L192" s="31" t="str">
        <f aca="false">IF($J192="","",IFERROR(INDEX(DriverRank,MATCH($J192,DriverList,0)),99))</f>
        <v/>
      </c>
      <c r="M192" s="22"/>
      <c r="N192" s="22"/>
      <c r="O192" s="19" t="str">
        <f aca="false">IF($D192="","",INDEX(GradeBasic,MATCH($D192,GradeList,0))+INDEX(GradeHousing,MATCH($D192,GradeList,0))+INDEX(GradeTransport,MATCH($D192,GradeList,0))+INDEX(GradeBasic,MATCH($D192,GradeList,0))*INDEX(GradeBonus,MATCH($D192,GradeList,0))+(INDEX(GradeBasic,MATCH($D192,GradeList,0))+INDEX(GradeHousing,MATCH($D192,GradeList,0)))*IF($F192="Saudi",GosiSaudi,GosiOther))</f>
        <v/>
      </c>
      <c r="P192" s="19" t="str">
        <f aca="false">IF($D192="","",IF(INDEX(GradeRank,MATCH($D192,GradeList,0))&gt;=INDEX(GradeRank,MATCH("G14",GradeList,0)),OneOffSenior,OneOffJunior))</f>
        <v/>
      </c>
      <c r="Q192" s="19" t="str">
        <f aca="false">IF(OR($D192="",$I192="",$H192=""),"",$O192*$H192*(5-MATCH($I192,{"Q1";"Q2";"Q3";"Q4"},0))/4+$P192*$H192)</f>
        <v/>
      </c>
      <c r="R192" s="19" t="str">
        <f aca="false">IF($O192="","",$O192*$H192)</f>
        <v/>
      </c>
      <c r="S192" s="32" t="str">
        <f aca="false">IF(COUNTA($B192:$J192)+COUNTA($M192:$N192)=0,"",MID(IF($B192="",", unit","")&amp;IF($C192="",", job title","")&amp;IF($D192="",", grade","")&amp;IF($E192="",", workforce type","")&amp;IF($F192="",", Saudi basis","")&amp;IF($G192="",", nature","")&amp;IF(N($H192)&lt;=0,", FTE","")&amp;IF($I192="",", start quarter","")&amp;IF($J192="",", driver","")&amp;IF($M192="",", alternatives",""),3,300))</f>
        <v/>
      </c>
      <c r="T192" s="17" t="str">
        <f aca="false">IF($S192="","",COUNTIF($S$6:$S192,"?*"))</f>
        <v/>
      </c>
    </row>
    <row r="193" customFormat="false" ht="15" hidden="false" customHeight="false" outlineLevel="0" collapsed="false">
      <c r="A193" s="17" t="n">
        <v>188</v>
      </c>
      <c r="B193" s="22"/>
      <c r="C193" s="22"/>
      <c r="D193" s="22"/>
      <c r="E193" s="22"/>
      <c r="F193" s="22"/>
      <c r="G193" s="22"/>
      <c r="H193" s="25"/>
      <c r="I193" s="22"/>
      <c r="J193" s="22"/>
      <c r="K193" s="31" t="str">
        <f aca="false">IF($J193="","",IFERROR(INDEX(DriverCategory,MATCH($J193,DriverList,0)),"?"))</f>
        <v/>
      </c>
      <c r="L193" s="31" t="str">
        <f aca="false">IF($J193="","",IFERROR(INDEX(DriverRank,MATCH($J193,DriverList,0)),99))</f>
        <v/>
      </c>
      <c r="M193" s="22"/>
      <c r="N193" s="22"/>
      <c r="O193" s="19" t="str">
        <f aca="false">IF($D193="","",INDEX(GradeBasic,MATCH($D193,GradeList,0))+INDEX(GradeHousing,MATCH($D193,GradeList,0))+INDEX(GradeTransport,MATCH($D193,GradeList,0))+INDEX(GradeBasic,MATCH($D193,GradeList,0))*INDEX(GradeBonus,MATCH($D193,GradeList,0))+(INDEX(GradeBasic,MATCH($D193,GradeList,0))+INDEX(GradeHousing,MATCH($D193,GradeList,0)))*IF($F193="Saudi",GosiSaudi,GosiOther))</f>
        <v/>
      </c>
      <c r="P193" s="19" t="str">
        <f aca="false">IF($D193="","",IF(INDEX(GradeRank,MATCH($D193,GradeList,0))&gt;=INDEX(GradeRank,MATCH("G14",GradeList,0)),OneOffSenior,OneOffJunior))</f>
        <v/>
      </c>
      <c r="Q193" s="19" t="str">
        <f aca="false">IF(OR($D193="",$I193="",$H193=""),"",$O193*$H193*(5-MATCH($I193,{"Q1";"Q2";"Q3";"Q4"},0))/4+$P193*$H193)</f>
        <v/>
      </c>
      <c r="R193" s="19" t="str">
        <f aca="false">IF($O193="","",$O193*$H193)</f>
        <v/>
      </c>
      <c r="S193" s="32" t="str">
        <f aca="false">IF(COUNTA($B193:$J193)+COUNTA($M193:$N193)=0,"",MID(IF($B193="",", unit","")&amp;IF($C193="",", job title","")&amp;IF($D193="",", grade","")&amp;IF($E193="",", workforce type","")&amp;IF($F193="",", Saudi basis","")&amp;IF($G193="",", nature","")&amp;IF(N($H193)&lt;=0,", FTE","")&amp;IF($I193="",", start quarter","")&amp;IF($J193="",", driver","")&amp;IF($M193="",", alternatives",""),3,300))</f>
        <v/>
      </c>
      <c r="T193" s="17" t="str">
        <f aca="false">IF($S193="","",COUNTIF($S$6:$S193,"?*"))</f>
        <v/>
      </c>
    </row>
    <row r="194" customFormat="false" ht="15" hidden="false" customHeight="false" outlineLevel="0" collapsed="false">
      <c r="A194" s="17" t="n">
        <v>189</v>
      </c>
      <c r="B194" s="22"/>
      <c r="C194" s="22"/>
      <c r="D194" s="22"/>
      <c r="E194" s="22"/>
      <c r="F194" s="22"/>
      <c r="G194" s="22"/>
      <c r="H194" s="25"/>
      <c r="I194" s="22"/>
      <c r="J194" s="22"/>
      <c r="K194" s="31" t="str">
        <f aca="false">IF($J194="","",IFERROR(INDEX(DriverCategory,MATCH($J194,DriverList,0)),"?"))</f>
        <v/>
      </c>
      <c r="L194" s="31" t="str">
        <f aca="false">IF($J194="","",IFERROR(INDEX(DriverRank,MATCH($J194,DriverList,0)),99))</f>
        <v/>
      </c>
      <c r="M194" s="22"/>
      <c r="N194" s="22"/>
      <c r="O194" s="19" t="str">
        <f aca="false">IF($D194="","",INDEX(GradeBasic,MATCH($D194,GradeList,0))+INDEX(GradeHousing,MATCH($D194,GradeList,0))+INDEX(GradeTransport,MATCH($D194,GradeList,0))+INDEX(GradeBasic,MATCH($D194,GradeList,0))*INDEX(GradeBonus,MATCH($D194,GradeList,0))+(INDEX(GradeBasic,MATCH($D194,GradeList,0))+INDEX(GradeHousing,MATCH($D194,GradeList,0)))*IF($F194="Saudi",GosiSaudi,GosiOther))</f>
        <v/>
      </c>
      <c r="P194" s="19" t="str">
        <f aca="false">IF($D194="","",IF(INDEX(GradeRank,MATCH($D194,GradeList,0))&gt;=INDEX(GradeRank,MATCH("G14",GradeList,0)),OneOffSenior,OneOffJunior))</f>
        <v/>
      </c>
      <c r="Q194" s="19" t="str">
        <f aca="false">IF(OR($D194="",$I194="",$H194=""),"",$O194*$H194*(5-MATCH($I194,{"Q1";"Q2";"Q3";"Q4"},0))/4+$P194*$H194)</f>
        <v/>
      </c>
      <c r="R194" s="19" t="str">
        <f aca="false">IF($O194="","",$O194*$H194)</f>
        <v/>
      </c>
      <c r="S194" s="32" t="str">
        <f aca="false">IF(COUNTA($B194:$J194)+COUNTA($M194:$N194)=0,"",MID(IF($B194="",", unit","")&amp;IF($C194="",", job title","")&amp;IF($D194="",", grade","")&amp;IF($E194="",", workforce type","")&amp;IF($F194="",", Saudi basis","")&amp;IF($G194="",", nature","")&amp;IF(N($H194)&lt;=0,", FTE","")&amp;IF($I194="",", start quarter","")&amp;IF($J194="",", driver","")&amp;IF($M194="",", alternatives",""),3,300))</f>
        <v/>
      </c>
      <c r="T194" s="17" t="str">
        <f aca="false">IF($S194="","",COUNTIF($S$6:$S194,"?*"))</f>
        <v/>
      </c>
    </row>
    <row r="195" customFormat="false" ht="15" hidden="false" customHeight="false" outlineLevel="0" collapsed="false">
      <c r="A195" s="17" t="n">
        <v>190</v>
      </c>
      <c r="B195" s="22"/>
      <c r="C195" s="22"/>
      <c r="D195" s="22"/>
      <c r="E195" s="22"/>
      <c r="F195" s="22"/>
      <c r="G195" s="22"/>
      <c r="H195" s="25"/>
      <c r="I195" s="22"/>
      <c r="J195" s="22"/>
      <c r="K195" s="31" t="str">
        <f aca="false">IF($J195="","",IFERROR(INDEX(DriverCategory,MATCH($J195,DriverList,0)),"?"))</f>
        <v/>
      </c>
      <c r="L195" s="31" t="str">
        <f aca="false">IF($J195="","",IFERROR(INDEX(DriverRank,MATCH($J195,DriverList,0)),99))</f>
        <v/>
      </c>
      <c r="M195" s="22"/>
      <c r="N195" s="22"/>
      <c r="O195" s="19" t="str">
        <f aca="false">IF($D195="","",INDEX(GradeBasic,MATCH($D195,GradeList,0))+INDEX(GradeHousing,MATCH($D195,GradeList,0))+INDEX(GradeTransport,MATCH($D195,GradeList,0))+INDEX(GradeBasic,MATCH($D195,GradeList,0))*INDEX(GradeBonus,MATCH($D195,GradeList,0))+(INDEX(GradeBasic,MATCH($D195,GradeList,0))+INDEX(GradeHousing,MATCH($D195,GradeList,0)))*IF($F195="Saudi",GosiSaudi,GosiOther))</f>
        <v/>
      </c>
      <c r="P195" s="19" t="str">
        <f aca="false">IF($D195="","",IF(INDEX(GradeRank,MATCH($D195,GradeList,0))&gt;=INDEX(GradeRank,MATCH("G14",GradeList,0)),OneOffSenior,OneOffJunior))</f>
        <v/>
      </c>
      <c r="Q195" s="19" t="str">
        <f aca="false">IF(OR($D195="",$I195="",$H195=""),"",$O195*$H195*(5-MATCH($I195,{"Q1";"Q2";"Q3";"Q4"},0))/4+$P195*$H195)</f>
        <v/>
      </c>
      <c r="R195" s="19" t="str">
        <f aca="false">IF($O195="","",$O195*$H195)</f>
        <v/>
      </c>
      <c r="S195" s="32" t="str">
        <f aca="false">IF(COUNTA($B195:$J195)+COUNTA($M195:$N195)=0,"",MID(IF($B195="",", unit","")&amp;IF($C195="",", job title","")&amp;IF($D195="",", grade","")&amp;IF($E195="",", workforce type","")&amp;IF($F195="",", Saudi basis","")&amp;IF($G195="",", nature","")&amp;IF(N($H195)&lt;=0,", FTE","")&amp;IF($I195="",", start quarter","")&amp;IF($J195="",", driver","")&amp;IF($M195="",", alternatives",""),3,300))</f>
        <v/>
      </c>
      <c r="T195" s="17" t="str">
        <f aca="false">IF($S195="","",COUNTIF($S$6:$S195,"?*"))</f>
        <v/>
      </c>
    </row>
    <row r="196" customFormat="false" ht="15" hidden="false" customHeight="false" outlineLevel="0" collapsed="false">
      <c r="A196" s="17" t="n">
        <v>191</v>
      </c>
      <c r="B196" s="22"/>
      <c r="C196" s="22"/>
      <c r="D196" s="22"/>
      <c r="E196" s="22"/>
      <c r="F196" s="22"/>
      <c r="G196" s="22"/>
      <c r="H196" s="25"/>
      <c r="I196" s="22"/>
      <c r="J196" s="22"/>
      <c r="K196" s="31" t="str">
        <f aca="false">IF($J196="","",IFERROR(INDEX(DriverCategory,MATCH($J196,DriverList,0)),"?"))</f>
        <v/>
      </c>
      <c r="L196" s="31" t="str">
        <f aca="false">IF($J196="","",IFERROR(INDEX(DriverRank,MATCH($J196,DriverList,0)),99))</f>
        <v/>
      </c>
      <c r="M196" s="22"/>
      <c r="N196" s="22"/>
      <c r="O196" s="19" t="str">
        <f aca="false">IF($D196="","",INDEX(GradeBasic,MATCH($D196,GradeList,0))+INDEX(GradeHousing,MATCH($D196,GradeList,0))+INDEX(GradeTransport,MATCH($D196,GradeList,0))+INDEX(GradeBasic,MATCH($D196,GradeList,0))*INDEX(GradeBonus,MATCH($D196,GradeList,0))+(INDEX(GradeBasic,MATCH($D196,GradeList,0))+INDEX(GradeHousing,MATCH($D196,GradeList,0)))*IF($F196="Saudi",GosiSaudi,GosiOther))</f>
        <v/>
      </c>
      <c r="P196" s="19" t="str">
        <f aca="false">IF($D196="","",IF(INDEX(GradeRank,MATCH($D196,GradeList,0))&gt;=INDEX(GradeRank,MATCH("G14",GradeList,0)),OneOffSenior,OneOffJunior))</f>
        <v/>
      </c>
      <c r="Q196" s="19" t="str">
        <f aca="false">IF(OR($D196="",$I196="",$H196=""),"",$O196*$H196*(5-MATCH($I196,{"Q1";"Q2";"Q3";"Q4"},0))/4+$P196*$H196)</f>
        <v/>
      </c>
      <c r="R196" s="19" t="str">
        <f aca="false">IF($O196="","",$O196*$H196)</f>
        <v/>
      </c>
      <c r="S196" s="32" t="str">
        <f aca="false">IF(COUNTA($B196:$J196)+COUNTA($M196:$N196)=0,"",MID(IF($B196="",", unit","")&amp;IF($C196="",", job title","")&amp;IF($D196="",", grade","")&amp;IF($E196="",", workforce type","")&amp;IF($F196="",", Saudi basis","")&amp;IF($G196="",", nature","")&amp;IF(N($H196)&lt;=0,", FTE","")&amp;IF($I196="",", start quarter","")&amp;IF($J196="",", driver","")&amp;IF($M196="",", alternatives",""),3,300))</f>
        <v/>
      </c>
      <c r="T196" s="17" t="str">
        <f aca="false">IF($S196="","",COUNTIF($S$6:$S196,"?*"))</f>
        <v/>
      </c>
    </row>
    <row r="197" customFormat="false" ht="15" hidden="false" customHeight="false" outlineLevel="0" collapsed="false">
      <c r="A197" s="17" t="n">
        <v>192</v>
      </c>
      <c r="B197" s="22"/>
      <c r="C197" s="22"/>
      <c r="D197" s="22"/>
      <c r="E197" s="22"/>
      <c r="F197" s="22"/>
      <c r="G197" s="22"/>
      <c r="H197" s="25"/>
      <c r="I197" s="22"/>
      <c r="J197" s="22"/>
      <c r="K197" s="31" t="str">
        <f aca="false">IF($J197="","",IFERROR(INDEX(DriverCategory,MATCH($J197,DriverList,0)),"?"))</f>
        <v/>
      </c>
      <c r="L197" s="31" t="str">
        <f aca="false">IF($J197="","",IFERROR(INDEX(DriverRank,MATCH($J197,DriverList,0)),99))</f>
        <v/>
      </c>
      <c r="M197" s="22"/>
      <c r="N197" s="22"/>
      <c r="O197" s="19" t="str">
        <f aca="false">IF($D197="","",INDEX(GradeBasic,MATCH($D197,GradeList,0))+INDEX(GradeHousing,MATCH($D197,GradeList,0))+INDEX(GradeTransport,MATCH($D197,GradeList,0))+INDEX(GradeBasic,MATCH($D197,GradeList,0))*INDEX(GradeBonus,MATCH($D197,GradeList,0))+(INDEX(GradeBasic,MATCH($D197,GradeList,0))+INDEX(GradeHousing,MATCH($D197,GradeList,0)))*IF($F197="Saudi",GosiSaudi,GosiOther))</f>
        <v/>
      </c>
      <c r="P197" s="19" t="str">
        <f aca="false">IF($D197="","",IF(INDEX(GradeRank,MATCH($D197,GradeList,0))&gt;=INDEX(GradeRank,MATCH("G14",GradeList,0)),OneOffSenior,OneOffJunior))</f>
        <v/>
      </c>
      <c r="Q197" s="19" t="str">
        <f aca="false">IF(OR($D197="",$I197="",$H197=""),"",$O197*$H197*(5-MATCH($I197,{"Q1";"Q2";"Q3";"Q4"},0))/4+$P197*$H197)</f>
        <v/>
      </c>
      <c r="R197" s="19" t="str">
        <f aca="false">IF($O197="","",$O197*$H197)</f>
        <v/>
      </c>
      <c r="S197" s="32" t="str">
        <f aca="false">IF(COUNTA($B197:$J197)+COUNTA($M197:$N197)=0,"",MID(IF($B197="",", unit","")&amp;IF($C197="",", job title","")&amp;IF($D197="",", grade","")&amp;IF($E197="",", workforce type","")&amp;IF($F197="",", Saudi basis","")&amp;IF($G197="",", nature","")&amp;IF(N($H197)&lt;=0,", FTE","")&amp;IF($I197="",", start quarter","")&amp;IF($J197="",", driver","")&amp;IF($M197="",", alternatives",""),3,300))</f>
        <v/>
      </c>
      <c r="T197" s="17" t="str">
        <f aca="false">IF($S197="","",COUNTIF($S$6:$S197,"?*"))</f>
        <v/>
      </c>
    </row>
    <row r="198" customFormat="false" ht="15" hidden="false" customHeight="false" outlineLevel="0" collapsed="false">
      <c r="A198" s="17" t="n">
        <v>193</v>
      </c>
      <c r="B198" s="22"/>
      <c r="C198" s="22"/>
      <c r="D198" s="22"/>
      <c r="E198" s="22"/>
      <c r="F198" s="22"/>
      <c r="G198" s="22"/>
      <c r="H198" s="25"/>
      <c r="I198" s="22"/>
      <c r="J198" s="22"/>
      <c r="K198" s="31" t="str">
        <f aca="false">IF($J198="","",IFERROR(INDEX(DriverCategory,MATCH($J198,DriverList,0)),"?"))</f>
        <v/>
      </c>
      <c r="L198" s="31" t="str">
        <f aca="false">IF($J198="","",IFERROR(INDEX(DriverRank,MATCH($J198,DriverList,0)),99))</f>
        <v/>
      </c>
      <c r="M198" s="22"/>
      <c r="N198" s="22"/>
      <c r="O198" s="19" t="str">
        <f aca="false">IF($D198="","",INDEX(GradeBasic,MATCH($D198,GradeList,0))+INDEX(GradeHousing,MATCH($D198,GradeList,0))+INDEX(GradeTransport,MATCH($D198,GradeList,0))+INDEX(GradeBasic,MATCH($D198,GradeList,0))*INDEX(GradeBonus,MATCH($D198,GradeList,0))+(INDEX(GradeBasic,MATCH($D198,GradeList,0))+INDEX(GradeHousing,MATCH($D198,GradeList,0)))*IF($F198="Saudi",GosiSaudi,GosiOther))</f>
        <v/>
      </c>
      <c r="P198" s="19" t="str">
        <f aca="false">IF($D198="","",IF(INDEX(GradeRank,MATCH($D198,GradeList,0))&gt;=INDEX(GradeRank,MATCH("G14",GradeList,0)),OneOffSenior,OneOffJunior))</f>
        <v/>
      </c>
      <c r="Q198" s="19" t="str">
        <f aca="false">IF(OR($D198="",$I198="",$H198=""),"",$O198*$H198*(5-MATCH($I198,{"Q1";"Q2";"Q3";"Q4"},0))/4+$P198*$H198)</f>
        <v/>
      </c>
      <c r="R198" s="19" t="str">
        <f aca="false">IF($O198="","",$O198*$H198)</f>
        <v/>
      </c>
      <c r="S198" s="32" t="str">
        <f aca="false">IF(COUNTA($B198:$J198)+COUNTA($M198:$N198)=0,"",MID(IF($B198="",", unit","")&amp;IF($C198="",", job title","")&amp;IF($D198="",", grade","")&amp;IF($E198="",", workforce type","")&amp;IF($F198="",", Saudi basis","")&amp;IF($G198="",", nature","")&amp;IF(N($H198)&lt;=0,", FTE","")&amp;IF($I198="",", start quarter","")&amp;IF($J198="",", driver","")&amp;IF($M198="",", alternatives",""),3,300))</f>
        <v/>
      </c>
      <c r="T198" s="17" t="str">
        <f aca="false">IF($S198="","",COUNTIF($S$6:$S198,"?*"))</f>
        <v/>
      </c>
    </row>
    <row r="199" customFormat="false" ht="15" hidden="false" customHeight="false" outlineLevel="0" collapsed="false">
      <c r="A199" s="17" t="n">
        <v>194</v>
      </c>
      <c r="B199" s="22"/>
      <c r="C199" s="22"/>
      <c r="D199" s="22"/>
      <c r="E199" s="22"/>
      <c r="F199" s="22"/>
      <c r="G199" s="22"/>
      <c r="H199" s="25"/>
      <c r="I199" s="22"/>
      <c r="J199" s="22"/>
      <c r="K199" s="31" t="str">
        <f aca="false">IF($J199="","",IFERROR(INDEX(DriverCategory,MATCH($J199,DriverList,0)),"?"))</f>
        <v/>
      </c>
      <c r="L199" s="31" t="str">
        <f aca="false">IF($J199="","",IFERROR(INDEX(DriverRank,MATCH($J199,DriverList,0)),99))</f>
        <v/>
      </c>
      <c r="M199" s="22"/>
      <c r="N199" s="22"/>
      <c r="O199" s="19" t="str">
        <f aca="false">IF($D199="","",INDEX(GradeBasic,MATCH($D199,GradeList,0))+INDEX(GradeHousing,MATCH($D199,GradeList,0))+INDEX(GradeTransport,MATCH($D199,GradeList,0))+INDEX(GradeBasic,MATCH($D199,GradeList,0))*INDEX(GradeBonus,MATCH($D199,GradeList,0))+(INDEX(GradeBasic,MATCH($D199,GradeList,0))+INDEX(GradeHousing,MATCH($D199,GradeList,0)))*IF($F199="Saudi",GosiSaudi,GosiOther))</f>
        <v/>
      </c>
      <c r="P199" s="19" t="str">
        <f aca="false">IF($D199="","",IF(INDEX(GradeRank,MATCH($D199,GradeList,0))&gt;=INDEX(GradeRank,MATCH("G14",GradeList,0)),OneOffSenior,OneOffJunior))</f>
        <v/>
      </c>
      <c r="Q199" s="19" t="str">
        <f aca="false">IF(OR($D199="",$I199="",$H199=""),"",$O199*$H199*(5-MATCH($I199,{"Q1";"Q2";"Q3";"Q4"},0))/4+$P199*$H199)</f>
        <v/>
      </c>
      <c r="R199" s="19" t="str">
        <f aca="false">IF($O199="","",$O199*$H199)</f>
        <v/>
      </c>
      <c r="S199" s="32" t="str">
        <f aca="false">IF(COUNTA($B199:$J199)+COUNTA($M199:$N199)=0,"",MID(IF($B199="",", unit","")&amp;IF($C199="",", job title","")&amp;IF($D199="",", grade","")&amp;IF($E199="",", workforce type","")&amp;IF($F199="",", Saudi basis","")&amp;IF($G199="",", nature","")&amp;IF(N($H199)&lt;=0,", FTE","")&amp;IF($I199="",", start quarter","")&amp;IF($J199="",", driver","")&amp;IF($M199="",", alternatives",""),3,300))</f>
        <v/>
      </c>
      <c r="T199" s="17" t="str">
        <f aca="false">IF($S199="","",COUNTIF($S$6:$S199,"?*"))</f>
        <v/>
      </c>
    </row>
    <row r="200" customFormat="false" ht="15" hidden="false" customHeight="false" outlineLevel="0" collapsed="false">
      <c r="A200" s="17" t="n">
        <v>195</v>
      </c>
      <c r="B200" s="22"/>
      <c r="C200" s="22"/>
      <c r="D200" s="22"/>
      <c r="E200" s="22"/>
      <c r="F200" s="22"/>
      <c r="G200" s="22"/>
      <c r="H200" s="25"/>
      <c r="I200" s="22"/>
      <c r="J200" s="22"/>
      <c r="K200" s="31" t="str">
        <f aca="false">IF($J200="","",IFERROR(INDEX(DriverCategory,MATCH($J200,DriverList,0)),"?"))</f>
        <v/>
      </c>
      <c r="L200" s="31" t="str">
        <f aca="false">IF($J200="","",IFERROR(INDEX(DriverRank,MATCH($J200,DriverList,0)),99))</f>
        <v/>
      </c>
      <c r="M200" s="22"/>
      <c r="N200" s="22"/>
      <c r="O200" s="19" t="str">
        <f aca="false">IF($D200="","",INDEX(GradeBasic,MATCH($D200,GradeList,0))+INDEX(GradeHousing,MATCH($D200,GradeList,0))+INDEX(GradeTransport,MATCH($D200,GradeList,0))+INDEX(GradeBasic,MATCH($D200,GradeList,0))*INDEX(GradeBonus,MATCH($D200,GradeList,0))+(INDEX(GradeBasic,MATCH($D200,GradeList,0))+INDEX(GradeHousing,MATCH($D200,GradeList,0)))*IF($F200="Saudi",GosiSaudi,GosiOther))</f>
        <v/>
      </c>
      <c r="P200" s="19" t="str">
        <f aca="false">IF($D200="","",IF(INDEX(GradeRank,MATCH($D200,GradeList,0))&gt;=INDEX(GradeRank,MATCH("G14",GradeList,0)),OneOffSenior,OneOffJunior))</f>
        <v/>
      </c>
      <c r="Q200" s="19" t="str">
        <f aca="false">IF(OR($D200="",$I200="",$H200=""),"",$O200*$H200*(5-MATCH($I200,{"Q1";"Q2";"Q3";"Q4"},0))/4+$P200*$H200)</f>
        <v/>
      </c>
      <c r="R200" s="19" t="str">
        <f aca="false">IF($O200="","",$O200*$H200)</f>
        <v/>
      </c>
      <c r="S200" s="32" t="str">
        <f aca="false">IF(COUNTA($B200:$J200)+COUNTA($M200:$N200)=0,"",MID(IF($B200="",", unit","")&amp;IF($C200="",", job title","")&amp;IF($D200="",", grade","")&amp;IF($E200="",", workforce type","")&amp;IF($F200="",", Saudi basis","")&amp;IF($G200="",", nature","")&amp;IF(N($H200)&lt;=0,", FTE","")&amp;IF($I200="",", start quarter","")&amp;IF($J200="",", driver","")&amp;IF($M200="",", alternatives",""),3,300))</f>
        <v/>
      </c>
      <c r="T200" s="17" t="str">
        <f aca="false">IF($S200="","",COUNTIF($S$6:$S200,"?*"))</f>
        <v/>
      </c>
    </row>
    <row r="201" customFormat="false" ht="15" hidden="false" customHeight="false" outlineLevel="0" collapsed="false">
      <c r="A201" s="17" t="n">
        <v>196</v>
      </c>
      <c r="B201" s="22"/>
      <c r="C201" s="22"/>
      <c r="D201" s="22"/>
      <c r="E201" s="22"/>
      <c r="F201" s="22"/>
      <c r="G201" s="22"/>
      <c r="H201" s="25"/>
      <c r="I201" s="22"/>
      <c r="J201" s="22"/>
      <c r="K201" s="31" t="str">
        <f aca="false">IF($J201="","",IFERROR(INDEX(DriverCategory,MATCH($J201,DriverList,0)),"?"))</f>
        <v/>
      </c>
      <c r="L201" s="31" t="str">
        <f aca="false">IF($J201="","",IFERROR(INDEX(DriverRank,MATCH($J201,DriverList,0)),99))</f>
        <v/>
      </c>
      <c r="M201" s="22"/>
      <c r="N201" s="22"/>
      <c r="O201" s="19" t="str">
        <f aca="false">IF($D201="","",INDEX(GradeBasic,MATCH($D201,GradeList,0))+INDEX(GradeHousing,MATCH($D201,GradeList,0))+INDEX(GradeTransport,MATCH($D201,GradeList,0))+INDEX(GradeBasic,MATCH($D201,GradeList,0))*INDEX(GradeBonus,MATCH($D201,GradeList,0))+(INDEX(GradeBasic,MATCH($D201,GradeList,0))+INDEX(GradeHousing,MATCH($D201,GradeList,0)))*IF($F201="Saudi",GosiSaudi,GosiOther))</f>
        <v/>
      </c>
      <c r="P201" s="19" t="str">
        <f aca="false">IF($D201="","",IF(INDEX(GradeRank,MATCH($D201,GradeList,0))&gt;=INDEX(GradeRank,MATCH("G14",GradeList,0)),OneOffSenior,OneOffJunior))</f>
        <v/>
      </c>
      <c r="Q201" s="19" t="str">
        <f aca="false">IF(OR($D201="",$I201="",$H201=""),"",$O201*$H201*(5-MATCH($I201,{"Q1";"Q2";"Q3";"Q4"},0))/4+$P201*$H201)</f>
        <v/>
      </c>
      <c r="R201" s="19" t="str">
        <f aca="false">IF($O201="","",$O201*$H201)</f>
        <v/>
      </c>
      <c r="S201" s="32" t="str">
        <f aca="false">IF(COUNTA($B201:$J201)+COUNTA($M201:$N201)=0,"",MID(IF($B201="",", unit","")&amp;IF($C201="",", job title","")&amp;IF($D201="",", grade","")&amp;IF($E201="",", workforce type","")&amp;IF($F201="",", Saudi basis","")&amp;IF($G201="",", nature","")&amp;IF(N($H201)&lt;=0,", FTE","")&amp;IF($I201="",", start quarter","")&amp;IF($J201="",", driver","")&amp;IF($M201="",", alternatives",""),3,300))</f>
        <v/>
      </c>
      <c r="T201" s="17" t="str">
        <f aca="false">IF($S201="","",COUNTIF($S$6:$S201,"?*"))</f>
        <v/>
      </c>
    </row>
    <row r="202" customFormat="false" ht="15" hidden="false" customHeight="false" outlineLevel="0" collapsed="false">
      <c r="A202" s="17" t="n">
        <v>197</v>
      </c>
      <c r="B202" s="22"/>
      <c r="C202" s="22"/>
      <c r="D202" s="22"/>
      <c r="E202" s="22"/>
      <c r="F202" s="22"/>
      <c r="G202" s="22"/>
      <c r="H202" s="25"/>
      <c r="I202" s="22"/>
      <c r="J202" s="22"/>
      <c r="K202" s="31" t="str">
        <f aca="false">IF($J202="","",IFERROR(INDEX(DriverCategory,MATCH($J202,DriverList,0)),"?"))</f>
        <v/>
      </c>
      <c r="L202" s="31" t="str">
        <f aca="false">IF($J202="","",IFERROR(INDEX(DriverRank,MATCH($J202,DriverList,0)),99))</f>
        <v/>
      </c>
      <c r="M202" s="22"/>
      <c r="N202" s="22"/>
      <c r="O202" s="19" t="str">
        <f aca="false">IF($D202="","",INDEX(GradeBasic,MATCH($D202,GradeList,0))+INDEX(GradeHousing,MATCH($D202,GradeList,0))+INDEX(GradeTransport,MATCH($D202,GradeList,0))+INDEX(GradeBasic,MATCH($D202,GradeList,0))*INDEX(GradeBonus,MATCH($D202,GradeList,0))+(INDEX(GradeBasic,MATCH($D202,GradeList,0))+INDEX(GradeHousing,MATCH($D202,GradeList,0)))*IF($F202="Saudi",GosiSaudi,GosiOther))</f>
        <v/>
      </c>
      <c r="P202" s="19" t="str">
        <f aca="false">IF($D202="","",IF(INDEX(GradeRank,MATCH($D202,GradeList,0))&gt;=INDEX(GradeRank,MATCH("G14",GradeList,0)),OneOffSenior,OneOffJunior))</f>
        <v/>
      </c>
      <c r="Q202" s="19" t="str">
        <f aca="false">IF(OR($D202="",$I202="",$H202=""),"",$O202*$H202*(5-MATCH($I202,{"Q1";"Q2";"Q3";"Q4"},0))/4+$P202*$H202)</f>
        <v/>
      </c>
      <c r="R202" s="19" t="str">
        <f aca="false">IF($O202="","",$O202*$H202)</f>
        <v/>
      </c>
      <c r="S202" s="32" t="str">
        <f aca="false">IF(COUNTA($B202:$J202)+COUNTA($M202:$N202)=0,"",MID(IF($B202="",", unit","")&amp;IF($C202="",", job title","")&amp;IF($D202="",", grade","")&amp;IF($E202="",", workforce type","")&amp;IF($F202="",", Saudi basis","")&amp;IF($G202="",", nature","")&amp;IF(N($H202)&lt;=0,", FTE","")&amp;IF($I202="",", start quarter","")&amp;IF($J202="",", driver","")&amp;IF($M202="",", alternatives",""),3,300))</f>
        <v/>
      </c>
      <c r="T202" s="17" t="str">
        <f aca="false">IF($S202="","",COUNTIF($S$6:$S202,"?*"))</f>
        <v/>
      </c>
    </row>
    <row r="203" customFormat="false" ht="15" hidden="false" customHeight="false" outlineLevel="0" collapsed="false">
      <c r="A203" s="17" t="n">
        <v>198</v>
      </c>
      <c r="B203" s="22"/>
      <c r="C203" s="22"/>
      <c r="D203" s="22"/>
      <c r="E203" s="22"/>
      <c r="F203" s="22"/>
      <c r="G203" s="22"/>
      <c r="H203" s="25"/>
      <c r="I203" s="22"/>
      <c r="J203" s="22"/>
      <c r="K203" s="31" t="str">
        <f aca="false">IF($J203="","",IFERROR(INDEX(DriverCategory,MATCH($J203,DriverList,0)),"?"))</f>
        <v/>
      </c>
      <c r="L203" s="31" t="str">
        <f aca="false">IF($J203="","",IFERROR(INDEX(DriverRank,MATCH($J203,DriverList,0)),99))</f>
        <v/>
      </c>
      <c r="M203" s="22"/>
      <c r="N203" s="22"/>
      <c r="O203" s="19" t="str">
        <f aca="false">IF($D203="","",INDEX(GradeBasic,MATCH($D203,GradeList,0))+INDEX(GradeHousing,MATCH($D203,GradeList,0))+INDEX(GradeTransport,MATCH($D203,GradeList,0))+INDEX(GradeBasic,MATCH($D203,GradeList,0))*INDEX(GradeBonus,MATCH($D203,GradeList,0))+(INDEX(GradeBasic,MATCH($D203,GradeList,0))+INDEX(GradeHousing,MATCH($D203,GradeList,0)))*IF($F203="Saudi",GosiSaudi,GosiOther))</f>
        <v/>
      </c>
      <c r="P203" s="19" t="str">
        <f aca="false">IF($D203="","",IF(INDEX(GradeRank,MATCH($D203,GradeList,0))&gt;=INDEX(GradeRank,MATCH("G14",GradeList,0)),OneOffSenior,OneOffJunior))</f>
        <v/>
      </c>
      <c r="Q203" s="19" t="str">
        <f aca="false">IF(OR($D203="",$I203="",$H203=""),"",$O203*$H203*(5-MATCH($I203,{"Q1";"Q2";"Q3";"Q4"},0))/4+$P203*$H203)</f>
        <v/>
      </c>
      <c r="R203" s="19" t="str">
        <f aca="false">IF($O203="","",$O203*$H203)</f>
        <v/>
      </c>
      <c r="S203" s="32" t="str">
        <f aca="false">IF(COUNTA($B203:$J203)+COUNTA($M203:$N203)=0,"",MID(IF($B203="",", unit","")&amp;IF($C203="",", job title","")&amp;IF($D203="",", grade","")&amp;IF($E203="",", workforce type","")&amp;IF($F203="",", Saudi basis","")&amp;IF($G203="",", nature","")&amp;IF(N($H203)&lt;=0,", FTE","")&amp;IF($I203="",", start quarter","")&amp;IF($J203="",", driver","")&amp;IF($M203="",", alternatives",""),3,300))</f>
        <v/>
      </c>
      <c r="T203" s="17" t="str">
        <f aca="false">IF($S203="","",COUNTIF($S$6:$S203,"?*"))</f>
        <v/>
      </c>
    </row>
    <row r="204" customFormat="false" ht="15" hidden="false" customHeight="false" outlineLevel="0" collapsed="false">
      <c r="A204" s="17" t="n">
        <v>199</v>
      </c>
      <c r="B204" s="22"/>
      <c r="C204" s="22"/>
      <c r="D204" s="22"/>
      <c r="E204" s="22"/>
      <c r="F204" s="22"/>
      <c r="G204" s="22"/>
      <c r="H204" s="25"/>
      <c r="I204" s="22"/>
      <c r="J204" s="22"/>
      <c r="K204" s="31" t="str">
        <f aca="false">IF($J204="","",IFERROR(INDEX(DriverCategory,MATCH($J204,DriverList,0)),"?"))</f>
        <v/>
      </c>
      <c r="L204" s="31" t="str">
        <f aca="false">IF($J204="","",IFERROR(INDEX(DriverRank,MATCH($J204,DriverList,0)),99))</f>
        <v/>
      </c>
      <c r="M204" s="22"/>
      <c r="N204" s="22"/>
      <c r="O204" s="19" t="str">
        <f aca="false">IF($D204="","",INDEX(GradeBasic,MATCH($D204,GradeList,0))+INDEX(GradeHousing,MATCH($D204,GradeList,0))+INDEX(GradeTransport,MATCH($D204,GradeList,0))+INDEX(GradeBasic,MATCH($D204,GradeList,0))*INDEX(GradeBonus,MATCH($D204,GradeList,0))+(INDEX(GradeBasic,MATCH($D204,GradeList,0))+INDEX(GradeHousing,MATCH($D204,GradeList,0)))*IF($F204="Saudi",GosiSaudi,GosiOther))</f>
        <v/>
      </c>
      <c r="P204" s="19" t="str">
        <f aca="false">IF($D204="","",IF(INDEX(GradeRank,MATCH($D204,GradeList,0))&gt;=INDEX(GradeRank,MATCH("G14",GradeList,0)),OneOffSenior,OneOffJunior))</f>
        <v/>
      </c>
      <c r="Q204" s="19" t="str">
        <f aca="false">IF(OR($D204="",$I204="",$H204=""),"",$O204*$H204*(5-MATCH($I204,{"Q1";"Q2";"Q3";"Q4"},0))/4+$P204*$H204)</f>
        <v/>
      </c>
      <c r="R204" s="19" t="str">
        <f aca="false">IF($O204="","",$O204*$H204)</f>
        <v/>
      </c>
      <c r="S204" s="32" t="str">
        <f aca="false">IF(COUNTA($B204:$J204)+COUNTA($M204:$N204)=0,"",MID(IF($B204="",", unit","")&amp;IF($C204="",", job title","")&amp;IF($D204="",", grade","")&amp;IF($E204="",", workforce type","")&amp;IF($F204="",", Saudi basis","")&amp;IF($G204="",", nature","")&amp;IF(N($H204)&lt;=0,", FTE","")&amp;IF($I204="",", start quarter","")&amp;IF($J204="",", driver","")&amp;IF($M204="",", alternatives",""),3,300))</f>
        <v/>
      </c>
      <c r="T204" s="17" t="str">
        <f aca="false">IF($S204="","",COUNTIF($S$6:$S204,"?*"))</f>
        <v/>
      </c>
    </row>
    <row r="205" customFormat="false" ht="15" hidden="false" customHeight="false" outlineLevel="0" collapsed="false">
      <c r="A205" s="17" t="n">
        <v>200</v>
      </c>
      <c r="B205" s="22"/>
      <c r="C205" s="22"/>
      <c r="D205" s="22"/>
      <c r="E205" s="22"/>
      <c r="F205" s="22"/>
      <c r="G205" s="22"/>
      <c r="H205" s="25"/>
      <c r="I205" s="22"/>
      <c r="J205" s="22"/>
      <c r="K205" s="31" t="str">
        <f aca="false">IF($J205="","",IFERROR(INDEX(DriverCategory,MATCH($J205,DriverList,0)),"?"))</f>
        <v/>
      </c>
      <c r="L205" s="31" t="str">
        <f aca="false">IF($J205="","",IFERROR(INDEX(DriverRank,MATCH($J205,DriverList,0)),99))</f>
        <v/>
      </c>
      <c r="M205" s="22"/>
      <c r="N205" s="22"/>
      <c r="O205" s="19" t="str">
        <f aca="false">IF($D205="","",INDEX(GradeBasic,MATCH($D205,GradeList,0))+INDEX(GradeHousing,MATCH($D205,GradeList,0))+INDEX(GradeTransport,MATCH($D205,GradeList,0))+INDEX(GradeBasic,MATCH($D205,GradeList,0))*INDEX(GradeBonus,MATCH($D205,GradeList,0))+(INDEX(GradeBasic,MATCH($D205,GradeList,0))+INDEX(GradeHousing,MATCH($D205,GradeList,0)))*IF($F205="Saudi",GosiSaudi,GosiOther))</f>
        <v/>
      </c>
      <c r="P205" s="19" t="str">
        <f aca="false">IF($D205="","",IF(INDEX(GradeRank,MATCH($D205,GradeList,0))&gt;=INDEX(GradeRank,MATCH("G14",GradeList,0)),OneOffSenior,OneOffJunior))</f>
        <v/>
      </c>
      <c r="Q205" s="19" t="str">
        <f aca="false">IF(OR($D205="",$I205="",$H205=""),"",$O205*$H205*(5-MATCH($I205,{"Q1";"Q2";"Q3";"Q4"},0))/4+$P205*$H205)</f>
        <v/>
      </c>
      <c r="R205" s="19" t="str">
        <f aca="false">IF($O205="","",$O205*$H205)</f>
        <v/>
      </c>
      <c r="S205" s="32" t="str">
        <f aca="false">IF(COUNTA($B205:$J205)+COUNTA($M205:$N205)=0,"",MID(IF($B205="",", unit","")&amp;IF($C205="",", job title","")&amp;IF($D205="",", grade","")&amp;IF($E205="",", workforce type","")&amp;IF($F205="",", Saudi basis","")&amp;IF($G205="",", nature","")&amp;IF(N($H205)&lt;=0,", FTE","")&amp;IF($I205="",", start quarter","")&amp;IF($J205="",", driver","")&amp;IF($M205="",", alternatives",""),3,300))</f>
        <v/>
      </c>
      <c r="T205" s="17" t="str">
        <f aca="false">IF($S205="","",COUNTIF($S$6:$S205,"?*"))</f>
        <v/>
      </c>
    </row>
    <row r="206" customFormat="false" ht="15" hidden="false" customHeight="false" outlineLevel="0" collapsed="false">
      <c r="A206" s="17" t="n">
        <v>201</v>
      </c>
      <c r="B206" s="22"/>
      <c r="C206" s="22"/>
      <c r="D206" s="22"/>
      <c r="E206" s="22"/>
      <c r="F206" s="22"/>
      <c r="G206" s="22"/>
      <c r="H206" s="25"/>
      <c r="I206" s="22"/>
      <c r="J206" s="22"/>
      <c r="K206" s="31" t="str">
        <f aca="false">IF($J206="","",IFERROR(INDEX(DriverCategory,MATCH($J206,DriverList,0)),"?"))</f>
        <v/>
      </c>
      <c r="L206" s="31" t="str">
        <f aca="false">IF($J206="","",IFERROR(INDEX(DriverRank,MATCH($J206,DriverList,0)),99))</f>
        <v/>
      </c>
      <c r="M206" s="22"/>
      <c r="N206" s="22"/>
      <c r="O206" s="19" t="str">
        <f aca="false">IF($D206="","",INDEX(GradeBasic,MATCH($D206,GradeList,0))+INDEX(GradeHousing,MATCH($D206,GradeList,0))+INDEX(GradeTransport,MATCH($D206,GradeList,0))+INDEX(GradeBasic,MATCH($D206,GradeList,0))*INDEX(GradeBonus,MATCH($D206,GradeList,0))+(INDEX(GradeBasic,MATCH($D206,GradeList,0))+INDEX(GradeHousing,MATCH($D206,GradeList,0)))*IF($F206="Saudi",GosiSaudi,GosiOther))</f>
        <v/>
      </c>
      <c r="P206" s="19" t="str">
        <f aca="false">IF($D206="","",IF(INDEX(GradeRank,MATCH($D206,GradeList,0))&gt;=INDEX(GradeRank,MATCH("G14",GradeList,0)),OneOffSenior,OneOffJunior))</f>
        <v/>
      </c>
      <c r="Q206" s="19" t="str">
        <f aca="false">IF(OR($D206="",$I206="",$H206=""),"",$O206*$H206*(5-MATCH($I206,{"Q1";"Q2";"Q3";"Q4"},0))/4+$P206*$H206)</f>
        <v/>
      </c>
      <c r="R206" s="19" t="str">
        <f aca="false">IF($O206="","",$O206*$H206)</f>
        <v/>
      </c>
      <c r="S206" s="32" t="str">
        <f aca="false">IF(COUNTA($B206:$J206)+COUNTA($M206:$N206)=0,"",MID(IF($B206="",", unit","")&amp;IF($C206="",", job title","")&amp;IF($D206="",", grade","")&amp;IF($E206="",", workforce type","")&amp;IF($F206="",", Saudi basis","")&amp;IF($G206="",", nature","")&amp;IF(N($H206)&lt;=0,", FTE","")&amp;IF($I206="",", start quarter","")&amp;IF($J206="",", driver","")&amp;IF($M206="",", alternatives",""),3,300))</f>
        <v/>
      </c>
      <c r="T206" s="17" t="str">
        <f aca="false">IF($S206="","",COUNTIF($S$6:$S206,"?*"))</f>
        <v/>
      </c>
    </row>
    <row r="207" customFormat="false" ht="15" hidden="false" customHeight="false" outlineLevel="0" collapsed="false">
      <c r="A207" s="17" t="n">
        <v>202</v>
      </c>
      <c r="B207" s="22"/>
      <c r="C207" s="22"/>
      <c r="D207" s="22"/>
      <c r="E207" s="22"/>
      <c r="F207" s="22"/>
      <c r="G207" s="22"/>
      <c r="H207" s="25"/>
      <c r="I207" s="22"/>
      <c r="J207" s="22"/>
      <c r="K207" s="31" t="str">
        <f aca="false">IF($J207="","",IFERROR(INDEX(DriverCategory,MATCH($J207,DriverList,0)),"?"))</f>
        <v/>
      </c>
      <c r="L207" s="31" t="str">
        <f aca="false">IF($J207="","",IFERROR(INDEX(DriverRank,MATCH($J207,DriverList,0)),99))</f>
        <v/>
      </c>
      <c r="M207" s="22"/>
      <c r="N207" s="22"/>
      <c r="O207" s="19" t="str">
        <f aca="false">IF($D207="","",INDEX(GradeBasic,MATCH($D207,GradeList,0))+INDEX(GradeHousing,MATCH($D207,GradeList,0))+INDEX(GradeTransport,MATCH($D207,GradeList,0))+INDEX(GradeBasic,MATCH($D207,GradeList,0))*INDEX(GradeBonus,MATCH($D207,GradeList,0))+(INDEX(GradeBasic,MATCH($D207,GradeList,0))+INDEX(GradeHousing,MATCH($D207,GradeList,0)))*IF($F207="Saudi",GosiSaudi,GosiOther))</f>
        <v/>
      </c>
      <c r="P207" s="19" t="str">
        <f aca="false">IF($D207="","",IF(INDEX(GradeRank,MATCH($D207,GradeList,0))&gt;=INDEX(GradeRank,MATCH("G14",GradeList,0)),OneOffSenior,OneOffJunior))</f>
        <v/>
      </c>
      <c r="Q207" s="19" t="str">
        <f aca="false">IF(OR($D207="",$I207="",$H207=""),"",$O207*$H207*(5-MATCH($I207,{"Q1";"Q2";"Q3";"Q4"},0))/4+$P207*$H207)</f>
        <v/>
      </c>
      <c r="R207" s="19" t="str">
        <f aca="false">IF($O207="","",$O207*$H207)</f>
        <v/>
      </c>
      <c r="S207" s="32" t="str">
        <f aca="false">IF(COUNTA($B207:$J207)+COUNTA($M207:$N207)=0,"",MID(IF($B207="",", unit","")&amp;IF($C207="",", job title","")&amp;IF($D207="",", grade","")&amp;IF($E207="",", workforce type","")&amp;IF($F207="",", Saudi basis","")&amp;IF($G207="",", nature","")&amp;IF(N($H207)&lt;=0,", FTE","")&amp;IF($I207="",", start quarter","")&amp;IF($J207="",", driver","")&amp;IF($M207="",", alternatives",""),3,300))</f>
        <v/>
      </c>
      <c r="T207" s="17" t="str">
        <f aca="false">IF($S207="","",COUNTIF($S$6:$S207,"?*"))</f>
        <v/>
      </c>
    </row>
    <row r="208" customFormat="false" ht="15" hidden="false" customHeight="false" outlineLevel="0" collapsed="false">
      <c r="A208" s="17" t="n">
        <v>203</v>
      </c>
      <c r="B208" s="22"/>
      <c r="C208" s="22"/>
      <c r="D208" s="22"/>
      <c r="E208" s="22"/>
      <c r="F208" s="22"/>
      <c r="G208" s="22"/>
      <c r="H208" s="25"/>
      <c r="I208" s="22"/>
      <c r="J208" s="22"/>
      <c r="K208" s="31" t="str">
        <f aca="false">IF($J208="","",IFERROR(INDEX(DriverCategory,MATCH($J208,DriverList,0)),"?"))</f>
        <v/>
      </c>
      <c r="L208" s="31" t="str">
        <f aca="false">IF($J208="","",IFERROR(INDEX(DriverRank,MATCH($J208,DriverList,0)),99))</f>
        <v/>
      </c>
      <c r="M208" s="22"/>
      <c r="N208" s="22"/>
      <c r="O208" s="19" t="str">
        <f aca="false">IF($D208="","",INDEX(GradeBasic,MATCH($D208,GradeList,0))+INDEX(GradeHousing,MATCH($D208,GradeList,0))+INDEX(GradeTransport,MATCH($D208,GradeList,0))+INDEX(GradeBasic,MATCH($D208,GradeList,0))*INDEX(GradeBonus,MATCH($D208,GradeList,0))+(INDEX(GradeBasic,MATCH($D208,GradeList,0))+INDEX(GradeHousing,MATCH($D208,GradeList,0)))*IF($F208="Saudi",GosiSaudi,GosiOther))</f>
        <v/>
      </c>
      <c r="P208" s="19" t="str">
        <f aca="false">IF($D208="","",IF(INDEX(GradeRank,MATCH($D208,GradeList,0))&gt;=INDEX(GradeRank,MATCH("G14",GradeList,0)),OneOffSenior,OneOffJunior))</f>
        <v/>
      </c>
      <c r="Q208" s="19" t="str">
        <f aca="false">IF(OR($D208="",$I208="",$H208=""),"",$O208*$H208*(5-MATCH($I208,{"Q1";"Q2";"Q3";"Q4"},0))/4+$P208*$H208)</f>
        <v/>
      </c>
      <c r="R208" s="19" t="str">
        <f aca="false">IF($O208="","",$O208*$H208)</f>
        <v/>
      </c>
      <c r="S208" s="32" t="str">
        <f aca="false">IF(COUNTA($B208:$J208)+COUNTA($M208:$N208)=0,"",MID(IF($B208="",", unit","")&amp;IF($C208="",", job title","")&amp;IF($D208="",", grade","")&amp;IF($E208="",", workforce type","")&amp;IF($F208="",", Saudi basis","")&amp;IF($G208="",", nature","")&amp;IF(N($H208)&lt;=0,", FTE","")&amp;IF($I208="",", start quarter","")&amp;IF($J208="",", driver","")&amp;IF($M208="",", alternatives",""),3,300))</f>
        <v/>
      </c>
      <c r="T208" s="17" t="str">
        <f aca="false">IF($S208="","",COUNTIF($S$6:$S208,"?*"))</f>
        <v/>
      </c>
    </row>
    <row r="209" customFormat="false" ht="15" hidden="false" customHeight="false" outlineLevel="0" collapsed="false">
      <c r="A209" s="17" t="n">
        <v>204</v>
      </c>
      <c r="B209" s="22"/>
      <c r="C209" s="22"/>
      <c r="D209" s="22"/>
      <c r="E209" s="22"/>
      <c r="F209" s="22"/>
      <c r="G209" s="22"/>
      <c r="H209" s="25"/>
      <c r="I209" s="22"/>
      <c r="J209" s="22"/>
      <c r="K209" s="31" t="str">
        <f aca="false">IF($J209="","",IFERROR(INDEX(DriverCategory,MATCH($J209,DriverList,0)),"?"))</f>
        <v/>
      </c>
      <c r="L209" s="31" t="str">
        <f aca="false">IF($J209="","",IFERROR(INDEX(DriverRank,MATCH($J209,DriverList,0)),99))</f>
        <v/>
      </c>
      <c r="M209" s="22"/>
      <c r="N209" s="22"/>
      <c r="O209" s="19" t="str">
        <f aca="false">IF($D209="","",INDEX(GradeBasic,MATCH($D209,GradeList,0))+INDEX(GradeHousing,MATCH($D209,GradeList,0))+INDEX(GradeTransport,MATCH($D209,GradeList,0))+INDEX(GradeBasic,MATCH($D209,GradeList,0))*INDEX(GradeBonus,MATCH($D209,GradeList,0))+(INDEX(GradeBasic,MATCH($D209,GradeList,0))+INDEX(GradeHousing,MATCH($D209,GradeList,0)))*IF($F209="Saudi",GosiSaudi,GosiOther))</f>
        <v/>
      </c>
      <c r="P209" s="19" t="str">
        <f aca="false">IF($D209="","",IF(INDEX(GradeRank,MATCH($D209,GradeList,0))&gt;=INDEX(GradeRank,MATCH("G14",GradeList,0)),OneOffSenior,OneOffJunior))</f>
        <v/>
      </c>
      <c r="Q209" s="19" t="str">
        <f aca="false">IF(OR($D209="",$I209="",$H209=""),"",$O209*$H209*(5-MATCH($I209,{"Q1";"Q2";"Q3";"Q4"},0))/4+$P209*$H209)</f>
        <v/>
      </c>
      <c r="R209" s="19" t="str">
        <f aca="false">IF($O209="","",$O209*$H209)</f>
        <v/>
      </c>
      <c r="S209" s="32" t="str">
        <f aca="false">IF(COUNTA($B209:$J209)+COUNTA($M209:$N209)=0,"",MID(IF($B209="",", unit","")&amp;IF($C209="",", job title","")&amp;IF($D209="",", grade","")&amp;IF($E209="",", workforce type","")&amp;IF($F209="",", Saudi basis","")&amp;IF($G209="",", nature","")&amp;IF(N($H209)&lt;=0,", FTE","")&amp;IF($I209="",", start quarter","")&amp;IF($J209="",", driver","")&amp;IF($M209="",", alternatives",""),3,300))</f>
        <v/>
      </c>
      <c r="T209" s="17" t="str">
        <f aca="false">IF($S209="","",COUNTIF($S$6:$S209,"?*"))</f>
        <v/>
      </c>
    </row>
    <row r="210" customFormat="false" ht="15" hidden="false" customHeight="false" outlineLevel="0" collapsed="false">
      <c r="A210" s="17" t="n">
        <v>205</v>
      </c>
      <c r="B210" s="22"/>
      <c r="C210" s="22"/>
      <c r="D210" s="22"/>
      <c r="E210" s="22"/>
      <c r="F210" s="22"/>
      <c r="G210" s="22"/>
      <c r="H210" s="25"/>
      <c r="I210" s="22"/>
      <c r="J210" s="22"/>
      <c r="K210" s="31" t="str">
        <f aca="false">IF($J210="","",IFERROR(INDEX(DriverCategory,MATCH($J210,DriverList,0)),"?"))</f>
        <v/>
      </c>
      <c r="L210" s="31" t="str">
        <f aca="false">IF($J210="","",IFERROR(INDEX(DriverRank,MATCH($J210,DriverList,0)),99))</f>
        <v/>
      </c>
      <c r="M210" s="22"/>
      <c r="N210" s="22"/>
      <c r="O210" s="19" t="str">
        <f aca="false">IF($D210="","",INDEX(GradeBasic,MATCH($D210,GradeList,0))+INDEX(GradeHousing,MATCH($D210,GradeList,0))+INDEX(GradeTransport,MATCH($D210,GradeList,0))+INDEX(GradeBasic,MATCH($D210,GradeList,0))*INDEX(GradeBonus,MATCH($D210,GradeList,0))+(INDEX(GradeBasic,MATCH($D210,GradeList,0))+INDEX(GradeHousing,MATCH($D210,GradeList,0)))*IF($F210="Saudi",GosiSaudi,GosiOther))</f>
        <v/>
      </c>
      <c r="P210" s="19" t="str">
        <f aca="false">IF($D210="","",IF(INDEX(GradeRank,MATCH($D210,GradeList,0))&gt;=INDEX(GradeRank,MATCH("G14",GradeList,0)),OneOffSenior,OneOffJunior))</f>
        <v/>
      </c>
      <c r="Q210" s="19" t="str">
        <f aca="false">IF(OR($D210="",$I210="",$H210=""),"",$O210*$H210*(5-MATCH($I210,{"Q1";"Q2";"Q3";"Q4"},0))/4+$P210*$H210)</f>
        <v/>
      </c>
      <c r="R210" s="19" t="str">
        <f aca="false">IF($O210="","",$O210*$H210)</f>
        <v/>
      </c>
      <c r="S210" s="32" t="str">
        <f aca="false">IF(COUNTA($B210:$J210)+COUNTA($M210:$N210)=0,"",MID(IF($B210="",", unit","")&amp;IF($C210="",", job title","")&amp;IF($D210="",", grade","")&amp;IF($E210="",", workforce type","")&amp;IF($F210="",", Saudi basis","")&amp;IF($G210="",", nature","")&amp;IF(N($H210)&lt;=0,", FTE","")&amp;IF($I210="",", start quarter","")&amp;IF($J210="",", driver","")&amp;IF($M210="",", alternatives",""),3,300))</f>
        <v/>
      </c>
      <c r="T210" s="17" t="str">
        <f aca="false">IF($S210="","",COUNTIF($S$6:$S210,"?*"))</f>
        <v/>
      </c>
    </row>
    <row r="211" customFormat="false" ht="15" hidden="false" customHeight="false" outlineLevel="0" collapsed="false">
      <c r="A211" s="17" t="n">
        <v>206</v>
      </c>
      <c r="B211" s="22"/>
      <c r="C211" s="22"/>
      <c r="D211" s="22"/>
      <c r="E211" s="22"/>
      <c r="F211" s="22"/>
      <c r="G211" s="22"/>
      <c r="H211" s="25"/>
      <c r="I211" s="22"/>
      <c r="J211" s="22"/>
      <c r="K211" s="31" t="str">
        <f aca="false">IF($J211="","",IFERROR(INDEX(DriverCategory,MATCH($J211,DriverList,0)),"?"))</f>
        <v/>
      </c>
      <c r="L211" s="31" t="str">
        <f aca="false">IF($J211="","",IFERROR(INDEX(DriverRank,MATCH($J211,DriverList,0)),99))</f>
        <v/>
      </c>
      <c r="M211" s="22"/>
      <c r="N211" s="22"/>
      <c r="O211" s="19" t="str">
        <f aca="false">IF($D211="","",INDEX(GradeBasic,MATCH($D211,GradeList,0))+INDEX(GradeHousing,MATCH($D211,GradeList,0))+INDEX(GradeTransport,MATCH($D211,GradeList,0))+INDEX(GradeBasic,MATCH($D211,GradeList,0))*INDEX(GradeBonus,MATCH($D211,GradeList,0))+(INDEX(GradeBasic,MATCH($D211,GradeList,0))+INDEX(GradeHousing,MATCH($D211,GradeList,0)))*IF($F211="Saudi",GosiSaudi,GosiOther))</f>
        <v/>
      </c>
      <c r="P211" s="19" t="str">
        <f aca="false">IF($D211="","",IF(INDEX(GradeRank,MATCH($D211,GradeList,0))&gt;=INDEX(GradeRank,MATCH("G14",GradeList,0)),OneOffSenior,OneOffJunior))</f>
        <v/>
      </c>
      <c r="Q211" s="19" t="str">
        <f aca="false">IF(OR($D211="",$I211="",$H211=""),"",$O211*$H211*(5-MATCH($I211,{"Q1";"Q2";"Q3";"Q4"},0))/4+$P211*$H211)</f>
        <v/>
      </c>
      <c r="R211" s="19" t="str">
        <f aca="false">IF($O211="","",$O211*$H211)</f>
        <v/>
      </c>
      <c r="S211" s="32" t="str">
        <f aca="false">IF(COUNTA($B211:$J211)+COUNTA($M211:$N211)=0,"",MID(IF($B211="",", unit","")&amp;IF($C211="",", job title","")&amp;IF($D211="",", grade","")&amp;IF($E211="",", workforce type","")&amp;IF($F211="",", Saudi basis","")&amp;IF($G211="",", nature","")&amp;IF(N($H211)&lt;=0,", FTE","")&amp;IF($I211="",", start quarter","")&amp;IF($J211="",", driver","")&amp;IF($M211="",", alternatives",""),3,300))</f>
        <v/>
      </c>
      <c r="T211" s="17" t="str">
        <f aca="false">IF($S211="","",COUNTIF($S$6:$S211,"?*"))</f>
        <v/>
      </c>
    </row>
    <row r="212" customFormat="false" ht="15" hidden="false" customHeight="false" outlineLevel="0" collapsed="false">
      <c r="A212" s="17" t="n">
        <v>207</v>
      </c>
      <c r="B212" s="22"/>
      <c r="C212" s="22"/>
      <c r="D212" s="22"/>
      <c r="E212" s="22"/>
      <c r="F212" s="22"/>
      <c r="G212" s="22"/>
      <c r="H212" s="25"/>
      <c r="I212" s="22"/>
      <c r="J212" s="22"/>
      <c r="K212" s="31" t="str">
        <f aca="false">IF($J212="","",IFERROR(INDEX(DriverCategory,MATCH($J212,DriverList,0)),"?"))</f>
        <v/>
      </c>
      <c r="L212" s="31" t="str">
        <f aca="false">IF($J212="","",IFERROR(INDEX(DriverRank,MATCH($J212,DriverList,0)),99))</f>
        <v/>
      </c>
      <c r="M212" s="22"/>
      <c r="N212" s="22"/>
      <c r="O212" s="19" t="str">
        <f aca="false">IF($D212="","",INDEX(GradeBasic,MATCH($D212,GradeList,0))+INDEX(GradeHousing,MATCH($D212,GradeList,0))+INDEX(GradeTransport,MATCH($D212,GradeList,0))+INDEX(GradeBasic,MATCH($D212,GradeList,0))*INDEX(GradeBonus,MATCH($D212,GradeList,0))+(INDEX(GradeBasic,MATCH($D212,GradeList,0))+INDEX(GradeHousing,MATCH($D212,GradeList,0)))*IF($F212="Saudi",GosiSaudi,GosiOther))</f>
        <v/>
      </c>
      <c r="P212" s="19" t="str">
        <f aca="false">IF($D212="","",IF(INDEX(GradeRank,MATCH($D212,GradeList,0))&gt;=INDEX(GradeRank,MATCH("G14",GradeList,0)),OneOffSenior,OneOffJunior))</f>
        <v/>
      </c>
      <c r="Q212" s="19" t="str">
        <f aca="false">IF(OR($D212="",$I212="",$H212=""),"",$O212*$H212*(5-MATCH($I212,{"Q1";"Q2";"Q3";"Q4"},0))/4+$P212*$H212)</f>
        <v/>
      </c>
      <c r="R212" s="19" t="str">
        <f aca="false">IF($O212="","",$O212*$H212)</f>
        <v/>
      </c>
      <c r="S212" s="32" t="str">
        <f aca="false">IF(COUNTA($B212:$J212)+COUNTA($M212:$N212)=0,"",MID(IF($B212="",", unit","")&amp;IF($C212="",", job title","")&amp;IF($D212="",", grade","")&amp;IF($E212="",", workforce type","")&amp;IF($F212="",", Saudi basis","")&amp;IF($G212="",", nature","")&amp;IF(N($H212)&lt;=0,", FTE","")&amp;IF($I212="",", start quarter","")&amp;IF($J212="",", driver","")&amp;IF($M212="",", alternatives",""),3,300))</f>
        <v/>
      </c>
      <c r="T212" s="17" t="str">
        <f aca="false">IF($S212="","",COUNTIF($S$6:$S212,"?*"))</f>
        <v/>
      </c>
    </row>
    <row r="213" customFormat="false" ht="15" hidden="false" customHeight="false" outlineLevel="0" collapsed="false">
      <c r="A213" s="17" t="n">
        <v>208</v>
      </c>
      <c r="B213" s="22"/>
      <c r="C213" s="22"/>
      <c r="D213" s="22"/>
      <c r="E213" s="22"/>
      <c r="F213" s="22"/>
      <c r="G213" s="22"/>
      <c r="H213" s="25"/>
      <c r="I213" s="22"/>
      <c r="J213" s="22"/>
      <c r="K213" s="31" t="str">
        <f aca="false">IF($J213="","",IFERROR(INDEX(DriverCategory,MATCH($J213,DriverList,0)),"?"))</f>
        <v/>
      </c>
      <c r="L213" s="31" t="str">
        <f aca="false">IF($J213="","",IFERROR(INDEX(DriverRank,MATCH($J213,DriverList,0)),99))</f>
        <v/>
      </c>
      <c r="M213" s="22"/>
      <c r="N213" s="22"/>
      <c r="O213" s="19" t="str">
        <f aca="false">IF($D213="","",INDEX(GradeBasic,MATCH($D213,GradeList,0))+INDEX(GradeHousing,MATCH($D213,GradeList,0))+INDEX(GradeTransport,MATCH($D213,GradeList,0))+INDEX(GradeBasic,MATCH($D213,GradeList,0))*INDEX(GradeBonus,MATCH($D213,GradeList,0))+(INDEX(GradeBasic,MATCH($D213,GradeList,0))+INDEX(GradeHousing,MATCH($D213,GradeList,0)))*IF($F213="Saudi",GosiSaudi,GosiOther))</f>
        <v/>
      </c>
      <c r="P213" s="19" t="str">
        <f aca="false">IF($D213="","",IF(INDEX(GradeRank,MATCH($D213,GradeList,0))&gt;=INDEX(GradeRank,MATCH("G14",GradeList,0)),OneOffSenior,OneOffJunior))</f>
        <v/>
      </c>
      <c r="Q213" s="19" t="str">
        <f aca="false">IF(OR($D213="",$I213="",$H213=""),"",$O213*$H213*(5-MATCH($I213,{"Q1";"Q2";"Q3";"Q4"},0))/4+$P213*$H213)</f>
        <v/>
      </c>
      <c r="R213" s="19" t="str">
        <f aca="false">IF($O213="","",$O213*$H213)</f>
        <v/>
      </c>
      <c r="S213" s="32" t="str">
        <f aca="false">IF(COUNTA($B213:$J213)+COUNTA($M213:$N213)=0,"",MID(IF($B213="",", unit","")&amp;IF($C213="",", job title","")&amp;IF($D213="",", grade","")&amp;IF($E213="",", workforce type","")&amp;IF($F213="",", Saudi basis","")&amp;IF($G213="",", nature","")&amp;IF(N($H213)&lt;=0,", FTE","")&amp;IF($I213="",", start quarter","")&amp;IF($J213="",", driver","")&amp;IF($M213="",", alternatives",""),3,300))</f>
        <v/>
      </c>
      <c r="T213" s="17" t="str">
        <f aca="false">IF($S213="","",COUNTIF($S$6:$S213,"?*"))</f>
        <v/>
      </c>
    </row>
    <row r="214" customFormat="false" ht="15" hidden="false" customHeight="false" outlineLevel="0" collapsed="false">
      <c r="A214" s="17" t="n">
        <v>209</v>
      </c>
      <c r="B214" s="22"/>
      <c r="C214" s="22"/>
      <c r="D214" s="22"/>
      <c r="E214" s="22"/>
      <c r="F214" s="22"/>
      <c r="G214" s="22"/>
      <c r="H214" s="25"/>
      <c r="I214" s="22"/>
      <c r="J214" s="22"/>
      <c r="K214" s="31" t="str">
        <f aca="false">IF($J214="","",IFERROR(INDEX(DriverCategory,MATCH($J214,DriverList,0)),"?"))</f>
        <v/>
      </c>
      <c r="L214" s="31" t="str">
        <f aca="false">IF($J214="","",IFERROR(INDEX(DriverRank,MATCH($J214,DriverList,0)),99))</f>
        <v/>
      </c>
      <c r="M214" s="22"/>
      <c r="N214" s="22"/>
      <c r="O214" s="19" t="str">
        <f aca="false">IF($D214="","",INDEX(GradeBasic,MATCH($D214,GradeList,0))+INDEX(GradeHousing,MATCH($D214,GradeList,0))+INDEX(GradeTransport,MATCH($D214,GradeList,0))+INDEX(GradeBasic,MATCH($D214,GradeList,0))*INDEX(GradeBonus,MATCH($D214,GradeList,0))+(INDEX(GradeBasic,MATCH($D214,GradeList,0))+INDEX(GradeHousing,MATCH($D214,GradeList,0)))*IF($F214="Saudi",GosiSaudi,GosiOther))</f>
        <v/>
      </c>
      <c r="P214" s="19" t="str">
        <f aca="false">IF($D214="","",IF(INDEX(GradeRank,MATCH($D214,GradeList,0))&gt;=INDEX(GradeRank,MATCH("G14",GradeList,0)),OneOffSenior,OneOffJunior))</f>
        <v/>
      </c>
      <c r="Q214" s="19" t="str">
        <f aca="false">IF(OR($D214="",$I214="",$H214=""),"",$O214*$H214*(5-MATCH($I214,{"Q1";"Q2";"Q3";"Q4"},0))/4+$P214*$H214)</f>
        <v/>
      </c>
      <c r="R214" s="19" t="str">
        <f aca="false">IF($O214="","",$O214*$H214)</f>
        <v/>
      </c>
      <c r="S214" s="32" t="str">
        <f aca="false">IF(COUNTA($B214:$J214)+COUNTA($M214:$N214)=0,"",MID(IF($B214="",", unit","")&amp;IF($C214="",", job title","")&amp;IF($D214="",", grade","")&amp;IF($E214="",", workforce type","")&amp;IF($F214="",", Saudi basis","")&amp;IF($G214="",", nature","")&amp;IF(N($H214)&lt;=0,", FTE","")&amp;IF($I214="",", start quarter","")&amp;IF($J214="",", driver","")&amp;IF($M214="",", alternatives",""),3,300))</f>
        <v/>
      </c>
      <c r="T214" s="17" t="str">
        <f aca="false">IF($S214="","",COUNTIF($S$6:$S214,"?*"))</f>
        <v/>
      </c>
    </row>
    <row r="215" customFormat="false" ht="15" hidden="false" customHeight="false" outlineLevel="0" collapsed="false">
      <c r="A215" s="17" t="n">
        <v>210</v>
      </c>
      <c r="B215" s="22"/>
      <c r="C215" s="22"/>
      <c r="D215" s="22"/>
      <c r="E215" s="22"/>
      <c r="F215" s="22"/>
      <c r="G215" s="22"/>
      <c r="H215" s="25"/>
      <c r="I215" s="22"/>
      <c r="J215" s="22"/>
      <c r="K215" s="31" t="str">
        <f aca="false">IF($J215="","",IFERROR(INDEX(DriverCategory,MATCH($J215,DriverList,0)),"?"))</f>
        <v/>
      </c>
      <c r="L215" s="31" t="str">
        <f aca="false">IF($J215="","",IFERROR(INDEX(DriverRank,MATCH($J215,DriverList,0)),99))</f>
        <v/>
      </c>
      <c r="M215" s="22"/>
      <c r="N215" s="22"/>
      <c r="O215" s="19" t="str">
        <f aca="false">IF($D215="","",INDEX(GradeBasic,MATCH($D215,GradeList,0))+INDEX(GradeHousing,MATCH($D215,GradeList,0))+INDEX(GradeTransport,MATCH($D215,GradeList,0))+INDEX(GradeBasic,MATCH($D215,GradeList,0))*INDEX(GradeBonus,MATCH($D215,GradeList,0))+(INDEX(GradeBasic,MATCH($D215,GradeList,0))+INDEX(GradeHousing,MATCH($D215,GradeList,0)))*IF($F215="Saudi",GosiSaudi,GosiOther))</f>
        <v/>
      </c>
      <c r="P215" s="19" t="str">
        <f aca="false">IF($D215="","",IF(INDEX(GradeRank,MATCH($D215,GradeList,0))&gt;=INDEX(GradeRank,MATCH("G14",GradeList,0)),OneOffSenior,OneOffJunior))</f>
        <v/>
      </c>
      <c r="Q215" s="19" t="str">
        <f aca="false">IF(OR($D215="",$I215="",$H215=""),"",$O215*$H215*(5-MATCH($I215,{"Q1";"Q2";"Q3";"Q4"},0))/4+$P215*$H215)</f>
        <v/>
      </c>
      <c r="R215" s="19" t="str">
        <f aca="false">IF($O215="","",$O215*$H215)</f>
        <v/>
      </c>
      <c r="S215" s="32" t="str">
        <f aca="false">IF(COUNTA($B215:$J215)+COUNTA($M215:$N215)=0,"",MID(IF($B215="",", unit","")&amp;IF($C215="",", job title","")&amp;IF($D215="",", grade","")&amp;IF($E215="",", workforce type","")&amp;IF($F215="",", Saudi basis","")&amp;IF($G215="",", nature","")&amp;IF(N($H215)&lt;=0,", FTE","")&amp;IF($I215="",", start quarter","")&amp;IF($J215="",", driver","")&amp;IF($M215="",", alternatives",""),3,300))</f>
        <v/>
      </c>
      <c r="T215" s="17" t="str">
        <f aca="false">IF($S215="","",COUNTIF($S$6:$S215,"?*"))</f>
        <v/>
      </c>
    </row>
    <row r="216" customFormat="false" ht="15" hidden="false" customHeight="false" outlineLevel="0" collapsed="false">
      <c r="A216" s="17" t="n">
        <v>211</v>
      </c>
      <c r="B216" s="22"/>
      <c r="C216" s="22"/>
      <c r="D216" s="22"/>
      <c r="E216" s="22"/>
      <c r="F216" s="22"/>
      <c r="G216" s="22"/>
      <c r="H216" s="25"/>
      <c r="I216" s="22"/>
      <c r="J216" s="22"/>
      <c r="K216" s="31" t="str">
        <f aca="false">IF($J216="","",IFERROR(INDEX(DriverCategory,MATCH($J216,DriverList,0)),"?"))</f>
        <v/>
      </c>
      <c r="L216" s="31" t="str">
        <f aca="false">IF($J216="","",IFERROR(INDEX(DriverRank,MATCH($J216,DriverList,0)),99))</f>
        <v/>
      </c>
      <c r="M216" s="22"/>
      <c r="N216" s="22"/>
      <c r="O216" s="19" t="str">
        <f aca="false">IF($D216="","",INDEX(GradeBasic,MATCH($D216,GradeList,0))+INDEX(GradeHousing,MATCH($D216,GradeList,0))+INDEX(GradeTransport,MATCH($D216,GradeList,0))+INDEX(GradeBasic,MATCH($D216,GradeList,0))*INDEX(GradeBonus,MATCH($D216,GradeList,0))+(INDEX(GradeBasic,MATCH($D216,GradeList,0))+INDEX(GradeHousing,MATCH($D216,GradeList,0)))*IF($F216="Saudi",GosiSaudi,GosiOther))</f>
        <v/>
      </c>
      <c r="P216" s="19" t="str">
        <f aca="false">IF($D216="","",IF(INDEX(GradeRank,MATCH($D216,GradeList,0))&gt;=INDEX(GradeRank,MATCH("G14",GradeList,0)),OneOffSenior,OneOffJunior))</f>
        <v/>
      </c>
      <c r="Q216" s="19" t="str">
        <f aca="false">IF(OR($D216="",$I216="",$H216=""),"",$O216*$H216*(5-MATCH($I216,{"Q1";"Q2";"Q3";"Q4"},0))/4+$P216*$H216)</f>
        <v/>
      </c>
      <c r="R216" s="19" t="str">
        <f aca="false">IF($O216="","",$O216*$H216)</f>
        <v/>
      </c>
      <c r="S216" s="32" t="str">
        <f aca="false">IF(COUNTA($B216:$J216)+COUNTA($M216:$N216)=0,"",MID(IF($B216="",", unit","")&amp;IF($C216="",", job title","")&amp;IF($D216="",", grade","")&amp;IF($E216="",", workforce type","")&amp;IF($F216="",", Saudi basis","")&amp;IF($G216="",", nature","")&amp;IF(N($H216)&lt;=0,", FTE","")&amp;IF($I216="",", start quarter","")&amp;IF($J216="",", driver","")&amp;IF($M216="",", alternatives",""),3,300))</f>
        <v/>
      </c>
      <c r="T216" s="17" t="str">
        <f aca="false">IF($S216="","",COUNTIF($S$6:$S216,"?*"))</f>
        <v/>
      </c>
    </row>
    <row r="217" customFormat="false" ht="15" hidden="false" customHeight="false" outlineLevel="0" collapsed="false">
      <c r="A217" s="17" t="n">
        <v>212</v>
      </c>
      <c r="B217" s="22"/>
      <c r="C217" s="22"/>
      <c r="D217" s="22"/>
      <c r="E217" s="22"/>
      <c r="F217" s="22"/>
      <c r="G217" s="22"/>
      <c r="H217" s="25"/>
      <c r="I217" s="22"/>
      <c r="J217" s="22"/>
      <c r="K217" s="31" t="str">
        <f aca="false">IF($J217="","",IFERROR(INDEX(DriverCategory,MATCH($J217,DriverList,0)),"?"))</f>
        <v/>
      </c>
      <c r="L217" s="31" t="str">
        <f aca="false">IF($J217="","",IFERROR(INDEX(DriverRank,MATCH($J217,DriverList,0)),99))</f>
        <v/>
      </c>
      <c r="M217" s="22"/>
      <c r="N217" s="22"/>
      <c r="O217" s="19" t="str">
        <f aca="false">IF($D217="","",INDEX(GradeBasic,MATCH($D217,GradeList,0))+INDEX(GradeHousing,MATCH($D217,GradeList,0))+INDEX(GradeTransport,MATCH($D217,GradeList,0))+INDEX(GradeBasic,MATCH($D217,GradeList,0))*INDEX(GradeBonus,MATCH($D217,GradeList,0))+(INDEX(GradeBasic,MATCH($D217,GradeList,0))+INDEX(GradeHousing,MATCH($D217,GradeList,0)))*IF($F217="Saudi",GosiSaudi,GosiOther))</f>
        <v/>
      </c>
      <c r="P217" s="19" t="str">
        <f aca="false">IF($D217="","",IF(INDEX(GradeRank,MATCH($D217,GradeList,0))&gt;=INDEX(GradeRank,MATCH("G14",GradeList,0)),OneOffSenior,OneOffJunior))</f>
        <v/>
      </c>
      <c r="Q217" s="19" t="str">
        <f aca="false">IF(OR($D217="",$I217="",$H217=""),"",$O217*$H217*(5-MATCH($I217,{"Q1";"Q2";"Q3";"Q4"},0))/4+$P217*$H217)</f>
        <v/>
      </c>
      <c r="R217" s="19" t="str">
        <f aca="false">IF($O217="","",$O217*$H217)</f>
        <v/>
      </c>
      <c r="S217" s="32" t="str">
        <f aca="false">IF(COUNTA($B217:$J217)+COUNTA($M217:$N217)=0,"",MID(IF($B217="",", unit","")&amp;IF($C217="",", job title","")&amp;IF($D217="",", grade","")&amp;IF($E217="",", workforce type","")&amp;IF($F217="",", Saudi basis","")&amp;IF($G217="",", nature","")&amp;IF(N($H217)&lt;=0,", FTE","")&amp;IF($I217="",", start quarter","")&amp;IF($J217="",", driver","")&amp;IF($M217="",", alternatives",""),3,300))</f>
        <v/>
      </c>
      <c r="T217" s="17" t="str">
        <f aca="false">IF($S217="","",COUNTIF($S$6:$S217,"?*"))</f>
        <v/>
      </c>
    </row>
    <row r="218" customFormat="false" ht="15" hidden="false" customHeight="false" outlineLevel="0" collapsed="false">
      <c r="A218" s="17" t="n">
        <v>213</v>
      </c>
      <c r="B218" s="22"/>
      <c r="C218" s="22"/>
      <c r="D218" s="22"/>
      <c r="E218" s="22"/>
      <c r="F218" s="22"/>
      <c r="G218" s="22"/>
      <c r="H218" s="25"/>
      <c r="I218" s="22"/>
      <c r="J218" s="22"/>
      <c r="K218" s="31" t="str">
        <f aca="false">IF($J218="","",IFERROR(INDEX(DriverCategory,MATCH($J218,DriverList,0)),"?"))</f>
        <v/>
      </c>
      <c r="L218" s="31" t="str">
        <f aca="false">IF($J218="","",IFERROR(INDEX(DriverRank,MATCH($J218,DriverList,0)),99))</f>
        <v/>
      </c>
      <c r="M218" s="22"/>
      <c r="N218" s="22"/>
      <c r="O218" s="19" t="str">
        <f aca="false">IF($D218="","",INDEX(GradeBasic,MATCH($D218,GradeList,0))+INDEX(GradeHousing,MATCH($D218,GradeList,0))+INDEX(GradeTransport,MATCH($D218,GradeList,0))+INDEX(GradeBasic,MATCH($D218,GradeList,0))*INDEX(GradeBonus,MATCH($D218,GradeList,0))+(INDEX(GradeBasic,MATCH($D218,GradeList,0))+INDEX(GradeHousing,MATCH($D218,GradeList,0)))*IF($F218="Saudi",GosiSaudi,GosiOther))</f>
        <v/>
      </c>
      <c r="P218" s="19" t="str">
        <f aca="false">IF($D218="","",IF(INDEX(GradeRank,MATCH($D218,GradeList,0))&gt;=INDEX(GradeRank,MATCH("G14",GradeList,0)),OneOffSenior,OneOffJunior))</f>
        <v/>
      </c>
      <c r="Q218" s="19" t="str">
        <f aca="false">IF(OR($D218="",$I218="",$H218=""),"",$O218*$H218*(5-MATCH($I218,{"Q1";"Q2";"Q3";"Q4"},0))/4+$P218*$H218)</f>
        <v/>
      </c>
      <c r="R218" s="19" t="str">
        <f aca="false">IF($O218="","",$O218*$H218)</f>
        <v/>
      </c>
      <c r="S218" s="32" t="str">
        <f aca="false">IF(COUNTA($B218:$J218)+COUNTA($M218:$N218)=0,"",MID(IF($B218="",", unit","")&amp;IF($C218="",", job title","")&amp;IF($D218="",", grade","")&amp;IF($E218="",", workforce type","")&amp;IF($F218="",", Saudi basis","")&amp;IF($G218="",", nature","")&amp;IF(N($H218)&lt;=0,", FTE","")&amp;IF($I218="",", start quarter","")&amp;IF($J218="",", driver","")&amp;IF($M218="",", alternatives",""),3,300))</f>
        <v/>
      </c>
      <c r="T218" s="17" t="str">
        <f aca="false">IF($S218="","",COUNTIF($S$6:$S218,"?*"))</f>
        <v/>
      </c>
    </row>
    <row r="219" customFormat="false" ht="15" hidden="false" customHeight="false" outlineLevel="0" collapsed="false">
      <c r="A219" s="17" t="n">
        <v>214</v>
      </c>
      <c r="B219" s="22"/>
      <c r="C219" s="22"/>
      <c r="D219" s="22"/>
      <c r="E219" s="22"/>
      <c r="F219" s="22"/>
      <c r="G219" s="22"/>
      <c r="H219" s="25"/>
      <c r="I219" s="22"/>
      <c r="J219" s="22"/>
      <c r="K219" s="31" t="str">
        <f aca="false">IF($J219="","",IFERROR(INDEX(DriverCategory,MATCH($J219,DriverList,0)),"?"))</f>
        <v/>
      </c>
      <c r="L219" s="31" t="str">
        <f aca="false">IF($J219="","",IFERROR(INDEX(DriverRank,MATCH($J219,DriverList,0)),99))</f>
        <v/>
      </c>
      <c r="M219" s="22"/>
      <c r="N219" s="22"/>
      <c r="O219" s="19" t="str">
        <f aca="false">IF($D219="","",INDEX(GradeBasic,MATCH($D219,GradeList,0))+INDEX(GradeHousing,MATCH($D219,GradeList,0))+INDEX(GradeTransport,MATCH($D219,GradeList,0))+INDEX(GradeBasic,MATCH($D219,GradeList,0))*INDEX(GradeBonus,MATCH($D219,GradeList,0))+(INDEX(GradeBasic,MATCH($D219,GradeList,0))+INDEX(GradeHousing,MATCH($D219,GradeList,0)))*IF($F219="Saudi",GosiSaudi,GosiOther))</f>
        <v/>
      </c>
      <c r="P219" s="19" t="str">
        <f aca="false">IF($D219="","",IF(INDEX(GradeRank,MATCH($D219,GradeList,0))&gt;=INDEX(GradeRank,MATCH("G14",GradeList,0)),OneOffSenior,OneOffJunior))</f>
        <v/>
      </c>
      <c r="Q219" s="19" t="str">
        <f aca="false">IF(OR($D219="",$I219="",$H219=""),"",$O219*$H219*(5-MATCH($I219,{"Q1";"Q2";"Q3";"Q4"},0))/4+$P219*$H219)</f>
        <v/>
      </c>
      <c r="R219" s="19" t="str">
        <f aca="false">IF($O219="","",$O219*$H219)</f>
        <v/>
      </c>
      <c r="S219" s="32" t="str">
        <f aca="false">IF(COUNTA($B219:$J219)+COUNTA($M219:$N219)=0,"",MID(IF($B219="",", unit","")&amp;IF($C219="",", job title","")&amp;IF($D219="",", grade","")&amp;IF($E219="",", workforce type","")&amp;IF($F219="",", Saudi basis","")&amp;IF($G219="",", nature","")&amp;IF(N($H219)&lt;=0,", FTE","")&amp;IF($I219="",", start quarter","")&amp;IF($J219="",", driver","")&amp;IF($M219="",", alternatives",""),3,300))</f>
        <v/>
      </c>
      <c r="T219" s="17" t="str">
        <f aca="false">IF($S219="","",COUNTIF($S$6:$S219,"?*"))</f>
        <v/>
      </c>
    </row>
    <row r="220" customFormat="false" ht="15" hidden="false" customHeight="false" outlineLevel="0" collapsed="false">
      <c r="A220" s="17" t="n">
        <v>215</v>
      </c>
      <c r="B220" s="22"/>
      <c r="C220" s="22"/>
      <c r="D220" s="22"/>
      <c r="E220" s="22"/>
      <c r="F220" s="22"/>
      <c r="G220" s="22"/>
      <c r="H220" s="25"/>
      <c r="I220" s="22"/>
      <c r="J220" s="22"/>
      <c r="K220" s="31" t="str">
        <f aca="false">IF($J220="","",IFERROR(INDEX(DriverCategory,MATCH($J220,DriverList,0)),"?"))</f>
        <v/>
      </c>
      <c r="L220" s="31" t="str">
        <f aca="false">IF($J220="","",IFERROR(INDEX(DriverRank,MATCH($J220,DriverList,0)),99))</f>
        <v/>
      </c>
      <c r="M220" s="22"/>
      <c r="N220" s="22"/>
      <c r="O220" s="19" t="str">
        <f aca="false">IF($D220="","",INDEX(GradeBasic,MATCH($D220,GradeList,0))+INDEX(GradeHousing,MATCH($D220,GradeList,0))+INDEX(GradeTransport,MATCH($D220,GradeList,0))+INDEX(GradeBasic,MATCH($D220,GradeList,0))*INDEX(GradeBonus,MATCH($D220,GradeList,0))+(INDEX(GradeBasic,MATCH($D220,GradeList,0))+INDEX(GradeHousing,MATCH($D220,GradeList,0)))*IF($F220="Saudi",GosiSaudi,GosiOther))</f>
        <v/>
      </c>
      <c r="P220" s="19" t="str">
        <f aca="false">IF($D220="","",IF(INDEX(GradeRank,MATCH($D220,GradeList,0))&gt;=INDEX(GradeRank,MATCH("G14",GradeList,0)),OneOffSenior,OneOffJunior))</f>
        <v/>
      </c>
      <c r="Q220" s="19" t="str">
        <f aca="false">IF(OR($D220="",$I220="",$H220=""),"",$O220*$H220*(5-MATCH($I220,{"Q1";"Q2";"Q3";"Q4"},0))/4+$P220*$H220)</f>
        <v/>
      </c>
      <c r="R220" s="19" t="str">
        <f aca="false">IF($O220="","",$O220*$H220)</f>
        <v/>
      </c>
      <c r="S220" s="32" t="str">
        <f aca="false">IF(COUNTA($B220:$J220)+COUNTA($M220:$N220)=0,"",MID(IF($B220="",", unit","")&amp;IF($C220="",", job title","")&amp;IF($D220="",", grade","")&amp;IF($E220="",", workforce type","")&amp;IF($F220="",", Saudi basis","")&amp;IF($G220="",", nature","")&amp;IF(N($H220)&lt;=0,", FTE","")&amp;IF($I220="",", start quarter","")&amp;IF($J220="",", driver","")&amp;IF($M220="",", alternatives",""),3,300))</f>
        <v/>
      </c>
      <c r="T220" s="17" t="str">
        <f aca="false">IF($S220="","",COUNTIF($S$6:$S220,"?*"))</f>
        <v/>
      </c>
    </row>
    <row r="221" customFormat="false" ht="15" hidden="false" customHeight="false" outlineLevel="0" collapsed="false">
      <c r="A221" s="17" t="n">
        <v>216</v>
      </c>
      <c r="B221" s="22"/>
      <c r="C221" s="22"/>
      <c r="D221" s="22"/>
      <c r="E221" s="22"/>
      <c r="F221" s="22"/>
      <c r="G221" s="22"/>
      <c r="H221" s="25"/>
      <c r="I221" s="22"/>
      <c r="J221" s="22"/>
      <c r="K221" s="31" t="str">
        <f aca="false">IF($J221="","",IFERROR(INDEX(DriverCategory,MATCH($J221,DriverList,0)),"?"))</f>
        <v/>
      </c>
      <c r="L221" s="31" t="str">
        <f aca="false">IF($J221="","",IFERROR(INDEX(DriverRank,MATCH($J221,DriverList,0)),99))</f>
        <v/>
      </c>
      <c r="M221" s="22"/>
      <c r="N221" s="22"/>
      <c r="O221" s="19" t="str">
        <f aca="false">IF($D221="","",INDEX(GradeBasic,MATCH($D221,GradeList,0))+INDEX(GradeHousing,MATCH($D221,GradeList,0))+INDEX(GradeTransport,MATCH($D221,GradeList,0))+INDEX(GradeBasic,MATCH($D221,GradeList,0))*INDEX(GradeBonus,MATCH($D221,GradeList,0))+(INDEX(GradeBasic,MATCH($D221,GradeList,0))+INDEX(GradeHousing,MATCH($D221,GradeList,0)))*IF($F221="Saudi",GosiSaudi,GosiOther))</f>
        <v/>
      </c>
      <c r="P221" s="19" t="str">
        <f aca="false">IF($D221="","",IF(INDEX(GradeRank,MATCH($D221,GradeList,0))&gt;=INDEX(GradeRank,MATCH("G14",GradeList,0)),OneOffSenior,OneOffJunior))</f>
        <v/>
      </c>
      <c r="Q221" s="19" t="str">
        <f aca="false">IF(OR($D221="",$I221="",$H221=""),"",$O221*$H221*(5-MATCH($I221,{"Q1";"Q2";"Q3";"Q4"},0))/4+$P221*$H221)</f>
        <v/>
      </c>
      <c r="R221" s="19" t="str">
        <f aca="false">IF($O221="","",$O221*$H221)</f>
        <v/>
      </c>
      <c r="S221" s="32" t="str">
        <f aca="false">IF(COUNTA($B221:$J221)+COUNTA($M221:$N221)=0,"",MID(IF($B221="",", unit","")&amp;IF($C221="",", job title","")&amp;IF($D221="",", grade","")&amp;IF($E221="",", workforce type","")&amp;IF($F221="",", Saudi basis","")&amp;IF($G221="",", nature","")&amp;IF(N($H221)&lt;=0,", FTE","")&amp;IF($I221="",", start quarter","")&amp;IF($J221="",", driver","")&amp;IF($M221="",", alternatives",""),3,300))</f>
        <v/>
      </c>
      <c r="T221" s="17" t="str">
        <f aca="false">IF($S221="","",COUNTIF($S$6:$S221,"?*"))</f>
        <v/>
      </c>
    </row>
    <row r="222" customFormat="false" ht="15" hidden="false" customHeight="false" outlineLevel="0" collapsed="false">
      <c r="A222" s="17" t="n">
        <v>217</v>
      </c>
      <c r="B222" s="22"/>
      <c r="C222" s="22"/>
      <c r="D222" s="22"/>
      <c r="E222" s="22"/>
      <c r="F222" s="22"/>
      <c r="G222" s="22"/>
      <c r="H222" s="25"/>
      <c r="I222" s="22"/>
      <c r="J222" s="22"/>
      <c r="K222" s="31" t="str">
        <f aca="false">IF($J222="","",IFERROR(INDEX(DriverCategory,MATCH($J222,DriverList,0)),"?"))</f>
        <v/>
      </c>
      <c r="L222" s="31" t="str">
        <f aca="false">IF($J222="","",IFERROR(INDEX(DriverRank,MATCH($J222,DriverList,0)),99))</f>
        <v/>
      </c>
      <c r="M222" s="22"/>
      <c r="N222" s="22"/>
      <c r="O222" s="19" t="str">
        <f aca="false">IF($D222="","",INDEX(GradeBasic,MATCH($D222,GradeList,0))+INDEX(GradeHousing,MATCH($D222,GradeList,0))+INDEX(GradeTransport,MATCH($D222,GradeList,0))+INDEX(GradeBasic,MATCH($D222,GradeList,0))*INDEX(GradeBonus,MATCH($D222,GradeList,0))+(INDEX(GradeBasic,MATCH($D222,GradeList,0))+INDEX(GradeHousing,MATCH($D222,GradeList,0)))*IF($F222="Saudi",GosiSaudi,GosiOther))</f>
        <v/>
      </c>
      <c r="P222" s="19" t="str">
        <f aca="false">IF($D222="","",IF(INDEX(GradeRank,MATCH($D222,GradeList,0))&gt;=INDEX(GradeRank,MATCH("G14",GradeList,0)),OneOffSenior,OneOffJunior))</f>
        <v/>
      </c>
      <c r="Q222" s="19" t="str">
        <f aca="false">IF(OR($D222="",$I222="",$H222=""),"",$O222*$H222*(5-MATCH($I222,{"Q1";"Q2";"Q3";"Q4"},0))/4+$P222*$H222)</f>
        <v/>
      </c>
      <c r="R222" s="19" t="str">
        <f aca="false">IF($O222="","",$O222*$H222)</f>
        <v/>
      </c>
      <c r="S222" s="32" t="str">
        <f aca="false">IF(COUNTA($B222:$J222)+COUNTA($M222:$N222)=0,"",MID(IF($B222="",", unit","")&amp;IF($C222="",", job title","")&amp;IF($D222="",", grade","")&amp;IF($E222="",", workforce type","")&amp;IF($F222="",", Saudi basis","")&amp;IF($G222="",", nature","")&amp;IF(N($H222)&lt;=0,", FTE","")&amp;IF($I222="",", start quarter","")&amp;IF($J222="",", driver","")&amp;IF($M222="",", alternatives",""),3,300))</f>
        <v/>
      </c>
      <c r="T222" s="17" t="str">
        <f aca="false">IF($S222="","",COUNTIF($S$6:$S222,"?*"))</f>
        <v/>
      </c>
    </row>
    <row r="223" customFormat="false" ht="15" hidden="false" customHeight="false" outlineLevel="0" collapsed="false">
      <c r="A223" s="17" t="n">
        <v>218</v>
      </c>
      <c r="B223" s="22"/>
      <c r="C223" s="22"/>
      <c r="D223" s="22"/>
      <c r="E223" s="22"/>
      <c r="F223" s="22"/>
      <c r="G223" s="22"/>
      <c r="H223" s="25"/>
      <c r="I223" s="22"/>
      <c r="J223" s="22"/>
      <c r="K223" s="31" t="str">
        <f aca="false">IF($J223="","",IFERROR(INDEX(DriverCategory,MATCH($J223,DriverList,0)),"?"))</f>
        <v/>
      </c>
      <c r="L223" s="31" t="str">
        <f aca="false">IF($J223="","",IFERROR(INDEX(DriverRank,MATCH($J223,DriverList,0)),99))</f>
        <v/>
      </c>
      <c r="M223" s="22"/>
      <c r="N223" s="22"/>
      <c r="O223" s="19" t="str">
        <f aca="false">IF($D223="","",INDEX(GradeBasic,MATCH($D223,GradeList,0))+INDEX(GradeHousing,MATCH($D223,GradeList,0))+INDEX(GradeTransport,MATCH($D223,GradeList,0))+INDEX(GradeBasic,MATCH($D223,GradeList,0))*INDEX(GradeBonus,MATCH($D223,GradeList,0))+(INDEX(GradeBasic,MATCH($D223,GradeList,0))+INDEX(GradeHousing,MATCH($D223,GradeList,0)))*IF($F223="Saudi",GosiSaudi,GosiOther))</f>
        <v/>
      </c>
      <c r="P223" s="19" t="str">
        <f aca="false">IF($D223="","",IF(INDEX(GradeRank,MATCH($D223,GradeList,0))&gt;=INDEX(GradeRank,MATCH("G14",GradeList,0)),OneOffSenior,OneOffJunior))</f>
        <v/>
      </c>
      <c r="Q223" s="19" t="str">
        <f aca="false">IF(OR($D223="",$I223="",$H223=""),"",$O223*$H223*(5-MATCH($I223,{"Q1";"Q2";"Q3";"Q4"},0))/4+$P223*$H223)</f>
        <v/>
      </c>
      <c r="R223" s="19" t="str">
        <f aca="false">IF($O223="","",$O223*$H223)</f>
        <v/>
      </c>
      <c r="S223" s="32" t="str">
        <f aca="false">IF(COUNTA($B223:$J223)+COUNTA($M223:$N223)=0,"",MID(IF($B223="",", unit","")&amp;IF($C223="",", job title","")&amp;IF($D223="",", grade","")&amp;IF($E223="",", workforce type","")&amp;IF($F223="",", Saudi basis","")&amp;IF($G223="",", nature","")&amp;IF(N($H223)&lt;=0,", FTE","")&amp;IF($I223="",", start quarter","")&amp;IF($J223="",", driver","")&amp;IF($M223="",", alternatives",""),3,300))</f>
        <v/>
      </c>
      <c r="T223" s="17" t="str">
        <f aca="false">IF($S223="","",COUNTIF($S$6:$S223,"?*"))</f>
        <v/>
      </c>
    </row>
    <row r="224" customFormat="false" ht="15" hidden="false" customHeight="false" outlineLevel="0" collapsed="false">
      <c r="A224" s="17" t="n">
        <v>219</v>
      </c>
      <c r="B224" s="22"/>
      <c r="C224" s="22"/>
      <c r="D224" s="22"/>
      <c r="E224" s="22"/>
      <c r="F224" s="22"/>
      <c r="G224" s="22"/>
      <c r="H224" s="25"/>
      <c r="I224" s="22"/>
      <c r="J224" s="22"/>
      <c r="K224" s="31" t="str">
        <f aca="false">IF($J224="","",IFERROR(INDEX(DriverCategory,MATCH($J224,DriverList,0)),"?"))</f>
        <v/>
      </c>
      <c r="L224" s="31" t="str">
        <f aca="false">IF($J224="","",IFERROR(INDEX(DriverRank,MATCH($J224,DriverList,0)),99))</f>
        <v/>
      </c>
      <c r="M224" s="22"/>
      <c r="N224" s="22"/>
      <c r="O224" s="19" t="str">
        <f aca="false">IF($D224="","",INDEX(GradeBasic,MATCH($D224,GradeList,0))+INDEX(GradeHousing,MATCH($D224,GradeList,0))+INDEX(GradeTransport,MATCH($D224,GradeList,0))+INDEX(GradeBasic,MATCH($D224,GradeList,0))*INDEX(GradeBonus,MATCH($D224,GradeList,0))+(INDEX(GradeBasic,MATCH($D224,GradeList,0))+INDEX(GradeHousing,MATCH($D224,GradeList,0)))*IF($F224="Saudi",GosiSaudi,GosiOther))</f>
        <v/>
      </c>
      <c r="P224" s="19" t="str">
        <f aca="false">IF($D224="","",IF(INDEX(GradeRank,MATCH($D224,GradeList,0))&gt;=INDEX(GradeRank,MATCH("G14",GradeList,0)),OneOffSenior,OneOffJunior))</f>
        <v/>
      </c>
      <c r="Q224" s="19" t="str">
        <f aca="false">IF(OR($D224="",$I224="",$H224=""),"",$O224*$H224*(5-MATCH($I224,{"Q1";"Q2";"Q3";"Q4"},0))/4+$P224*$H224)</f>
        <v/>
      </c>
      <c r="R224" s="19" t="str">
        <f aca="false">IF($O224="","",$O224*$H224)</f>
        <v/>
      </c>
      <c r="S224" s="32" t="str">
        <f aca="false">IF(COUNTA($B224:$J224)+COUNTA($M224:$N224)=0,"",MID(IF($B224="",", unit","")&amp;IF($C224="",", job title","")&amp;IF($D224="",", grade","")&amp;IF($E224="",", workforce type","")&amp;IF($F224="",", Saudi basis","")&amp;IF($G224="",", nature","")&amp;IF(N($H224)&lt;=0,", FTE","")&amp;IF($I224="",", start quarter","")&amp;IF($J224="",", driver","")&amp;IF($M224="",", alternatives",""),3,300))</f>
        <v/>
      </c>
      <c r="T224" s="17" t="str">
        <f aca="false">IF($S224="","",COUNTIF($S$6:$S224,"?*"))</f>
        <v/>
      </c>
    </row>
    <row r="225" customFormat="false" ht="15" hidden="false" customHeight="false" outlineLevel="0" collapsed="false">
      <c r="A225" s="17" t="n">
        <v>220</v>
      </c>
      <c r="B225" s="22"/>
      <c r="C225" s="22"/>
      <c r="D225" s="22"/>
      <c r="E225" s="22"/>
      <c r="F225" s="22"/>
      <c r="G225" s="22"/>
      <c r="H225" s="25"/>
      <c r="I225" s="22"/>
      <c r="J225" s="22"/>
      <c r="K225" s="31" t="str">
        <f aca="false">IF($J225="","",IFERROR(INDEX(DriverCategory,MATCH($J225,DriverList,0)),"?"))</f>
        <v/>
      </c>
      <c r="L225" s="31" t="str">
        <f aca="false">IF($J225="","",IFERROR(INDEX(DriverRank,MATCH($J225,DriverList,0)),99))</f>
        <v/>
      </c>
      <c r="M225" s="22"/>
      <c r="N225" s="22"/>
      <c r="O225" s="19" t="str">
        <f aca="false">IF($D225="","",INDEX(GradeBasic,MATCH($D225,GradeList,0))+INDEX(GradeHousing,MATCH($D225,GradeList,0))+INDEX(GradeTransport,MATCH($D225,GradeList,0))+INDEX(GradeBasic,MATCH($D225,GradeList,0))*INDEX(GradeBonus,MATCH($D225,GradeList,0))+(INDEX(GradeBasic,MATCH($D225,GradeList,0))+INDEX(GradeHousing,MATCH($D225,GradeList,0)))*IF($F225="Saudi",GosiSaudi,GosiOther))</f>
        <v/>
      </c>
      <c r="P225" s="19" t="str">
        <f aca="false">IF($D225="","",IF(INDEX(GradeRank,MATCH($D225,GradeList,0))&gt;=INDEX(GradeRank,MATCH("G14",GradeList,0)),OneOffSenior,OneOffJunior))</f>
        <v/>
      </c>
      <c r="Q225" s="19" t="str">
        <f aca="false">IF(OR($D225="",$I225="",$H225=""),"",$O225*$H225*(5-MATCH($I225,{"Q1";"Q2";"Q3";"Q4"},0))/4+$P225*$H225)</f>
        <v/>
      </c>
      <c r="R225" s="19" t="str">
        <f aca="false">IF($O225="","",$O225*$H225)</f>
        <v/>
      </c>
      <c r="S225" s="32" t="str">
        <f aca="false">IF(COUNTA($B225:$J225)+COUNTA($M225:$N225)=0,"",MID(IF($B225="",", unit","")&amp;IF($C225="",", job title","")&amp;IF($D225="",", grade","")&amp;IF($E225="",", workforce type","")&amp;IF($F225="",", Saudi basis","")&amp;IF($G225="",", nature","")&amp;IF(N($H225)&lt;=0,", FTE","")&amp;IF($I225="",", start quarter","")&amp;IF($J225="",", driver","")&amp;IF($M225="",", alternatives",""),3,300))</f>
        <v/>
      </c>
      <c r="T225" s="17" t="str">
        <f aca="false">IF($S225="","",COUNTIF($S$6:$S225,"?*"))</f>
        <v/>
      </c>
    </row>
    <row r="226" customFormat="false" ht="15" hidden="false" customHeight="false" outlineLevel="0" collapsed="false">
      <c r="A226" s="17" t="n">
        <v>221</v>
      </c>
      <c r="B226" s="22"/>
      <c r="C226" s="22"/>
      <c r="D226" s="22"/>
      <c r="E226" s="22"/>
      <c r="F226" s="22"/>
      <c r="G226" s="22"/>
      <c r="H226" s="25"/>
      <c r="I226" s="22"/>
      <c r="J226" s="22"/>
      <c r="K226" s="31" t="str">
        <f aca="false">IF($J226="","",IFERROR(INDEX(DriverCategory,MATCH($J226,DriverList,0)),"?"))</f>
        <v/>
      </c>
      <c r="L226" s="31" t="str">
        <f aca="false">IF($J226="","",IFERROR(INDEX(DriverRank,MATCH($J226,DriverList,0)),99))</f>
        <v/>
      </c>
      <c r="M226" s="22"/>
      <c r="N226" s="22"/>
      <c r="O226" s="19" t="str">
        <f aca="false">IF($D226="","",INDEX(GradeBasic,MATCH($D226,GradeList,0))+INDEX(GradeHousing,MATCH($D226,GradeList,0))+INDEX(GradeTransport,MATCH($D226,GradeList,0))+INDEX(GradeBasic,MATCH($D226,GradeList,0))*INDEX(GradeBonus,MATCH($D226,GradeList,0))+(INDEX(GradeBasic,MATCH($D226,GradeList,0))+INDEX(GradeHousing,MATCH($D226,GradeList,0)))*IF($F226="Saudi",GosiSaudi,GosiOther))</f>
        <v/>
      </c>
      <c r="P226" s="19" t="str">
        <f aca="false">IF($D226="","",IF(INDEX(GradeRank,MATCH($D226,GradeList,0))&gt;=INDEX(GradeRank,MATCH("G14",GradeList,0)),OneOffSenior,OneOffJunior))</f>
        <v/>
      </c>
      <c r="Q226" s="19" t="str">
        <f aca="false">IF(OR($D226="",$I226="",$H226=""),"",$O226*$H226*(5-MATCH($I226,{"Q1";"Q2";"Q3";"Q4"},0))/4+$P226*$H226)</f>
        <v/>
      </c>
      <c r="R226" s="19" t="str">
        <f aca="false">IF($O226="","",$O226*$H226)</f>
        <v/>
      </c>
      <c r="S226" s="32" t="str">
        <f aca="false">IF(COUNTA($B226:$J226)+COUNTA($M226:$N226)=0,"",MID(IF($B226="",", unit","")&amp;IF($C226="",", job title","")&amp;IF($D226="",", grade","")&amp;IF($E226="",", workforce type","")&amp;IF($F226="",", Saudi basis","")&amp;IF($G226="",", nature","")&amp;IF(N($H226)&lt;=0,", FTE","")&amp;IF($I226="",", start quarter","")&amp;IF($J226="",", driver","")&amp;IF($M226="",", alternatives",""),3,300))</f>
        <v/>
      </c>
      <c r="T226" s="17" t="str">
        <f aca="false">IF($S226="","",COUNTIF($S$6:$S226,"?*"))</f>
        <v/>
      </c>
    </row>
    <row r="227" customFormat="false" ht="15" hidden="false" customHeight="false" outlineLevel="0" collapsed="false">
      <c r="A227" s="17" t="n">
        <v>222</v>
      </c>
      <c r="B227" s="22"/>
      <c r="C227" s="22"/>
      <c r="D227" s="22"/>
      <c r="E227" s="22"/>
      <c r="F227" s="22"/>
      <c r="G227" s="22"/>
      <c r="H227" s="25"/>
      <c r="I227" s="22"/>
      <c r="J227" s="22"/>
      <c r="K227" s="31" t="str">
        <f aca="false">IF($J227="","",IFERROR(INDEX(DriverCategory,MATCH($J227,DriverList,0)),"?"))</f>
        <v/>
      </c>
      <c r="L227" s="31" t="str">
        <f aca="false">IF($J227="","",IFERROR(INDEX(DriverRank,MATCH($J227,DriverList,0)),99))</f>
        <v/>
      </c>
      <c r="M227" s="22"/>
      <c r="N227" s="22"/>
      <c r="O227" s="19" t="str">
        <f aca="false">IF($D227="","",INDEX(GradeBasic,MATCH($D227,GradeList,0))+INDEX(GradeHousing,MATCH($D227,GradeList,0))+INDEX(GradeTransport,MATCH($D227,GradeList,0))+INDEX(GradeBasic,MATCH($D227,GradeList,0))*INDEX(GradeBonus,MATCH($D227,GradeList,0))+(INDEX(GradeBasic,MATCH($D227,GradeList,0))+INDEX(GradeHousing,MATCH($D227,GradeList,0)))*IF($F227="Saudi",GosiSaudi,GosiOther))</f>
        <v/>
      </c>
      <c r="P227" s="19" t="str">
        <f aca="false">IF($D227="","",IF(INDEX(GradeRank,MATCH($D227,GradeList,0))&gt;=INDEX(GradeRank,MATCH("G14",GradeList,0)),OneOffSenior,OneOffJunior))</f>
        <v/>
      </c>
      <c r="Q227" s="19" t="str">
        <f aca="false">IF(OR($D227="",$I227="",$H227=""),"",$O227*$H227*(5-MATCH($I227,{"Q1";"Q2";"Q3";"Q4"},0))/4+$P227*$H227)</f>
        <v/>
      </c>
      <c r="R227" s="19" t="str">
        <f aca="false">IF($O227="","",$O227*$H227)</f>
        <v/>
      </c>
      <c r="S227" s="32" t="str">
        <f aca="false">IF(COUNTA($B227:$J227)+COUNTA($M227:$N227)=0,"",MID(IF($B227="",", unit","")&amp;IF($C227="",", job title","")&amp;IF($D227="",", grade","")&amp;IF($E227="",", workforce type","")&amp;IF($F227="",", Saudi basis","")&amp;IF($G227="",", nature","")&amp;IF(N($H227)&lt;=0,", FTE","")&amp;IF($I227="",", start quarter","")&amp;IF($J227="",", driver","")&amp;IF($M227="",", alternatives",""),3,300))</f>
        <v/>
      </c>
      <c r="T227" s="17" t="str">
        <f aca="false">IF($S227="","",COUNTIF($S$6:$S227,"?*"))</f>
        <v/>
      </c>
    </row>
    <row r="228" customFormat="false" ht="15" hidden="false" customHeight="false" outlineLevel="0" collapsed="false">
      <c r="A228" s="17" t="n">
        <v>223</v>
      </c>
      <c r="B228" s="22"/>
      <c r="C228" s="22"/>
      <c r="D228" s="22"/>
      <c r="E228" s="22"/>
      <c r="F228" s="22"/>
      <c r="G228" s="22"/>
      <c r="H228" s="25"/>
      <c r="I228" s="22"/>
      <c r="J228" s="22"/>
      <c r="K228" s="31" t="str">
        <f aca="false">IF($J228="","",IFERROR(INDEX(DriverCategory,MATCH($J228,DriverList,0)),"?"))</f>
        <v/>
      </c>
      <c r="L228" s="31" t="str">
        <f aca="false">IF($J228="","",IFERROR(INDEX(DriverRank,MATCH($J228,DriverList,0)),99))</f>
        <v/>
      </c>
      <c r="M228" s="22"/>
      <c r="N228" s="22"/>
      <c r="O228" s="19" t="str">
        <f aca="false">IF($D228="","",INDEX(GradeBasic,MATCH($D228,GradeList,0))+INDEX(GradeHousing,MATCH($D228,GradeList,0))+INDEX(GradeTransport,MATCH($D228,GradeList,0))+INDEX(GradeBasic,MATCH($D228,GradeList,0))*INDEX(GradeBonus,MATCH($D228,GradeList,0))+(INDEX(GradeBasic,MATCH($D228,GradeList,0))+INDEX(GradeHousing,MATCH($D228,GradeList,0)))*IF($F228="Saudi",GosiSaudi,GosiOther))</f>
        <v/>
      </c>
      <c r="P228" s="19" t="str">
        <f aca="false">IF($D228="","",IF(INDEX(GradeRank,MATCH($D228,GradeList,0))&gt;=INDEX(GradeRank,MATCH("G14",GradeList,0)),OneOffSenior,OneOffJunior))</f>
        <v/>
      </c>
      <c r="Q228" s="19" t="str">
        <f aca="false">IF(OR($D228="",$I228="",$H228=""),"",$O228*$H228*(5-MATCH($I228,{"Q1";"Q2";"Q3";"Q4"},0))/4+$P228*$H228)</f>
        <v/>
      </c>
      <c r="R228" s="19" t="str">
        <f aca="false">IF($O228="","",$O228*$H228)</f>
        <v/>
      </c>
      <c r="S228" s="32" t="str">
        <f aca="false">IF(COUNTA($B228:$J228)+COUNTA($M228:$N228)=0,"",MID(IF($B228="",", unit","")&amp;IF($C228="",", job title","")&amp;IF($D228="",", grade","")&amp;IF($E228="",", workforce type","")&amp;IF($F228="",", Saudi basis","")&amp;IF($G228="",", nature","")&amp;IF(N($H228)&lt;=0,", FTE","")&amp;IF($I228="",", start quarter","")&amp;IF($J228="",", driver","")&amp;IF($M228="",", alternatives",""),3,300))</f>
        <v/>
      </c>
      <c r="T228" s="17" t="str">
        <f aca="false">IF($S228="","",COUNTIF($S$6:$S228,"?*"))</f>
        <v/>
      </c>
    </row>
    <row r="229" customFormat="false" ht="15" hidden="false" customHeight="false" outlineLevel="0" collapsed="false">
      <c r="A229" s="17" t="n">
        <v>224</v>
      </c>
      <c r="B229" s="22"/>
      <c r="C229" s="22"/>
      <c r="D229" s="22"/>
      <c r="E229" s="22"/>
      <c r="F229" s="22"/>
      <c r="G229" s="22"/>
      <c r="H229" s="25"/>
      <c r="I229" s="22"/>
      <c r="J229" s="22"/>
      <c r="K229" s="31" t="str">
        <f aca="false">IF($J229="","",IFERROR(INDEX(DriverCategory,MATCH($J229,DriverList,0)),"?"))</f>
        <v/>
      </c>
      <c r="L229" s="31" t="str">
        <f aca="false">IF($J229="","",IFERROR(INDEX(DriverRank,MATCH($J229,DriverList,0)),99))</f>
        <v/>
      </c>
      <c r="M229" s="22"/>
      <c r="N229" s="22"/>
      <c r="O229" s="19" t="str">
        <f aca="false">IF($D229="","",INDEX(GradeBasic,MATCH($D229,GradeList,0))+INDEX(GradeHousing,MATCH($D229,GradeList,0))+INDEX(GradeTransport,MATCH($D229,GradeList,0))+INDEX(GradeBasic,MATCH($D229,GradeList,0))*INDEX(GradeBonus,MATCH($D229,GradeList,0))+(INDEX(GradeBasic,MATCH($D229,GradeList,0))+INDEX(GradeHousing,MATCH($D229,GradeList,0)))*IF($F229="Saudi",GosiSaudi,GosiOther))</f>
        <v/>
      </c>
      <c r="P229" s="19" t="str">
        <f aca="false">IF($D229="","",IF(INDEX(GradeRank,MATCH($D229,GradeList,0))&gt;=INDEX(GradeRank,MATCH("G14",GradeList,0)),OneOffSenior,OneOffJunior))</f>
        <v/>
      </c>
      <c r="Q229" s="19" t="str">
        <f aca="false">IF(OR($D229="",$I229="",$H229=""),"",$O229*$H229*(5-MATCH($I229,{"Q1";"Q2";"Q3";"Q4"},0))/4+$P229*$H229)</f>
        <v/>
      </c>
      <c r="R229" s="19" t="str">
        <f aca="false">IF($O229="","",$O229*$H229)</f>
        <v/>
      </c>
      <c r="S229" s="32" t="str">
        <f aca="false">IF(COUNTA($B229:$J229)+COUNTA($M229:$N229)=0,"",MID(IF($B229="",", unit","")&amp;IF($C229="",", job title","")&amp;IF($D229="",", grade","")&amp;IF($E229="",", workforce type","")&amp;IF($F229="",", Saudi basis","")&amp;IF($G229="",", nature","")&amp;IF(N($H229)&lt;=0,", FTE","")&amp;IF($I229="",", start quarter","")&amp;IF($J229="",", driver","")&amp;IF($M229="",", alternatives",""),3,300))</f>
        <v/>
      </c>
      <c r="T229" s="17" t="str">
        <f aca="false">IF($S229="","",COUNTIF($S$6:$S229,"?*"))</f>
        <v/>
      </c>
    </row>
    <row r="230" customFormat="false" ht="15" hidden="false" customHeight="false" outlineLevel="0" collapsed="false">
      <c r="A230" s="17" t="n">
        <v>225</v>
      </c>
      <c r="B230" s="22"/>
      <c r="C230" s="22"/>
      <c r="D230" s="22"/>
      <c r="E230" s="22"/>
      <c r="F230" s="22"/>
      <c r="G230" s="22"/>
      <c r="H230" s="25"/>
      <c r="I230" s="22"/>
      <c r="J230" s="22"/>
      <c r="K230" s="31" t="str">
        <f aca="false">IF($J230="","",IFERROR(INDEX(DriverCategory,MATCH($J230,DriverList,0)),"?"))</f>
        <v/>
      </c>
      <c r="L230" s="31" t="str">
        <f aca="false">IF($J230="","",IFERROR(INDEX(DriverRank,MATCH($J230,DriverList,0)),99))</f>
        <v/>
      </c>
      <c r="M230" s="22"/>
      <c r="N230" s="22"/>
      <c r="O230" s="19" t="str">
        <f aca="false">IF($D230="","",INDEX(GradeBasic,MATCH($D230,GradeList,0))+INDEX(GradeHousing,MATCH($D230,GradeList,0))+INDEX(GradeTransport,MATCH($D230,GradeList,0))+INDEX(GradeBasic,MATCH($D230,GradeList,0))*INDEX(GradeBonus,MATCH($D230,GradeList,0))+(INDEX(GradeBasic,MATCH($D230,GradeList,0))+INDEX(GradeHousing,MATCH($D230,GradeList,0)))*IF($F230="Saudi",GosiSaudi,GosiOther))</f>
        <v/>
      </c>
      <c r="P230" s="19" t="str">
        <f aca="false">IF($D230="","",IF(INDEX(GradeRank,MATCH($D230,GradeList,0))&gt;=INDEX(GradeRank,MATCH("G14",GradeList,0)),OneOffSenior,OneOffJunior))</f>
        <v/>
      </c>
      <c r="Q230" s="19" t="str">
        <f aca="false">IF(OR($D230="",$I230="",$H230=""),"",$O230*$H230*(5-MATCH($I230,{"Q1";"Q2";"Q3";"Q4"},0))/4+$P230*$H230)</f>
        <v/>
      </c>
      <c r="R230" s="19" t="str">
        <f aca="false">IF($O230="","",$O230*$H230)</f>
        <v/>
      </c>
      <c r="S230" s="32" t="str">
        <f aca="false">IF(COUNTA($B230:$J230)+COUNTA($M230:$N230)=0,"",MID(IF($B230="",", unit","")&amp;IF($C230="",", job title","")&amp;IF($D230="",", grade","")&amp;IF($E230="",", workforce type","")&amp;IF($F230="",", Saudi basis","")&amp;IF($G230="",", nature","")&amp;IF(N($H230)&lt;=0,", FTE","")&amp;IF($I230="",", start quarter","")&amp;IF($J230="",", driver","")&amp;IF($M230="",", alternatives",""),3,300))</f>
        <v/>
      </c>
      <c r="T230" s="17" t="str">
        <f aca="false">IF($S230="","",COUNTIF($S$6:$S230,"?*"))</f>
        <v/>
      </c>
    </row>
    <row r="231" customFormat="false" ht="15" hidden="false" customHeight="false" outlineLevel="0" collapsed="false">
      <c r="A231" s="17" t="n">
        <v>226</v>
      </c>
      <c r="B231" s="22"/>
      <c r="C231" s="22"/>
      <c r="D231" s="22"/>
      <c r="E231" s="22"/>
      <c r="F231" s="22"/>
      <c r="G231" s="22"/>
      <c r="H231" s="25"/>
      <c r="I231" s="22"/>
      <c r="J231" s="22"/>
      <c r="K231" s="31" t="str">
        <f aca="false">IF($J231="","",IFERROR(INDEX(DriverCategory,MATCH($J231,DriverList,0)),"?"))</f>
        <v/>
      </c>
      <c r="L231" s="31" t="str">
        <f aca="false">IF($J231="","",IFERROR(INDEX(DriverRank,MATCH($J231,DriverList,0)),99))</f>
        <v/>
      </c>
      <c r="M231" s="22"/>
      <c r="N231" s="22"/>
      <c r="O231" s="19" t="str">
        <f aca="false">IF($D231="","",INDEX(GradeBasic,MATCH($D231,GradeList,0))+INDEX(GradeHousing,MATCH($D231,GradeList,0))+INDEX(GradeTransport,MATCH($D231,GradeList,0))+INDEX(GradeBasic,MATCH($D231,GradeList,0))*INDEX(GradeBonus,MATCH($D231,GradeList,0))+(INDEX(GradeBasic,MATCH($D231,GradeList,0))+INDEX(GradeHousing,MATCH($D231,GradeList,0)))*IF($F231="Saudi",GosiSaudi,GosiOther))</f>
        <v/>
      </c>
      <c r="P231" s="19" t="str">
        <f aca="false">IF($D231="","",IF(INDEX(GradeRank,MATCH($D231,GradeList,0))&gt;=INDEX(GradeRank,MATCH("G14",GradeList,0)),OneOffSenior,OneOffJunior))</f>
        <v/>
      </c>
      <c r="Q231" s="19" t="str">
        <f aca="false">IF(OR($D231="",$I231="",$H231=""),"",$O231*$H231*(5-MATCH($I231,{"Q1";"Q2";"Q3";"Q4"},0))/4+$P231*$H231)</f>
        <v/>
      </c>
      <c r="R231" s="19" t="str">
        <f aca="false">IF($O231="","",$O231*$H231)</f>
        <v/>
      </c>
      <c r="S231" s="32" t="str">
        <f aca="false">IF(COUNTA($B231:$J231)+COUNTA($M231:$N231)=0,"",MID(IF($B231="",", unit","")&amp;IF($C231="",", job title","")&amp;IF($D231="",", grade","")&amp;IF($E231="",", workforce type","")&amp;IF($F231="",", Saudi basis","")&amp;IF($G231="",", nature","")&amp;IF(N($H231)&lt;=0,", FTE","")&amp;IF($I231="",", start quarter","")&amp;IF($J231="",", driver","")&amp;IF($M231="",", alternatives",""),3,300))</f>
        <v/>
      </c>
      <c r="T231" s="17" t="str">
        <f aca="false">IF($S231="","",COUNTIF($S$6:$S231,"?*"))</f>
        <v/>
      </c>
    </row>
    <row r="232" customFormat="false" ht="15" hidden="false" customHeight="false" outlineLevel="0" collapsed="false">
      <c r="A232" s="17" t="n">
        <v>227</v>
      </c>
      <c r="B232" s="22"/>
      <c r="C232" s="22"/>
      <c r="D232" s="22"/>
      <c r="E232" s="22"/>
      <c r="F232" s="22"/>
      <c r="G232" s="22"/>
      <c r="H232" s="25"/>
      <c r="I232" s="22"/>
      <c r="J232" s="22"/>
      <c r="K232" s="31" t="str">
        <f aca="false">IF($J232="","",IFERROR(INDEX(DriverCategory,MATCH($J232,DriverList,0)),"?"))</f>
        <v/>
      </c>
      <c r="L232" s="31" t="str">
        <f aca="false">IF($J232="","",IFERROR(INDEX(DriverRank,MATCH($J232,DriverList,0)),99))</f>
        <v/>
      </c>
      <c r="M232" s="22"/>
      <c r="N232" s="22"/>
      <c r="O232" s="19" t="str">
        <f aca="false">IF($D232="","",INDEX(GradeBasic,MATCH($D232,GradeList,0))+INDEX(GradeHousing,MATCH($D232,GradeList,0))+INDEX(GradeTransport,MATCH($D232,GradeList,0))+INDEX(GradeBasic,MATCH($D232,GradeList,0))*INDEX(GradeBonus,MATCH($D232,GradeList,0))+(INDEX(GradeBasic,MATCH($D232,GradeList,0))+INDEX(GradeHousing,MATCH($D232,GradeList,0)))*IF($F232="Saudi",GosiSaudi,GosiOther))</f>
        <v/>
      </c>
      <c r="P232" s="19" t="str">
        <f aca="false">IF($D232="","",IF(INDEX(GradeRank,MATCH($D232,GradeList,0))&gt;=INDEX(GradeRank,MATCH("G14",GradeList,0)),OneOffSenior,OneOffJunior))</f>
        <v/>
      </c>
      <c r="Q232" s="19" t="str">
        <f aca="false">IF(OR($D232="",$I232="",$H232=""),"",$O232*$H232*(5-MATCH($I232,{"Q1";"Q2";"Q3";"Q4"},0))/4+$P232*$H232)</f>
        <v/>
      </c>
      <c r="R232" s="19" t="str">
        <f aca="false">IF($O232="","",$O232*$H232)</f>
        <v/>
      </c>
      <c r="S232" s="32" t="str">
        <f aca="false">IF(COUNTA($B232:$J232)+COUNTA($M232:$N232)=0,"",MID(IF($B232="",", unit","")&amp;IF($C232="",", job title","")&amp;IF($D232="",", grade","")&amp;IF($E232="",", workforce type","")&amp;IF($F232="",", Saudi basis","")&amp;IF($G232="",", nature","")&amp;IF(N($H232)&lt;=0,", FTE","")&amp;IF($I232="",", start quarter","")&amp;IF($J232="",", driver","")&amp;IF($M232="",", alternatives",""),3,300))</f>
        <v/>
      </c>
      <c r="T232" s="17" t="str">
        <f aca="false">IF($S232="","",COUNTIF($S$6:$S232,"?*"))</f>
        <v/>
      </c>
    </row>
    <row r="233" customFormat="false" ht="15" hidden="false" customHeight="false" outlineLevel="0" collapsed="false">
      <c r="A233" s="17" t="n">
        <v>228</v>
      </c>
      <c r="B233" s="22"/>
      <c r="C233" s="22"/>
      <c r="D233" s="22"/>
      <c r="E233" s="22"/>
      <c r="F233" s="22"/>
      <c r="G233" s="22"/>
      <c r="H233" s="25"/>
      <c r="I233" s="22"/>
      <c r="J233" s="22"/>
      <c r="K233" s="31" t="str">
        <f aca="false">IF($J233="","",IFERROR(INDEX(DriverCategory,MATCH($J233,DriverList,0)),"?"))</f>
        <v/>
      </c>
      <c r="L233" s="31" t="str">
        <f aca="false">IF($J233="","",IFERROR(INDEX(DriverRank,MATCH($J233,DriverList,0)),99))</f>
        <v/>
      </c>
      <c r="M233" s="22"/>
      <c r="N233" s="22"/>
      <c r="O233" s="19" t="str">
        <f aca="false">IF($D233="","",INDEX(GradeBasic,MATCH($D233,GradeList,0))+INDEX(GradeHousing,MATCH($D233,GradeList,0))+INDEX(GradeTransport,MATCH($D233,GradeList,0))+INDEX(GradeBasic,MATCH($D233,GradeList,0))*INDEX(GradeBonus,MATCH($D233,GradeList,0))+(INDEX(GradeBasic,MATCH($D233,GradeList,0))+INDEX(GradeHousing,MATCH($D233,GradeList,0)))*IF($F233="Saudi",GosiSaudi,GosiOther))</f>
        <v/>
      </c>
      <c r="P233" s="19" t="str">
        <f aca="false">IF($D233="","",IF(INDEX(GradeRank,MATCH($D233,GradeList,0))&gt;=INDEX(GradeRank,MATCH("G14",GradeList,0)),OneOffSenior,OneOffJunior))</f>
        <v/>
      </c>
      <c r="Q233" s="19" t="str">
        <f aca="false">IF(OR($D233="",$I233="",$H233=""),"",$O233*$H233*(5-MATCH($I233,{"Q1";"Q2";"Q3";"Q4"},0))/4+$P233*$H233)</f>
        <v/>
      </c>
      <c r="R233" s="19" t="str">
        <f aca="false">IF($O233="","",$O233*$H233)</f>
        <v/>
      </c>
      <c r="S233" s="32" t="str">
        <f aca="false">IF(COUNTA($B233:$J233)+COUNTA($M233:$N233)=0,"",MID(IF($B233="",", unit","")&amp;IF($C233="",", job title","")&amp;IF($D233="",", grade","")&amp;IF($E233="",", workforce type","")&amp;IF($F233="",", Saudi basis","")&amp;IF($G233="",", nature","")&amp;IF(N($H233)&lt;=0,", FTE","")&amp;IF($I233="",", start quarter","")&amp;IF($J233="",", driver","")&amp;IF($M233="",", alternatives",""),3,300))</f>
        <v/>
      </c>
      <c r="T233" s="17" t="str">
        <f aca="false">IF($S233="","",COUNTIF($S$6:$S233,"?*"))</f>
        <v/>
      </c>
    </row>
    <row r="234" customFormat="false" ht="15" hidden="false" customHeight="false" outlineLevel="0" collapsed="false">
      <c r="A234" s="17" t="n">
        <v>229</v>
      </c>
      <c r="B234" s="22"/>
      <c r="C234" s="22"/>
      <c r="D234" s="22"/>
      <c r="E234" s="22"/>
      <c r="F234" s="22"/>
      <c r="G234" s="22"/>
      <c r="H234" s="25"/>
      <c r="I234" s="22"/>
      <c r="J234" s="22"/>
      <c r="K234" s="31" t="str">
        <f aca="false">IF($J234="","",IFERROR(INDEX(DriverCategory,MATCH($J234,DriverList,0)),"?"))</f>
        <v/>
      </c>
      <c r="L234" s="31" t="str">
        <f aca="false">IF($J234="","",IFERROR(INDEX(DriverRank,MATCH($J234,DriverList,0)),99))</f>
        <v/>
      </c>
      <c r="M234" s="22"/>
      <c r="N234" s="22"/>
      <c r="O234" s="19" t="str">
        <f aca="false">IF($D234="","",INDEX(GradeBasic,MATCH($D234,GradeList,0))+INDEX(GradeHousing,MATCH($D234,GradeList,0))+INDEX(GradeTransport,MATCH($D234,GradeList,0))+INDEX(GradeBasic,MATCH($D234,GradeList,0))*INDEX(GradeBonus,MATCH($D234,GradeList,0))+(INDEX(GradeBasic,MATCH($D234,GradeList,0))+INDEX(GradeHousing,MATCH($D234,GradeList,0)))*IF($F234="Saudi",GosiSaudi,GosiOther))</f>
        <v/>
      </c>
      <c r="P234" s="19" t="str">
        <f aca="false">IF($D234="","",IF(INDEX(GradeRank,MATCH($D234,GradeList,0))&gt;=INDEX(GradeRank,MATCH("G14",GradeList,0)),OneOffSenior,OneOffJunior))</f>
        <v/>
      </c>
      <c r="Q234" s="19" t="str">
        <f aca="false">IF(OR($D234="",$I234="",$H234=""),"",$O234*$H234*(5-MATCH($I234,{"Q1";"Q2";"Q3";"Q4"},0))/4+$P234*$H234)</f>
        <v/>
      </c>
      <c r="R234" s="19" t="str">
        <f aca="false">IF($O234="","",$O234*$H234)</f>
        <v/>
      </c>
      <c r="S234" s="32" t="str">
        <f aca="false">IF(COUNTA($B234:$J234)+COUNTA($M234:$N234)=0,"",MID(IF($B234="",", unit","")&amp;IF($C234="",", job title","")&amp;IF($D234="",", grade","")&amp;IF($E234="",", workforce type","")&amp;IF($F234="",", Saudi basis","")&amp;IF($G234="",", nature","")&amp;IF(N($H234)&lt;=0,", FTE","")&amp;IF($I234="",", start quarter","")&amp;IF($J234="",", driver","")&amp;IF($M234="",", alternatives",""),3,300))</f>
        <v/>
      </c>
      <c r="T234" s="17" t="str">
        <f aca="false">IF($S234="","",COUNTIF($S$6:$S234,"?*"))</f>
        <v/>
      </c>
    </row>
    <row r="235" customFormat="false" ht="15" hidden="false" customHeight="false" outlineLevel="0" collapsed="false">
      <c r="A235" s="17" t="n">
        <v>230</v>
      </c>
      <c r="B235" s="22"/>
      <c r="C235" s="22"/>
      <c r="D235" s="22"/>
      <c r="E235" s="22"/>
      <c r="F235" s="22"/>
      <c r="G235" s="22"/>
      <c r="H235" s="25"/>
      <c r="I235" s="22"/>
      <c r="J235" s="22"/>
      <c r="K235" s="31" t="str">
        <f aca="false">IF($J235="","",IFERROR(INDEX(DriverCategory,MATCH($J235,DriverList,0)),"?"))</f>
        <v/>
      </c>
      <c r="L235" s="31" t="str">
        <f aca="false">IF($J235="","",IFERROR(INDEX(DriverRank,MATCH($J235,DriverList,0)),99))</f>
        <v/>
      </c>
      <c r="M235" s="22"/>
      <c r="N235" s="22"/>
      <c r="O235" s="19" t="str">
        <f aca="false">IF($D235="","",INDEX(GradeBasic,MATCH($D235,GradeList,0))+INDEX(GradeHousing,MATCH($D235,GradeList,0))+INDEX(GradeTransport,MATCH($D235,GradeList,0))+INDEX(GradeBasic,MATCH($D235,GradeList,0))*INDEX(GradeBonus,MATCH($D235,GradeList,0))+(INDEX(GradeBasic,MATCH($D235,GradeList,0))+INDEX(GradeHousing,MATCH($D235,GradeList,0)))*IF($F235="Saudi",GosiSaudi,GosiOther))</f>
        <v/>
      </c>
      <c r="P235" s="19" t="str">
        <f aca="false">IF($D235="","",IF(INDEX(GradeRank,MATCH($D235,GradeList,0))&gt;=INDEX(GradeRank,MATCH("G14",GradeList,0)),OneOffSenior,OneOffJunior))</f>
        <v/>
      </c>
      <c r="Q235" s="19" t="str">
        <f aca="false">IF(OR($D235="",$I235="",$H235=""),"",$O235*$H235*(5-MATCH($I235,{"Q1";"Q2";"Q3";"Q4"},0))/4+$P235*$H235)</f>
        <v/>
      </c>
      <c r="R235" s="19" t="str">
        <f aca="false">IF($O235="","",$O235*$H235)</f>
        <v/>
      </c>
      <c r="S235" s="32" t="str">
        <f aca="false">IF(COUNTA($B235:$J235)+COUNTA($M235:$N235)=0,"",MID(IF($B235="",", unit","")&amp;IF($C235="",", job title","")&amp;IF($D235="",", grade","")&amp;IF($E235="",", workforce type","")&amp;IF($F235="",", Saudi basis","")&amp;IF($G235="",", nature","")&amp;IF(N($H235)&lt;=0,", FTE","")&amp;IF($I235="",", start quarter","")&amp;IF($J235="",", driver","")&amp;IF($M235="",", alternatives",""),3,300))</f>
        <v/>
      </c>
      <c r="T235" s="17" t="str">
        <f aca="false">IF($S235="","",COUNTIF($S$6:$S235,"?*"))</f>
        <v/>
      </c>
    </row>
    <row r="236" customFormat="false" ht="15" hidden="false" customHeight="false" outlineLevel="0" collapsed="false">
      <c r="A236" s="17" t="n">
        <v>231</v>
      </c>
      <c r="B236" s="22"/>
      <c r="C236" s="22"/>
      <c r="D236" s="22"/>
      <c r="E236" s="22"/>
      <c r="F236" s="22"/>
      <c r="G236" s="22"/>
      <c r="H236" s="25"/>
      <c r="I236" s="22"/>
      <c r="J236" s="22"/>
      <c r="K236" s="31" t="str">
        <f aca="false">IF($J236="","",IFERROR(INDEX(DriverCategory,MATCH($J236,DriverList,0)),"?"))</f>
        <v/>
      </c>
      <c r="L236" s="31" t="str">
        <f aca="false">IF($J236="","",IFERROR(INDEX(DriverRank,MATCH($J236,DriverList,0)),99))</f>
        <v/>
      </c>
      <c r="M236" s="22"/>
      <c r="N236" s="22"/>
      <c r="O236" s="19" t="str">
        <f aca="false">IF($D236="","",INDEX(GradeBasic,MATCH($D236,GradeList,0))+INDEX(GradeHousing,MATCH($D236,GradeList,0))+INDEX(GradeTransport,MATCH($D236,GradeList,0))+INDEX(GradeBasic,MATCH($D236,GradeList,0))*INDEX(GradeBonus,MATCH($D236,GradeList,0))+(INDEX(GradeBasic,MATCH($D236,GradeList,0))+INDEX(GradeHousing,MATCH($D236,GradeList,0)))*IF($F236="Saudi",GosiSaudi,GosiOther))</f>
        <v/>
      </c>
      <c r="P236" s="19" t="str">
        <f aca="false">IF($D236="","",IF(INDEX(GradeRank,MATCH($D236,GradeList,0))&gt;=INDEX(GradeRank,MATCH("G14",GradeList,0)),OneOffSenior,OneOffJunior))</f>
        <v/>
      </c>
      <c r="Q236" s="19" t="str">
        <f aca="false">IF(OR($D236="",$I236="",$H236=""),"",$O236*$H236*(5-MATCH($I236,{"Q1";"Q2";"Q3";"Q4"},0))/4+$P236*$H236)</f>
        <v/>
      </c>
      <c r="R236" s="19" t="str">
        <f aca="false">IF($O236="","",$O236*$H236)</f>
        <v/>
      </c>
      <c r="S236" s="32" t="str">
        <f aca="false">IF(COUNTA($B236:$J236)+COUNTA($M236:$N236)=0,"",MID(IF($B236="",", unit","")&amp;IF($C236="",", job title","")&amp;IF($D236="",", grade","")&amp;IF($E236="",", workforce type","")&amp;IF($F236="",", Saudi basis","")&amp;IF($G236="",", nature","")&amp;IF(N($H236)&lt;=0,", FTE","")&amp;IF($I236="",", start quarter","")&amp;IF($J236="",", driver","")&amp;IF($M236="",", alternatives",""),3,300))</f>
        <v/>
      </c>
      <c r="T236" s="17" t="str">
        <f aca="false">IF($S236="","",COUNTIF($S$6:$S236,"?*"))</f>
        <v/>
      </c>
    </row>
    <row r="237" customFormat="false" ht="15" hidden="false" customHeight="false" outlineLevel="0" collapsed="false">
      <c r="A237" s="17" t="n">
        <v>232</v>
      </c>
      <c r="B237" s="22"/>
      <c r="C237" s="22"/>
      <c r="D237" s="22"/>
      <c r="E237" s="22"/>
      <c r="F237" s="22"/>
      <c r="G237" s="22"/>
      <c r="H237" s="25"/>
      <c r="I237" s="22"/>
      <c r="J237" s="22"/>
      <c r="K237" s="31" t="str">
        <f aca="false">IF($J237="","",IFERROR(INDEX(DriverCategory,MATCH($J237,DriverList,0)),"?"))</f>
        <v/>
      </c>
      <c r="L237" s="31" t="str">
        <f aca="false">IF($J237="","",IFERROR(INDEX(DriverRank,MATCH($J237,DriverList,0)),99))</f>
        <v/>
      </c>
      <c r="M237" s="22"/>
      <c r="N237" s="22"/>
      <c r="O237" s="19" t="str">
        <f aca="false">IF($D237="","",INDEX(GradeBasic,MATCH($D237,GradeList,0))+INDEX(GradeHousing,MATCH($D237,GradeList,0))+INDEX(GradeTransport,MATCH($D237,GradeList,0))+INDEX(GradeBasic,MATCH($D237,GradeList,0))*INDEX(GradeBonus,MATCH($D237,GradeList,0))+(INDEX(GradeBasic,MATCH($D237,GradeList,0))+INDEX(GradeHousing,MATCH($D237,GradeList,0)))*IF($F237="Saudi",GosiSaudi,GosiOther))</f>
        <v/>
      </c>
      <c r="P237" s="19" t="str">
        <f aca="false">IF($D237="","",IF(INDEX(GradeRank,MATCH($D237,GradeList,0))&gt;=INDEX(GradeRank,MATCH("G14",GradeList,0)),OneOffSenior,OneOffJunior))</f>
        <v/>
      </c>
      <c r="Q237" s="19" t="str">
        <f aca="false">IF(OR($D237="",$I237="",$H237=""),"",$O237*$H237*(5-MATCH($I237,{"Q1";"Q2";"Q3";"Q4"},0))/4+$P237*$H237)</f>
        <v/>
      </c>
      <c r="R237" s="19" t="str">
        <f aca="false">IF($O237="","",$O237*$H237)</f>
        <v/>
      </c>
      <c r="S237" s="32" t="str">
        <f aca="false">IF(COUNTA($B237:$J237)+COUNTA($M237:$N237)=0,"",MID(IF($B237="",", unit","")&amp;IF($C237="",", job title","")&amp;IF($D237="",", grade","")&amp;IF($E237="",", workforce type","")&amp;IF($F237="",", Saudi basis","")&amp;IF($G237="",", nature","")&amp;IF(N($H237)&lt;=0,", FTE","")&amp;IF($I237="",", start quarter","")&amp;IF($J237="",", driver","")&amp;IF($M237="",", alternatives",""),3,300))</f>
        <v/>
      </c>
      <c r="T237" s="17" t="str">
        <f aca="false">IF($S237="","",COUNTIF($S$6:$S237,"?*"))</f>
        <v/>
      </c>
    </row>
    <row r="238" customFormat="false" ht="15" hidden="false" customHeight="false" outlineLevel="0" collapsed="false">
      <c r="A238" s="17" t="n">
        <v>233</v>
      </c>
      <c r="B238" s="22"/>
      <c r="C238" s="22"/>
      <c r="D238" s="22"/>
      <c r="E238" s="22"/>
      <c r="F238" s="22"/>
      <c r="G238" s="22"/>
      <c r="H238" s="25"/>
      <c r="I238" s="22"/>
      <c r="J238" s="22"/>
      <c r="K238" s="31" t="str">
        <f aca="false">IF($J238="","",IFERROR(INDEX(DriverCategory,MATCH($J238,DriverList,0)),"?"))</f>
        <v/>
      </c>
      <c r="L238" s="31" t="str">
        <f aca="false">IF($J238="","",IFERROR(INDEX(DriverRank,MATCH($J238,DriverList,0)),99))</f>
        <v/>
      </c>
      <c r="M238" s="22"/>
      <c r="N238" s="22"/>
      <c r="O238" s="19" t="str">
        <f aca="false">IF($D238="","",INDEX(GradeBasic,MATCH($D238,GradeList,0))+INDEX(GradeHousing,MATCH($D238,GradeList,0))+INDEX(GradeTransport,MATCH($D238,GradeList,0))+INDEX(GradeBasic,MATCH($D238,GradeList,0))*INDEX(GradeBonus,MATCH($D238,GradeList,0))+(INDEX(GradeBasic,MATCH($D238,GradeList,0))+INDEX(GradeHousing,MATCH($D238,GradeList,0)))*IF($F238="Saudi",GosiSaudi,GosiOther))</f>
        <v/>
      </c>
      <c r="P238" s="19" t="str">
        <f aca="false">IF($D238="","",IF(INDEX(GradeRank,MATCH($D238,GradeList,0))&gt;=INDEX(GradeRank,MATCH("G14",GradeList,0)),OneOffSenior,OneOffJunior))</f>
        <v/>
      </c>
      <c r="Q238" s="19" t="str">
        <f aca="false">IF(OR($D238="",$I238="",$H238=""),"",$O238*$H238*(5-MATCH($I238,{"Q1";"Q2";"Q3";"Q4"},0))/4+$P238*$H238)</f>
        <v/>
      </c>
      <c r="R238" s="19" t="str">
        <f aca="false">IF($O238="","",$O238*$H238)</f>
        <v/>
      </c>
      <c r="S238" s="32" t="str">
        <f aca="false">IF(COUNTA($B238:$J238)+COUNTA($M238:$N238)=0,"",MID(IF($B238="",", unit","")&amp;IF($C238="",", job title","")&amp;IF($D238="",", grade","")&amp;IF($E238="",", workforce type","")&amp;IF($F238="",", Saudi basis","")&amp;IF($G238="",", nature","")&amp;IF(N($H238)&lt;=0,", FTE","")&amp;IF($I238="",", start quarter","")&amp;IF($J238="",", driver","")&amp;IF($M238="",", alternatives",""),3,300))</f>
        <v/>
      </c>
      <c r="T238" s="17" t="str">
        <f aca="false">IF($S238="","",COUNTIF($S$6:$S238,"?*"))</f>
        <v/>
      </c>
    </row>
    <row r="239" customFormat="false" ht="15" hidden="false" customHeight="false" outlineLevel="0" collapsed="false">
      <c r="A239" s="17" t="n">
        <v>234</v>
      </c>
      <c r="B239" s="22"/>
      <c r="C239" s="22"/>
      <c r="D239" s="22"/>
      <c r="E239" s="22"/>
      <c r="F239" s="22"/>
      <c r="G239" s="22"/>
      <c r="H239" s="25"/>
      <c r="I239" s="22"/>
      <c r="J239" s="22"/>
      <c r="K239" s="31" t="str">
        <f aca="false">IF($J239="","",IFERROR(INDEX(DriverCategory,MATCH($J239,DriverList,0)),"?"))</f>
        <v/>
      </c>
      <c r="L239" s="31" t="str">
        <f aca="false">IF($J239="","",IFERROR(INDEX(DriverRank,MATCH($J239,DriverList,0)),99))</f>
        <v/>
      </c>
      <c r="M239" s="22"/>
      <c r="N239" s="22"/>
      <c r="O239" s="19" t="str">
        <f aca="false">IF($D239="","",INDEX(GradeBasic,MATCH($D239,GradeList,0))+INDEX(GradeHousing,MATCH($D239,GradeList,0))+INDEX(GradeTransport,MATCH($D239,GradeList,0))+INDEX(GradeBasic,MATCH($D239,GradeList,0))*INDEX(GradeBonus,MATCH($D239,GradeList,0))+(INDEX(GradeBasic,MATCH($D239,GradeList,0))+INDEX(GradeHousing,MATCH($D239,GradeList,0)))*IF($F239="Saudi",GosiSaudi,GosiOther))</f>
        <v/>
      </c>
      <c r="P239" s="19" t="str">
        <f aca="false">IF($D239="","",IF(INDEX(GradeRank,MATCH($D239,GradeList,0))&gt;=INDEX(GradeRank,MATCH("G14",GradeList,0)),OneOffSenior,OneOffJunior))</f>
        <v/>
      </c>
      <c r="Q239" s="19" t="str">
        <f aca="false">IF(OR($D239="",$I239="",$H239=""),"",$O239*$H239*(5-MATCH($I239,{"Q1";"Q2";"Q3";"Q4"},0))/4+$P239*$H239)</f>
        <v/>
      </c>
      <c r="R239" s="19" t="str">
        <f aca="false">IF($O239="","",$O239*$H239)</f>
        <v/>
      </c>
      <c r="S239" s="32" t="str">
        <f aca="false">IF(COUNTA($B239:$J239)+COUNTA($M239:$N239)=0,"",MID(IF($B239="",", unit","")&amp;IF($C239="",", job title","")&amp;IF($D239="",", grade","")&amp;IF($E239="",", workforce type","")&amp;IF($F239="",", Saudi basis","")&amp;IF($G239="",", nature","")&amp;IF(N($H239)&lt;=0,", FTE","")&amp;IF($I239="",", start quarter","")&amp;IF($J239="",", driver","")&amp;IF($M239="",", alternatives",""),3,300))</f>
        <v/>
      </c>
      <c r="T239" s="17" t="str">
        <f aca="false">IF($S239="","",COUNTIF($S$6:$S239,"?*"))</f>
        <v/>
      </c>
    </row>
    <row r="240" customFormat="false" ht="15" hidden="false" customHeight="false" outlineLevel="0" collapsed="false">
      <c r="A240" s="17" t="n">
        <v>235</v>
      </c>
      <c r="B240" s="22"/>
      <c r="C240" s="22"/>
      <c r="D240" s="22"/>
      <c r="E240" s="22"/>
      <c r="F240" s="22"/>
      <c r="G240" s="22"/>
      <c r="H240" s="25"/>
      <c r="I240" s="22"/>
      <c r="J240" s="22"/>
      <c r="K240" s="31" t="str">
        <f aca="false">IF($J240="","",IFERROR(INDEX(DriverCategory,MATCH($J240,DriverList,0)),"?"))</f>
        <v/>
      </c>
      <c r="L240" s="31" t="str">
        <f aca="false">IF($J240="","",IFERROR(INDEX(DriverRank,MATCH($J240,DriverList,0)),99))</f>
        <v/>
      </c>
      <c r="M240" s="22"/>
      <c r="N240" s="22"/>
      <c r="O240" s="19" t="str">
        <f aca="false">IF($D240="","",INDEX(GradeBasic,MATCH($D240,GradeList,0))+INDEX(GradeHousing,MATCH($D240,GradeList,0))+INDEX(GradeTransport,MATCH($D240,GradeList,0))+INDEX(GradeBasic,MATCH($D240,GradeList,0))*INDEX(GradeBonus,MATCH($D240,GradeList,0))+(INDEX(GradeBasic,MATCH($D240,GradeList,0))+INDEX(GradeHousing,MATCH($D240,GradeList,0)))*IF($F240="Saudi",GosiSaudi,GosiOther))</f>
        <v/>
      </c>
      <c r="P240" s="19" t="str">
        <f aca="false">IF($D240="","",IF(INDEX(GradeRank,MATCH($D240,GradeList,0))&gt;=INDEX(GradeRank,MATCH("G14",GradeList,0)),OneOffSenior,OneOffJunior))</f>
        <v/>
      </c>
      <c r="Q240" s="19" t="str">
        <f aca="false">IF(OR($D240="",$I240="",$H240=""),"",$O240*$H240*(5-MATCH($I240,{"Q1";"Q2";"Q3";"Q4"},0))/4+$P240*$H240)</f>
        <v/>
      </c>
      <c r="R240" s="19" t="str">
        <f aca="false">IF($O240="","",$O240*$H240)</f>
        <v/>
      </c>
      <c r="S240" s="32" t="str">
        <f aca="false">IF(COUNTA($B240:$J240)+COUNTA($M240:$N240)=0,"",MID(IF($B240="",", unit","")&amp;IF($C240="",", job title","")&amp;IF($D240="",", grade","")&amp;IF($E240="",", workforce type","")&amp;IF($F240="",", Saudi basis","")&amp;IF($G240="",", nature","")&amp;IF(N($H240)&lt;=0,", FTE","")&amp;IF($I240="",", start quarter","")&amp;IF($J240="",", driver","")&amp;IF($M240="",", alternatives",""),3,300))</f>
        <v/>
      </c>
      <c r="T240" s="17" t="str">
        <f aca="false">IF($S240="","",COUNTIF($S$6:$S240,"?*"))</f>
        <v/>
      </c>
    </row>
    <row r="241" customFormat="false" ht="15" hidden="false" customHeight="false" outlineLevel="0" collapsed="false">
      <c r="A241" s="17" t="n">
        <v>236</v>
      </c>
      <c r="B241" s="22"/>
      <c r="C241" s="22"/>
      <c r="D241" s="22"/>
      <c r="E241" s="22"/>
      <c r="F241" s="22"/>
      <c r="G241" s="22"/>
      <c r="H241" s="25"/>
      <c r="I241" s="22"/>
      <c r="J241" s="22"/>
      <c r="K241" s="31" t="str">
        <f aca="false">IF($J241="","",IFERROR(INDEX(DriverCategory,MATCH($J241,DriverList,0)),"?"))</f>
        <v/>
      </c>
      <c r="L241" s="31" t="str">
        <f aca="false">IF($J241="","",IFERROR(INDEX(DriverRank,MATCH($J241,DriverList,0)),99))</f>
        <v/>
      </c>
      <c r="M241" s="22"/>
      <c r="N241" s="22"/>
      <c r="O241" s="19" t="str">
        <f aca="false">IF($D241="","",INDEX(GradeBasic,MATCH($D241,GradeList,0))+INDEX(GradeHousing,MATCH($D241,GradeList,0))+INDEX(GradeTransport,MATCH($D241,GradeList,0))+INDEX(GradeBasic,MATCH($D241,GradeList,0))*INDEX(GradeBonus,MATCH($D241,GradeList,0))+(INDEX(GradeBasic,MATCH($D241,GradeList,0))+INDEX(GradeHousing,MATCH($D241,GradeList,0)))*IF($F241="Saudi",GosiSaudi,GosiOther))</f>
        <v/>
      </c>
      <c r="P241" s="19" t="str">
        <f aca="false">IF($D241="","",IF(INDEX(GradeRank,MATCH($D241,GradeList,0))&gt;=INDEX(GradeRank,MATCH("G14",GradeList,0)),OneOffSenior,OneOffJunior))</f>
        <v/>
      </c>
      <c r="Q241" s="19" t="str">
        <f aca="false">IF(OR($D241="",$I241="",$H241=""),"",$O241*$H241*(5-MATCH($I241,{"Q1";"Q2";"Q3";"Q4"},0))/4+$P241*$H241)</f>
        <v/>
      </c>
      <c r="R241" s="19" t="str">
        <f aca="false">IF($O241="","",$O241*$H241)</f>
        <v/>
      </c>
      <c r="S241" s="32" t="str">
        <f aca="false">IF(COUNTA($B241:$J241)+COUNTA($M241:$N241)=0,"",MID(IF($B241="",", unit","")&amp;IF($C241="",", job title","")&amp;IF($D241="",", grade","")&amp;IF($E241="",", workforce type","")&amp;IF($F241="",", Saudi basis","")&amp;IF($G241="",", nature","")&amp;IF(N($H241)&lt;=0,", FTE","")&amp;IF($I241="",", start quarter","")&amp;IF($J241="",", driver","")&amp;IF($M241="",", alternatives",""),3,300))</f>
        <v/>
      </c>
      <c r="T241" s="17" t="str">
        <f aca="false">IF($S241="","",COUNTIF($S$6:$S241,"?*"))</f>
        <v/>
      </c>
    </row>
    <row r="242" customFormat="false" ht="15" hidden="false" customHeight="false" outlineLevel="0" collapsed="false">
      <c r="A242" s="17" t="n">
        <v>237</v>
      </c>
      <c r="B242" s="22"/>
      <c r="C242" s="22"/>
      <c r="D242" s="22"/>
      <c r="E242" s="22"/>
      <c r="F242" s="22"/>
      <c r="G242" s="22"/>
      <c r="H242" s="25"/>
      <c r="I242" s="22"/>
      <c r="J242" s="22"/>
      <c r="K242" s="31" t="str">
        <f aca="false">IF($J242="","",IFERROR(INDEX(DriverCategory,MATCH($J242,DriverList,0)),"?"))</f>
        <v/>
      </c>
      <c r="L242" s="31" t="str">
        <f aca="false">IF($J242="","",IFERROR(INDEX(DriverRank,MATCH($J242,DriverList,0)),99))</f>
        <v/>
      </c>
      <c r="M242" s="22"/>
      <c r="N242" s="22"/>
      <c r="O242" s="19" t="str">
        <f aca="false">IF($D242="","",INDEX(GradeBasic,MATCH($D242,GradeList,0))+INDEX(GradeHousing,MATCH($D242,GradeList,0))+INDEX(GradeTransport,MATCH($D242,GradeList,0))+INDEX(GradeBasic,MATCH($D242,GradeList,0))*INDEX(GradeBonus,MATCH($D242,GradeList,0))+(INDEX(GradeBasic,MATCH($D242,GradeList,0))+INDEX(GradeHousing,MATCH($D242,GradeList,0)))*IF($F242="Saudi",GosiSaudi,GosiOther))</f>
        <v/>
      </c>
      <c r="P242" s="19" t="str">
        <f aca="false">IF($D242="","",IF(INDEX(GradeRank,MATCH($D242,GradeList,0))&gt;=INDEX(GradeRank,MATCH("G14",GradeList,0)),OneOffSenior,OneOffJunior))</f>
        <v/>
      </c>
      <c r="Q242" s="19" t="str">
        <f aca="false">IF(OR($D242="",$I242="",$H242=""),"",$O242*$H242*(5-MATCH($I242,{"Q1";"Q2";"Q3";"Q4"},0))/4+$P242*$H242)</f>
        <v/>
      </c>
      <c r="R242" s="19" t="str">
        <f aca="false">IF($O242="","",$O242*$H242)</f>
        <v/>
      </c>
      <c r="S242" s="32" t="str">
        <f aca="false">IF(COUNTA($B242:$J242)+COUNTA($M242:$N242)=0,"",MID(IF($B242="",", unit","")&amp;IF($C242="",", job title","")&amp;IF($D242="",", grade","")&amp;IF($E242="",", workforce type","")&amp;IF($F242="",", Saudi basis","")&amp;IF($G242="",", nature","")&amp;IF(N($H242)&lt;=0,", FTE","")&amp;IF($I242="",", start quarter","")&amp;IF($J242="",", driver","")&amp;IF($M242="",", alternatives",""),3,300))</f>
        <v/>
      </c>
      <c r="T242" s="17" t="str">
        <f aca="false">IF($S242="","",COUNTIF($S$6:$S242,"?*"))</f>
        <v/>
      </c>
    </row>
    <row r="243" customFormat="false" ht="15" hidden="false" customHeight="false" outlineLevel="0" collapsed="false">
      <c r="A243" s="17" t="n">
        <v>238</v>
      </c>
      <c r="B243" s="22"/>
      <c r="C243" s="22"/>
      <c r="D243" s="22"/>
      <c r="E243" s="22"/>
      <c r="F243" s="22"/>
      <c r="G243" s="22"/>
      <c r="H243" s="25"/>
      <c r="I243" s="22"/>
      <c r="J243" s="22"/>
      <c r="K243" s="31" t="str">
        <f aca="false">IF($J243="","",IFERROR(INDEX(DriverCategory,MATCH($J243,DriverList,0)),"?"))</f>
        <v/>
      </c>
      <c r="L243" s="31" t="str">
        <f aca="false">IF($J243="","",IFERROR(INDEX(DriverRank,MATCH($J243,DriverList,0)),99))</f>
        <v/>
      </c>
      <c r="M243" s="22"/>
      <c r="N243" s="22"/>
      <c r="O243" s="19" t="str">
        <f aca="false">IF($D243="","",INDEX(GradeBasic,MATCH($D243,GradeList,0))+INDEX(GradeHousing,MATCH($D243,GradeList,0))+INDEX(GradeTransport,MATCH($D243,GradeList,0))+INDEX(GradeBasic,MATCH($D243,GradeList,0))*INDEX(GradeBonus,MATCH($D243,GradeList,0))+(INDEX(GradeBasic,MATCH($D243,GradeList,0))+INDEX(GradeHousing,MATCH($D243,GradeList,0)))*IF($F243="Saudi",GosiSaudi,GosiOther))</f>
        <v/>
      </c>
      <c r="P243" s="19" t="str">
        <f aca="false">IF($D243="","",IF(INDEX(GradeRank,MATCH($D243,GradeList,0))&gt;=INDEX(GradeRank,MATCH("G14",GradeList,0)),OneOffSenior,OneOffJunior))</f>
        <v/>
      </c>
      <c r="Q243" s="19" t="str">
        <f aca="false">IF(OR($D243="",$I243="",$H243=""),"",$O243*$H243*(5-MATCH($I243,{"Q1";"Q2";"Q3";"Q4"},0))/4+$P243*$H243)</f>
        <v/>
      </c>
      <c r="R243" s="19" t="str">
        <f aca="false">IF($O243="","",$O243*$H243)</f>
        <v/>
      </c>
      <c r="S243" s="32" t="str">
        <f aca="false">IF(COUNTA($B243:$J243)+COUNTA($M243:$N243)=0,"",MID(IF($B243="",", unit","")&amp;IF($C243="",", job title","")&amp;IF($D243="",", grade","")&amp;IF($E243="",", workforce type","")&amp;IF($F243="",", Saudi basis","")&amp;IF($G243="",", nature","")&amp;IF(N($H243)&lt;=0,", FTE","")&amp;IF($I243="",", start quarter","")&amp;IF($J243="",", driver","")&amp;IF($M243="",", alternatives",""),3,300))</f>
        <v/>
      </c>
      <c r="T243" s="17" t="str">
        <f aca="false">IF($S243="","",COUNTIF($S$6:$S243,"?*"))</f>
        <v/>
      </c>
    </row>
    <row r="244" customFormat="false" ht="15" hidden="false" customHeight="false" outlineLevel="0" collapsed="false">
      <c r="A244" s="17" t="n">
        <v>239</v>
      </c>
      <c r="B244" s="22"/>
      <c r="C244" s="22"/>
      <c r="D244" s="22"/>
      <c r="E244" s="22"/>
      <c r="F244" s="22"/>
      <c r="G244" s="22"/>
      <c r="H244" s="25"/>
      <c r="I244" s="22"/>
      <c r="J244" s="22"/>
      <c r="K244" s="31" t="str">
        <f aca="false">IF($J244="","",IFERROR(INDEX(DriverCategory,MATCH($J244,DriverList,0)),"?"))</f>
        <v/>
      </c>
      <c r="L244" s="31" t="str">
        <f aca="false">IF($J244="","",IFERROR(INDEX(DriverRank,MATCH($J244,DriverList,0)),99))</f>
        <v/>
      </c>
      <c r="M244" s="22"/>
      <c r="N244" s="22"/>
      <c r="O244" s="19" t="str">
        <f aca="false">IF($D244="","",INDEX(GradeBasic,MATCH($D244,GradeList,0))+INDEX(GradeHousing,MATCH($D244,GradeList,0))+INDEX(GradeTransport,MATCH($D244,GradeList,0))+INDEX(GradeBasic,MATCH($D244,GradeList,0))*INDEX(GradeBonus,MATCH($D244,GradeList,0))+(INDEX(GradeBasic,MATCH($D244,GradeList,0))+INDEX(GradeHousing,MATCH($D244,GradeList,0)))*IF($F244="Saudi",GosiSaudi,GosiOther))</f>
        <v/>
      </c>
      <c r="P244" s="19" t="str">
        <f aca="false">IF($D244="","",IF(INDEX(GradeRank,MATCH($D244,GradeList,0))&gt;=INDEX(GradeRank,MATCH("G14",GradeList,0)),OneOffSenior,OneOffJunior))</f>
        <v/>
      </c>
      <c r="Q244" s="19" t="str">
        <f aca="false">IF(OR($D244="",$I244="",$H244=""),"",$O244*$H244*(5-MATCH($I244,{"Q1";"Q2";"Q3";"Q4"},0))/4+$P244*$H244)</f>
        <v/>
      </c>
      <c r="R244" s="19" t="str">
        <f aca="false">IF($O244="","",$O244*$H244)</f>
        <v/>
      </c>
      <c r="S244" s="32" t="str">
        <f aca="false">IF(COUNTA($B244:$J244)+COUNTA($M244:$N244)=0,"",MID(IF($B244="",", unit","")&amp;IF($C244="",", job title","")&amp;IF($D244="",", grade","")&amp;IF($E244="",", workforce type","")&amp;IF($F244="",", Saudi basis","")&amp;IF($G244="",", nature","")&amp;IF(N($H244)&lt;=0,", FTE","")&amp;IF($I244="",", start quarter","")&amp;IF($J244="",", driver","")&amp;IF($M244="",", alternatives",""),3,300))</f>
        <v/>
      </c>
      <c r="T244" s="17" t="str">
        <f aca="false">IF($S244="","",COUNTIF($S$6:$S244,"?*"))</f>
        <v/>
      </c>
    </row>
    <row r="245" customFormat="false" ht="15" hidden="false" customHeight="false" outlineLevel="0" collapsed="false">
      <c r="A245" s="17" t="n">
        <v>240</v>
      </c>
      <c r="B245" s="22"/>
      <c r="C245" s="22"/>
      <c r="D245" s="22"/>
      <c r="E245" s="22"/>
      <c r="F245" s="22"/>
      <c r="G245" s="22"/>
      <c r="H245" s="25"/>
      <c r="I245" s="22"/>
      <c r="J245" s="22"/>
      <c r="K245" s="31" t="str">
        <f aca="false">IF($J245="","",IFERROR(INDEX(DriverCategory,MATCH($J245,DriverList,0)),"?"))</f>
        <v/>
      </c>
      <c r="L245" s="31" t="str">
        <f aca="false">IF($J245="","",IFERROR(INDEX(DriverRank,MATCH($J245,DriverList,0)),99))</f>
        <v/>
      </c>
      <c r="M245" s="22"/>
      <c r="N245" s="22"/>
      <c r="O245" s="19" t="str">
        <f aca="false">IF($D245="","",INDEX(GradeBasic,MATCH($D245,GradeList,0))+INDEX(GradeHousing,MATCH($D245,GradeList,0))+INDEX(GradeTransport,MATCH($D245,GradeList,0))+INDEX(GradeBasic,MATCH($D245,GradeList,0))*INDEX(GradeBonus,MATCH($D245,GradeList,0))+(INDEX(GradeBasic,MATCH($D245,GradeList,0))+INDEX(GradeHousing,MATCH($D245,GradeList,0)))*IF($F245="Saudi",GosiSaudi,GosiOther))</f>
        <v/>
      </c>
      <c r="P245" s="19" t="str">
        <f aca="false">IF($D245="","",IF(INDEX(GradeRank,MATCH($D245,GradeList,0))&gt;=INDEX(GradeRank,MATCH("G14",GradeList,0)),OneOffSenior,OneOffJunior))</f>
        <v/>
      </c>
      <c r="Q245" s="19" t="str">
        <f aca="false">IF(OR($D245="",$I245="",$H245=""),"",$O245*$H245*(5-MATCH($I245,{"Q1";"Q2";"Q3";"Q4"},0))/4+$P245*$H245)</f>
        <v/>
      </c>
      <c r="R245" s="19" t="str">
        <f aca="false">IF($O245="","",$O245*$H245)</f>
        <v/>
      </c>
      <c r="S245" s="32" t="str">
        <f aca="false">IF(COUNTA($B245:$J245)+COUNTA($M245:$N245)=0,"",MID(IF($B245="",", unit","")&amp;IF($C245="",", job title","")&amp;IF($D245="",", grade","")&amp;IF($E245="",", workforce type","")&amp;IF($F245="",", Saudi basis","")&amp;IF($G245="",", nature","")&amp;IF(N($H245)&lt;=0,", FTE","")&amp;IF($I245="",", start quarter","")&amp;IF($J245="",", driver","")&amp;IF($M245="",", alternatives",""),3,300))</f>
        <v/>
      </c>
      <c r="T245" s="17" t="str">
        <f aca="false">IF($S245="","",COUNTIF($S$6:$S245,"?*"))</f>
        <v/>
      </c>
    </row>
    <row r="246" customFormat="false" ht="15" hidden="false" customHeight="false" outlineLevel="0" collapsed="false">
      <c r="A246" s="17" t="n">
        <v>241</v>
      </c>
      <c r="B246" s="22"/>
      <c r="C246" s="22"/>
      <c r="D246" s="22"/>
      <c r="E246" s="22"/>
      <c r="F246" s="22"/>
      <c r="G246" s="22"/>
      <c r="H246" s="25"/>
      <c r="I246" s="22"/>
      <c r="J246" s="22"/>
      <c r="K246" s="31" t="str">
        <f aca="false">IF($J246="","",IFERROR(INDEX(DriverCategory,MATCH($J246,DriverList,0)),"?"))</f>
        <v/>
      </c>
      <c r="L246" s="31" t="str">
        <f aca="false">IF($J246="","",IFERROR(INDEX(DriverRank,MATCH($J246,DriverList,0)),99))</f>
        <v/>
      </c>
      <c r="M246" s="22"/>
      <c r="N246" s="22"/>
      <c r="O246" s="19" t="str">
        <f aca="false">IF($D246="","",INDEX(GradeBasic,MATCH($D246,GradeList,0))+INDEX(GradeHousing,MATCH($D246,GradeList,0))+INDEX(GradeTransport,MATCH($D246,GradeList,0))+INDEX(GradeBasic,MATCH($D246,GradeList,0))*INDEX(GradeBonus,MATCH($D246,GradeList,0))+(INDEX(GradeBasic,MATCH($D246,GradeList,0))+INDEX(GradeHousing,MATCH($D246,GradeList,0)))*IF($F246="Saudi",GosiSaudi,GosiOther))</f>
        <v/>
      </c>
      <c r="P246" s="19" t="str">
        <f aca="false">IF($D246="","",IF(INDEX(GradeRank,MATCH($D246,GradeList,0))&gt;=INDEX(GradeRank,MATCH("G14",GradeList,0)),OneOffSenior,OneOffJunior))</f>
        <v/>
      </c>
      <c r="Q246" s="19" t="str">
        <f aca="false">IF(OR($D246="",$I246="",$H246=""),"",$O246*$H246*(5-MATCH($I246,{"Q1";"Q2";"Q3";"Q4"},0))/4+$P246*$H246)</f>
        <v/>
      </c>
      <c r="R246" s="19" t="str">
        <f aca="false">IF($O246="","",$O246*$H246)</f>
        <v/>
      </c>
      <c r="S246" s="32" t="str">
        <f aca="false">IF(COUNTA($B246:$J246)+COUNTA($M246:$N246)=0,"",MID(IF($B246="",", unit","")&amp;IF($C246="",", job title","")&amp;IF($D246="",", grade","")&amp;IF($E246="",", workforce type","")&amp;IF($F246="",", Saudi basis","")&amp;IF($G246="",", nature","")&amp;IF(N($H246)&lt;=0,", FTE","")&amp;IF($I246="",", start quarter","")&amp;IF($J246="",", driver","")&amp;IF($M246="",", alternatives",""),3,300))</f>
        <v/>
      </c>
      <c r="T246" s="17" t="str">
        <f aca="false">IF($S246="","",COUNTIF($S$6:$S246,"?*"))</f>
        <v/>
      </c>
    </row>
    <row r="247" customFormat="false" ht="15" hidden="false" customHeight="false" outlineLevel="0" collapsed="false">
      <c r="A247" s="17" t="n">
        <v>242</v>
      </c>
      <c r="B247" s="22"/>
      <c r="C247" s="22"/>
      <c r="D247" s="22"/>
      <c r="E247" s="22"/>
      <c r="F247" s="22"/>
      <c r="G247" s="22"/>
      <c r="H247" s="25"/>
      <c r="I247" s="22"/>
      <c r="J247" s="22"/>
      <c r="K247" s="31" t="str">
        <f aca="false">IF($J247="","",IFERROR(INDEX(DriverCategory,MATCH($J247,DriverList,0)),"?"))</f>
        <v/>
      </c>
      <c r="L247" s="31" t="str">
        <f aca="false">IF($J247="","",IFERROR(INDEX(DriverRank,MATCH($J247,DriverList,0)),99))</f>
        <v/>
      </c>
      <c r="M247" s="22"/>
      <c r="N247" s="22"/>
      <c r="O247" s="19" t="str">
        <f aca="false">IF($D247="","",INDEX(GradeBasic,MATCH($D247,GradeList,0))+INDEX(GradeHousing,MATCH($D247,GradeList,0))+INDEX(GradeTransport,MATCH($D247,GradeList,0))+INDEX(GradeBasic,MATCH($D247,GradeList,0))*INDEX(GradeBonus,MATCH($D247,GradeList,0))+(INDEX(GradeBasic,MATCH($D247,GradeList,0))+INDEX(GradeHousing,MATCH($D247,GradeList,0)))*IF($F247="Saudi",GosiSaudi,GosiOther))</f>
        <v/>
      </c>
      <c r="P247" s="19" t="str">
        <f aca="false">IF($D247="","",IF(INDEX(GradeRank,MATCH($D247,GradeList,0))&gt;=INDEX(GradeRank,MATCH("G14",GradeList,0)),OneOffSenior,OneOffJunior))</f>
        <v/>
      </c>
      <c r="Q247" s="19" t="str">
        <f aca="false">IF(OR($D247="",$I247="",$H247=""),"",$O247*$H247*(5-MATCH($I247,{"Q1";"Q2";"Q3";"Q4"},0))/4+$P247*$H247)</f>
        <v/>
      </c>
      <c r="R247" s="19" t="str">
        <f aca="false">IF($O247="","",$O247*$H247)</f>
        <v/>
      </c>
      <c r="S247" s="32" t="str">
        <f aca="false">IF(COUNTA($B247:$J247)+COUNTA($M247:$N247)=0,"",MID(IF($B247="",", unit","")&amp;IF($C247="",", job title","")&amp;IF($D247="",", grade","")&amp;IF($E247="",", workforce type","")&amp;IF($F247="",", Saudi basis","")&amp;IF($G247="",", nature","")&amp;IF(N($H247)&lt;=0,", FTE","")&amp;IF($I247="",", start quarter","")&amp;IF($J247="",", driver","")&amp;IF($M247="",", alternatives",""),3,300))</f>
        <v/>
      </c>
      <c r="T247" s="17" t="str">
        <f aca="false">IF($S247="","",COUNTIF($S$6:$S247,"?*"))</f>
        <v/>
      </c>
    </row>
    <row r="248" customFormat="false" ht="15" hidden="false" customHeight="false" outlineLevel="0" collapsed="false">
      <c r="A248" s="17" t="n">
        <v>243</v>
      </c>
      <c r="B248" s="22"/>
      <c r="C248" s="22"/>
      <c r="D248" s="22"/>
      <c r="E248" s="22"/>
      <c r="F248" s="22"/>
      <c r="G248" s="22"/>
      <c r="H248" s="25"/>
      <c r="I248" s="22"/>
      <c r="J248" s="22"/>
      <c r="K248" s="31" t="str">
        <f aca="false">IF($J248="","",IFERROR(INDEX(DriverCategory,MATCH($J248,DriverList,0)),"?"))</f>
        <v/>
      </c>
      <c r="L248" s="31" t="str">
        <f aca="false">IF($J248="","",IFERROR(INDEX(DriverRank,MATCH($J248,DriverList,0)),99))</f>
        <v/>
      </c>
      <c r="M248" s="22"/>
      <c r="N248" s="22"/>
      <c r="O248" s="19" t="str">
        <f aca="false">IF($D248="","",INDEX(GradeBasic,MATCH($D248,GradeList,0))+INDEX(GradeHousing,MATCH($D248,GradeList,0))+INDEX(GradeTransport,MATCH($D248,GradeList,0))+INDEX(GradeBasic,MATCH($D248,GradeList,0))*INDEX(GradeBonus,MATCH($D248,GradeList,0))+(INDEX(GradeBasic,MATCH($D248,GradeList,0))+INDEX(GradeHousing,MATCH($D248,GradeList,0)))*IF($F248="Saudi",GosiSaudi,GosiOther))</f>
        <v/>
      </c>
      <c r="P248" s="19" t="str">
        <f aca="false">IF($D248="","",IF(INDEX(GradeRank,MATCH($D248,GradeList,0))&gt;=INDEX(GradeRank,MATCH("G14",GradeList,0)),OneOffSenior,OneOffJunior))</f>
        <v/>
      </c>
      <c r="Q248" s="19" t="str">
        <f aca="false">IF(OR($D248="",$I248="",$H248=""),"",$O248*$H248*(5-MATCH($I248,{"Q1";"Q2";"Q3";"Q4"},0))/4+$P248*$H248)</f>
        <v/>
      </c>
      <c r="R248" s="19" t="str">
        <f aca="false">IF($O248="","",$O248*$H248)</f>
        <v/>
      </c>
      <c r="S248" s="32" t="str">
        <f aca="false">IF(COUNTA($B248:$J248)+COUNTA($M248:$N248)=0,"",MID(IF($B248="",", unit","")&amp;IF($C248="",", job title","")&amp;IF($D248="",", grade","")&amp;IF($E248="",", workforce type","")&amp;IF($F248="",", Saudi basis","")&amp;IF($G248="",", nature","")&amp;IF(N($H248)&lt;=0,", FTE","")&amp;IF($I248="",", start quarter","")&amp;IF($J248="",", driver","")&amp;IF($M248="",", alternatives",""),3,300))</f>
        <v/>
      </c>
      <c r="T248" s="17" t="str">
        <f aca="false">IF($S248="","",COUNTIF($S$6:$S248,"?*"))</f>
        <v/>
      </c>
    </row>
    <row r="249" customFormat="false" ht="15" hidden="false" customHeight="false" outlineLevel="0" collapsed="false">
      <c r="A249" s="17" t="n">
        <v>244</v>
      </c>
      <c r="B249" s="22"/>
      <c r="C249" s="22"/>
      <c r="D249" s="22"/>
      <c r="E249" s="22"/>
      <c r="F249" s="22"/>
      <c r="G249" s="22"/>
      <c r="H249" s="25"/>
      <c r="I249" s="22"/>
      <c r="J249" s="22"/>
      <c r="K249" s="31" t="str">
        <f aca="false">IF($J249="","",IFERROR(INDEX(DriverCategory,MATCH($J249,DriverList,0)),"?"))</f>
        <v/>
      </c>
      <c r="L249" s="31" t="str">
        <f aca="false">IF($J249="","",IFERROR(INDEX(DriverRank,MATCH($J249,DriverList,0)),99))</f>
        <v/>
      </c>
      <c r="M249" s="22"/>
      <c r="N249" s="22"/>
      <c r="O249" s="19" t="str">
        <f aca="false">IF($D249="","",INDEX(GradeBasic,MATCH($D249,GradeList,0))+INDEX(GradeHousing,MATCH($D249,GradeList,0))+INDEX(GradeTransport,MATCH($D249,GradeList,0))+INDEX(GradeBasic,MATCH($D249,GradeList,0))*INDEX(GradeBonus,MATCH($D249,GradeList,0))+(INDEX(GradeBasic,MATCH($D249,GradeList,0))+INDEX(GradeHousing,MATCH($D249,GradeList,0)))*IF($F249="Saudi",GosiSaudi,GosiOther))</f>
        <v/>
      </c>
      <c r="P249" s="19" t="str">
        <f aca="false">IF($D249="","",IF(INDEX(GradeRank,MATCH($D249,GradeList,0))&gt;=INDEX(GradeRank,MATCH("G14",GradeList,0)),OneOffSenior,OneOffJunior))</f>
        <v/>
      </c>
      <c r="Q249" s="19" t="str">
        <f aca="false">IF(OR($D249="",$I249="",$H249=""),"",$O249*$H249*(5-MATCH($I249,{"Q1";"Q2";"Q3";"Q4"},0))/4+$P249*$H249)</f>
        <v/>
      </c>
      <c r="R249" s="19" t="str">
        <f aca="false">IF($O249="","",$O249*$H249)</f>
        <v/>
      </c>
      <c r="S249" s="32" t="str">
        <f aca="false">IF(COUNTA($B249:$J249)+COUNTA($M249:$N249)=0,"",MID(IF($B249="",", unit","")&amp;IF($C249="",", job title","")&amp;IF($D249="",", grade","")&amp;IF($E249="",", workforce type","")&amp;IF($F249="",", Saudi basis","")&amp;IF($G249="",", nature","")&amp;IF(N($H249)&lt;=0,", FTE","")&amp;IF($I249="",", start quarter","")&amp;IF($J249="",", driver","")&amp;IF($M249="",", alternatives",""),3,300))</f>
        <v/>
      </c>
      <c r="T249" s="17" t="str">
        <f aca="false">IF($S249="","",COUNTIF($S$6:$S249,"?*"))</f>
        <v/>
      </c>
    </row>
    <row r="250" customFormat="false" ht="15" hidden="false" customHeight="false" outlineLevel="0" collapsed="false">
      <c r="A250" s="17" t="n">
        <v>245</v>
      </c>
      <c r="B250" s="22"/>
      <c r="C250" s="22"/>
      <c r="D250" s="22"/>
      <c r="E250" s="22"/>
      <c r="F250" s="22"/>
      <c r="G250" s="22"/>
      <c r="H250" s="25"/>
      <c r="I250" s="22"/>
      <c r="J250" s="22"/>
      <c r="K250" s="31" t="str">
        <f aca="false">IF($J250="","",IFERROR(INDEX(DriverCategory,MATCH($J250,DriverList,0)),"?"))</f>
        <v/>
      </c>
      <c r="L250" s="31" t="str">
        <f aca="false">IF($J250="","",IFERROR(INDEX(DriverRank,MATCH($J250,DriverList,0)),99))</f>
        <v/>
      </c>
      <c r="M250" s="22"/>
      <c r="N250" s="22"/>
      <c r="O250" s="19" t="str">
        <f aca="false">IF($D250="","",INDEX(GradeBasic,MATCH($D250,GradeList,0))+INDEX(GradeHousing,MATCH($D250,GradeList,0))+INDEX(GradeTransport,MATCH($D250,GradeList,0))+INDEX(GradeBasic,MATCH($D250,GradeList,0))*INDEX(GradeBonus,MATCH($D250,GradeList,0))+(INDEX(GradeBasic,MATCH($D250,GradeList,0))+INDEX(GradeHousing,MATCH($D250,GradeList,0)))*IF($F250="Saudi",GosiSaudi,GosiOther))</f>
        <v/>
      </c>
      <c r="P250" s="19" t="str">
        <f aca="false">IF($D250="","",IF(INDEX(GradeRank,MATCH($D250,GradeList,0))&gt;=INDEX(GradeRank,MATCH("G14",GradeList,0)),OneOffSenior,OneOffJunior))</f>
        <v/>
      </c>
      <c r="Q250" s="19" t="str">
        <f aca="false">IF(OR($D250="",$I250="",$H250=""),"",$O250*$H250*(5-MATCH($I250,{"Q1";"Q2";"Q3";"Q4"},0))/4+$P250*$H250)</f>
        <v/>
      </c>
      <c r="R250" s="19" t="str">
        <f aca="false">IF($O250="","",$O250*$H250)</f>
        <v/>
      </c>
      <c r="S250" s="32" t="str">
        <f aca="false">IF(COUNTA($B250:$J250)+COUNTA($M250:$N250)=0,"",MID(IF($B250="",", unit","")&amp;IF($C250="",", job title","")&amp;IF($D250="",", grade","")&amp;IF($E250="",", workforce type","")&amp;IF($F250="",", Saudi basis","")&amp;IF($G250="",", nature","")&amp;IF(N($H250)&lt;=0,", FTE","")&amp;IF($I250="",", start quarter","")&amp;IF($J250="",", driver","")&amp;IF($M250="",", alternatives",""),3,300))</f>
        <v/>
      </c>
      <c r="T250" s="17" t="str">
        <f aca="false">IF($S250="","",COUNTIF($S$6:$S250,"?*"))</f>
        <v/>
      </c>
    </row>
    <row r="251" customFormat="false" ht="15" hidden="false" customHeight="false" outlineLevel="0" collapsed="false">
      <c r="A251" s="17" t="n">
        <v>246</v>
      </c>
      <c r="B251" s="22"/>
      <c r="C251" s="22"/>
      <c r="D251" s="22"/>
      <c r="E251" s="22"/>
      <c r="F251" s="22"/>
      <c r="G251" s="22"/>
      <c r="H251" s="25"/>
      <c r="I251" s="22"/>
      <c r="J251" s="22"/>
      <c r="K251" s="31" t="str">
        <f aca="false">IF($J251="","",IFERROR(INDEX(DriverCategory,MATCH($J251,DriverList,0)),"?"))</f>
        <v/>
      </c>
      <c r="L251" s="31" t="str">
        <f aca="false">IF($J251="","",IFERROR(INDEX(DriverRank,MATCH($J251,DriverList,0)),99))</f>
        <v/>
      </c>
      <c r="M251" s="22"/>
      <c r="N251" s="22"/>
      <c r="O251" s="19" t="str">
        <f aca="false">IF($D251="","",INDEX(GradeBasic,MATCH($D251,GradeList,0))+INDEX(GradeHousing,MATCH($D251,GradeList,0))+INDEX(GradeTransport,MATCH($D251,GradeList,0))+INDEX(GradeBasic,MATCH($D251,GradeList,0))*INDEX(GradeBonus,MATCH($D251,GradeList,0))+(INDEX(GradeBasic,MATCH($D251,GradeList,0))+INDEX(GradeHousing,MATCH($D251,GradeList,0)))*IF($F251="Saudi",GosiSaudi,GosiOther))</f>
        <v/>
      </c>
      <c r="P251" s="19" t="str">
        <f aca="false">IF($D251="","",IF(INDEX(GradeRank,MATCH($D251,GradeList,0))&gt;=INDEX(GradeRank,MATCH("G14",GradeList,0)),OneOffSenior,OneOffJunior))</f>
        <v/>
      </c>
      <c r="Q251" s="19" t="str">
        <f aca="false">IF(OR($D251="",$I251="",$H251=""),"",$O251*$H251*(5-MATCH($I251,{"Q1";"Q2";"Q3";"Q4"},0))/4+$P251*$H251)</f>
        <v/>
      </c>
      <c r="R251" s="19" t="str">
        <f aca="false">IF($O251="","",$O251*$H251)</f>
        <v/>
      </c>
      <c r="S251" s="32" t="str">
        <f aca="false">IF(COUNTA($B251:$J251)+COUNTA($M251:$N251)=0,"",MID(IF($B251="",", unit","")&amp;IF($C251="",", job title","")&amp;IF($D251="",", grade","")&amp;IF($E251="",", workforce type","")&amp;IF($F251="",", Saudi basis","")&amp;IF($G251="",", nature","")&amp;IF(N($H251)&lt;=0,", FTE","")&amp;IF($I251="",", start quarter","")&amp;IF($J251="",", driver","")&amp;IF($M251="",", alternatives",""),3,300))</f>
        <v/>
      </c>
      <c r="T251" s="17" t="str">
        <f aca="false">IF($S251="","",COUNTIF($S$6:$S251,"?*"))</f>
        <v/>
      </c>
    </row>
    <row r="252" customFormat="false" ht="15" hidden="false" customHeight="false" outlineLevel="0" collapsed="false">
      <c r="A252" s="17" t="n">
        <v>247</v>
      </c>
      <c r="B252" s="22"/>
      <c r="C252" s="22"/>
      <c r="D252" s="22"/>
      <c r="E252" s="22"/>
      <c r="F252" s="22"/>
      <c r="G252" s="22"/>
      <c r="H252" s="25"/>
      <c r="I252" s="22"/>
      <c r="J252" s="22"/>
      <c r="K252" s="31" t="str">
        <f aca="false">IF($J252="","",IFERROR(INDEX(DriverCategory,MATCH($J252,DriverList,0)),"?"))</f>
        <v/>
      </c>
      <c r="L252" s="31" t="str">
        <f aca="false">IF($J252="","",IFERROR(INDEX(DriverRank,MATCH($J252,DriverList,0)),99))</f>
        <v/>
      </c>
      <c r="M252" s="22"/>
      <c r="N252" s="22"/>
      <c r="O252" s="19" t="str">
        <f aca="false">IF($D252="","",INDEX(GradeBasic,MATCH($D252,GradeList,0))+INDEX(GradeHousing,MATCH($D252,GradeList,0))+INDEX(GradeTransport,MATCH($D252,GradeList,0))+INDEX(GradeBasic,MATCH($D252,GradeList,0))*INDEX(GradeBonus,MATCH($D252,GradeList,0))+(INDEX(GradeBasic,MATCH($D252,GradeList,0))+INDEX(GradeHousing,MATCH($D252,GradeList,0)))*IF($F252="Saudi",GosiSaudi,GosiOther))</f>
        <v/>
      </c>
      <c r="P252" s="19" t="str">
        <f aca="false">IF($D252="","",IF(INDEX(GradeRank,MATCH($D252,GradeList,0))&gt;=INDEX(GradeRank,MATCH("G14",GradeList,0)),OneOffSenior,OneOffJunior))</f>
        <v/>
      </c>
      <c r="Q252" s="19" t="str">
        <f aca="false">IF(OR($D252="",$I252="",$H252=""),"",$O252*$H252*(5-MATCH($I252,{"Q1";"Q2";"Q3";"Q4"},0))/4+$P252*$H252)</f>
        <v/>
      </c>
      <c r="R252" s="19" t="str">
        <f aca="false">IF($O252="","",$O252*$H252)</f>
        <v/>
      </c>
      <c r="S252" s="32" t="str">
        <f aca="false">IF(COUNTA($B252:$J252)+COUNTA($M252:$N252)=0,"",MID(IF($B252="",", unit","")&amp;IF($C252="",", job title","")&amp;IF($D252="",", grade","")&amp;IF($E252="",", workforce type","")&amp;IF($F252="",", Saudi basis","")&amp;IF($G252="",", nature","")&amp;IF(N($H252)&lt;=0,", FTE","")&amp;IF($I252="",", start quarter","")&amp;IF($J252="",", driver","")&amp;IF($M252="",", alternatives",""),3,300))</f>
        <v/>
      </c>
      <c r="T252" s="17" t="str">
        <f aca="false">IF($S252="","",COUNTIF($S$6:$S252,"?*"))</f>
        <v/>
      </c>
    </row>
    <row r="253" customFormat="false" ht="15" hidden="false" customHeight="false" outlineLevel="0" collapsed="false">
      <c r="A253" s="17" t="n">
        <v>248</v>
      </c>
      <c r="B253" s="22"/>
      <c r="C253" s="22"/>
      <c r="D253" s="22"/>
      <c r="E253" s="22"/>
      <c r="F253" s="22"/>
      <c r="G253" s="22"/>
      <c r="H253" s="25"/>
      <c r="I253" s="22"/>
      <c r="J253" s="22"/>
      <c r="K253" s="31" t="str">
        <f aca="false">IF($J253="","",IFERROR(INDEX(DriverCategory,MATCH($J253,DriverList,0)),"?"))</f>
        <v/>
      </c>
      <c r="L253" s="31" t="str">
        <f aca="false">IF($J253="","",IFERROR(INDEX(DriverRank,MATCH($J253,DriverList,0)),99))</f>
        <v/>
      </c>
      <c r="M253" s="22"/>
      <c r="N253" s="22"/>
      <c r="O253" s="19" t="str">
        <f aca="false">IF($D253="","",INDEX(GradeBasic,MATCH($D253,GradeList,0))+INDEX(GradeHousing,MATCH($D253,GradeList,0))+INDEX(GradeTransport,MATCH($D253,GradeList,0))+INDEX(GradeBasic,MATCH($D253,GradeList,0))*INDEX(GradeBonus,MATCH($D253,GradeList,0))+(INDEX(GradeBasic,MATCH($D253,GradeList,0))+INDEX(GradeHousing,MATCH($D253,GradeList,0)))*IF($F253="Saudi",GosiSaudi,GosiOther))</f>
        <v/>
      </c>
      <c r="P253" s="19" t="str">
        <f aca="false">IF($D253="","",IF(INDEX(GradeRank,MATCH($D253,GradeList,0))&gt;=INDEX(GradeRank,MATCH("G14",GradeList,0)),OneOffSenior,OneOffJunior))</f>
        <v/>
      </c>
      <c r="Q253" s="19" t="str">
        <f aca="false">IF(OR($D253="",$I253="",$H253=""),"",$O253*$H253*(5-MATCH($I253,{"Q1";"Q2";"Q3";"Q4"},0))/4+$P253*$H253)</f>
        <v/>
      </c>
      <c r="R253" s="19" t="str">
        <f aca="false">IF($O253="","",$O253*$H253)</f>
        <v/>
      </c>
      <c r="S253" s="32" t="str">
        <f aca="false">IF(COUNTA($B253:$J253)+COUNTA($M253:$N253)=0,"",MID(IF($B253="",", unit","")&amp;IF($C253="",", job title","")&amp;IF($D253="",", grade","")&amp;IF($E253="",", workforce type","")&amp;IF($F253="",", Saudi basis","")&amp;IF($G253="",", nature","")&amp;IF(N($H253)&lt;=0,", FTE","")&amp;IF($I253="",", start quarter","")&amp;IF($J253="",", driver","")&amp;IF($M253="",", alternatives",""),3,300))</f>
        <v/>
      </c>
      <c r="T253" s="17" t="str">
        <f aca="false">IF($S253="","",COUNTIF($S$6:$S253,"?*"))</f>
        <v/>
      </c>
    </row>
    <row r="254" customFormat="false" ht="15" hidden="false" customHeight="false" outlineLevel="0" collapsed="false">
      <c r="A254" s="17" t="n">
        <v>249</v>
      </c>
      <c r="B254" s="22"/>
      <c r="C254" s="22"/>
      <c r="D254" s="22"/>
      <c r="E254" s="22"/>
      <c r="F254" s="22"/>
      <c r="G254" s="22"/>
      <c r="H254" s="25"/>
      <c r="I254" s="22"/>
      <c r="J254" s="22"/>
      <c r="K254" s="31" t="str">
        <f aca="false">IF($J254="","",IFERROR(INDEX(DriverCategory,MATCH($J254,DriverList,0)),"?"))</f>
        <v/>
      </c>
      <c r="L254" s="31" t="str">
        <f aca="false">IF($J254="","",IFERROR(INDEX(DriverRank,MATCH($J254,DriverList,0)),99))</f>
        <v/>
      </c>
      <c r="M254" s="22"/>
      <c r="N254" s="22"/>
      <c r="O254" s="19" t="str">
        <f aca="false">IF($D254="","",INDEX(GradeBasic,MATCH($D254,GradeList,0))+INDEX(GradeHousing,MATCH($D254,GradeList,0))+INDEX(GradeTransport,MATCH($D254,GradeList,0))+INDEX(GradeBasic,MATCH($D254,GradeList,0))*INDEX(GradeBonus,MATCH($D254,GradeList,0))+(INDEX(GradeBasic,MATCH($D254,GradeList,0))+INDEX(GradeHousing,MATCH($D254,GradeList,0)))*IF($F254="Saudi",GosiSaudi,GosiOther))</f>
        <v/>
      </c>
      <c r="P254" s="19" t="str">
        <f aca="false">IF($D254="","",IF(INDEX(GradeRank,MATCH($D254,GradeList,0))&gt;=INDEX(GradeRank,MATCH("G14",GradeList,0)),OneOffSenior,OneOffJunior))</f>
        <v/>
      </c>
      <c r="Q254" s="19" t="str">
        <f aca="false">IF(OR($D254="",$I254="",$H254=""),"",$O254*$H254*(5-MATCH($I254,{"Q1";"Q2";"Q3";"Q4"},0))/4+$P254*$H254)</f>
        <v/>
      </c>
      <c r="R254" s="19" t="str">
        <f aca="false">IF($O254="","",$O254*$H254)</f>
        <v/>
      </c>
      <c r="S254" s="32" t="str">
        <f aca="false">IF(COUNTA($B254:$J254)+COUNTA($M254:$N254)=0,"",MID(IF($B254="",", unit","")&amp;IF($C254="",", job title","")&amp;IF($D254="",", grade","")&amp;IF($E254="",", workforce type","")&amp;IF($F254="",", Saudi basis","")&amp;IF($G254="",", nature","")&amp;IF(N($H254)&lt;=0,", FTE","")&amp;IF($I254="",", start quarter","")&amp;IF($J254="",", driver","")&amp;IF($M254="",", alternatives",""),3,300))</f>
        <v/>
      </c>
      <c r="T254" s="17" t="str">
        <f aca="false">IF($S254="","",COUNTIF($S$6:$S254,"?*"))</f>
        <v/>
      </c>
    </row>
    <row r="255" customFormat="false" ht="15" hidden="false" customHeight="false" outlineLevel="0" collapsed="false">
      <c r="A255" s="17" t="n">
        <v>250</v>
      </c>
      <c r="B255" s="22"/>
      <c r="C255" s="22"/>
      <c r="D255" s="22"/>
      <c r="E255" s="22"/>
      <c r="F255" s="22"/>
      <c r="G255" s="22"/>
      <c r="H255" s="25"/>
      <c r="I255" s="22"/>
      <c r="J255" s="22"/>
      <c r="K255" s="31" t="str">
        <f aca="false">IF($J255="","",IFERROR(INDEX(DriverCategory,MATCH($J255,DriverList,0)),"?"))</f>
        <v/>
      </c>
      <c r="L255" s="31" t="str">
        <f aca="false">IF($J255="","",IFERROR(INDEX(DriverRank,MATCH($J255,DriverList,0)),99))</f>
        <v/>
      </c>
      <c r="M255" s="22"/>
      <c r="N255" s="22"/>
      <c r="O255" s="19" t="str">
        <f aca="false">IF($D255="","",INDEX(GradeBasic,MATCH($D255,GradeList,0))+INDEX(GradeHousing,MATCH($D255,GradeList,0))+INDEX(GradeTransport,MATCH($D255,GradeList,0))+INDEX(GradeBasic,MATCH($D255,GradeList,0))*INDEX(GradeBonus,MATCH($D255,GradeList,0))+(INDEX(GradeBasic,MATCH($D255,GradeList,0))+INDEX(GradeHousing,MATCH($D255,GradeList,0)))*IF($F255="Saudi",GosiSaudi,GosiOther))</f>
        <v/>
      </c>
      <c r="P255" s="19" t="str">
        <f aca="false">IF($D255="","",IF(INDEX(GradeRank,MATCH($D255,GradeList,0))&gt;=INDEX(GradeRank,MATCH("G14",GradeList,0)),OneOffSenior,OneOffJunior))</f>
        <v/>
      </c>
      <c r="Q255" s="19" t="str">
        <f aca="false">IF(OR($D255="",$I255="",$H255=""),"",$O255*$H255*(5-MATCH($I255,{"Q1";"Q2";"Q3";"Q4"},0))/4+$P255*$H255)</f>
        <v/>
      </c>
      <c r="R255" s="19" t="str">
        <f aca="false">IF($O255="","",$O255*$H255)</f>
        <v/>
      </c>
      <c r="S255" s="32" t="str">
        <f aca="false">IF(COUNTA($B255:$J255)+COUNTA($M255:$N255)=0,"",MID(IF($B255="",", unit","")&amp;IF($C255="",", job title","")&amp;IF($D255="",", grade","")&amp;IF($E255="",", workforce type","")&amp;IF($F255="",", Saudi basis","")&amp;IF($G255="",", nature","")&amp;IF(N($H255)&lt;=0,", FTE","")&amp;IF($I255="",", start quarter","")&amp;IF($J255="",", driver","")&amp;IF($M255="",", alternatives",""),3,300))</f>
        <v/>
      </c>
      <c r="T255" s="17" t="str">
        <f aca="false">IF($S255="","",COUNTIF($S$6:$S255,"?*"))</f>
        <v/>
      </c>
    </row>
    <row r="256" customFormat="false" ht="15" hidden="false" customHeight="false" outlineLevel="0" collapsed="false">
      <c r="A256" s="17" t="n">
        <v>251</v>
      </c>
      <c r="B256" s="22"/>
      <c r="C256" s="22"/>
      <c r="D256" s="22"/>
      <c r="E256" s="22"/>
      <c r="F256" s="22"/>
      <c r="G256" s="22"/>
      <c r="H256" s="25"/>
      <c r="I256" s="22"/>
      <c r="J256" s="22"/>
      <c r="K256" s="31" t="str">
        <f aca="false">IF($J256="","",IFERROR(INDEX(DriverCategory,MATCH($J256,DriverList,0)),"?"))</f>
        <v/>
      </c>
      <c r="L256" s="31" t="str">
        <f aca="false">IF($J256="","",IFERROR(INDEX(DriverRank,MATCH($J256,DriverList,0)),99))</f>
        <v/>
      </c>
      <c r="M256" s="22"/>
      <c r="N256" s="22"/>
      <c r="O256" s="19" t="str">
        <f aca="false">IF($D256="","",INDEX(GradeBasic,MATCH($D256,GradeList,0))+INDEX(GradeHousing,MATCH($D256,GradeList,0))+INDEX(GradeTransport,MATCH($D256,GradeList,0))+INDEX(GradeBasic,MATCH($D256,GradeList,0))*INDEX(GradeBonus,MATCH($D256,GradeList,0))+(INDEX(GradeBasic,MATCH($D256,GradeList,0))+INDEX(GradeHousing,MATCH($D256,GradeList,0)))*IF($F256="Saudi",GosiSaudi,GosiOther))</f>
        <v/>
      </c>
      <c r="P256" s="19" t="str">
        <f aca="false">IF($D256="","",IF(INDEX(GradeRank,MATCH($D256,GradeList,0))&gt;=INDEX(GradeRank,MATCH("G14",GradeList,0)),OneOffSenior,OneOffJunior))</f>
        <v/>
      </c>
      <c r="Q256" s="19" t="str">
        <f aca="false">IF(OR($D256="",$I256="",$H256=""),"",$O256*$H256*(5-MATCH($I256,{"Q1";"Q2";"Q3";"Q4"},0))/4+$P256*$H256)</f>
        <v/>
      </c>
      <c r="R256" s="19" t="str">
        <f aca="false">IF($O256="","",$O256*$H256)</f>
        <v/>
      </c>
      <c r="S256" s="32" t="str">
        <f aca="false">IF(COUNTA($B256:$J256)+COUNTA($M256:$N256)=0,"",MID(IF($B256="",", unit","")&amp;IF($C256="",", job title","")&amp;IF($D256="",", grade","")&amp;IF($E256="",", workforce type","")&amp;IF($F256="",", Saudi basis","")&amp;IF($G256="",", nature","")&amp;IF(N($H256)&lt;=0,", FTE","")&amp;IF($I256="",", start quarter","")&amp;IF($J256="",", driver","")&amp;IF($M256="",", alternatives",""),3,300))</f>
        <v/>
      </c>
      <c r="T256" s="17" t="str">
        <f aca="false">IF($S256="","",COUNTIF($S$6:$S256,"?*"))</f>
        <v/>
      </c>
    </row>
    <row r="257" customFormat="false" ht="15" hidden="false" customHeight="false" outlineLevel="0" collapsed="false">
      <c r="A257" s="17" t="n">
        <v>252</v>
      </c>
      <c r="B257" s="22"/>
      <c r="C257" s="22"/>
      <c r="D257" s="22"/>
      <c r="E257" s="22"/>
      <c r="F257" s="22"/>
      <c r="G257" s="22"/>
      <c r="H257" s="25"/>
      <c r="I257" s="22"/>
      <c r="J257" s="22"/>
      <c r="K257" s="31" t="str">
        <f aca="false">IF($J257="","",IFERROR(INDEX(DriverCategory,MATCH($J257,DriverList,0)),"?"))</f>
        <v/>
      </c>
      <c r="L257" s="31" t="str">
        <f aca="false">IF($J257="","",IFERROR(INDEX(DriverRank,MATCH($J257,DriverList,0)),99))</f>
        <v/>
      </c>
      <c r="M257" s="22"/>
      <c r="N257" s="22"/>
      <c r="O257" s="19" t="str">
        <f aca="false">IF($D257="","",INDEX(GradeBasic,MATCH($D257,GradeList,0))+INDEX(GradeHousing,MATCH($D257,GradeList,0))+INDEX(GradeTransport,MATCH($D257,GradeList,0))+INDEX(GradeBasic,MATCH($D257,GradeList,0))*INDEX(GradeBonus,MATCH($D257,GradeList,0))+(INDEX(GradeBasic,MATCH($D257,GradeList,0))+INDEX(GradeHousing,MATCH($D257,GradeList,0)))*IF($F257="Saudi",GosiSaudi,GosiOther))</f>
        <v/>
      </c>
      <c r="P257" s="19" t="str">
        <f aca="false">IF($D257="","",IF(INDEX(GradeRank,MATCH($D257,GradeList,0))&gt;=INDEX(GradeRank,MATCH("G14",GradeList,0)),OneOffSenior,OneOffJunior))</f>
        <v/>
      </c>
      <c r="Q257" s="19" t="str">
        <f aca="false">IF(OR($D257="",$I257="",$H257=""),"",$O257*$H257*(5-MATCH($I257,{"Q1";"Q2";"Q3";"Q4"},0))/4+$P257*$H257)</f>
        <v/>
      </c>
      <c r="R257" s="19" t="str">
        <f aca="false">IF($O257="","",$O257*$H257)</f>
        <v/>
      </c>
      <c r="S257" s="32" t="str">
        <f aca="false">IF(COUNTA($B257:$J257)+COUNTA($M257:$N257)=0,"",MID(IF($B257="",", unit","")&amp;IF($C257="",", job title","")&amp;IF($D257="",", grade","")&amp;IF($E257="",", workforce type","")&amp;IF($F257="",", Saudi basis","")&amp;IF($G257="",", nature","")&amp;IF(N($H257)&lt;=0,", FTE","")&amp;IF($I257="",", start quarter","")&amp;IF($J257="",", driver","")&amp;IF($M257="",", alternatives",""),3,300))</f>
        <v/>
      </c>
      <c r="T257" s="17" t="str">
        <f aca="false">IF($S257="","",COUNTIF($S$6:$S257,"?*"))</f>
        <v/>
      </c>
    </row>
    <row r="258" customFormat="false" ht="15" hidden="false" customHeight="false" outlineLevel="0" collapsed="false">
      <c r="A258" s="17" t="n">
        <v>253</v>
      </c>
      <c r="B258" s="22"/>
      <c r="C258" s="22"/>
      <c r="D258" s="22"/>
      <c r="E258" s="22"/>
      <c r="F258" s="22"/>
      <c r="G258" s="22"/>
      <c r="H258" s="25"/>
      <c r="I258" s="22"/>
      <c r="J258" s="22"/>
      <c r="K258" s="31" t="str">
        <f aca="false">IF($J258="","",IFERROR(INDEX(DriverCategory,MATCH($J258,DriverList,0)),"?"))</f>
        <v/>
      </c>
      <c r="L258" s="31" t="str">
        <f aca="false">IF($J258="","",IFERROR(INDEX(DriverRank,MATCH($J258,DriverList,0)),99))</f>
        <v/>
      </c>
      <c r="M258" s="22"/>
      <c r="N258" s="22"/>
      <c r="O258" s="19" t="str">
        <f aca="false">IF($D258="","",INDEX(GradeBasic,MATCH($D258,GradeList,0))+INDEX(GradeHousing,MATCH($D258,GradeList,0))+INDEX(GradeTransport,MATCH($D258,GradeList,0))+INDEX(GradeBasic,MATCH($D258,GradeList,0))*INDEX(GradeBonus,MATCH($D258,GradeList,0))+(INDEX(GradeBasic,MATCH($D258,GradeList,0))+INDEX(GradeHousing,MATCH($D258,GradeList,0)))*IF($F258="Saudi",GosiSaudi,GosiOther))</f>
        <v/>
      </c>
      <c r="P258" s="19" t="str">
        <f aca="false">IF($D258="","",IF(INDEX(GradeRank,MATCH($D258,GradeList,0))&gt;=INDEX(GradeRank,MATCH("G14",GradeList,0)),OneOffSenior,OneOffJunior))</f>
        <v/>
      </c>
      <c r="Q258" s="19" t="str">
        <f aca="false">IF(OR($D258="",$I258="",$H258=""),"",$O258*$H258*(5-MATCH($I258,{"Q1";"Q2";"Q3";"Q4"},0))/4+$P258*$H258)</f>
        <v/>
      </c>
      <c r="R258" s="19" t="str">
        <f aca="false">IF($O258="","",$O258*$H258)</f>
        <v/>
      </c>
      <c r="S258" s="32" t="str">
        <f aca="false">IF(COUNTA($B258:$J258)+COUNTA($M258:$N258)=0,"",MID(IF($B258="",", unit","")&amp;IF($C258="",", job title","")&amp;IF($D258="",", grade","")&amp;IF($E258="",", workforce type","")&amp;IF($F258="",", Saudi basis","")&amp;IF($G258="",", nature","")&amp;IF(N($H258)&lt;=0,", FTE","")&amp;IF($I258="",", start quarter","")&amp;IF($J258="",", driver","")&amp;IF($M258="",", alternatives",""),3,300))</f>
        <v/>
      </c>
      <c r="T258" s="17" t="str">
        <f aca="false">IF($S258="","",COUNTIF($S$6:$S258,"?*"))</f>
        <v/>
      </c>
    </row>
    <row r="259" customFormat="false" ht="15" hidden="false" customHeight="false" outlineLevel="0" collapsed="false">
      <c r="A259" s="17" t="n">
        <v>254</v>
      </c>
      <c r="B259" s="22"/>
      <c r="C259" s="22"/>
      <c r="D259" s="22"/>
      <c r="E259" s="22"/>
      <c r="F259" s="22"/>
      <c r="G259" s="22"/>
      <c r="H259" s="25"/>
      <c r="I259" s="22"/>
      <c r="J259" s="22"/>
      <c r="K259" s="31" t="str">
        <f aca="false">IF($J259="","",IFERROR(INDEX(DriverCategory,MATCH($J259,DriverList,0)),"?"))</f>
        <v/>
      </c>
      <c r="L259" s="31" t="str">
        <f aca="false">IF($J259="","",IFERROR(INDEX(DriverRank,MATCH($J259,DriverList,0)),99))</f>
        <v/>
      </c>
      <c r="M259" s="22"/>
      <c r="N259" s="22"/>
      <c r="O259" s="19" t="str">
        <f aca="false">IF($D259="","",INDEX(GradeBasic,MATCH($D259,GradeList,0))+INDEX(GradeHousing,MATCH($D259,GradeList,0))+INDEX(GradeTransport,MATCH($D259,GradeList,0))+INDEX(GradeBasic,MATCH($D259,GradeList,0))*INDEX(GradeBonus,MATCH($D259,GradeList,0))+(INDEX(GradeBasic,MATCH($D259,GradeList,0))+INDEX(GradeHousing,MATCH($D259,GradeList,0)))*IF($F259="Saudi",GosiSaudi,GosiOther))</f>
        <v/>
      </c>
      <c r="P259" s="19" t="str">
        <f aca="false">IF($D259="","",IF(INDEX(GradeRank,MATCH($D259,GradeList,0))&gt;=INDEX(GradeRank,MATCH("G14",GradeList,0)),OneOffSenior,OneOffJunior))</f>
        <v/>
      </c>
      <c r="Q259" s="19" t="str">
        <f aca="false">IF(OR($D259="",$I259="",$H259=""),"",$O259*$H259*(5-MATCH($I259,{"Q1";"Q2";"Q3";"Q4"},0))/4+$P259*$H259)</f>
        <v/>
      </c>
      <c r="R259" s="19" t="str">
        <f aca="false">IF($O259="","",$O259*$H259)</f>
        <v/>
      </c>
      <c r="S259" s="32" t="str">
        <f aca="false">IF(COUNTA($B259:$J259)+COUNTA($M259:$N259)=0,"",MID(IF($B259="",", unit","")&amp;IF($C259="",", job title","")&amp;IF($D259="",", grade","")&amp;IF($E259="",", workforce type","")&amp;IF($F259="",", Saudi basis","")&amp;IF($G259="",", nature","")&amp;IF(N($H259)&lt;=0,", FTE","")&amp;IF($I259="",", start quarter","")&amp;IF($J259="",", driver","")&amp;IF($M259="",", alternatives",""),3,300))</f>
        <v/>
      </c>
      <c r="T259" s="17" t="str">
        <f aca="false">IF($S259="","",COUNTIF($S$6:$S259,"?*"))</f>
        <v/>
      </c>
    </row>
    <row r="260" customFormat="false" ht="15" hidden="false" customHeight="false" outlineLevel="0" collapsed="false">
      <c r="A260" s="17" t="n">
        <v>255</v>
      </c>
      <c r="B260" s="22"/>
      <c r="C260" s="22"/>
      <c r="D260" s="22"/>
      <c r="E260" s="22"/>
      <c r="F260" s="22"/>
      <c r="G260" s="22"/>
      <c r="H260" s="25"/>
      <c r="I260" s="22"/>
      <c r="J260" s="22"/>
      <c r="K260" s="31" t="str">
        <f aca="false">IF($J260="","",IFERROR(INDEX(DriverCategory,MATCH($J260,DriverList,0)),"?"))</f>
        <v/>
      </c>
      <c r="L260" s="31" t="str">
        <f aca="false">IF($J260="","",IFERROR(INDEX(DriverRank,MATCH($J260,DriverList,0)),99))</f>
        <v/>
      </c>
      <c r="M260" s="22"/>
      <c r="N260" s="22"/>
      <c r="O260" s="19" t="str">
        <f aca="false">IF($D260="","",INDEX(GradeBasic,MATCH($D260,GradeList,0))+INDEX(GradeHousing,MATCH($D260,GradeList,0))+INDEX(GradeTransport,MATCH($D260,GradeList,0))+INDEX(GradeBasic,MATCH($D260,GradeList,0))*INDEX(GradeBonus,MATCH($D260,GradeList,0))+(INDEX(GradeBasic,MATCH($D260,GradeList,0))+INDEX(GradeHousing,MATCH($D260,GradeList,0)))*IF($F260="Saudi",GosiSaudi,GosiOther))</f>
        <v/>
      </c>
      <c r="P260" s="19" t="str">
        <f aca="false">IF($D260="","",IF(INDEX(GradeRank,MATCH($D260,GradeList,0))&gt;=INDEX(GradeRank,MATCH("G14",GradeList,0)),OneOffSenior,OneOffJunior))</f>
        <v/>
      </c>
      <c r="Q260" s="19" t="str">
        <f aca="false">IF(OR($D260="",$I260="",$H260=""),"",$O260*$H260*(5-MATCH($I260,{"Q1";"Q2";"Q3";"Q4"},0))/4+$P260*$H260)</f>
        <v/>
      </c>
      <c r="R260" s="19" t="str">
        <f aca="false">IF($O260="","",$O260*$H260)</f>
        <v/>
      </c>
      <c r="S260" s="32" t="str">
        <f aca="false">IF(COUNTA($B260:$J260)+COUNTA($M260:$N260)=0,"",MID(IF($B260="",", unit","")&amp;IF($C260="",", job title","")&amp;IF($D260="",", grade","")&amp;IF($E260="",", workforce type","")&amp;IF($F260="",", Saudi basis","")&amp;IF($G260="",", nature","")&amp;IF(N($H260)&lt;=0,", FTE","")&amp;IF($I260="",", start quarter","")&amp;IF($J260="",", driver","")&amp;IF($M260="",", alternatives",""),3,300))</f>
        <v/>
      </c>
      <c r="T260" s="17" t="str">
        <f aca="false">IF($S260="","",COUNTIF($S$6:$S260,"?*"))</f>
        <v/>
      </c>
    </row>
    <row r="261" customFormat="false" ht="15" hidden="false" customHeight="false" outlineLevel="0" collapsed="false">
      <c r="A261" s="17" t="n">
        <v>256</v>
      </c>
      <c r="B261" s="22"/>
      <c r="C261" s="22"/>
      <c r="D261" s="22"/>
      <c r="E261" s="22"/>
      <c r="F261" s="22"/>
      <c r="G261" s="22"/>
      <c r="H261" s="25"/>
      <c r="I261" s="22"/>
      <c r="J261" s="22"/>
      <c r="K261" s="31" t="str">
        <f aca="false">IF($J261="","",IFERROR(INDEX(DriverCategory,MATCH($J261,DriverList,0)),"?"))</f>
        <v/>
      </c>
      <c r="L261" s="31" t="str">
        <f aca="false">IF($J261="","",IFERROR(INDEX(DriverRank,MATCH($J261,DriverList,0)),99))</f>
        <v/>
      </c>
      <c r="M261" s="22"/>
      <c r="N261" s="22"/>
      <c r="O261" s="19" t="str">
        <f aca="false">IF($D261="","",INDEX(GradeBasic,MATCH($D261,GradeList,0))+INDEX(GradeHousing,MATCH($D261,GradeList,0))+INDEX(GradeTransport,MATCH($D261,GradeList,0))+INDEX(GradeBasic,MATCH($D261,GradeList,0))*INDEX(GradeBonus,MATCH($D261,GradeList,0))+(INDEX(GradeBasic,MATCH($D261,GradeList,0))+INDEX(GradeHousing,MATCH($D261,GradeList,0)))*IF($F261="Saudi",GosiSaudi,GosiOther))</f>
        <v/>
      </c>
      <c r="P261" s="19" t="str">
        <f aca="false">IF($D261="","",IF(INDEX(GradeRank,MATCH($D261,GradeList,0))&gt;=INDEX(GradeRank,MATCH("G14",GradeList,0)),OneOffSenior,OneOffJunior))</f>
        <v/>
      </c>
      <c r="Q261" s="19" t="str">
        <f aca="false">IF(OR($D261="",$I261="",$H261=""),"",$O261*$H261*(5-MATCH($I261,{"Q1";"Q2";"Q3";"Q4"},0))/4+$P261*$H261)</f>
        <v/>
      </c>
      <c r="R261" s="19" t="str">
        <f aca="false">IF($O261="","",$O261*$H261)</f>
        <v/>
      </c>
      <c r="S261" s="32" t="str">
        <f aca="false">IF(COUNTA($B261:$J261)+COUNTA($M261:$N261)=0,"",MID(IF($B261="",", unit","")&amp;IF($C261="",", job title","")&amp;IF($D261="",", grade","")&amp;IF($E261="",", workforce type","")&amp;IF($F261="",", Saudi basis","")&amp;IF($G261="",", nature","")&amp;IF(N($H261)&lt;=0,", FTE","")&amp;IF($I261="",", start quarter","")&amp;IF($J261="",", driver","")&amp;IF($M261="",", alternatives",""),3,300))</f>
        <v/>
      </c>
      <c r="T261" s="17" t="str">
        <f aca="false">IF($S261="","",COUNTIF($S$6:$S261,"?*"))</f>
        <v/>
      </c>
    </row>
    <row r="262" customFormat="false" ht="15" hidden="false" customHeight="false" outlineLevel="0" collapsed="false">
      <c r="A262" s="17" t="n">
        <v>257</v>
      </c>
      <c r="B262" s="22"/>
      <c r="C262" s="22"/>
      <c r="D262" s="22"/>
      <c r="E262" s="22"/>
      <c r="F262" s="22"/>
      <c r="G262" s="22"/>
      <c r="H262" s="25"/>
      <c r="I262" s="22"/>
      <c r="J262" s="22"/>
      <c r="K262" s="31" t="str">
        <f aca="false">IF($J262="","",IFERROR(INDEX(DriverCategory,MATCH($J262,DriverList,0)),"?"))</f>
        <v/>
      </c>
      <c r="L262" s="31" t="str">
        <f aca="false">IF($J262="","",IFERROR(INDEX(DriverRank,MATCH($J262,DriverList,0)),99))</f>
        <v/>
      </c>
      <c r="M262" s="22"/>
      <c r="N262" s="22"/>
      <c r="O262" s="19" t="str">
        <f aca="false">IF($D262="","",INDEX(GradeBasic,MATCH($D262,GradeList,0))+INDEX(GradeHousing,MATCH($D262,GradeList,0))+INDEX(GradeTransport,MATCH($D262,GradeList,0))+INDEX(GradeBasic,MATCH($D262,GradeList,0))*INDEX(GradeBonus,MATCH($D262,GradeList,0))+(INDEX(GradeBasic,MATCH($D262,GradeList,0))+INDEX(GradeHousing,MATCH($D262,GradeList,0)))*IF($F262="Saudi",GosiSaudi,GosiOther))</f>
        <v/>
      </c>
      <c r="P262" s="19" t="str">
        <f aca="false">IF($D262="","",IF(INDEX(GradeRank,MATCH($D262,GradeList,0))&gt;=INDEX(GradeRank,MATCH("G14",GradeList,0)),OneOffSenior,OneOffJunior))</f>
        <v/>
      </c>
      <c r="Q262" s="19" t="str">
        <f aca="false">IF(OR($D262="",$I262="",$H262=""),"",$O262*$H262*(5-MATCH($I262,{"Q1";"Q2";"Q3";"Q4"},0))/4+$P262*$H262)</f>
        <v/>
      </c>
      <c r="R262" s="19" t="str">
        <f aca="false">IF($O262="","",$O262*$H262)</f>
        <v/>
      </c>
      <c r="S262" s="32" t="str">
        <f aca="false">IF(COUNTA($B262:$J262)+COUNTA($M262:$N262)=0,"",MID(IF($B262="",", unit","")&amp;IF($C262="",", job title","")&amp;IF($D262="",", grade","")&amp;IF($E262="",", workforce type","")&amp;IF($F262="",", Saudi basis","")&amp;IF($G262="",", nature","")&amp;IF(N($H262)&lt;=0,", FTE","")&amp;IF($I262="",", start quarter","")&amp;IF($J262="",", driver","")&amp;IF($M262="",", alternatives",""),3,300))</f>
        <v/>
      </c>
      <c r="T262" s="17" t="str">
        <f aca="false">IF($S262="","",COUNTIF($S$6:$S262,"?*"))</f>
        <v/>
      </c>
    </row>
    <row r="263" customFormat="false" ht="15" hidden="false" customHeight="false" outlineLevel="0" collapsed="false">
      <c r="A263" s="17" t="n">
        <v>258</v>
      </c>
      <c r="B263" s="22"/>
      <c r="C263" s="22"/>
      <c r="D263" s="22"/>
      <c r="E263" s="22"/>
      <c r="F263" s="22"/>
      <c r="G263" s="22"/>
      <c r="H263" s="25"/>
      <c r="I263" s="22"/>
      <c r="J263" s="22"/>
      <c r="K263" s="31" t="str">
        <f aca="false">IF($J263="","",IFERROR(INDEX(DriverCategory,MATCH($J263,DriverList,0)),"?"))</f>
        <v/>
      </c>
      <c r="L263" s="31" t="str">
        <f aca="false">IF($J263="","",IFERROR(INDEX(DriverRank,MATCH($J263,DriverList,0)),99))</f>
        <v/>
      </c>
      <c r="M263" s="22"/>
      <c r="N263" s="22"/>
      <c r="O263" s="19" t="str">
        <f aca="false">IF($D263="","",INDEX(GradeBasic,MATCH($D263,GradeList,0))+INDEX(GradeHousing,MATCH($D263,GradeList,0))+INDEX(GradeTransport,MATCH($D263,GradeList,0))+INDEX(GradeBasic,MATCH($D263,GradeList,0))*INDEX(GradeBonus,MATCH($D263,GradeList,0))+(INDEX(GradeBasic,MATCH($D263,GradeList,0))+INDEX(GradeHousing,MATCH($D263,GradeList,0)))*IF($F263="Saudi",GosiSaudi,GosiOther))</f>
        <v/>
      </c>
      <c r="P263" s="19" t="str">
        <f aca="false">IF($D263="","",IF(INDEX(GradeRank,MATCH($D263,GradeList,0))&gt;=INDEX(GradeRank,MATCH("G14",GradeList,0)),OneOffSenior,OneOffJunior))</f>
        <v/>
      </c>
      <c r="Q263" s="19" t="str">
        <f aca="false">IF(OR($D263="",$I263="",$H263=""),"",$O263*$H263*(5-MATCH($I263,{"Q1";"Q2";"Q3";"Q4"},0))/4+$P263*$H263)</f>
        <v/>
      </c>
      <c r="R263" s="19" t="str">
        <f aca="false">IF($O263="","",$O263*$H263)</f>
        <v/>
      </c>
      <c r="S263" s="32" t="str">
        <f aca="false">IF(COUNTA($B263:$J263)+COUNTA($M263:$N263)=0,"",MID(IF($B263="",", unit","")&amp;IF($C263="",", job title","")&amp;IF($D263="",", grade","")&amp;IF($E263="",", workforce type","")&amp;IF($F263="",", Saudi basis","")&amp;IF($G263="",", nature","")&amp;IF(N($H263)&lt;=0,", FTE","")&amp;IF($I263="",", start quarter","")&amp;IF($J263="",", driver","")&amp;IF($M263="",", alternatives",""),3,300))</f>
        <v/>
      </c>
      <c r="T263" s="17" t="str">
        <f aca="false">IF($S263="","",COUNTIF($S$6:$S263,"?*"))</f>
        <v/>
      </c>
    </row>
    <row r="264" customFormat="false" ht="15" hidden="false" customHeight="false" outlineLevel="0" collapsed="false">
      <c r="A264" s="17" t="n">
        <v>259</v>
      </c>
      <c r="B264" s="22"/>
      <c r="C264" s="22"/>
      <c r="D264" s="22"/>
      <c r="E264" s="22"/>
      <c r="F264" s="22"/>
      <c r="G264" s="22"/>
      <c r="H264" s="25"/>
      <c r="I264" s="22"/>
      <c r="J264" s="22"/>
      <c r="K264" s="31" t="str">
        <f aca="false">IF($J264="","",IFERROR(INDEX(DriverCategory,MATCH($J264,DriverList,0)),"?"))</f>
        <v/>
      </c>
      <c r="L264" s="31" t="str">
        <f aca="false">IF($J264="","",IFERROR(INDEX(DriverRank,MATCH($J264,DriverList,0)),99))</f>
        <v/>
      </c>
      <c r="M264" s="22"/>
      <c r="N264" s="22"/>
      <c r="O264" s="19" t="str">
        <f aca="false">IF($D264="","",INDEX(GradeBasic,MATCH($D264,GradeList,0))+INDEX(GradeHousing,MATCH($D264,GradeList,0))+INDEX(GradeTransport,MATCH($D264,GradeList,0))+INDEX(GradeBasic,MATCH($D264,GradeList,0))*INDEX(GradeBonus,MATCH($D264,GradeList,0))+(INDEX(GradeBasic,MATCH($D264,GradeList,0))+INDEX(GradeHousing,MATCH($D264,GradeList,0)))*IF($F264="Saudi",GosiSaudi,GosiOther))</f>
        <v/>
      </c>
      <c r="P264" s="19" t="str">
        <f aca="false">IF($D264="","",IF(INDEX(GradeRank,MATCH($D264,GradeList,0))&gt;=INDEX(GradeRank,MATCH("G14",GradeList,0)),OneOffSenior,OneOffJunior))</f>
        <v/>
      </c>
      <c r="Q264" s="19" t="str">
        <f aca="false">IF(OR($D264="",$I264="",$H264=""),"",$O264*$H264*(5-MATCH($I264,{"Q1";"Q2";"Q3";"Q4"},0))/4+$P264*$H264)</f>
        <v/>
      </c>
      <c r="R264" s="19" t="str">
        <f aca="false">IF($O264="","",$O264*$H264)</f>
        <v/>
      </c>
      <c r="S264" s="32" t="str">
        <f aca="false">IF(COUNTA($B264:$J264)+COUNTA($M264:$N264)=0,"",MID(IF($B264="",", unit","")&amp;IF($C264="",", job title","")&amp;IF($D264="",", grade","")&amp;IF($E264="",", workforce type","")&amp;IF($F264="",", Saudi basis","")&amp;IF($G264="",", nature","")&amp;IF(N($H264)&lt;=0,", FTE","")&amp;IF($I264="",", start quarter","")&amp;IF($J264="",", driver","")&amp;IF($M264="",", alternatives",""),3,300))</f>
        <v/>
      </c>
      <c r="T264" s="17" t="str">
        <f aca="false">IF($S264="","",COUNTIF($S$6:$S264,"?*"))</f>
        <v/>
      </c>
    </row>
    <row r="265" customFormat="false" ht="15" hidden="false" customHeight="false" outlineLevel="0" collapsed="false">
      <c r="A265" s="17" t="n">
        <v>260</v>
      </c>
      <c r="B265" s="22"/>
      <c r="C265" s="22"/>
      <c r="D265" s="22"/>
      <c r="E265" s="22"/>
      <c r="F265" s="22"/>
      <c r="G265" s="22"/>
      <c r="H265" s="25"/>
      <c r="I265" s="22"/>
      <c r="J265" s="22"/>
      <c r="K265" s="31" t="str">
        <f aca="false">IF($J265="","",IFERROR(INDEX(DriverCategory,MATCH($J265,DriverList,0)),"?"))</f>
        <v/>
      </c>
      <c r="L265" s="31" t="str">
        <f aca="false">IF($J265="","",IFERROR(INDEX(DriverRank,MATCH($J265,DriverList,0)),99))</f>
        <v/>
      </c>
      <c r="M265" s="22"/>
      <c r="N265" s="22"/>
      <c r="O265" s="19" t="str">
        <f aca="false">IF($D265="","",INDEX(GradeBasic,MATCH($D265,GradeList,0))+INDEX(GradeHousing,MATCH($D265,GradeList,0))+INDEX(GradeTransport,MATCH($D265,GradeList,0))+INDEX(GradeBasic,MATCH($D265,GradeList,0))*INDEX(GradeBonus,MATCH($D265,GradeList,0))+(INDEX(GradeBasic,MATCH($D265,GradeList,0))+INDEX(GradeHousing,MATCH($D265,GradeList,0)))*IF($F265="Saudi",GosiSaudi,GosiOther))</f>
        <v/>
      </c>
      <c r="P265" s="19" t="str">
        <f aca="false">IF($D265="","",IF(INDEX(GradeRank,MATCH($D265,GradeList,0))&gt;=INDEX(GradeRank,MATCH("G14",GradeList,0)),OneOffSenior,OneOffJunior))</f>
        <v/>
      </c>
      <c r="Q265" s="19" t="str">
        <f aca="false">IF(OR($D265="",$I265="",$H265=""),"",$O265*$H265*(5-MATCH($I265,{"Q1";"Q2";"Q3";"Q4"},0))/4+$P265*$H265)</f>
        <v/>
      </c>
      <c r="R265" s="19" t="str">
        <f aca="false">IF($O265="","",$O265*$H265)</f>
        <v/>
      </c>
      <c r="S265" s="32" t="str">
        <f aca="false">IF(COUNTA($B265:$J265)+COUNTA($M265:$N265)=0,"",MID(IF($B265="",", unit","")&amp;IF($C265="",", job title","")&amp;IF($D265="",", grade","")&amp;IF($E265="",", workforce type","")&amp;IF($F265="",", Saudi basis","")&amp;IF($G265="",", nature","")&amp;IF(N($H265)&lt;=0,", FTE","")&amp;IF($I265="",", start quarter","")&amp;IF($J265="",", driver","")&amp;IF($M265="",", alternatives",""),3,300))</f>
        <v/>
      </c>
      <c r="T265" s="17" t="str">
        <f aca="false">IF($S265="","",COUNTIF($S$6:$S265,"?*"))</f>
        <v/>
      </c>
    </row>
    <row r="266" customFormat="false" ht="15" hidden="false" customHeight="false" outlineLevel="0" collapsed="false">
      <c r="A266" s="17" t="n">
        <v>261</v>
      </c>
      <c r="B266" s="22"/>
      <c r="C266" s="22"/>
      <c r="D266" s="22"/>
      <c r="E266" s="22"/>
      <c r="F266" s="22"/>
      <c r="G266" s="22"/>
      <c r="H266" s="25"/>
      <c r="I266" s="22"/>
      <c r="J266" s="22"/>
      <c r="K266" s="31" t="str">
        <f aca="false">IF($J266="","",IFERROR(INDEX(DriverCategory,MATCH($J266,DriverList,0)),"?"))</f>
        <v/>
      </c>
      <c r="L266" s="31" t="str">
        <f aca="false">IF($J266="","",IFERROR(INDEX(DriverRank,MATCH($J266,DriverList,0)),99))</f>
        <v/>
      </c>
      <c r="M266" s="22"/>
      <c r="N266" s="22"/>
      <c r="O266" s="19" t="str">
        <f aca="false">IF($D266="","",INDEX(GradeBasic,MATCH($D266,GradeList,0))+INDEX(GradeHousing,MATCH($D266,GradeList,0))+INDEX(GradeTransport,MATCH($D266,GradeList,0))+INDEX(GradeBasic,MATCH($D266,GradeList,0))*INDEX(GradeBonus,MATCH($D266,GradeList,0))+(INDEX(GradeBasic,MATCH($D266,GradeList,0))+INDEX(GradeHousing,MATCH($D266,GradeList,0)))*IF($F266="Saudi",GosiSaudi,GosiOther))</f>
        <v/>
      </c>
      <c r="P266" s="19" t="str">
        <f aca="false">IF($D266="","",IF(INDEX(GradeRank,MATCH($D266,GradeList,0))&gt;=INDEX(GradeRank,MATCH("G14",GradeList,0)),OneOffSenior,OneOffJunior))</f>
        <v/>
      </c>
      <c r="Q266" s="19" t="str">
        <f aca="false">IF(OR($D266="",$I266="",$H266=""),"",$O266*$H266*(5-MATCH($I266,{"Q1";"Q2";"Q3";"Q4"},0))/4+$P266*$H266)</f>
        <v/>
      </c>
      <c r="R266" s="19" t="str">
        <f aca="false">IF($O266="","",$O266*$H266)</f>
        <v/>
      </c>
      <c r="S266" s="32" t="str">
        <f aca="false">IF(COUNTA($B266:$J266)+COUNTA($M266:$N266)=0,"",MID(IF($B266="",", unit","")&amp;IF($C266="",", job title","")&amp;IF($D266="",", grade","")&amp;IF($E266="",", workforce type","")&amp;IF($F266="",", Saudi basis","")&amp;IF($G266="",", nature","")&amp;IF(N($H266)&lt;=0,", FTE","")&amp;IF($I266="",", start quarter","")&amp;IF($J266="",", driver","")&amp;IF($M266="",", alternatives",""),3,300))</f>
        <v/>
      </c>
      <c r="T266" s="17" t="str">
        <f aca="false">IF($S266="","",COUNTIF($S$6:$S266,"?*"))</f>
        <v/>
      </c>
    </row>
    <row r="267" customFormat="false" ht="15" hidden="false" customHeight="false" outlineLevel="0" collapsed="false">
      <c r="A267" s="17" t="n">
        <v>262</v>
      </c>
      <c r="B267" s="22"/>
      <c r="C267" s="22"/>
      <c r="D267" s="22"/>
      <c r="E267" s="22"/>
      <c r="F267" s="22"/>
      <c r="G267" s="22"/>
      <c r="H267" s="25"/>
      <c r="I267" s="22"/>
      <c r="J267" s="22"/>
      <c r="K267" s="31" t="str">
        <f aca="false">IF($J267="","",IFERROR(INDEX(DriverCategory,MATCH($J267,DriverList,0)),"?"))</f>
        <v/>
      </c>
      <c r="L267" s="31" t="str">
        <f aca="false">IF($J267="","",IFERROR(INDEX(DriverRank,MATCH($J267,DriverList,0)),99))</f>
        <v/>
      </c>
      <c r="M267" s="22"/>
      <c r="N267" s="22"/>
      <c r="O267" s="19" t="str">
        <f aca="false">IF($D267="","",INDEX(GradeBasic,MATCH($D267,GradeList,0))+INDEX(GradeHousing,MATCH($D267,GradeList,0))+INDEX(GradeTransport,MATCH($D267,GradeList,0))+INDEX(GradeBasic,MATCH($D267,GradeList,0))*INDEX(GradeBonus,MATCH($D267,GradeList,0))+(INDEX(GradeBasic,MATCH($D267,GradeList,0))+INDEX(GradeHousing,MATCH($D267,GradeList,0)))*IF($F267="Saudi",GosiSaudi,GosiOther))</f>
        <v/>
      </c>
      <c r="P267" s="19" t="str">
        <f aca="false">IF($D267="","",IF(INDEX(GradeRank,MATCH($D267,GradeList,0))&gt;=INDEX(GradeRank,MATCH("G14",GradeList,0)),OneOffSenior,OneOffJunior))</f>
        <v/>
      </c>
      <c r="Q267" s="19" t="str">
        <f aca="false">IF(OR($D267="",$I267="",$H267=""),"",$O267*$H267*(5-MATCH($I267,{"Q1";"Q2";"Q3";"Q4"},0))/4+$P267*$H267)</f>
        <v/>
      </c>
      <c r="R267" s="19" t="str">
        <f aca="false">IF($O267="","",$O267*$H267)</f>
        <v/>
      </c>
      <c r="S267" s="32" t="str">
        <f aca="false">IF(COUNTA($B267:$J267)+COUNTA($M267:$N267)=0,"",MID(IF($B267="",", unit","")&amp;IF($C267="",", job title","")&amp;IF($D267="",", grade","")&amp;IF($E267="",", workforce type","")&amp;IF($F267="",", Saudi basis","")&amp;IF($G267="",", nature","")&amp;IF(N($H267)&lt;=0,", FTE","")&amp;IF($I267="",", start quarter","")&amp;IF($J267="",", driver","")&amp;IF($M267="",", alternatives",""),3,300))</f>
        <v/>
      </c>
      <c r="T267" s="17" t="str">
        <f aca="false">IF($S267="","",COUNTIF($S$6:$S267,"?*"))</f>
        <v/>
      </c>
    </row>
    <row r="268" customFormat="false" ht="15" hidden="false" customHeight="false" outlineLevel="0" collapsed="false">
      <c r="A268" s="17" t="n">
        <v>263</v>
      </c>
      <c r="B268" s="22"/>
      <c r="C268" s="22"/>
      <c r="D268" s="22"/>
      <c r="E268" s="22"/>
      <c r="F268" s="22"/>
      <c r="G268" s="22"/>
      <c r="H268" s="25"/>
      <c r="I268" s="22"/>
      <c r="J268" s="22"/>
      <c r="K268" s="31" t="str">
        <f aca="false">IF($J268="","",IFERROR(INDEX(DriverCategory,MATCH($J268,DriverList,0)),"?"))</f>
        <v/>
      </c>
      <c r="L268" s="31" t="str">
        <f aca="false">IF($J268="","",IFERROR(INDEX(DriverRank,MATCH($J268,DriverList,0)),99))</f>
        <v/>
      </c>
      <c r="M268" s="22"/>
      <c r="N268" s="22"/>
      <c r="O268" s="19" t="str">
        <f aca="false">IF($D268="","",INDEX(GradeBasic,MATCH($D268,GradeList,0))+INDEX(GradeHousing,MATCH($D268,GradeList,0))+INDEX(GradeTransport,MATCH($D268,GradeList,0))+INDEX(GradeBasic,MATCH($D268,GradeList,0))*INDEX(GradeBonus,MATCH($D268,GradeList,0))+(INDEX(GradeBasic,MATCH($D268,GradeList,0))+INDEX(GradeHousing,MATCH($D268,GradeList,0)))*IF($F268="Saudi",GosiSaudi,GosiOther))</f>
        <v/>
      </c>
      <c r="P268" s="19" t="str">
        <f aca="false">IF($D268="","",IF(INDEX(GradeRank,MATCH($D268,GradeList,0))&gt;=INDEX(GradeRank,MATCH("G14",GradeList,0)),OneOffSenior,OneOffJunior))</f>
        <v/>
      </c>
      <c r="Q268" s="19" t="str">
        <f aca="false">IF(OR($D268="",$I268="",$H268=""),"",$O268*$H268*(5-MATCH($I268,{"Q1";"Q2";"Q3";"Q4"},0))/4+$P268*$H268)</f>
        <v/>
      </c>
      <c r="R268" s="19" t="str">
        <f aca="false">IF($O268="","",$O268*$H268)</f>
        <v/>
      </c>
      <c r="S268" s="32" t="str">
        <f aca="false">IF(COUNTA($B268:$J268)+COUNTA($M268:$N268)=0,"",MID(IF($B268="",", unit","")&amp;IF($C268="",", job title","")&amp;IF($D268="",", grade","")&amp;IF($E268="",", workforce type","")&amp;IF($F268="",", Saudi basis","")&amp;IF($G268="",", nature","")&amp;IF(N($H268)&lt;=0,", FTE","")&amp;IF($I268="",", start quarter","")&amp;IF($J268="",", driver","")&amp;IF($M268="",", alternatives",""),3,300))</f>
        <v/>
      </c>
      <c r="T268" s="17" t="str">
        <f aca="false">IF($S268="","",COUNTIF($S$6:$S268,"?*"))</f>
        <v/>
      </c>
    </row>
    <row r="269" customFormat="false" ht="15" hidden="false" customHeight="false" outlineLevel="0" collapsed="false">
      <c r="A269" s="17" t="n">
        <v>264</v>
      </c>
      <c r="B269" s="22"/>
      <c r="C269" s="22"/>
      <c r="D269" s="22"/>
      <c r="E269" s="22"/>
      <c r="F269" s="22"/>
      <c r="G269" s="22"/>
      <c r="H269" s="25"/>
      <c r="I269" s="22"/>
      <c r="J269" s="22"/>
      <c r="K269" s="31" t="str">
        <f aca="false">IF($J269="","",IFERROR(INDEX(DriverCategory,MATCH($J269,DriverList,0)),"?"))</f>
        <v/>
      </c>
      <c r="L269" s="31" t="str">
        <f aca="false">IF($J269="","",IFERROR(INDEX(DriverRank,MATCH($J269,DriverList,0)),99))</f>
        <v/>
      </c>
      <c r="M269" s="22"/>
      <c r="N269" s="22"/>
      <c r="O269" s="19" t="str">
        <f aca="false">IF($D269="","",INDEX(GradeBasic,MATCH($D269,GradeList,0))+INDEX(GradeHousing,MATCH($D269,GradeList,0))+INDEX(GradeTransport,MATCH($D269,GradeList,0))+INDEX(GradeBasic,MATCH($D269,GradeList,0))*INDEX(GradeBonus,MATCH($D269,GradeList,0))+(INDEX(GradeBasic,MATCH($D269,GradeList,0))+INDEX(GradeHousing,MATCH($D269,GradeList,0)))*IF($F269="Saudi",GosiSaudi,GosiOther))</f>
        <v/>
      </c>
      <c r="P269" s="19" t="str">
        <f aca="false">IF($D269="","",IF(INDEX(GradeRank,MATCH($D269,GradeList,0))&gt;=INDEX(GradeRank,MATCH("G14",GradeList,0)),OneOffSenior,OneOffJunior))</f>
        <v/>
      </c>
      <c r="Q269" s="19" t="str">
        <f aca="false">IF(OR($D269="",$I269="",$H269=""),"",$O269*$H269*(5-MATCH($I269,{"Q1";"Q2";"Q3";"Q4"},0))/4+$P269*$H269)</f>
        <v/>
      </c>
      <c r="R269" s="19" t="str">
        <f aca="false">IF($O269="","",$O269*$H269)</f>
        <v/>
      </c>
      <c r="S269" s="32" t="str">
        <f aca="false">IF(COUNTA($B269:$J269)+COUNTA($M269:$N269)=0,"",MID(IF($B269="",", unit","")&amp;IF($C269="",", job title","")&amp;IF($D269="",", grade","")&amp;IF($E269="",", workforce type","")&amp;IF($F269="",", Saudi basis","")&amp;IF($G269="",", nature","")&amp;IF(N($H269)&lt;=0,", FTE","")&amp;IF($I269="",", start quarter","")&amp;IF($J269="",", driver","")&amp;IF($M269="",", alternatives",""),3,300))</f>
        <v/>
      </c>
      <c r="T269" s="17" t="str">
        <f aca="false">IF($S269="","",COUNTIF($S$6:$S269,"?*"))</f>
        <v/>
      </c>
    </row>
    <row r="270" customFormat="false" ht="15" hidden="false" customHeight="false" outlineLevel="0" collapsed="false">
      <c r="A270" s="17" t="n">
        <v>265</v>
      </c>
      <c r="B270" s="22"/>
      <c r="C270" s="22"/>
      <c r="D270" s="22"/>
      <c r="E270" s="22"/>
      <c r="F270" s="22"/>
      <c r="G270" s="22"/>
      <c r="H270" s="25"/>
      <c r="I270" s="22"/>
      <c r="J270" s="22"/>
      <c r="K270" s="31" t="str">
        <f aca="false">IF($J270="","",IFERROR(INDEX(DriverCategory,MATCH($J270,DriverList,0)),"?"))</f>
        <v/>
      </c>
      <c r="L270" s="31" t="str">
        <f aca="false">IF($J270="","",IFERROR(INDEX(DriverRank,MATCH($J270,DriverList,0)),99))</f>
        <v/>
      </c>
      <c r="M270" s="22"/>
      <c r="N270" s="22"/>
      <c r="O270" s="19" t="str">
        <f aca="false">IF($D270="","",INDEX(GradeBasic,MATCH($D270,GradeList,0))+INDEX(GradeHousing,MATCH($D270,GradeList,0))+INDEX(GradeTransport,MATCH($D270,GradeList,0))+INDEX(GradeBasic,MATCH($D270,GradeList,0))*INDEX(GradeBonus,MATCH($D270,GradeList,0))+(INDEX(GradeBasic,MATCH($D270,GradeList,0))+INDEX(GradeHousing,MATCH($D270,GradeList,0)))*IF($F270="Saudi",GosiSaudi,GosiOther))</f>
        <v/>
      </c>
      <c r="P270" s="19" t="str">
        <f aca="false">IF($D270="","",IF(INDEX(GradeRank,MATCH($D270,GradeList,0))&gt;=INDEX(GradeRank,MATCH("G14",GradeList,0)),OneOffSenior,OneOffJunior))</f>
        <v/>
      </c>
      <c r="Q270" s="19" t="str">
        <f aca="false">IF(OR($D270="",$I270="",$H270=""),"",$O270*$H270*(5-MATCH($I270,{"Q1";"Q2";"Q3";"Q4"},0))/4+$P270*$H270)</f>
        <v/>
      </c>
      <c r="R270" s="19" t="str">
        <f aca="false">IF($O270="","",$O270*$H270)</f>
        <v/>
      </c>
      <c r="S270" s="32" t="str">
        <f aca="false">IF(COUNTA($B270:$J270)+COUNTA($M270:$N270)=0,"",MID(IF($B270="",", unit","")&amp;IF($C270="",", job title","")&amp;IF($D270="",", grade","")&amp;IF($E270="",", workforce type","")&amp;IF($F270="",", Saudi basis","")&amp;IF($G270="",", nature","")&amp;IF(N($H270)&lt;=0,", FTE","")&amp;IF($I270="",", start quarter","")&amp;IF($J270="",", driver","")&amp;IF($M270="",", alternatives",""),3,300))</f>
        <v/>
      </c>
      <c r="T270" s="17" t="str">
        <f aca="false">IF($S270="","",COUNTIF($S$6:$S270,"?*"))</f>
        <v/>
      </c>
    </row>
    <row r="271" customFormat="false" ht="15" hidden="false" customHeight="false" outlineLevel="0" collapsed="false">
      <c r="A271" s="17" t="n">
        <v>266</v>
      </c>
      <c r="B271" s="22"/>
      <c r="C271" s="22"/>
      <c r="D271" s="22"/>
      <c r="E271" s="22"/>
      <c r="F271" s="22"/>
      <c r="G271" s="22"/>
      <c r="H271" s="25"/>
      <c r="I271" s="22"/>
      <c r="J271" s="22"/>
      <c r="K271" s="31" t="str">
        <f aca="false">IF($J271="","",IFERROR(INDEX(DriverCategory,MATCH($J271,DriverList,0)),"?"))</f>
        <v/>
      </c>
      <c r="L271" s="31" t="str">
        <f aca="false">IF($J271="","",IFERROR(INDEX(DriverRank,MATCH($J271,DriverList,0)),99))</f>
        <v/>
      </c>
      <c r="M271" s="22"/>
      <c r="N271" s="22"/>
      <c r="O271" s="19" t="str">
        <f aca="false">IF($D271="","",INDEX(GradeBasic,MATCH($D271,GradeList,0))+INDEX(GradeHousing,MATCH($D271,GradeList,0))+INDEX(GradeTransport,MATCH($D271,GradeList,0))+INDEX(GradeBasic,MATCH($D271,GradeList,0))*INDEX(GradeBonus,MATCH($D271,GradeList,0))+(INDEX(GradeBasic,MATCH($D271,GradeList,0))+INDEX(GradeHousing,MATCH($D271,GradeList,0)))*IF($F271="Saudi",GosiSaudi,GosiOther))</f>
        <v/>
      </c>
      <c r="P271" s="19" t="str">
        <f aca="false">IF($D271="","",IF(INDEX(GradeRank,MATCH($D271,GradeList,0))&gt;=INDEX(GradeRank,MATCH("G14",GradeList,0)),OneOffSenior,OneOffJunior))</f>
        <v/>
      </c>
      <c r="Q271" s="19" t="str">
        <f aca="false">IF(OR($D271="",$I271="",$H271=""),"",$O271*$H271*(5-MATCH($I271,{"Q1";"Q2";"Q3";"Q4"},0))/4+$P271*$H271)</f>
        <v/>
      </c>
      <c r="R271" s="19" t="str">
        <f aca="false">IF($O271="","",$O271*$H271)</f>
        <v/>
      </c>
      <c r="S271" s="32" t="str">
        <f aca="false">IF(COUNTA($B271:$J271)+COUNTA($M271:$N271)=0,"",MID(IF($B271="",", unit","")&amp;IF($C271="",", job title","")&amp;IF($D271="",", grade","")&amp;IF($E271="",", workforce type","")&amp;IF($F271="",", Saudi basis","")&amp;IF($G271="",", nature","")&amp;IF(N($H271)&lt;=0,", FTE","")&amp;IF($I271="",", start quarter","")&amp;IF($J271="",", driver","")&amp;IF($M271="",", alternatives",""),3,300))</f>
        <v/>
      </c>
      <c r="T271" s="17" t="str">
        <f aca="false">IF($S271="","",COUNTIF($S$6:$S271,"?*"))</f>
        <v/>
      </c>
    </row>
    <row r="272" customFormat="false" ht="15" hidden="false" customHeight="false" outlineLevel="0" collapsed="false">
      <c r="A272" s="17" t="n">
        <v>267</v>
      </c>
      <c r="B272" s="22"/>
      <c r="C272" s="22"/>
      <c r="D272" s="22"/>
      <c r="E272" s="22"/>
      <c r="F272" s="22"/>
      <c r="G272" s="22"/>
      <c r="H272" s="25"/>
      <c r="I272" s="22"/>
      <c r="J272" s="22"/>
      <c r="K272" s="31" t="str">
        <f aca="false">IF($J272="","",IFERROR(INDEX(DriverCategory,MATCH($J272,DriverList,0)),"?"))</f>
        <v/>
      </c>
      <c r="L272" s="31" t="str">
        <f aca="false">IF($J272="","",IFERROR(INDEX(DriverRank,MATCH($J272,DriverList,0)),99))</f>
        <v/>
      </c>
      <c r="M272" s="22"/>
      <c r="N272" s="22"/>
      <c r="O272" s="19" t="str">
        <f aca="false">IF($D272="","",INDEX(GradeBasic,MATCH($D272,GradeList,0))+INDEX(GradeHousing,MATCH($D272,GradeList,0))+INDEX(GradeTransport,MATCH($D272,GradeList,0))+INDEX(GradeBasic,MATCH($D272,GradeList,0))*INDEX(GradeBonus,MATCH($D272,GradeList,0))+(INDEX(GradeBasic,MATCH($D272,GradeList,0))+INDEX(GradeHousing,MATCH($D272,GradeList,0)))*IF($F272="Saudi",GosiSaudi,GosiOther))</f>
        <v/>
      </c>
      <c r="P272" s="19" t="str">
        <f aca="false">IF($D272="","",IF(INDEX(GradeRank,MATCH($D272,GradeList,0))&gt;=INDEX(GradeRank,MATCH("G14",GradeList,0)),OneOffSenior,OneOffJunior))</f>
        <v/>
      </c>
      <c r="Q272" s="19" t="str">
        <f aca="false">IF(OR($D272="",$I272="",$H272=""),"",$O272*$H272*(5-MATCH($I272,{"Q1";"Q2";"Q3";"Q4"},0))/4+$P272*$H272)</f>
        <v/>
      </c>
      <c r="R272" s="19" t="str">
        <f aca="false">IF($O272="","",$O272*$H272)</f>
        <v/>
      </c>
      <c r="S272" s="32" t="str">
        <f aca="false">IF(COUNTA($B272:$J272)+COUNTA($M272:$N272)=0,"",MID(IF($B272="",", unit","")&amp;IF($C272="",", job title","")&amp;IF($D272="",", grade","")&amp;IF($E272="",", workforce type","")&amp;IF($F272="",", Saudi basis","")&amp;IF($G272="",", nature","")&amp;IF(N($H272)&lt;=0,", FTE","")&amp;IF($I272="",", start quarter","")&amp;IF($J272="",", driver","")&amp;IF($M272="",", alternatives",""),3,300))</f>
        <v/>
      </c>
      <c r="T272" s="17" t="str">
        <f aca="false">IF($S272="","",COUNTIF($S$6:$S272,"?*"))</f>
        <v/>
      </c>
    </row>
    <row r="273" customFormat="false" ht="15" hidden="false" customHeight="false" outlineLevel="0" collapsed="false">
      <c r="A273" s="17" t="n">
        <v>268</v>
      </c>
      <c r="B273" s="22"/>
      <c r="C273" s="22"/>
      <c r="D273" s="22"/>
      <c r="E273" s="22"/>
      <c r="F273" s="22"/>
      <c r="G273" s="22"/>
      <c r="H273" s="25"/>
      <c r="I273" s="22"/>
      <c r="J273" s="22"/>
      <c r="K273" s="31" t="str">
        <f aca="false">IF($J273="","",IFERROR(INDEX(DriverCategory,MATCH($J273,DriverList,0)),"?"))</f>
        <v/>
      </c>
      <c r="L273" s="31" t="str">
        <f aca="false">IF($J273="","",IFERROR(INDEX(DriverRank,MATCH($J273,DriverList,0)),99))</f>
        <v/>
      </c>
      <c r="M273" s="22"/>
      <c r="N273" s="22"/>
      <c r="O273" s="19" t="str">
        <f aca="false">IF($D273="","",INDEX(GradeBasic,MATCH($D273,GradeList,0))+INDEX(GradeHousing,MATCH($D273,GradeList,0))+INDEX(GradeTransport,MATCH($D273,GradeList,0))+INDEX(GradeBasic,MATCH($D273,GradeList,0))*INDEX(GradeBonus,MATCH($D273,GradeList,0))+(INDEX(GradeBasic,MATCH($D273,GradeList,0))+INDEX(GradeHousing,MATCH($D273,GradeList,0)))*IF($F273="Saudi",GosiSaudi,GosiOther))</f>
        <v/>
      </c>
      <c r="P273" s="19" t="str">
        <f aca="false">IF($D273="","",IF(INDEX(GradeRank,MATCH($D273,GradeList,0))&gt;=INDEX(GradeRank,MATCH("G14",GradeList,0)),OneOffSenior,OneOffJunior))</f>
        <v/>
      </c>
      <c r="Q273" s="19" t="str">
        <f aca="false">IF(OR($D273="",$I273="",$H273=""),"",$O273*$H273*(5-MATCH($I273,{"Q1";"Q2";"Q3";"Q4"},0))/4+$P273*$H273)</f>
        <v/>
      </c>
      <c r="R273" s="19" t="str">
        <f aca="false">IF($O273="","",$O273*$H273)</f>
        <v/>
      </c>
      <c r="S273" s="32" t="str">
        <f aca="false">IF(COUNTA($B273:$J273)+COUNTA($M273:$N273)=0,"",MID(IF($B273="",", unit","")&amp;IF($C273="",", job title","")&amp;IF($D273="",", grade","")&amp;IF($E273="",", workforce type","")&amp;IF($F273="",", Saudi basis","")&amp;IF($G273="",", nature","")&amp;IF(N($H273)&lt;=0,", FTE","")&amp;IF($I273="",", start quarter","")&amp;IF($J273="",", driver","")&amp;IF($M273="",", alternatives",""),3,300))</f>
        <v/>
      </c>
      <c r="T273" s="17" t="str">
        <f aca="false">IF($S273="","",COUNTIF($S$6:$S273,"?*"))</f>
        <v/>
      </c>
    </row>
    <row r="274" customFormat="false" ht="15" hidden="false" customHeight="false" outlineLevel="0" collapsed="false">
      <c r="A274" s="17" t="n">
        <v>269</v>
      </c>
      <c r="B274" s="22"/>
      <c r="C274" s="22"/>
      <c r="D274" s="22"/>
      <c r="E274" s="22"/>
      <c r="F274" s="22"/>
      <c r="G274" s="22"/>
      <c r="H274" s="25"/>
      <c r="I274" s="22"/>
      <c r="J274" s="22"/>
      <c r="K274" s="31" t="str">
        <f aca="false">IF($J274="","",IFERROR(INDEX(DriverCategory,MATCH($J274,DriverList,0)),"?"))</f>
        <v/>
      </c>
      <c r="L274" s="31" t="str">
        <f aca="false">IF($J274="","",IFERROR(INDEX(DriverRank,MATCH($J274,DriverList,0)),99))</f>
        <v/>
      </c>
      <c r="M274" s="22"/>
      <c r="N274" s="22"/>
      <c r="O274" s="19" t="str">
        <f aca="false">IF($D274="","",INDEX(GradeBasic,MATCH($D274,GradeList,0))+INDEX(GradeHousing,MATCH($D274,GradeList,0))+INDEX(GradeTransport,MATCH($D274,GradeList,0))+INDEX(GradeBasic,MATCH($D274,GradeList,0))*INDEX(GradeBonus,MATCH($D274,GradeList,0))+(INDEX(GradeBasic,MATCH($D274,GradeList,0))+INDEX(GradeHousing,MATCH($D274,GradeList,0)))*IF($F274="Saudi",GosiSaudi,GosiOther))</f>
        <v/>
      </c>
      <c r="P274" s="19" t="str">
        <f aca="false">IF($D274="","",IF(INDEX(GradeRank,MATCH($D274,GradeList,0))&gt;=INDEX(GradeRank,MATCH("G14",GradeList,0)),OneOffSenior,OneOffJunior))</f>
        <v/>
      </c>
      <c r="Q274" s="19" t="str">
        <f aca="false">IF(OR($D274="",$I274="",$H274=""),"",$O274*$H274*(5-MATCH($I274,{"Q1";"Q2";"Q3";"Q4"},0))/4+$P274*$H274)</f>
        <v/>
      </c>
      <c r="R274" s="19" t="str">
        <f aca="false">IF($O274="","",$O274*$H274)</f>
        <v/>
      </c>
      <c r="S274" s="32" t="str">
        <f aca="false">IF(COUNTA($B274:$J274)+COUNTA($M274:$N274)=0,"",MID(IF($B274="",", unit","")&amp;IF($C274="",", job title","")&amp;IF($D274="",", grade","")&amp;IF($E274="",", workforce type","")&amp;IF($F274="",", Saudi basis","")&amp;IF($G274="",", nature","")&amp;IF(N($H274)&lt;=0,", FTE","")&amp;IF($I274="",", start quarter","")&amp;IF($J274="",", driver","")&amp;IF($M274="",", alternatives",""),3,300))</f>
        <v/>
      </c>
      <c r="T274" s="17" t="str">
        <f aca="false">IF($S274="","",COUNTIF($S$6:$S274,"?*"))</f>
        <v/>
      </c>
    </row>
    <row r="275" customFormat="false" ht="15" hidden="false" customHeight="false" outlineLevel="0" collapsed="false">
      <c r="A275" s="17" t="n">
        <v>270</v>
      </c>
      <c r="B275" s="22"/>
      <c r="C275" s="22"/>
      <c r="D275" s="22"/>
      <c r="E275" s="22"/>
      <c r="F275" s="22"/>
      <c r="G275" s="22"/>
      <c r="H275" s="25"/>
      <c r="I275" s="22"/>
      <c r="J275" s="22"/>
      <c r="K275" s="31" t="str">
        <f aca="false">IF($J275="","",IFERROR(INDEX(DriverCategory,MATCH($J275,DriverList,0)),"?"))</f>
        <v/>
      </c>
      <c r="L275" s="31" t="str">
        <f aca="false">IF($J275="","",IFERROR(INDEX(DriverRank,MATCH($J275,DriverList,0)),99))</f>
        <v/>
      </c>
      <c r="M275" s="22"/>
      <c r="N275" s="22"/>
      <c r="O275" s="19" t="str">
        <f aca="false">IF($D275="","",INDEX(GradeBasic,MATCH($D275,GradeList,0))+INDEX(GradeHousing,MATCH($D275,GradeList,0))+INDEX(GradeTransport,MATCH($D275,GradeList,0))+INDEX(GradeBasic,MATCH($D275,GradeList,0))*INDEX(GradeBonus,MATCH($D275,GradeList,0))+(INDEX(GradeBasic,MATCH($D275,GradeList,0))+INDEX(GradeHousing,MATCH($D275,GradeList,0)))*IF($F275="Saudi",GosiSaudi,GosiOther))</f>
        <v/>
      </c>
      <c r="P275" s="19" t="str">
        <f aca="false">IF($D275="","",IF(INDEX(GradeRank,MATCH($D275,GradeList,0))&gt;=INDEX(GradeRank,MATCH("G14",GradeList,0)),OneOffSenior,OneOffJunior))</f>
        <v/>
      </c>
      <c r="Q275" s="19" t="str">
        <f aca="false">IF(OR($D275="",$I275="",$H275=""),"",$O275*$H275*(5-MATCH($I275,{"Q1";"Q2";"Q3";"Q4"},0))/4+$P275*$H275)</f>
        <v/>
      </c>
      <c r="R275" s="19" t="str">
        <f aca="false">IF($O275="","",$O275*$H275)</f>
        <v/>
      </c>
      <c r="S275" s="32" t="str">
        <f aca="false">IF(COUNTA($B275:$J275)+COUNTA($M275:$N275)=0,"",MID(IF($B275="",", unit","")&amp;IF($C275="",", job title","")&amp;IF($D275="",", grade","")&amp;IF($E275="",", workforce type","")&amp;IF($F275="",", Saudi basis","")&amp;IF($G275="",", nature","")&amp;IF(N($H275)&lt;=0,", FTE","")&amp;IF($I275="",", start quarter","")&amp;IF($J275="",", driver","")&amp;IF($M275="",", alternatives",""),3,300))</f>
        <v/>
      </c>
      <c r="T275" s="17" t="str">
        <f aca="false">IF($S275="","",COUNTIF($S$6:$S275,"?*"))</f>
        <v/>
      </c>
    </row>
    <row r="276" customFormat="false" ht="15" hidden="false" customHeight="false" outlineLevel="0" collapsed="false">
      <c r="A276" s="17" t="n">
        <v>271</v>
      </c>
      <c r="B276" s="22"/>
      <c r="C276" s="22"/>
      <c r="D276" s="22"/>
      <c r="E276" s="22"/>
      <c r="F276" s="22"/>
      <c r="G276" s="22"/>
      <c r="H276" s="25"/>
      <c r="I276" s="22"/>
      <c r="J276" s="22"/>
      <c r="K276" s="31" t="str">
        <f aca="false">IF($J276="","",IFERROR(INDEX(DriverCategory,MATCH($J276,DriverList,0)),"?"))</f>
        <v/>
      </c>
      <c r="L276" s="31" t="str">
        <f aca="false">IF($J276="","",IFERROR(INDEX(DriverRank,MATCH($J276,DriverList,0)),99))</f>
        <v/>
      </c>
      <c r="M276" s="22"/>
      <c r="N276" s="22"/>
      <c r="O276" s="19" t="str">
        <f aca="false">IF($D276="","",INDEX(GradeBasic,MATCH($D276,GradeList,0))+INDEX(GradeHousing,MATCH($D276,GradeList,0))+INDEX(GradeTransport,MATCH($D276,GradeList,0))+INDEX(GradeBasic,MATCH($D276,GradeList,0))*INDEX(GradeBonus,MATCH($D276,GradeList,0))+(INDEX(GradeBasic,MATCH($D276,GradeList,0))+INDEX(GradeHousing,MATCH($D276,GradeList,0)))*IF($F276="Saudi",GosiSaudi,GosiOther))</f>
        <v/>
      </c>
      <c r="P276" s="19" t="str">
        <f aca="false">IF($D276="","",IF(INDEX(GradeRank,MATCH($D276,GradeList,0))&gt;=INDEX(GradeRank,MATCH("G14",GradeList,0)),OneOffSenior,OneOffJunior))</f>
        <v/>
      </c>
      <c r="Q276" s="19" t="str">
        <f aca="false">IF(OR($D276="",$I276="",$H276=""),"",$O276*$H276*(5-MATCH($I276,{"Q1";"Q2";"Q3";"Q4"},0))/4+$P276*$H276)</f>
        <v/>
      </c>
      <c r="R276" s="19" t="str">
        <f aca="false">IF($O276="","",$O276*$H276)</f>
        <v/>
      </c>
      <c r="S276" s="32" t="str">
        <f aca="false">IF(COUNTA($B276:$J276)+COUNTA($M276:$N276)=0,"",MID(IF($B276="",", unit","")&amp;IF($C276="",", job title","")&amp;IF($D276="",", grade","")&amp;IF($E276="",", workforce type","")&amp;IF($F276="",", Saudi basis","")&amp;IF($G276="",", nature","")&amp;IF(N($H276)&lt;=0,", FTE","")&amp;IF($I276="",", start quarter","")&amp;IF($J276="",", driver","")&amp;IF($M276="",", alternatives",""),3,300))</f>
        <v/>
      </c>
      <c r="T276" s="17" t="str">
        <f aca="false">IF($S276="","",COUNTIF($S$6:$S276,"?*"))</f>
        <v/>
      </c>
    </row>
    <row r="277" customFormat="false" ht="15" hidden="false" customHeight="false" outlineLevel="0" collapsed="false">
      <c r="A277" s="17" t="n">
        <v>272</v>
      </c>
      <c r="B277" s="22"/>
      <c r="C277" s="22"/>
      <c r="D277" s="22"/>
      <c r="E277" s="22"/>
      <c r="F277" s="22"/>
      <c r="G277" s="22"/>
      <c r="H277" s="25"/>
      <c r="I277" s="22"/>
      <c r="J277" s="22"/>
      <c r="K277" s="31" t="str">
        <f aca="false">IF($J277="","",IFERROR(INDEX(DriverCategory,MATCH($J277,DriverList,0)),"?"))</f>
        <v/>
      </c>
      <c r="L277" s="31" t="str">
        <f aca="false">IF($J277="","",IFERROR(INDEX(DriverRank,MATCH($J277,DriverList,0)),99))</f>
        <v/>
      </c>
      <c r="M277" s="22"/>
      <c r="N277" s="22"/>
      <c r="O277" s="19" t="str">
        <f aca="false">IF($D277="","",INDEX(GradeBasic,MATCH($D277,GradeList,0))+INDEX(GradeHousing,MATCH($D277,GradeList,0))+INDEX(GradeTransport,MATCH($D277,GradeList,0))+INDEX(GradeBasic,MATCH($D277,GradeList,0))*INDEX(GradeBonus,MATCH($D277,GradeList,0))+(INDEX(GradeBasic,MATCH($D277,GradeList,0))+INDEX(GradeHousing,MATCH($D277,GradeList,0)))*IF($F277="Saudi",GosiSaudi,GosiOther))</f>
        <v/>
      </c>
      <c r="P277" s="19" t="str">
        <f aca="false">IF($D277="","",IF(INDEX(GradeRank,MATCH($D277,GradeList,0))&gt;=INDEX(GradeRank,MATCH("G14",GradeList,0)),OneOffSenior,OneOffJunior))</f>
        <v/>
      </c>
      <c r="Q277" s="19" t="str">
        <f aca="false">IF(OR($D277="",$I277="",$H277=""),"",$O277*$H277*(5-MATCH($I277,{"Q1";"Q2";"Q3";"Q4"},0))/4+$P277*$H277)</f>
        <v/>
      </c>
      <c r="R277" s="19" t="str">
        <f aca="false">IF($O277="","",$O277*$H277)</f>
        <v/>
      </c>
      <c r="S277" s="32" t="str">
        <f aca="false">IF(COUNTA($B277:$J277)+COUNTA($M277:$N277)=0,"",MID(IF($B277="",", unit","")&amp;IF($C277="",", job title","")&amp;IF($D277="",", grade","")&amp;IF($E277="",", workforce type","")&amp;IF($F277="",", Saudi basis","")&amp;IF($G277="",", nature","")&amp;IF(N($H277)&lt;=0,", FTE","")&amp;IF($I277="",", start quarter","")&amp;IF($J277="",", driver","")&amp;IF($M277="",", alternatives",""),3,300))</f>
        <v/>
      </c>
      <c r="T277" s="17" t="str">
        <f aca="false">IF($S277="","",COUNTIF($S$6:$S277,"?*"))</f>
        <v/>
      </c>
    </row>
    <row r="278" customFormat="false" ht="15" hidden="false" customHeight="false" outlineLevel="0" collapsed="false">
      <c r="A278" s="17" t="n">
        <v>273</v>
      </c>
      <c r="B278" s="22"/>
      <c r="C278" s="22"/>
      <c r="D278" s="22"/>
      <c r="E278" s="22"/>
      <c r="F278" s="22"/>
      <c r="G278" s="22"/>
      <c r="H278" s="25"/>
      <c r="I278" s="22"/>
      <c r="J278" s="22"/>
      <c r="K278" s="31" t="str">
        <f aca="false">IF($J278="","",IFERROR(INDEX(DriverCategory,MATCH($J278,DriverList,0)),"?"))</f>
        <v/>
      </c>
      <c r="L278" s="31" t="str">
        <f aca="false">IF($J278="","",IFERROR(INDEX(DriverRank,MATCH($J278,DriverList,0)),99))</f>
        <v/>
      </c>
      <c r="M278" s="22"/>
      <c r="N278" s="22"/>
      <c r="O278" s="19" t="str">
        <f aca="false">IF($D278="","",INDEX(GradeBasic,MATCH($D278,GradeList,0))+INDEX(GradeHousing,MATCH($D278,GradeList,0))+INDEX(GradeTransport,MATCH($D278,GradeList,0))+INDEX(GradeBasic,MATCH($D278,GradeList,0))*INDEX(GradeBonus,MATCH($D278,GradeList,0))+(INDEX(GradeBasic,MATCH($D278,GradeList,0))+INDEX(GradeHousing,MATCH($D278,GradeList,0)))*IF($F278="Saudi",GosiSaudi,GosiOther))</f>
        <v/>
      </c>
      <c r="P278" s="19" t="str">
        <f aca="false">IF($D278="","",IF(INDEX(GradeRank,MATCH($D278,GradeList,0))&gt;=INDEX(GradeRank,MATCH("G14",GradeList,0)),OneOffSenior,OneOffJunior))</f>
        <v/>
      </c>
      <c r="Q278" s="19" t="str">
        <f aca="false">IF(OR($D278="",$I278="",$H278=""),"",$O278*$H278*(5-MATCH($I278,{"Q1";"Q2";"Q3";"Q4"},0))/4+$P278*$H278)</f>
        <v/>
      </c>
      <c r="R278" s="19" t="str">
        <f aca="false">IF($O278="","",$O278*$H278)</f>
        <v/>
      </c>
      <c r="S278" s="32" t="str">
        <f aca="false">IF(COUNTA($B278:$J278)+COUNTA($M278:$N278)=0,"",MID(IF($B278="",", unit","")&amp;IF($C278="",", job title","")&amp;IF($D278="",", grade","")&amp;IF($E278="",", workforce type","")&amp;IF($F278="",", Saudi basis","")&amp;IF($G278="",", nature","")&amp;IF(N($H278)&lt;=0,", FTE","")&amp;IF($I278="",", start quarter","")&amp;IF($J278="",", driver","")&amp;IF($M278="",", alternatives",""),3,300))</f>
        <v/>
      </c>
      <c r="T278" s="17" t="str">
        <f aca="false">IF($S278="","",COUNTIF($S$6:$S278,"?*"))</f>
        <v/>
      </c>
    </row>
    <row r="279" customFormat="false" ht="15" hidden="false" customHeight="false" outlineLevel="0" collapsed="false">
      <c r="A279" s="17" t="n">
        <v>274</v>
      </c>
      <c r="B279" s="22"/>
      <c r="C279" s="22"/>
      <c r="D279" s="22"/>
      <c r="E279" s="22"/>
      <c r="F279" s="22"/>
      <c r="G279" s="22"/>
      <c r="H279" s="25"/>
      <c r="I279" s="22"/>
      <c r="J279" s="22"/>
      <c r="K279" s="31" t="str">
        <f aca="false">IF($J279="","",IFERROR(INDEX(DriverCategory,MATCH($J279,DriverList,0)),"?"))</f>
        <v/>
      </c>
      <c r="L279" s="31" t="str">
        <f aca="false">IF($J279="","",IFERROR(INDEX(DriverRank,MATCH($J279,DriverList,0)),99))</f>
        <v/>
      </c>
      <c r="M279" s="22"/>
      <c r="N279" s="22"/>
      <c r="O279" s="19" t="str">
        <f aca="false">IF($D279="","",INDEX(GradeBasic,MATCH($D279,GradeList,0))+INDEX(GradeHousing,MATCH($D279,GradeList,0))+INDEX(GradeTransport,MATCH($D279,GradeList,0))+INDEX(GradeBasic,MATCH($D279,GradeList,0))*INDEX(GradeBonus,MATCH($D279,GradeList,0))+(INDEX(GradeBasic,MATCH($D279,GradeList,0))+INDEX(GradeHousing,MATCH($D279,GradeList,0)))*IF($F279="Saudi",GosiSaudi,GosiOther))</f>
        <v/>
      </c>
      <c r="P279" s="19" t="str">
        <f aca="false">IF($D279="","",IF(INDEX(GradeRank,MATCH($D279,GradeList,0))&gt;=INDEX(GradeRank,MATCH("G14",GradeList,0)),OneOffSenior,OneOffJunior))</f>
        <v/>
      </c>
      <c r="Q279" s="19" t="str">
        <f aca="false">IF(OR($D279="",$I279="",$H279=""),"",$O279*$H279*(5-MATCH($I279,{"Q1";"Q2";"Q3";"Q4"},0))/4+$P279*$H279)</f>
        <v/>
      </c>
      <c r="R279" s="19" t="str">
        <f aca="false">IF($O279="","",$O279*$H279)</f>
        <v/>
      </c>
      <c r="S279" s="32" t="str">
        <f aca="false">IF(COUNTA($B279:$J279)+COUNTA($M279:$N279)=0,"",MID(IF($B279="",", unit","")&amp;IF($C279="",", job title","")&amp;IF($D279="",", grade","")&amp;IF($E279="",", workforce type","")&amp;IF($F279="",", Saudi basis","")&amp;IF($G279="",", nature","")&amp;IF(N($H279)&lt;=0,", FTE","")&amp;IF($I279="",", start quarter","")&amp;IF($J279="",", driver","")&amp;IF($M279="",", alternatives",""),3,300))</f>
        <v/>
      </c>
      <c r="T279" s="17" t="str">
        <f aca="false">IF($S279="","",COUNTIF($S$6:$S279,"?*"))</f>
        <v/>
      </c>
    </row>
    <row r="280" customFormat="false" ht="15" hidden="false" customHeight="false" outlineLevel="0" collapsed="false">
      <c r="A280" s="17" t="n">
        <v>275</v>
      </c>
      <c r="B280" s="22"/>
      <c r="C280" s="22"/>
      <c r="D280" s="22"/>
      <c r="E280" s="22"/>
      <c r="F280" s="22"/>
      <c r="G280" s="22"/>
      <c r="H280" s="25"/>
      <c r="I280" s="22"/>
      <c r="J280" s="22"/>
      <c r="K280" s="31" t="str">
        <f aca="false">IF($J280="","",IFERROR(INDEX(DriverCategory,MATCH($J280,DriverList,0)),"?"))</f>
        <v/>
      </c>
      <c r="L280" s="31" t="str">
        <f aca="false">IF($J280="","",IFERROR(INDEX(DriverRank,MATCH($J280,DriverList,0)),99))</f>
        <v/>
      </c>
      <c r="M280" s="22"/>
      <c r="N280" s="22"/>
      <c r="O280" s="19" t="str">
        <f aca="false">IF($D280="","",INDEX(GradeBasic,MATCH($D280,GradeList,0))+INDEX(GradeHousing,MATCH($D280,GradeList,0))+INDEX(GradeTransport,MATCH($D280,GradeList,0))+INDEX(GradeBasic,MATCH($D280,GradeList,0))*INDEX(GradeBonus,MATCH($D280,GradeList,0))+(INDEX(GradeBasic,MATCH($D280,GradeList,0))+INDEX(GradeHousing,MATCH($D280,GradeList,0)))*IF($F280="Saudi",GosiSaudi,GosiOther))</f>
        <v/>
      </c>
      <c r="P280" s="19" t="str">
        <f aca="false">IF($D280="","",IF(INDEX(GradeRank,MATCH($D280,GradeList,0))&gt;=INDEX(GradeRank,MATCH("G14",GradeList,0)),OneOffSenior,OneOffJunior))</f>
        <v/>
      </c>
      <c r="Q280" s="19" t="str">
        <f aca="false">IF(OR($D280="",$I280="",$H280=""),"",$O280*$H280*(5-MATCH($I280,{"Q1";"Q2";"Q3";"Q4"},0))/4+$P280*$H280)</f>
        <v/>
      </c>
      <c r="R280" s="19" t="str">
        <f aca="false">IF($O280="","",$O280*$H280)</f>
        <v/>
      </c>
      <c r="S280" s="32" t="str">
        <f aca="false">IF(COUNTA($B280:$J280)+COUNTA($M280:$N280)=0,"",MID(IF($B280="",", unit","")&amp;IF($C280="",", job title","")&amp;IF($D280="",", grade","")&amp;IF($E280="",", workforce type","")&amp;IF($F280="",", Saudi basis","")&amp;IF($G280="",", nature","")&amp;IF(N($H280)&lt;=0,", FTE","")&amp;IF($I280="",", start quarter","")&amp;IF($J280="",", driver","")&amp;IF($M280="",", alternatives",""),3,300))</f>
        <v/>
      </c>
      <c r="T280" s="17" t="str">
        <f aca="false">IF($S280="","",COUNTIF($S$6:$S280,"?*"))</f>
        <v/>
      </c>
    </row>
    <row r="281" customFormat="false" ht="15" hidden="false" customHeight="false" outlineLevel="0" collapsed="false">
      <c r="A281" s="17" t="n">
        <v>276</v>
      </c>
      <c r="B281" s="22"/>
      <c r="C281" s="22"/>
      <c r="D281" s="22"/>
      <c r="E281" s="22"/>
      <c r="F281" s="22"/>
      <c r="G281" s="22"/>
      <c r="H281" s="25"/>
      <c r="I281" s="22"/>
      <c r="J281" s="22"/>
      <c r="K281" s="31" t="str">
        <f aca="false">IF($J281="","",IFERROR(INDEX(DriverCategory,MATCH($J281,DriverList,0)),"?"))</f>
        <v/>
      </c>
      <c r="L281" s="31" t="str">
        <f aca="false">IF($J281="","",IFERROR(INDEX(DriverRank,MATCH($J281,DriverList,0)),99))</f>
        <v/>
      </c>
      <c r="M281" s="22"/>
      <c r="N281" s="22"/>
      <c r="O281" s="19" t="str">
        <f aca="false">IF($D281="","",INDEX(GradeBasic,MATCH($D281,GradeList,0))+INDEX(GradeHousing,MATCH($D281,GradeList,0))+INDEX(GradeTransport,MATCH($D281,GradeList,0))+INDEX(GradeBasic,MATCH($D281,GradeList,0))*INDEX(GradeBonus,MATCH($D281,GradeList,0))+(INDEX(GradeBasic,MATCH($D281,GradeList,0))+INDEX(GradeHousing,MATCH($D281,GradeList,0)))*IF($F281="Saudi",GosiSaudi,GosiOther))</f>
        <v/>
      </c>
      <c r="P281" s="19" t="str">
        <f aca="false">IF($D281="","",IF(INDEX(GradeRank,MATCH($D281,GradeList,0))&gt;=INDEX(GradeRank,MATCH("G14",GradeList,0)),OneOffSenior,OneOffJunior))</f>
        <v/>
      </c>
      <c r="Q281" s="19" t="str">
        <f aca="false">IF(OR($D281="",$I281="",$H281=""),"",$O281*$H281*(5-MATCH($I281,{"Q1";"Q2";"Q3";"Q4"},0))/4+$P281*$H281)</f>
        <v/>
      </c>
      <c r="R281" s="19" t="str">
        <f aca="false">IF($O281="","",$O281*$H281)</f>
        <v/>
      </c>
      <c r="S281" s="32" t="str">
        <f aca="false">IF(COUNTA($B281:$J281)+COUNTA($M281:$N281)=0,"",MID(IF($B281="",", unit","")&amp;IF($C281="",", job title","")&amp;IF($D281="",", grade","")&amp;IF($E281="",", workforce type","")&amp;IF($F281="",", Saudi basis","")&amp;IF($G281="",", nature","")&amp;IF(N($H281)&lt;=0,", FTE","")&amp;IF($I281="",", start quarter","")&amp;IF($J281="",", driver","")&amp;IF($M281="",", alternatives",""),3,300))</f>
        <v/>
      </c>
      <c r="T281" s="17" t="str">
        <f aca="false">IF($S281="","",COUNTIF($S$6:$S281,"?*"))</f>
        <v/>
      </c>
    </row>
    <row r="282" customFormat="false" ht="15" hidden="false" customHeight="false" outlineLevel="0" collapsed="false">
      <c r="A282" s="17" t="n">
        <v>277</v>
      </c>
      <c r="B282" s="22"/>
      <c r="C282" s="22"/>
      <c r="D282" s="22"/>
      <c r="E282" s="22"/>
      <c r="F282" s="22"/>
      <c r="G282" s="22"/>
      <c r="H282" s="25"/>
      <c r="I282" s="22"/>
      <c r="J282" s="22"/>
      <c r="K282" s="31" t="str">
        <f aca="false">IF($J282="","",IFERROR(INDEX(DriverCategory,MATCH($J282,DriverList,0)),"?"))</f>
        <v/>
      </c>
      <c r="L282" s="31" t="str">
        <f aca="false">IF($J282="","",IFERROR(INDEX(DriverRank,MATCH($J282,DriverList,0)),99))</f>
        <v/>
      </c>
      <c r="M282" s="22"/>
      <c r="N282" s="22"/>
      <c r="O282" s="19" t="str">
        <f aca="false">IF($D282="","",INDEX(GradeBasic,MATCH($D282,GradeList,0))+INDEX(GradeHousing,MATCH($D282,GradeList,0))+INDEX(GradeTransport,MATCH($D282,GradeList,0))+INDEX(GradeBasic,MATCH($D282,GradeList,0))*INDEX(GradeBonus,MATCH($D282,GradeList,0))+(INDEX(GradeBasic,MATCH($D282,GradeList,0))+INDEX(GradeHousing,MATCH($D282,GradeList,0)))*IF($F282="Saudi",GosiSaudi,GosiOther))</f>
        <v/>
      </c>
      <c r="P282" s="19" t="str">
        <f aca="false">IF($D282="","",IF(INDEX(GradeRank,MATCH($D282,GradeList,0))&gt;=INDEX(GradeRank,MATCH("G14",GradeList,0)),OneOffSenior,OneOffJunior))</f>
        <v/>
      </c>
      <c r="Q282" s="19" t="str">
        <f aca="false">IF(OR($D282="",$I282="",$H282=""),"",$O282*$H282*(5-MATCH($I282,{"Q1";"Q2";"Q3";"Q4"},0))/4+$P282*$H282)</f>
        <v/>
      </c>
      <c r="R282" s="19" t="str">
        <f aca="false">IF($O282="","",$O282*$H282)</f>
        <v/>
      </c>
      <c r="S282" s="32" t="str">
        <f aca="false">IF(COUNTA($B282:$J282)+COUNTA($M282:$N282)=0,"",MID(IF($B282="",", unit","")&amp;IF($C282="",", job title","")&amp;IF($D282="",", grade","")&amp;IF($E282="",", workforce type","")&amp;IF($F282="",", Saudi basis","")&amp;IF($G282="",", nature","")&amp;IF(N($H282)&lt;=0,", FTE","")&amp;IF($I282="",", start quarter","")&amp;IF($J282="",", driver","")&amp;IF($M282="",", alternatives",""),3,300))</f>
        <v/>
      </c>
      <c r="T282" s="17" t="str">
        <f aca="false">IF($S282="","",COUNTIF($S$6:$S282,"?*"))</f>
        <v/>
      </c>
    </row>
    <row r="283" customFormat="false" ht="15" hidden="false" customHeight="false" outlineLevel="0" collapsed="false">
      <c r="A283" s="17" t="n">
        <v>278</v>
      </c>
      <c r="B283" s="22"/>
      <c r="C283" s="22"/>
      <c r="D283" s="22"/>
      <c r="E283" s="22"/>
      <c r="F283" s="22"/>
      <c r="G283" s="22"/>
      <c r="H283" s="25"/>
      <c r="I283" s="22"/>
      <c r="J283" s="22"/>
      <c r="K283" s="31" t="str">
        <f aca="false">IF($J283="","",IFERROR(INDEX(DriverCategory,MATCH($J283,DriverList,0)),"?"))</f>
        <v/>
      </c>
      <c r="L283" s="31" t="str">
        <f aca="false">IF($J283="","",IFERROR(INDEX(DriverRank,MATCH($J283,DriverList,0)),99))</f>
        <v/>
      </c>
      <c r="M283" s="22"/>
      <c r="N283" s="22"/>
      <c r="O283" s="19" t="str">
        <f aca="false">IF($D283="","",INDEX(GradeBasic,MATCH($D283,GradeList,0))+INDEX(GradeHousing,MATCH($D283,GradeList,0))+INDEX(GradeTransport,MATCH($D283,GradeList,0))+INDEX(GradeBasic,MATCH($D283,GradeList,0))*INDEX(GradeBonus,MATCH($D283,GradeList,0))+(INDEX(GradeBasic,MATCH($D283,GradeList,0))+INDEX(GradeHousing,MATCH($D283,GradeList,0)))*IF($F283="Saudi",GosiSaudi,GosiOther))</f>
        <v/>
      </c>
      <c r="P283" s="19" t="str">
        <f aca="false">IF($D283="","",IF(INDEX(GradeRank,MATCH($D283,GradeList,0))&gt;=INDEX(GradeRank,MATCH("G14",GradeList,0)),OneOffSenior,OneOffJunior))</f>
        <v/>
      </c>
      <c r="Q283" s="19" t="str">
        <f aca="false">IF(OR($D283="",$I283="",$H283=""),"",$O283*$H283*(5-MATCH($I283,{"Q1";"Q2";"Q3";"Q4"},0))/4+$P283*$H283)</f>
        <v/>
      </c>
      <c r="R283" s="19" t="str">
        <f aca="false">IF($O283="","",$O283*$H283)</f>
        <v/>
      </c>
      <c r="S283" s="32" t="str">
        <f aca="false">IF(COUNTA($B283:$J283)+COUNTA($M283:$N283)=0,"",MID(IF($B283="",", unit","")&amp;IF($C283="",", job title","")&amp;IF($D283="",", grade","")&amp;IF($E283="",", workforce type","")&amp;IF($F283="",", Saudi basis","")&amp;IF($G283="",", nature","")&amp;IF(N($H283)&lt;=0,", FTE","")&amp;IF($I283="",", start quarter","")&amp;IF($J283="",", driver","")&amp;IF($M283="",", alternatives",""),3,300))</f>
        <v/>
      </c>
      <c r="T283" s="17" t="str">
        <f aca="false">IF($S283="","",COUNTIF($S$6:$S283,"?*"))</f>
        <v/>
      </c>
    </row>
    <row r="284" customFormat="false" ht="15" hidden="false" customHeight="false" outlineLevel="0" collapsed="false">
      <c r="A284" s="17" t="n">
        <v>279</v>
      </c>
      <c r="B284" s="22"/>
      <c r="C284" s="22"/>
      <c r="D284" s="22"/>
      <c r="E284" s="22"/>
      <c r="F284" s="22"/>
      <c r="G284" s="22"/>
      <c r="H284" s="25"/>
      <c r="I284" s="22"/>
      <c r="J284" s="22"/>
      <c r="K284" s="31" t="str">
        <f aca="false">IF($J284="","",IFERROR(INDEX(DriverCategory,MATCH($J284,DriverList,0)),"?"))</f>
        <v/>
      </c>
      <c r="L284" s="31" t="str">
        <f aca="false">IF($J284="","",IFERROR(INDEX(DriverRank,MATCH($J284,DriverList,0)),99))</f>
        <v/>
      </c>
      <c r="M284" s="22"/>
      <c r="N284" s="22"/>
      <c r="O284" s="19" t="str">
        <f aca="false">IF($D284="","",INDEX(GradeBasic,MATCH($D284,GradeList,0))+INDEX(GradeHousing,MATCH($D284,GradeList,0))+INDEX(GradeTransport,MATCH($D284,GradeList,0))+INDEX(GradeBasic,MATCH($D284,GradeList,0))*INDEX(GradeBonus,MATCH($D284,GradeList,0))+(INDEX(GradeBasic,MATCH($D284,GradeList,0))+INDEX(GradeHousing,MATCH($D284,GradeList,0)))*IF($F284="Saudi",GosiSaudi,GosiOther))</f>
        <v/>
      </c>
      <c r="P284" s="19" t="str">
        <f aca="false">IF($D284="","",IF(INDEX(GradeRank,MATCH($D284,GradeList,0))&gt;=INDEX(GradeRank,MATCH("G14",GradeList,0)),OneOffSenior,OneOffJunior))</f>
        <v/>
      </c>
      <c r="Q284" s="19" t="str">
        <f aca="false">IF(OR($D284="",$I284="",$H284=""),"",$O284*$H284*(5-MATCH($I284,{"Q1";"Q2";"Q3";"Q4"},0))/4+$P284*$H284)</f>
        <v/>
      </c>
      <c r="R284" s="19" t="str">
        <f aca="false">IF($O284="","",$O284*$H284)</f>
        <v/>
      </c>
      <c r="S284" s="32" t="str">
        <f aca="false">IF(COUNTA($B284:$J284)+COUNTA($M284:$N284)=0,"",MID(IF($B284="",", unit","")&amp;IF($C284="",", job title","")&amp;IF($D284="",", grade","")&amp;IF($E284="",", workforce type","")&amp;IF($F284="",", Saudi basis","")&amp;IF($G284="",", nature","")&amp;IF(N($H284)&lt;=0,", FTE","")&amp;IF($I284="",", start quarter","")&amp;IF($J284="",", driver","")&amp;IF($M284="",", alternatives",""),3,300))</f>
        <v/>
      </c>
      <c r="T284" s="17" t="str">
        <f aca="false">IF($S284="","",COUNTIF($S$6:$S284,"?*"))</f>
        <v/>
      </c>
    </row>
    <row r="285" customFormat="false" ht="15" hidden="false" customHeight="false" outlineLevel="0" collapsed="false">
      <c r="A285" s="17" t="n">
        <v>280</v>
      </c>
      <c r="B285" s="22"/>
      <c r="C285" s="22"/>
      <c r="D285" s="22"/>
      <c r="E285" s="22"/>
      <c r="F285" s="22"/>
      <c r="G285" s="22"/>
      <c r="H285" s="25"/>
      <c r="I285" s="22"/>
      <c r="J285" s="22"/>
      <c r="K285" s="31" t="str">
        <f aca="false">IF($J285="","",IFERROR(INDEX(DriverCategory,MATCH($J285,DriverList,0)),"?"))</f>
        <v/>
      </c>
      <c r="L285" s="31" t="str">
        <f aca="false">IF($J285="","",IFERROR(INDEX(DriverRank,MATCH($J285,DriverList,0)),99))</f>
        <v/>
      </c>
      <c r="M285" s="22"/>
      <c r="N285" s="22"/>
      <c r="O285" s="19" t="str">
        <f aca="false">IF($D285="","",INDEX(GradeBasic,MATCH($D285,GradeList,0))+INDEX(GradeHousing,MATCH($D285,GradeList,0))+INDEX(GradeTransport,MATCH($D285,GradeList,0))+INDEX(GradeBasic,MATCH($D285,GradeList,0))*INDEX(GradeBonus,MATCH($D285,GradeList,0))+(INDEX(GradeBasic,MATCH($D285,GradeList,0))+INDEX(GradeHousing,MATCH($D285,GradeList,0)))*IF($F285="Saudi",GosiSaudi,GosiOther))</f>
        <v/>
      </c>
      <c r="P285" s="19" t="str">
        <f aca="false">IF($D285="","",IF(INDEX(GradeRank,MATCH($D285,GradeList,0))&gt;=INDEX(GradeRank,MATCH("G14",GradeList,0)),OneOffSenior,OneOffJunior))</f>
        <v/>
      </c>
      <c r="Q285" s="19" t="str">
        <f aca="false">IF(OR($D285="",$I285="",$H285=""),"",$O285*$H285*(5-MATCH($I285,{"Q1";"Q2";"Q3";"Q4"},0))/4+$P285*$H285)</f>
        <v/>
      </c>
      <c r="R285" s="19" t="str">
        <f aca="false">IF($O285="","",$O285*$H285)</f>
        <v/>
      </c>
      <c r="S285" s="32" t="str">
        <f aca="false">IF(COUNTA($B285:$J285)+COUNTA($M285:$N285)=0,"",MID(IF($B285="",", unit","")&amp;IF($C285="",", job title","")&amp;IF($D285="",", grade","")&amp;IF($E285="",", workforce type","")&amp;IF($F285="",", Saudi basis","")&amp;IF($G285="",", nature","")&amp;IF(N($H285)&lt;=0,", FTE","")&amp;IF($I285="",", start quarter","")&amp;IF($J285="",", driver","")&amp;IF($M285="",", alternatives",""),3,300))</f>
        <v/>
      </c>
      <c r="T285" s="17" t="str">
        <f aca="false">IF($S285="","",COUNTIF($S$6:$S285,"?*"))</f>
        <v/>
      </c>
    </row>
    <row r="286" customFormat="false" ht="15" hidden="false" customHeight="false" outlineLevel="0" collapsed="false">
      <c r="A286" s="17" t="n">
        <v>281</v>
      </c>
      <c r="B286" s="22"/>
      <c r="C286" s="22"/>
      <c r="D286" s="22"/>
      <c r="E286" s="22"/>
      <c r="F286" s="22"/>
      <c r="G286" s="22"/>
      <c r="H286" s="25"/>
      <c r="I286" s="22"/>
      <c r="J286" s="22"/>
      <c r="K286" s="31" t="str">
        <f aca="false">IF($J286="","",IFERROR(INDEX(DriverCategory,MATCH($J286,DriverList,0)),"?"))</f>
        <v/>
      </c>
      <c r="L286" s="31" t="str">
        <f aca="false">IF($J286="","",IFERROR(INDEX(DriverRank,MATCH($J286,DriverList,0)),99))</f>
        <v/>
      </c>
      <c r="M286" s="22"/>
      <c r="N286" s="22"/>
      <c r="O286" s="19" t="str">
        <f aca="false">IF($D286="","",INDEX(GradeBasic,MATCH($D286,GradeList,0))+INDEX(GradeHousing,MATCH($D286,GradeList,0))+INDEX(GradeTransport,MATCH($D286,GradeList,0))+INDEX(GradeBasic,MATCH($D286,GradeList,0))*INDEX(GradeBonus,MATCH($D286,GradeList,0))+(INDEX(GradeBasic,MATCH($D286,GradeList,0))+INDEX(GradeHousing,MATCH($D286,GradeList,0)))*IF($F286="Saudi",GosiSaudi,GosiOther))</f>
        <v/>
      </c>
      <c r="P286" s="19" t="str">
        <f aca="false">IF($D286="","",IF(INDEX(GradeRank,MATCH($D286,GradeList,0))&gt;=INDEX(GradeRank,MATCH("G14",GradeList,0)),OneOffSenior,OneOffJunior))</f>
        <v/>
      </c>
      <c r="Q286" s="19" t="str">
        <f aca="false">IF(OR($D286="",$I286="",$H286=""),"",$O286*$H286*(5-MATCH($I286,{"Q1";"Q2";"Q3";"Q4"},0))/4+$P286*$H286)</f>
        <v/>
      </c>
      <c r="R286" s="19" t="str">
        <f aca="false">IF($O286="","",$O286*$H286)</f>
        <v/>
      </c>
      <c r="S286" s="32" t="str">
        <f aca="false">IF(COUNTA($B286:$J286)+COUNTA($M286:$N286)=0,"",MID(IF($B286="",", unit","")&amp;IF($C286="",", job title","")&amp;IF($D286="",", grade","")&amp;IF($E286="",", workforce type","")&amp;IF($F286="",", Saudi basis","")&amp;IF($G286="",", nature","")&amp;IF(N($H286)&lt;=0,", FTE","")&amp;IF($I286="",", start quarter","")&amp;IF($J286="",", driver","")&amp;IF($M286="",", alternatives",""),3,300))</f>
        <v/>
      </c>
      <c r="T286" s="17" t="str">
        <f aca="false">IF($S286="","",COUNTIF($S$6:$S286,"?*"))</f>
        <v/>
      </c>
    </row>
    <row r="287" customFormat="false" ht="15" hidden="false" customHeight="false" outlineLevel="0" collapsed="false">
      <c r="A287" s="17" t="n">
        <v>282</v>
      </c>
      <c r="B287" s="22"/>
      <c r="C287" s="22"/>
      <c r="D287" s="22"/>
      <c r="E287" s="22"/>
      <c r="F287" s="22"/>
      <c r="G287" s="22"/>
      <c r="H287" s="25"/>
      <c r="I287" s="22"/>
      <c r="J287" s="22"/>
      <c r="K287" s="31" t="str">
        <f aca="false">IF($J287="","",IFERROR(INDEX(DriverCategory,MATCH($J287,DriverList,0)),"?"))</f>
        <v/>
      </c>
      <c r="L287" s="31" t="str">
        <f aca="false">IF($J287="","",IFERROR(INDEX(DriverRank,MATCH($J287,DriverList,0)),99))</f>
        <v/>
      </c>
      <c r="M287" s="22"/>
      <c r="N287" s="22"/>
      <c r="O287" s="19" t="str">
        <f aca="false">IF($D287="","",INDEX(GradeBasic,MATCH($D287,GradeList,0))+INDEX(GradeHousing,MATCH($D287,GradeList,0))+INDEX(GradeTransport,MATCH($D287,GradeList,0))+INDEX(GradeBasic,MATCH($D287,GradeList,0))*INDEX(GradeBonus,MATCH($D287,GradeList,0))+(INDEX(GradeBasic,MATCH($D287,GradeList,0))+INDEX(GradeHousing,MATCH($D287,GradeList,0)))*IF($F287="Saudi",GosiSaudi,GosiOther))</f>
        <v/>
      </c>
      <c r="P287" s="19" t="str">
        <f aca="false">IF($D287="","",IF(INDEX(GradeRank,MATCH($D287,GradeList,0))&gt;=INDEX(GradeRank,MATCH("G14",GradeList,0)),OneOffSenior,OneOffJunior))</f>
        <v/>
      </c>
      <c r="Q287" s="19" t="str">
        <f aca="false">IF(OR($D287="",$I287="",$H287=""),"",$O287*$H287*(5-MATCH($I287,{"Q1";"Q2";"Q3";"Q4"},0))/4+$P287*$H287)</f>
        <v/>
      </c>
      <c r="R287" s="19" t="str">
        <f aca="false">IF($O287="","",$O287*$H287)</f>
        <v/>
      </c>
      <c r="S287" s="32" t="str">
        <f aca="false">IF(COUNTA($B287:$J287)+COUNTA($M287:$N287)=0,"",MID(IF($B287="",", unit","")&amp;IF($C287="",", job title","")&amp;IF($D287="",", grade","")&amp;IF($E287="",", workforce type","")&amp;IF($F287="",", Saudi basis","")&amp;IF($G287="",", nature","")&amp;IF(N($H287)&lt;=0,", FTE","")&amp;IF($I287="",", start quarter","")&amp;IF($J287="",", driver","")&amp;IF($M287="",", alternatives",""),3,300))</f>
        <v/>
      </c>
      <c r="T287" s="17" t="str">
        <f aca="false">IF($S287="","",COUNTIF($S$6:$S287,"?*"))</f>
        <v/>
      </c>
    </row>
    <row r="288" customFormat="false" ht="15" hidden="false" customHeight="false" outlineLevel="0" collapsed="false">
      <c r="A288" s="17" t="n">
        <v>283</v>
      </c>
      <c r="B288" s="22"/>
      <c r="C288" s="22"/>
      <c r="D288" s="22"/>
      <c r="E288" s="22"/>
      <c r="F288" s="22"/>
      <c r="G288" s="22"/>
      <c r="H288" s="25"/>
      <c r="I288" s="22"/>
      <c r="J288" s="22"/>
      <c r="K288" s="31" t="str">
        <f aca="false">IF($J288="","",IFERROR(INDEX(DriverCategory,MATCH($J288,DriverList,0)),"?"))</f>
        <v/>
      </c>
      <c r="L288" s="31" t="str">
        <f aca="false">IF($J288="","",IFERROR(INDEX(DriverRank,MATCH($J288,DriverList,0)),99))</f>
        <v/>
      </c>
      <c r="M288" s="22"/>
      <c r="N288" s="22"/>
      <c r="O288" s="19" t="str">
        <f aca="false">IF($D288="","",INDEX(GradeBasic,MATCH($D288,GradeList,0))+INDEX(GradeHousing,MATCH($D288,GradeList,0))+INDEX(GradeTransport,MATCH($D288,GradeList,0))+INDEX(GradeBasic,MATCH($D288,GradeList,0))*INDEX(GradeBonus,MATCH($D288,GradeList,0))+(INDEX(GradeBasic,MATCH($D288,GradeList,0))+INDEX(GradeHousing,MATCH($D288,GradeList,0)))*IF($F288="Saudi",GosiSaudi,GosiOther))</f>
        <v/>
      </c>
      <c r="P288" s="19" t="str">
        <f aca="false">IF($D288="","",IF(INDEX(GradeRank,MATCH($D288,GradeList,0))&gt;=INDEX(GradeRank,MATCH("G14",GradeList,0)),OneOffSenior,OneOffJunior))</f>
        <v/>
      </c>
      <c r="Q288" s="19" t="str">
        <f aca="false">IF(OR($D288="",$I288="",$H288=""),"",$O288*$H288*(5-MATCH($I288,{"Q1";"Q2";"Q3";"Q4"},0))/4+$P288*$H288)</f>
        <v/>
      </c>
      <c r="R288" s="19" t="str">
        <f aca="false">IF($O288="","",$O288*$H288)</f>
        <v/>
      </c>
      <c r="S288" s="32" t="str">
        <f aca="false">IF(COUNTA($B288:$J288)+COUNTA($M288:$N288)=0,"",MID(IF($B288="",", unit","")&amp;IF($C288="",", job title","")&amp;IF($D288="",", grade","")&amp;IF($E288="",", workforce type","")&amp;IF($F288="",", Saudi basis","")&amp;IF($G288="",", nature","")&amp;IF(N($H288)&lt;=0,", FTE","")&amp;IF($I288="",", start quarter","")&amp;IF($J288="",", driver","")&amp;IF($M288="",", alternatives",""),3,300))</f>
        <v/>
      </c>
      <c r="T288" s="17" t="str">
        <f aca="false">IF($S288="","",COUNTIF($S$6:$S288,"?*"))</f>
        <v/>
      </c>
    </row>
    <row r="289" customFormat="false" ht="15" hidden="false" customHeight="false" outlineLevel="0" collapsed="false">
      <c r="A289" s="17" t="n">
        <v>284</v>
      </c>
      <c r="B289" s="22"/>
      <c r="C289" s="22"/>
      <c r="D289" s="22"/>
      <c r="E289" s="22"/>
      <c r="F289" s="22"/>
      <c r="G289" s="22"/>
      <c r="H289" s="25"/>
      <c r="I289" s="22"/>
      <c r="J289" s="22"/>
      <c r="K289" s="31" t="str">
        <f aca="false">IF($J289="","",IFERROR(INDEX(DriverCategory,MATCH($J289,DriverList,0)),"?"))</f>
        <v/>
      </c>
      <c r="L289" s="31" t="str">
        <f aca="false">IF($J289="","",IFERROR(INDEX(DriverRank,MATCH($J289,DriverList,0)),99))</f>
        <v/>
      </c>
      <c r="M289" s="22"/>
      <c r="N289" s="22"/>
      <c r="O289" s="19" t="str">
        <f aca="false">IF($D289="","",INDEX(GradeBasic,MATCH($D289,GradeList,0))+INDEX(GradeHousing,MATCH($D289,GradeList,0))+INDEX(GradeTransport,MATCH($D289,GradeList,0))+INDEX(GradeBasic,MATCH($D289,GradeList,0))*INDEX(GradeBonus,MATCH($D289,GradeList,0))+(INDEX(GradeBasic,MATCH($D289,GradeList,0))+INDEX(GradeHousing,MATCH($D289,GradeList,0)))*IF($F289="Saudi",GosiSaudi,GosiOther))</f>
        <v/>
      </c>
      <c r="P289" s="19" t="str">
        <f aca="false">IF($D289="","",IF(INDEX(GradeRank,MATCH($D289,GradeList,0))&gt;=INDEX(GradeRank,MATCH("G14",GradeList,0)),OneOffSenior,OneOffJunior))</f>
        <v/>
      </c>
      <c r="Q289" s="19" t="str">
        <f aca="false">IF(OR($D289="",$I289="",$H289=""),"",$O289*$H289*(5-MATCH($I289,{"Q1";"Q2";"Q3";"Q4"},0))/4+$P289*$H289)</f>
        <v/>
      </c>
      <c r="R289" s="19" t="str">
        <f aca="false">IF($O289="","",$O289*$H289)</f>
        <v/>
      </c>
      <c r="S289" s="32" t="str">
        <f aca="false">IF(COUNTA($B289:$J289)+COUNTA($M289:$N289)=0,"",MID(IF($B289="",", unit","")&amp;IF($C289="",", job title","")&amp;IF($D289="",", grade","")&amp;IF($E289="",", workforce type","")&amp;IF($F289="",", Saudi basis","")&amp;IF($G289="",", nature","")&amp;IF(N($H289)&lt;=0,", FTE","")&amp;IF($I289="",", start quarter","")&amp;IF($J289="",", driver","")&amp;IF($M289="",", alternatives",""),3,300))</f>
        <v/>
      </c>
      <c r="T289" s="17" t="str">
        <f aca="false">IF($S289="","",COUNTIF($S$6:$S289,"?*"))</f>
        <v/>
      </c>
    </row>
    <row r="290" customFormat="false" ht="15" hidden="false" customHeight="false" outlineLevel="0" collapsed="false">
      <c r="A290" s="17" t="n">
        <v>285</v>
      </c>
      <c r="B290" s="22"/>
      <c r="C290" s="22"/>
      <c r="D290" s="22"/>
      <c r="E290" s="22"/>
      <c r="F290" s="22"/>
      <c r="G290" s="22"/>
      <c r="H290" s="25"/>
      <c r="I290" s="22"/>
      <c r="J290" s="22"/>
      <c r="K290" s="31" t="str">
        <f aca="false">IF($J290="","",IFERROR(INDEX(DriverCategory,MATCH($J290,DriverList,0)),"?"))</f>
        <v/>
      </c>
      <c r="L290" s="31" t="str">
        <f aca="false">IF($J290="","",IFERROR(INDEX(DriverRank,MATCH($J290,DriverList,0)),99))</f>
        <v/>
      </c>
      <c r="M290" s="22"/>
      <c r="N290" s="22"/>
      <c r="O290" s="19" t="str">
        <f aca="false">IF($D290="","",INDEX(GradeBasic,MATCH($D290,GradeList,0))+INDEX(GradeHousing,MATCH($D290,GradeList,0))+INDEX(GradeTransport,MATCH($D290,GradeList,0))+INDEX(GradeBasic,MATCH($D290,GradeList,0))*INDEX(GradeBonus,MATCH($D290,GradeList,0))+(INDEX(GradeBasic,MATCH($D290,GradeList,0))+INDEX(GradeHousing,MATCH($D290,GradeList,0)))*IF($F290="Saudi",GosiSaudi,GosiOther))</f>
        <v/>
      </c>
      <c r="P290" s="19" t="str">
        <f aca="false">IF($D290="","",IF(INDEX(GradeRank,MATCH($D290,GradeList,0))&gt;=INDEX(GradeRank,MATCH("G14",GradeList,0)),OneOffSenior,OneOffJunior))</f>
        <v/>
      </c>
      <c r="Q290" s="19" t="str">
        <f aca="false">IF(OR($D290="",$I290="",$H290=""),"",$O290*$H290*(5-MATCH($I290,{"Q1";"Q2";"Q3";"Q4"},0))/4+$P290*$H290)</f>
        <v/>
      </c>
      <c r="R290" s="19" t="str">
        <f aca="false">IF($O290="","",$O290*$H290)</f>
        <v/>
      </c>
      <c r="S290" s="32" t="str">
        <f aca="false">IF(COUNTA($B290:$J290)+COUNTA($M290:$N290)=0,"",MID(IF($B290="",", unit","")&amp;IF($C290="",", job title","")&amp;IF($D290="",", grade","")&amp;IF($E290="",", workforce type","")&amp;IF($F290="",", Saudi basis","")&amp;IF($G290="",", nature","")&amp;IF(N($H290)&lt;=0,", FTE","")&amp;IF($I290="",", start quarter","")&amp;IF($J290="",", driver","")&amp;IF($M290="",", alternatives",""),3,300))</f>
        <v/>
      </c>
      <c r="T290" s="17" t="str">
        <f aca="false">IF($S290="","",COUNTIF($S$6:$S290,"?*"))</f>
        <v/>
      </c>
    </row>
    <row r="291" customFormat="false" ht="15" hidden="false" customHeight="false" outlineLevel="0" collapsed="false">
      <c r="A291" s="17" t="n">
        <v>286</v>
      </c>
      <c r="B291" s="22"/>
      <c r="C291" s="22"/>
      <c r="D291" s="22"/>
      <c r="E291" s="22"/>
      <c r="F291" s="22"/>
      <c r="G291" s="22"/>
      <c r="H291" s="25"/>
      <c r="I291" s="22"/>
      <c r="J291" s="22"/>
      <c r="K291" s="31" t="str">
        <f aca="false">IF($J291="","",IFERROR(INDEX(DriverCategory,MATCH($J291,DriverList,0)),"?"))</f>
        <v/>
      </c>
      <c r="L291" s="31" t="str">
        <f aca="false">IF($J291="","",IFERROR(INDEX(DriverRank,MATCH($J291,DriverList,0)),99))</f>
        <v/>
      </c>
      <c r="M291" s="22"/>
      <c r="N291" s="22"/>
      <c r="O291" s="19" t="str">
        <f aca="false">IF($D291="","",INDEX(GradeBasic,MATCH($D291,GradeList,0))+INDEX(GradeHousing,MATCH($D291,GradeList,0))+INDEX(GradeTransport,MATCH($D291,GradeList,0))+INDEX(GradeBasic,MATCH($D291,GradeList,0))*INDEX(GradeBonus,MATCH($D291,GradeList,0))+(INDEX(GradeBasic,MATCH($D291,GradeList,0))+INDEX(GradeHousing,MATCH($D291,GradeList,0)))*IF($F291="Saudi",GosiSaudi,GosiOther))</f>
        <v/>
      </c>
      <c r="P291" s="19" t="str">
        <f aca="false">IF($D291="","",IF(INDEX(GradeRank,MATCH($D291,GradeList,0))&gt;=INDEX(GradeRank,MATCH("G14",GradeList,0)),OneOffSenior,OneOffJunior))</f>
        <v/>
      </c>
      <c r="Q291" s="19" t="str">
        <f aca="false">IF(OR($D291="",$I291="",$H291=""),"",$O291*$H291*(5-MATCH($I291,{"Q1";"Q2";"Q3";"Q4"},0))/4+$P291*$H291)</f>
        <v/>
      </c>
      <c r="R291" s="19" t="str">
        <f aca="false">IF($O291="","",$O291*$H291)</f>
        <v/>
      </c>
      <c r="S291" s="32" t="str">
        <f aca="false">IF(COUNTA($B291:$J291)+COUNTA($M291:$N291)=0,"",MID(IF($B291="",", unit","")&amp;IF($C291="",", job title","")&amp;IF($D291="",", grade","")&amp;IF($E291="",", workforce type","")&amp;IF($F291="",", Saudi basis","")&amp;IF($G291="",", nature","")&amp;IF(N($H291)&lt;=0,", FTE","")&amp;IF($I291="",", start quarter","")&amp;IF($J291="",", driver","")&amp;IF($M291="",", alternatives",""),3,300))</f>
        <v/>
      </c>
      <c r="T291" s="17" t="str">
        <f aca="false">IF($S291="","",COUNTIF($S$6:$S291,"?*"))</f>
        <v/>
      </c>
    </row>
    <row r="292" customFormat="false" ht="15" hidden="false" customHeight="false" outlineLevel="0" collapsed="false">
      <c r="A292" s="17" t="n">
        <v>287</v>
      </c>
      <c r="B292" s="22"/>
      <c r="C292" s="22"/>
      <c r="D292" s="22"/>
      <c r="E292" s="22"/>
      <c r="F292" s="22"/>
      <c r="G292" s="22"/>
      <c r="H292" s="25"/>
      <c r="I292" s="22"/>
      <c r="J292" s="22"/>
      <c r="K292" s="31" t="str">
        <f aca="false">IF($J292="","",IFERROR(INDEX(DriverCategory,MATCH($J292,DriverList,0)),"?"))</f>
        <v/>
      </c>
      <c r="L292" s="31" t="str">
        <f aca="false">IF($J292="","",IFERROR(INDEX(DriverRank,MATCH($J292,DriverList,0)),99))</f>
        <v/>
      </c>
      <c r="M292" s="22"/>
      <c r="N292" s="22"/>
      <c r="O292" s="19" t="str">
        <f aca="false">IF($D292="","",INDEX(GradeBasic,MATCH($D292,GradeList,0))+INDEX(GradeHousing,MATCH($D292,GradeList,0))+INDEX(GradeTransport,MATCH($D292,GradeList,0))+INDEX(GradeBasic,MATCH($D292,GradeList,0))*INDEX(GradeBonus,MATCH($D292,GradeList,0))+(INDEX(GradeBasic,MATCH($D292,GradeList,0))+INDEX(GradeHousing,MATCH($D292,GradeList,0)))*IF($F292="Saudi",GosiSaudi,GosiOther))</f>
        <v/>
      </c>
      <c r="P292" s="19" t="str">
        <f aca="false">IF($D292="","",IF(INDEX(GradeRank,MATCH($D292,GradeList,0))&gt;=INDEX(GradeRank,MATCH("G14",GradeList,0)),OneOffSenior,OneOffJunior))</f>
        <v/>
      </c>
      <c r="Q292" s="19" t="str">
        <f aca="false">IF(OR($D292="",$I292="",$H292=""),"",$O292*$H292*(5-MATCH($I292,{"Q1";"Q2";"Q3";"Q4"},0))/4+$P292*$H292)</f>
        <v/>
      </c>
      <c r="R292" s="19" t="str">
        <f aca="false">IF($O292="","",$O292*$H292)</f>
        <v/>
      </c>
      <c r="S292" s="32" t="str">
        <f aca="false">IF(COUNTA($B292:$J292)+COUNTA($M292:$N292)=0,"",MID(IF($B292="",", unit","")&amp;IF($C292="",", job title","")&amp;IF($D292="",", grade","")&amp;IF($E292="",", workforce type","")&amp;IF($F292="",", Saudi basis","")&amp;IF($G292="",", nature","")&amp;IF(N($H292)&lt;=0,", FTE","")&amp;IF($I292="",", start quarter","")&amp;IF($J292="",", driver","")&amp;IF($M292="",", alternatives",""),3,300))</f>
        <v/>
      </c>
      <c r="T292" s="17" t="str">
        <f aca="false">IF($S292="","",COUNTIF($S$6:$S292,"?*"))</f>
        <v/>
      </c>
    </row>
    <row r="293" customFormat="false" ht="15" hidden="false" customHeight="false" outlineLevel="0" collapsed="false">
      <c r="A293" s="17" t="n">
        <v>288</v>
      </c>
      <c r="B293" s="22"/>
      <c r="C293" s="22"/>
      <c r="D293" s="22"/>
      <c r="E293" s="22"/>
      <c r="F293" s="22"/>
      <c r="G293" s="22"/>
      <c r="H293" s="25"/>
      <c r="I293" s="22"/>
      <c r="J293" s="22"/>
      <c r="K293" s="31" t="str">
        <f aca="false">IF($J293="","",IFERROR(INDEX(DriverCategory,MATCH($J293,DriverList,0)),"?"))</f>
        <v/>
      </c>
      <c r="L293" s="31" t="str">
        <f aca="false">IF($J293="","",IFERROR(INDEX(DriverRank,MATCH($J293,DriverList,0)),99))</f>
        <v/>
      </c>
      <c r="M293" s="22"/>
      <c r="N293" s="22"/>
      <c r="O293" s="19" t="str">
        <f aca="false">IF($D293="","",INDEX(GradeBasic,MATCH($D293,GradeList,0))+INDEX(GradeHousing,MATCH($D293,GradeList,0))+INDEX(GradeTransport,MATCH($D293,GradeList,0))+INDEX(GradeBasic,MATCH($D293,GradeList,0))*INDEX(GradeBonus,MATCH($D293,GradeList,0))+(INDEX(GradeBasic,MATCH($D293,GradeList,0))+INDEX(GradeHousing,MATCH($D293,GradeList,0)))*IF($F293="Saudi",GosiSaudi,GosiOther))</f>
        <v/>
      </c>
      <c r="P293" s="19" t="str">
        <f aca="false">IF($D293="","",IF(INDEX(GradeRank,MATCH($D293,GradeList,0))&gt;=INDEX(GradeRank,MATCH("G14",GradeList,0)),OneOffSenior,OneOffJunior))</f>
        <v/>
      </c>
      <c r="Q293" s="19" t="str">
        <f aca="false">IF(OR($D293="",$I293="",$H293=""),"",$O293*$H293*(5-MATCH($I293,{"Q1";"Q2";"Q3";"Q4"},0))/4+$P293*$H293)</f>
        <v/>
      </c>
      <c r="R293" s="19" t="str">
        <f aca="false">IF($O293="","",$O293*$H293)</f>
        <v/>
      </c>
      <c r="S293" s="32" t="str">
        <f aca="false">IF(COUNTA($B293:$J293)+COUNTA($M293:$N293)=0,"",MID(IF($B293="",", unit","")&amp;IF($C293="",", job title","")&amp;IF($D293="",", grade","")&amp;IF($E293="",", workforce type","")&amp;IF($F293="",", Saudi basis","")&amp;IF($G293="",", nature","")&amp;IF(N($H293)&lt;=0,", FTE","")&amp;IF($I293="",", start quarter","")&amp;IF($J293="",", driver","")&amp;IF($M293="",", alternatives",""),3,300))</f>
        <v/>
      </c>
      <c r="T293" s="17" t="str">
        <f aca="false">IF($S293="","",COUNTIF($S$6:$S293,"?*"))</f>
        <v/>
      </c>
    </row>
    <row r="294" customFormat="false" ht="15" hidden="false" customHeight="false" outlineLevel="0" collapsed="false">
      <c r="A294" s="17" t="n">
        <v>289</v>
      </c>
      <c r="B294" s="22"/>
      <c r="C294" s="22"/>
      <c r="D294" s="22"/>
      <c r="E294" s="22"/>
      <c r="F294" s="22"/>
      <c r="G294" s="22"/>
      <c r="H294" s="25"/>
      <c r="I294" s="22"/>
      <c r="J294" s="22"/>
      <c r="K294" s="31" t="str">
        <f aca="false">IF($J294="","",IFERROR(INDEX(DriverCategory,MATCH($J294,DriverList,0)),"?"))</f>
        <v/>
      </c>
      <c r="L294" s="31" t="str">
        <f aca="false">IF($J294="","",IFERROR(INDEX(DriverRank,MATCH($J294,DriverList,0)),99))</f>
        <v/>
      </c>
      <c r="M294" s="22"/>
      <c r="N294" s="22"/>
      <c r="O294" s="19" t="str">
        <f aca="false">IF($D294="","",INDEX(GradeBasic,MATCH($D294,GradeList,0))+INDEX(GradeHousing,MATCH($D294,GradeList,0))+INDEX(GradeTransport,MATCH($D294,GradeList,0))+INDEX(GradeBasic,MATCH($D294,GradeList,0))*INDEX(GradeBonus,MATCH($D294,GradeList,0))+(INDEX(GradeBasic,MATCH($D294,GradeList,0))+INDEX(GradeHousing,MATCH($D294,GradeList,0)))*IF($F294="Saudi",GosiSaudi,GosiOther))</f>
        <v/>
      </c>
      <c r="P294" s="19" t="str">
        <f aca="false">IF($D294="","",IF(INDEX(GradeRank,MATCH($D294,GradeList,0))&gt;=INDEX(GradeRank,MATCH("G14",GradeList,0)),OneOffSenior,OneOffJunior))</f>
        <v/>
      </c>
      <c r="Q294" s="19" t="str">
        <f aca="false">IF(OR($D294="",$I294="",$H294=""),"",$O294*$H294*(5-MATCH($I294,{"Q1";"Q2";"Q3";"Q4"},0))/4+$P294*$H294)</f>
        <v/>
      </c>
      <c r="R294" s="19" t="str">
        <f aca="false">IF($O294="","",$O294*$H294)</f>
        <v/>
      </c>
      <c r="S294" s="32" t="str">
        <f aca="false">IF(COUNTA($B294:$J294)+COUNTA($M294:$N294)=0,"",MID(IF($B294="",", unit","")&amp;IF($C294="",", job title","")&amp;IF($D294="",", grade","")&amp;IF($E294="",", workforce type","")&amp;IF($F294="",", Saudi basis","")&amp;IF($G294="",", nature","")&amp;IF(N($H294)&lt;=0,", FTE","")&amp;IF($I294="",", start quarter","")&amp;IF($J294="",", driver","")&amp;IF($M294="",", alternatives",""),3,300))</f>
        <v/>
      </c>
      <c r="T294" s="17" t="str">
        <f aca="false">IF($S294="","",COUNTIF($S$6:$S294,"?*"))</f>
        <v/>
      </c>
    </row>
    <row r="295" customFormat="false" ht="15" hidden="false" customHeight="false" outlineLevel="0" collapsed="false">
      <c r="A295" s="17" t="n">
        <v>290</v>
      </c>
      <c r="B295" s="22"/>
      <c r="C295" s="22"/>
      <c r="D295" s="22"/>
      <c r="E295" s="22"/>
      <c r="F295" s="22"/>
      <c r="G295" s="22"/>
      <c r="H295" s="25"/>
      <c r="I295" s="22"/>
      <c r="J295" s="22"/>
      <c r="K295" s="31" t="str">
        <f aca="false">IF($J295="","",IFERROR(INDEX(DriverCategory,MATCH($J295,DriverList,0)),"?"))</f>
        <v/>
      </c>
      <c r="L295" s="31" t="str">
        <f aca="false">IF($J295="","",IFERROR(INDEX(DriverRank,MATCH($J295,DriverList,0)),99))</f>
        <v/>
      </c>
      <c r="M295" s="22"/>
      <c r="N295" s="22"/>
      <c r="O295" s="19" t="str">
        <f aca="false">IF($D295="","",INDEX(GradeBasic,MATCH($D295,GradeList,0))+INDEX(GradeHousing,MATCH($D295,GradeList,0))+INDEX(GradeTransport,MATCH($D295,GradeList,0))+INDEX(GradeBasic,MATCH($D295,GradeList,0))*INDEX(GradeBonus,MATCH($D295,GradeList,0))+(INDEX(GradeBasic,MATCH($D295,GradeList,0))+INDEX(GradeHousing,MATCH($D295,GradeList,0)))*IF($F295="Saudi",GosiSaudi,GosiOther))</f>
        <v/>
      </c>
      <c r="P295" s="19" t="str">
        <f aca="false">IF($D295="","",IF(INDEX(GradeRank,MATCH($D295,GradeList,0))&gt;=INDEX(GradeRank,MATCH("G14",GradeList,0)),OneOffSenior,OneOffJunior))</f>
        <v/>
      </c>
      <c r="Q295" s="19" t="str">
        <f aca="false">IF(OR($D295="",$I295="",$H295=""),"",$O295*$H295*(5-MATCH($I295,{"Q1";"Q2";"Q3";"Q4"},0))/4+$P295*$H295)</f>
        <v/>
      </c>
      <c r="R295" s="19" t="str">
        <f aca="false">IF($O295="","",$O295*$H295)</f>
        <v/>
      </c>
      <c r="S295" s="32" t="str">
        <f aca="false">IF(COUNTA($B295:$J295)+COUNTA($M295:$N295)=0,"",MID(IF($B295="",", unit","")&amp;IF($C295="",", job title","")&amp;IF($D295="",", grade","")&amp;IF($E295="",", workforce type","")&amp;IF($F295="",", Saudi basis","")&amp;IF($G295="",", nature","")&amp;IF(N($H295)&lt;=0,", FTE","")&amp;IF($I295="",", start quarter","")&amp;IF($J295="",", driver","")&amp;IF($M295="",", alternatives",""),3,300))</f>
        <v/>
      </c>
      <c r="T295" s="17" t="str">
        <f aca="false">IF($S295="","",COUNTIF($S$6:$S295,"?*"))</f>
        <v/>
      </c>
    </row>
    <row r="296" customFormat="false" ht="15" hidden="false" customHeight="false" outlineLevel="0" collapsed="false">
      <c r="A296" s="17" t="n">
        <v>291</v>
      </c>
      <c r="B296" s="22"/>
      <c r="C296" s="22"/>
      <c r="D296" s="22"/>
      <c r="E296" s="22"/>
      <c r="F296" s="22"/>
      <c r="G296" s="22"/>
      <c r="H296" s="25"/>
      <c r="I296" s="22"/>
      <c r="J296" s="22"/>
      <c r="K296" s="31" t="str">
        <f aca="false">IF($J296="","",IFERROR(INDEX(DriverCategory,MATCH($J296,DriverList,0)),"?"))</f>
        <v/>
      </c>
      <c r="L296" s="31" t="str">
        <f aca="false">IF($J296="","",IFERROR(INDEX(DriverRank,MATCH($J296,DriverList,0)),99))</f>
        <v/>
      </c>
      <c r="M296" s="22"/>
      <c r="N296" s="22"/>
      <c r="O296" s="19" t="str">
        <f aca="false">IF($D296="","",INDEX(GradeBasic,MATCH($D296,GradeList,0))+INDEX(GradeHousing,MATCH($D296,GradeList,0))+INDEX(GradeTransport,MATCH($D296,GradeList,0))+INDEX(GradeBasic,MATCH($D296,GradeList,0))*INDEX(GradeBonus,MATCH($D296,GradeList,0))+(INDEX(GradeBasic,MATCH($D296,GradeList,0))+INDEX(GradeHousing,MATCH($D296,GradeList,0)))*IF($F296="Saudi",GosiSaudi,GosiOther))</f>
        <v/>
      </c>
      <c r="P296" s="19" t="str">
        <f aca="false">IF($D296="","",IF(INDEX(GradeRank,MATCH($D296,GradeList,0))&gt;=INDEX(GradeRank,MATCH("G14",GradeList,0)),OneOffSenior,OneOffJunior))</f>
        <v/>
      </c>
      <c r="Q296" s="19" t="str">
        <f aca="false">IF(OR($D296="",$I296="",$H296=""),"",$O296*$H296*(5-MATCH($I296,{"Q1";"Q2";"Q3";"Q4"},0))/4+$P296*$H296)</f>
        <v/>
      </c>
      <c r="R296" s="19" t="str">
        <f aca="false">IF($O296="","",$O296*$H296)</f>
        <v/>
      </c>
      <c r="S296" s="32" t="str">
        <f aca="false">IF(COUNTA($B296:$J296)+COUNTA($M296:$N296)=0,"",MID(IF($B296="",", unit","")&amp;IF($C296="",", job title","")&amp;IF($D296="",", grade","")&amp;IF($E296="",", workforce type","")&amp;IF($F296="",", Saudi basis","")&amp;IF($G296="",", nature","")&amp;IF(N($H296)&lt;=0,", FTE","")&amp;IF($I296="",", start quarter","")&amp;IF($J296="",", driver","")&amp;IF($M296="",", alternatives",""),3,300))</f>
        <v/>
      </c>
      <c r="T296" s="17" t="str">
        <f aca="false">IF($S296="","",COUNTIF($S$6:$S296,"?*"))</f>
        <v/>
      </c>
    </row>
    <row r="297" customFormat="false" ht="15" hidden="false" customHeight="false" outlineLevel="0" collapsed="false">
      <c r="A297" s="17" t="n">
        <v>292</v>
      </c>
      <c r="B297" s="22"/>
      <c r="C297" s="22"/>
      <c r="D297" s="22"/>
      <c r="E297" s="22"/>
      <c r="F297" s="22"/>
      <c r="G297" s="22"/>
      <c r="H297" s="25"/>
      <c r="I297" s="22"/>
      <c r="J297" s="22"/>
      <c r="K297" s="31" t="str">
        <f aca="false">IF($J297="","",IFERROR(INDEX(DriverCategory,MATCH($J297,DriverList,0)),"?"))</f>
        <v/>
      </c>
      <c r="L297" s="31" t="str">
        <f aca="false">IF($J297="","",IFERROR(INDEX(DriverRank,MATCH($J297,DriverList,0)),99))</f>
        <v/>
      </c>
      <c r="M297" s="22"/>
      <c r="N297" s="22"/>
      <c r="O297" s="19" t="str">
        <f aca="false">IF($D297="","",INDEX(GradeBasic,MATCH($D297,GradeList,0))+INDEX(GradeHousing,MATCH($D297,GradeList,0))+INDEX(GradeTransport,MATCH($D297,GradeList,0))+INDEX(GradeBasic,MATCH($D297,GradeList,0))*INDEX(GradeBonus,MATCH($D297,GradeList,0))+(INDEX(GradeBasic,MATCH($D297,GradeList,0))+INDEX(GradeHousing,MATCH($D297,GradeList,0)))*IF($F297="Saudi",GosiSaudi,GosiOther))</f>
        <v/>
      </c>
      <c r="P297" s="19" t="str">
        <f aca="false">IF($D297="","",IF(INDEX(GradeRank,MATCH($D297,GradeList,0))&gt;=INDEX(GradeRank,MATCH("G14",GradeList,0)),OneOffSenior,OneOffJunior))</f>
        <v/>
      </c>
      <c r="Q297" s="19" t="str">
        <f aca="false">IF(OR($D297="",$I297="",$H297=""),"",$O297*$H297*(5-MATCH($I297,{"Q1";"Q2";"Q3";"Q4"},0))/4+$P297*$H297)</f>
        <v/>
      </c>
      <c r="R297" s="19" t="str">
        <f aca="false">IF($O297="","",$O297*$H297)</f>
        <v/>
      </c>
      <c r="S297" s="32" t="str">
        <f aca="false">IF(COUNTA($B297:$J297)+COUNTA($M297:$N297)=0,"",MID(IF($B297="",", unit","")&amp;IF($C297="",", job title","")&amp;IF($D297="",", grade","")&amp;IF($E297="",", workforce type","")&amp;IF($F297="",", Saudi basis","")&amp;IF($G297="",", nature","")&amp;IF(N($H297)&lt;=0,", FTE","")&amp;IF($I297="",", start quarter","")&amp;IF($J297="",", driver","")&amp;IF($M297="",", alternatives",""),3,300))</f>
        <v/>
      </c>
      <c r="T297" s="17" t="str">
        <f aca="false">IF($S297="","",COUNTIF($S$6:$S297,"?*"))</f>
        <v/>
      </c>
    </row>
    <row r="298" customFormat="false" ht="15" hidden="false" customHeight="false" outlineLevel="0" collapsed="false">
      <c r="A298" s="17" t="n">
        <v>293</v>
      </c>
      <c r="B298" s="22"/>
      <c r="C298" s="22"/>
      <c r="D298" s="22"/>
      <c r="E298" s="22"/>
      <c r="F298" s="22"/>
      <c r="G298" s="22"/>
      <c r="H298" s="25"/>
      <c r="I298" s="22"/>
      <c r="J298" s="22"/>
      <c r="K298" s="31" t="str">
        <f aca="false">IF($J298="","",IFERROR(INDEX(DriverCategory,MATCH($J298,DriverList,0)),"?"))</f>
        <v/>
      </c>
      <c r="L298" s="31" t="str">
        <f aca="false">IF($J298="","",IFERROR(INDEX(DriverRank,MATCH($J298,DriverList,0)),99))</f>
        <v/>
      </c>
      <c r="M298" s="22"/>
      <c r="N298" s="22"/>
      <c r="O298" s="19" t="str">
        <f aca="false">IF($D298="","",INDEX(GradeBasic,MATCH($D298,GradeList,0))+INDEX(GradeHousing,MATCH($D298,GradeList,0))+INDEX(GradeTransport,MATCH($D298,GradeList,0))+INDEX(GradeBasic,MATCH($D298,GradeList,0))*INDEX(GradeBonus,MATCH($D298,GradeList,0))+(INDEX(GradeBasic,MATCH($D298,GradeList,0))+INDEX(GradeHousing,MATCH($D298,GradeList,0)))*IF($F298="Saudi",GosiSaudi,GosiOther))</f>
        <v/>
      </c>
      <c r="P298" s="19" t="str">
        <f aca="false">IF($D298="","",IF(INDEX(GradeRank,MATCH($D298,GradeList,0))&gt;=INDEX(GradeRank,MATCH("G14",GradeList,0)),OneOffSenior,OneOffJunior))</f>
        <v/>
      </c>
      <c r="Q298" s="19" t="str">
        <f aca="false">IF(OR($D298="",$I298="",$H298=""),"",$O298*$H298*(5-MATCH($I298,{"Q1";"Q2";"Q3";"Q4"},0))/4+$P298*$H298)</f>
        <v/>
      </c>
      <c r="R298" s="19" t="str">
        <f aca="false">IF($O298="","",$O298*$H298)</f>
        <v/>
      </c>
      <c r="S298" s="32" t="str">
        <f aca="false">IF(COUNTA($B298:$J298)+COUNTA($M298:$N298)=0,"",MID(IF($B298="",", unit","")&amp;IF($C298="",", job title","")&amp;IF($D298="",", grade","")&amp;IF($E298="",", workforce type","")&amp;IF($F298="",", Saudi basis","")&amp;IF($G298="",", nature","")&amp;IF(N($H298)&lt;=0,", FTE","")&amp;IF($I298="",", start quarter","")&amp;IF($J298="",", driver","")&amp;IF($M298="",", alternatives",""),3,300))</f>
        <v/>
      </c>
      <c r="T298" s="17" t="str">
        <f aca="false">IF($S298="","",COUNTIF($S$6:$S298,"?*"))</f>
        <v/>
      </c>
    </row>
    <row r="299" customFormat="false" ht="15" hidden="false" customHeight="false" outlineLevel="0" collapsed="false">
      <c r="A299" s="17" t="n">
        <v>294</v>
      </c>
      <c r="B299" s="22"/>
      <c r="C299" s="22"/>
      <c r="D299" s="22"/>
      <c r="E299" s="22"/>
      <c r="F299" s="22"/>
      <c r="G299" s="22"/>
      <c r="H299" s="25"/>
      <c r="I299" s="22"/>
      <c r="J299" s="22"/>
      <c r="K299" s="31" t="str">
        <f aca="false">IF($J299="","",IFERROR(INDEX(DriverCategory,MATCH($J299,DriverList,0)),"?"))</f>
        <v/>
      </c>
      <c r="L299" s="31" t="str">
        <f aca="false">IF($J299="","",IFERROR(INDEX(DriverRank,MATCH($J299,DriverList,0)),99))</f>
        <v/>
      </c>
      <c r="M299" s="22"/>
      <c r="N299" s="22"/>
      <c r="O299" s="19" t="str">
        <f aca="false">IF($D299="","",INDEX(GradeBasic,MATCH($D299,GradeList,0))+INDEX(GradeHousing,MATCH($D299,GradeList,0))+INDEX(GradeTransport,MATCH($D299,GradeList,0))+INDEX(GradeBasic,MATCH($D299,GradeList,0))*INDEX(GradeBonus,MATCH($D299,GradeList,0))+(INDEX(GradeBasic,MATCH($D299,GradeList,0))+INDEX(GradeHousing,MATCH($D299,GradeList,0)))*IF($F299="Saudi",GosiSaudi,GosiOther))</f>
        <v/>
      </c>
      <c r="P299" s="19" t="str">
        <f aca="false">IF($D299="","",IF(INDEX(GradeRank,MATCH($D299,GradeList,0))&gt;=INDEX(GradeRank,MATCH("G14",GradeList,0)),OneOffSenior,OneOffJunior))</f>
        <v/>
      </c>
      <c r="Q299" s="19" t="str">
        <f aca="false">IF(OR($D299="",$I299="",$H299=""),"",$O299*$H299*(5-MATCH($I299,{"Q1";"Q2";"Q3";"Q4"},0))/4+$P299*$H299)</f>
        <v/>
      </c>
      <c r="R299" s="19" t="str">
        <f aca="false">IF($O299="","",$O299*$H299)</f>
        <v/>
      </c>
      <c r="S299" s="32" t="str">
        <f aca="false">IF(COUNTA($B299:$J299)+COUNTA($M299:$N299)=0,"",MID(IF($B299="",", unit","")&amp;IF($C299="",", job title","")&amp;IF($D299="",", grade","")&amp;IF($E299="",", workforce type","")&amp;IF($F299="",", Saudi basis","")&amp;IF($G299="",", nature","")&amp;IF(N($H299)&lt;=0,", FTE","")&amp;IF($I299="",", start quarter","")&amp;IF($J299="",", driver","")&amp;IF($M299="",", alternatives",""),3,300))</f>
        <v/>
      </c>
      <c r="T299" s="17" t="str">
        <f aca="false">IF($S299="","",COUNTIF($S$6:$S299,"?*"))</f>
        <v/>
      </c>
    </row>
    <row r="300" customFormat="false" ht="15" hidden="false" customHeight="false" outlineLevel="0" collapsed="false">
      <c r="A300" s="17" t="n">
        <v>295</v>
      </c>
      <c r="B300" s="22"/>
      <c r="C300" s="22"/>
      <c r="D300" s="22"/>
      <c r="E300" s="22"/>
      <c r="F300" s="22"/>
      <c r="G300" s="22"/>
      <c r="H300" s="25"/>
      <c r="I300" s="22"/>
      <c r="J300" s="22"/>
      <c r="K300" s="31" t="str">
        <f aca="false">IF($J300="","",IFERROR(INDEX(DriverCategory,MATCH($J300,DriverList,0)),"?"))</f>
        <v/>
      </c>
      <c r="L300" s="31" t="str">
        <f aca="false">IF($J300="","",IFERROR(INDEX(DriverRank,MATCH($J300,DriverList,0)),99))</f>
        <v/>
      </c>
      <c r="M300" s="22"/>
      <c r="N300" s="22"/>
      <c r="O300" s="19" t="str">
        <f aca="false">IF($D300="","",INDEX(GradeBasic,MATCH($D300,GradeList,0))+INDEX(GradeHousing,MATCH($D300,GradeList,0))+INDEX(GradeTransport,MATCH($D300,GradeList,0))+INDEX(GradeBasic,MATCH($D300,GradeList,0))*INDEX(GradeBonus,MATCH($D300,GradeList,0))+(INDEX(GradeBasic,MATCH($D300,GradeList,0))+INDEX(GradeHousing,MATCH($D300,GradeList,0)))*IF($F300="Saudi",GosiSaudi,GosiOther))</f>
        <v/>
      </c>
      <c r="P300" s="19" t="str">
        <f aca="false">IF($D300="","",IF(INDEX(GradeRank,MATCH($D300,GradeList,0))&gt;=INDEX(GradeRank,MATCH("G14",GradeList,0)),OneOffSenior,OneOffJunior))</f>
        <v/>
      </c>
      <c r="Q300" s="19" t="str">
        <f aca="false">IF(OR($D300="",$I300="",$H300=""),"",$O300*$H300*(5-MATCH($I300,{"Q1";"Q2";"Q3";"Q4"},0))/4+$P300*$H300)</f>
        <v/>
      </c>
      <c r="R300" s="19" t="str">
        <f aca="false">IF($O300="","",$O300*$H300)</f>
        <v/>
      </c>
      <c r="S300" s="32" t="str">
        <f aca="false">IF(COUNTA($B300:$J300)+COUNTA($M300:$N300)=0,"",MID(IF($B300="",", unit","")&amp;IF($C300="",", job title","")&amp;IF($D300="",", grade","")&amp;IF($E300="",", workforce type","")&amp;IF($F300="",", Saudi basis","")&amp;IF($G300="",", nature","")&amp;IF(N($H300)&lt;=0,", FTE","")&amp;IF($I300="",", start quarter","")&amp;IF($J300="",", driver","")&amp;IF($M300="",", alternatives",""),3,300))</f>
        <v/>
      </c>
      <c r="T300" s="17" t="str">
        <f aca="false">IF($S300="","",COUNTIF($S$6:$S300,"?*"))</f>
        <v/>
      </c>
    </row>
    <row r="301" customFormat="false" ht="15" hidden="false" customHeight="false" outlineLevel="0" collapsed="false">
      <c r="A301" s="17" t="n">
        <v>296</v>
      </c>
      <c r="B301" s="22"/>
      <c r="C301" s="22"/>
      <c r="D301" s="22"/>
      <c r="E301" s="22"/>
      <c r="F301" s="22"/>
      <c r="G301" s="22"/>
      <c r="H301" s="25"/>
      <c r="I301" s="22"/>
      <c r="J301" s="22"/>
      <c r="K301" s="31" t="str">
        <f aca="false">IF($J301="","",IFERROR(INDEX(DriverCategory,MATCH($J301,DriverList,0)),"?"))</f>
        <v/>
      </c>
      <c r="L301" s="31" t="str">
        <f aca="false">IF($J301="","",IFERROR(INDEX(DriverRank,MATCH($J301,DriverList,0)),99))</f>
        <v/>
      </c>
      <c r="M301" s="22"/>
      <c r="N301" s="22"/>
      <c r="O301" s="19" t="str">
        <f aca="false">IF($D301="","",INDEX(GradeBasic,MATCH($D301,GradeList,0))+INDEX(GradeHousing,MATCH($D301,GradeList,0))+INDEX(GradeTransport,MATCH($D301,GradeList,0))+INDEX(GradeBasic,MATCH($D301,GradeList,0))*INDEX(GradeBonus,MATCH($D301,GradeList,0))+(INDEX(GradeBasic,MATCH($D301,GradeList,0))+INDEX(GradeHousing,MATCH($D301,GradeList,0)))*IF($F301="Saudi",GosiSaudi,GosiOther))</f>
        <v/>
      </c>
      <c r="P301" s="19" t="str">
        <f aca="false">IF($D301="","",IF(INDEX(GradeRank,MATCH($D301,GradeList,0))&gt;=INDEX(GradeRank,MATCH("G14",GradeList,0)),OneOffSenior,OneOffJunior))</f>
        <v/>
      </c>
      <c r="Q301" s="19" t="str">
        <f aca="false">IF(OR($D301="",$I301="",$H301=""),"",$O301*$H301*(5-MATCH($I301,{"Q1";"Q2";"Q3";"Q4"},0))/4+$P301*$H301)</f>
        <v/>
      </c>
      <c r="R301" s="19" t="str">
        <f aca="false">IF($O301="","",$O301*$H301)</f>
        <v/>
      </c>
      <c r="S301" s="32" t="str">
        <f aca="false">IF(COUNTA($B301:$J301)+COUNTA($M301:$N301)=0,"",MID(IF($B301="",", unit","")&amp;IF($C301="",", job title","")&amp;IF($D301="",", grade","")&amp;IF($E301="",", workforce type","")&amp;IF($F301="",", Saudi basis","")&amp;IF($G301="",", nature","")&amp;IF(N($H301)&lt;=0,", FTE","")&amp;IF($I301="",", start quarter","")&amp;IF($J301="",", driver","")&amp;IF($M301="",", alternatives",""),3,300))</f>
        <v/>
      </c>
      <c r="T301" s="17" t="str">
        <f aca="false">IF($S301="","",COUNTIF($S$6:$S301,"?*"))</f>
        <v/>
      </c>
    </row>
    <row r="302" customFormat="false" ht="15" hidden="false" customHeight="false" outlineLevel="0" collapsed="false">
      <c r="A302" s="17" t="n">
        <v>297</v>
      </c>
      <c r="B302" s="22"/>
      <c r="C302" s="22"/>
      <c r="D302" s="22"/>
      <c r="E302" s="22"/>
      <c r="F302" s="22"/>
      <c r="G302" s="22"/>
      <c r="H302" s="25"/>
      <c r="I302" s="22"/>
      <c r="J302" s="22"/>
      <c r="K302" s="31" t="str">
        <f aca="false">IF($J302="","",IFERROR(INDEX(DriverCategory,MATCH($J302,DriverList,0)),"?"))</f>
        <v/>
      </c>
      <c r="L302" s="31" t="str">
        <f aca="false">IF($J302="","",IFERROR(INDEX(DriverRank,MATCH($J302,DriverList,0)),99))</f>
        <v/>
      </c>
      <c r="M302" s="22"/>
      <c r="N302" s="22"/>
      <c r="O302" s="19" t="str">
        <f aca="false">IF($D302="","",INDEX(GradeBasic,MATCH($D302,GradeList,0))+INDEX(GradeHousing,MATCH($D302,GradeList,0))+INDEX(GradeTransport,MATCH($D302,GradeList,0))+INDEX(GradeBasic,MATCH($D302,GradeList,0))*INDEX(GradeBonus,MATCH($D302,GradeList,0))+(INDEX(GradeBasic,MATCH($D302,GradeList,0))+INDEX(GradeHousing,MATCH($D302,GradeList,0)))*IF($F302="Saudi",GosiSaudi,GosiOther))</f>
        <v/>
      </c>
      <c r="P302" s="19" t="str">
        <f aca="false">IF($D302="","",IF(INDEX(GradeRank,MATCH($D302,GradeList,0))&gt;=INDEX(GradeRank,MATCH("G14",GradeList,0)),OneOffSenior,OneOffJunior))</f>
        <v/>
      </c>
      <c r="Q302" s="19" t="str">
        <f aca="false">IF(OR($D302="",$I302="",$H302=""),"",$O302*$H302*(5-MATCH($I302,{"Q1";"Q2";"Q3";"Q4"},0))/4+$P302*$H302)</f>
        <v/>
      </c>
      <c r="R302" s="19" t="str">
        <f aca="false">IF($O302="","",$O302*$H302)</f>
        <v/>
      </c>
      <c r="S302" s="32" t="str">
        <f aca="false">IF(COUNTA($B302:$J302)+COUNTA($M302:$N302)=0,"",MID(IF($B302="",", unit","")&amp;IF($C302="",", job title","")&amp;IF($D302="",", grade","")&amp;IF($E302="",", workforce type","")&amp;IF($F302="",", Saudi basis","")&amp;IF($G302="",", nature","")&amp;IF(N($H302)&lt;=0,", FTE","")&amp;IF($I302="",", start quarter","")&amp;IF($J302="",", driver","")&amp;IF($M302="",", alternatives",""),3,300))</f>
        <v/>
      </c>
      <c r="T302" s="17" t="str">
        <f aca="false">IF($S302="","",COUNTIF($S$6:$S302,"?*"))</f>
        <v/>
      </c>
    </row>
    <row r="303" customFormat="false" ht="15" hidden="false" customHeight="false" outlineLevel="0" collapsed="false">
      <c r="A303" s="17" t="n">
        <v>298</v>
      </c>
      <c r="B303" s="22"/>
      <c r="C303" s="22"/>
      <c r="D303" s="22"/>
      <c r="E303" s="22"/>
      <c r="F303" s="22"/>
      <c r="G303" s="22"/>
      <c r="H303" s="25"/>
      <c r="I303" s="22"/>
      <c r="J303" s="22"/>
      <c r="K303" s="31" t="str">
        <f aca="false">IF($J303="","",IFERROR(INDEX(DriverCategory,MATCH($J303,DriverList,0)),"?"))</f>
        <v/>
      </c>
      <c r="L303" s="31" t="str">
        <f aca="false">IF($J303="","",IFERROR(INDEX(DriverRank,MATCH($J303,DriverList,0)),99))</f>
        <v/>
      </c>
      <c r="M303" s="22"/>
      <c r="N303" s="22"/>
      <c r="O303" s="19" t="str">
        <f aca="false">IF($D303="","",INDEX(GradeBasic,MATCH($D303,GradeList,0))+INDEX(GradeHousing,MATCH($D303,GradeList,0))+INDEX(GradeTransport,MATCH($D303,GradeList,0))+INDEX(GradeBasic,MATCH($D303,GradeList,0))*INDEX(GradeBonus,MATCH($D303,GradeList,0))+(INDEX(GradeBasic,MATCH($D303,GradeList,0))+INDEX(GradeHousing,MATCH($D303,GradeList,0)))*IF($F303="Saudi",GosiSaudi,GosiOther))</f>
        <v/>
      </c>
      <c r="P303" s="19" t="str">
        <f aca="false">IF($D303="","",IF(INDEX(GradeRank,MATCH($D303,GradeList,0))&gt;=INDEX(GradeRank,MATCH("G14",GradeList,0)),OneOffSenior,OneOffJunior))</f>
        <v/>
      </c>
      <c r="Q303" s="19" t="str">
        <f aca="false">IF(OR($D303="",$I303="",$H303=""),"",$O303*$H303*(5-MATCH($I303,{"Q1";"Q2";"Q3";"Q4"},0))/4+$P303*$H303)</f>
        <v/>
      </c>
      <c r="R303" s="19" t="str">
        <f aca="false">IF($O303="","",$O303*$H303)</f>
        <v/>
      </c>
      <c r="S303" s="32" t="str">
        <f aca="false">IF(COUNTA($B303:$J303)+COUNTA($M303:$N303)=0,"",MID(IF($B303="",", unit","")&amp;IF($C303="",", job title","")&amp;IF($D303="",", grade","")&amp;IF($E303="",", workforce type","")&amp;IF($F303="",", Saudi basis","")&amp;IF($G303="",", nature","")&amp;IF(N($H303)&lt;=0,", FTE","")&amp;IF($I303="",", start quarter","")&amp;IF($J303="",", driver","")&amp;IF($M303="",", alternatives",""),3,300))</f>
        <v/>
      </c>
      <c r="T303" s="17" t="str">
        <f aca="false">IF($S303="","",COUNTIF($S$6:$S303,"?*"))</f>
        <v/>
      </c>
    </row>
    <row r="304" customFormat="false" ht="15" hidden="false" customHeight="false" outlineLevel="0" collapsed="false">
      <c r="A304" s="17" t="n">
        <v>299</v>
      </c>
      <c r="B304" s="22"/>
      <c r="C304" s="22"/>
      <c r="D304" s="22"/>
      <c r="E304" s="22"/>
      <c r="F304" s="22"/>
      <c r="G304" s="22"/>
      <c r="H304" s="25"/>
      <c r="I304" s="22"/>
      <c r="J304" s="22"/>
      <c r="K304" s="31" t="str">
        <f aca="false">IF($J304="","",IFERROR(INDEX(DriverCategory,MATCH($J304,DriverList,0)),"?"))</f>
        <v/>
      </c>
      <c r="L304" s="31" t="str">
        <f aca="false">IF($J304="","",IFERROR(INDEX(DriverRank,MATCH($J304,DriverList,0)),99))</f>
        <v/>
      </c>
      <c r="M304" s="22"/>
      <c r="N304" s="22"/>
      <c r="O304" s="19" t="str">
        <f aca="false">IF($D304="","",INDEX(GradeBasic,MATCH($D304,GradeList,0))+INDEX(GradeHousing,MATCH($D304,GradeList,0))+INDEX(GradeTransport,MATCH($D304,GradeList,0))+INDEX(GradeBasic,MATCH($D304,GradeList,0))*INDEX(GradeBonus,MATCH($D304,GradeList,0))+(INDEX(GradeBasic,MATCH($D304,GradeList,0))+INDEX(GradeHousing,MATCH($D304,GradeList,0)))*IF($F304="Saudi",GosiSaudi,GosiOther))</f>
        <v/>
      </c>
      <c r="P304" s="19" t="str">
        <f aca="false">IF($D304="","",IF(INDEX(GradeRank,MATCH($D304,GradeList,0))&gt;=INDEX(GradeRank,MATCH("G14",GradeList,0)),OneOffSenior,OneOffJunior))</f>
        <v/>
      </c>
      <c r="Q304" s="19" t="str">
        <f aca="false">IF(OR($D304="",$I304="",$H304=""),"",$O304*$H304*(5-MATCH($I304,{"Q1";"Q2";"Q3";"Q4"},0))/4+$P304*$H304)</f>
        <v/>
      </c>
      <c r="R304" s="19" t="str">
        <f aca="false">IF($O304="","",$O304*$H304)</f>
        <v/>
      </c>
      <c r="S304" s="32" t="str">
        <f aca="false">IF(COUNTA($B304:$J304)+COUNTA($M304:$N304)=0,"",MID(IF($B304="",", unit","")&amp;IF($C304="",", job title","")&amp;IF($D304="",", grade","")&amp;IF($E304="",", workforce type","")&amp;IF($F304="",", Saudi basis","")&amp;IF($G304="",", nature","")&amp;IF(N($H304)&lt;=0,", FTE","")&amp;IF($I304="",", start quarter","")&amp;IF($J304="",", driver","")&amp;IF($M304="",", alternatives",""),3,300))</f>
        <v/>
      </c>
      <c r="T304" s="17" t="str">
        <f aca="false">IF($S304="","",COUNTIF($S$6:$S304,"?*"))</f>
        <v/>
      </c>
    </row>
    <row r="305" customFormat="false" ht="15" hidden="false" customHeight="false" outlineLevel="0" collapsed="false">
      <c r="A305" s="17" t="n">
        <v>300</v>
      </c>
      <c r="B305" s="22"/>
      <c r="C305" s="22"/>
      <c r="D305" s="22"/>
      <c r="E305" s="22"/>
      <c r="F305" s="22"/>
      <c r="G305" s="22"/>
      <c r="H305" s="25"/>
      <c r="I305" s="22"/>
      <c r="J305" s="22"/>
      <c r="K305" s="31" t="str">
        <f aca="false">IF($J305="","",IFERROR(INDEX(DriverCategory,MATCH($J305,DriverList,0)),"?"))</f>
        <v/>
      </c>
      <c r="L305" s="31" t="str">
        <f aca="false">IF($J305="","",IFERROR(INDEX(DriverRank,MATCH($J305,DriverList,0)),99))</f>
        <v/>
      </c>
      <c r="M305" s="22"/>
      <c r="N305" s="22"/>
      <c r="O305" s="19" t="str">
        <f aca="false">IF($D305="","",INDEX(GradeBasic,MATCH($D305,GradeList,0))+INDEX(GradeHousing,MATCH($D305,GradeList,0))+INDEX(GradeTransport,MATCH($D305,GradeList,0))+INDEX(GradeBasic,MATCH($D305,GradeList,0))*INDEX(GradeBonus,MATCH($D305,GradeList,0))+(INDEX(GradeBasic,MATCH($D305,GradeList,0))+INDEX(GradeHousing,MATCH($D305,GradeList,0)))*IF($F305="Saudi",GosiSaudi,GosiOther))</f>
        <v/>
      </c>
      <c r="P305" s="19" t="str">
        <f aca="false">IF($D305="","",IF(INDEX(GradeRank,MATCH($D305,GradeList,0))&gt;=INDEX(GradeRank,MATCH("G14",GradeList,0)),OneOffSenior,OneOffJunior))</f>
        <v/>
      </c>
      <c r="Q305" s="19" t="str">
        <f aca="false">IF(OR($D305="",$I305="",$H305=""),"",$O305*$H305*(5-MATCH($I305,{"Q1";"Q2";"Q3";"Q4"},0))/4+$P305*$H305)</f>
        <v/>
      </c>
      <c r="R305" s="19" t="str">
        <f aca="false">IF($O305="","",$O305*$H305)</f>
        <v/>
      </c>
      <c r="S305" s="32" t="str">
        <f aca="false">IF(COUNTA($B305:$J305)+COUNTA($M305:$N305)=0,"",MID(IF($B305="",", unit","")&amp;IF($C305="",", job title","")&amp;IF($D305="",", grade","")&amp;IF($E305="",", workforce type","")&amp;IF($F305="",", Saudi basis","")&amp;IF($G305="",", nature","")&amp;IF(N($H305)&lt;=0,", FTE","")&amp;IF($I305="",", start quarter","")&amp;IF($J305="",", driver","")&amp;IF($M305="",", alternatives",""),3,300))</f>
        <v/>
      </c>
      <c r="T305" s="17" t="str">
        <f aca="false">IF($S305="","",COUNTIF($S$6:$S305,"?*"))</f>
        <v/>
      </c>
    </row>
  </sheetData>
  <sheetProtection sheet="true" sort="false" autoFilter="false"/>
  <autoFilter ref="A5:T305"/>
  <mergeCells count="1">
    <mergeCell ref="A2:J2"/>
  </mergeCells>
  <conditionalFormatting sqref="K6:K305">
    <cfRule type="expression" priority="2" aboveAverage="0" equalAverage="0" bottom="0" percent="0" rank="0" text="" dxfId="12">
      <formula>$K6="Regulatory"</formula>
    </cfRule>
  </conditionalFormatting>
  <conditionalFormatting sqref="A6:T305">
    <cfRule type="expression" priority="3" aboveAverage="0" equalAverage="0" bottom="0" percent="0" rank="0" text="" dxfId="13">
      <formula>$S6&lt;&gt;""</formula>
    </cfRule>
  </conditionalFormatting>
  <dataValidations count="8">
    <dataValidation allowBlank="true" error="Pick a value from the list." errorStyle="stop" operator="between" showDropDown="false" showErrorMessage="true" showInputMessage="false" sqref="B6:B305" type="list">
      <formula1>UnitList</formula1>
      <formula2>0</formula2>
    </dataValidation>
    <dataValidation allowBlank="true" error="Pick a value from the list." errorStyle="stop" operator="between" showDropDown="false" showErrorMessage="true" showInputMessage="false" sqref="D6:D305" type="list">
      <formula1>GradeList</formula1>
      <formula2>0</formula2>
    </dataValidation>
    <dataValidation allowBlank="true" error="Pick a value from the list." errorStyle="stop" operator="between" showDropDown="false" showErrorMessage="true" showInputMessage="false" sqref="E6:E305" type="list">
      <formula1>WorkforceTypes</formula1>
      <formula2>0</formula2>
    </dataValidation>
    <dataValidation allowBlank="true" error="Pick a value from the list." errorStyle="stop" operator="between" showDropDown="false" showErrorMessage="true" showInputMessage="false" sqref="F6:F305" type="list">
      <formula1>SaudiBasisList</formula1>
      <formula2>0</formula2>
    </dataValidation>
    <dataValidation allowBlank="true" error="Pick a value from the list." errorStyle="stop" operator="between" showDropDown="false" showErrorMessage="true" showInputMessage="false" sqref="G6:G305" type="list">
      <formula1>AskNatureList</formula1>
      <formula2>0</formula2>
    </dataValidation>
    <dataValidation allowBlank="true" error="Pick a value from the list." errorStyle="stop" operator="between" showDropDown="false" showErrorMessage="true" showInputMessage="false" sqref="I6:I305" type="list">
      <formula1>QuarterList</formula1>
      <formula2>0</formula2>
    </dataValidation>
    <dataValidation allowBlank="true" error="Pick a value from the list." errorStyle="stop" operator="between" showDropDown="false" showErrorMessage="true" showInputMessage="false" sqref="J6:J305" type="list">
      <formula1>DriverList</formula1>
      <formula2>0</formula2>
    </dataValidation>
    <dataValidation allowBlank="true" error="FTE must be between 0 and 50." errorStyle="stop" operator="between" showDropDown="false" showErrorMessage="true" showInputMessage="false" sqref="H6:H3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18"/>
    <col collapsed="false" customWidth="true" hidden="false" outlineLevel="0" max="6" min="6" style="0" width="44"/>
  </cols>
  <sheetData>
    <row r="1" customFormat="false" ht="24" hidden="false" customHeight="true" outlineLevel="0" collapsed="false">
      <c r="A1" s="1" t="s">
        <v>266</v>
      </c>
    </row>
    <row r="2" customFormat="false" ht="15" hidden="false" customHeight="false" outlineLevel="0" collapsed="false">
      <c r="A2" s="2" t="s">
        <v>267</v>
      </c>
      <c r="B2" s="2"/>
      <c r="C2" s="2"/>
      <c r="D2" s="2"/>
      <c r="E2" s="2"/>
      <c r="F2" s="2"/>
      <c r="G2" s="2"/>
      <c r="H2" s="2"/>
      <c r="I2" s="2"/>
      <c r="J2" s="2"/>
    </row>
    <row r="4" customFormat="false" ht="15" hidden="false" customHeight="false" outlineLevel="0" collapsed="false">
      <c r="A4" s="3" t="s">
        <v>268</v>
      </c>
    </row>
    <row r="5" customFormat="false" ht="15" hidden="false" customHeight="false" outlineLevel="0" collapsed="false">
      <c r="A5" s="6" t="s">
        <v>116</v>
      </c>
      <c r="B5" s="19" t="n">
        <v>157</v>
      </c>
    </row>
    <row r="6" customFormat="false" ht="15" hidden="false" customHeight="false" outlineLevel="0" collapsed="false">
      <c r="A6" s="6" t="s">
        <v>269</v>
      </c>
      <c r="B6" s="19" t="n">
        <v>100</v>
      </c>
    </row>
    <row r="7" customFormat="false" ht="15" hidden="false" customHeight="false" outlineLevel="0" collapsed="false">
      <c r="A7" s="6" t="s">
        <v>270</v>
      </c>
      <c r="B7" s="24" t="n">
        <f aca="false">IFERROR($B$6/$B$5,0)</f>
        <v>0.636942675159236</v>
      </c>
    </row>
    <row r="9" customFormat="false" ht="15" hidden="false" customHeight="false" outlineLevel="0" collapsed="false">
      <c r="A9" s="3" t="s">
        <v>271</v>
      </c>
    </row>
    <row r="10" customFormat="false" ht="15" hidden="false" customHeight="false" outlineLevel="0" collapsed="false">
      <c r="A10" s="6" t="s">
        <v>272</v>
      </c>
      <c r="B10" s="33" t="n">
        <f aca="false">SUM('5. Capacity asks'!$H$6:$H$305)</f>
        <v>0</v>
      </c>
    </row>
    <row r="11" customFormat="false" ht="15" hidden="false" customHeight="false" outlineLevel="0" collapsed="false">
      <c r="A11" s="6" t="s">
        <v>273</v>
      </c>
      <c r="B11" s="20" t="n">
        <f aca="false">SUMIFS('5. Capacity asks'!$H$6:$H$305,'5. Capacity asks'!$E$6:$E$305,"Permanent")</f>
        <v>0</v>
      </c>
    </row>
    <row r="12" customFormat="false" ht="15" hidden="false" customHeight="false" outlineLevel="0" collapsed="false">
      <c r="A12" s="6" t="s">
        <v>274</v>
      </c>
      <c r="B12" s="20" t="n">
        <f aca="false">SUMIFS('5. Capacity asks'!$H$6:$H$305,'5. Capacity asks'!$E$6:$E$305,"Insourced")</f>
        <v>0</v>
      </c>
    </row>
    <row r="13" customFormat="false" ht="15" hidden="false" customHeight="false" outlineLevel="0" collapsed="false">
      <c r="A13" s="6" t="s">
        <v>275</v>
      </c>
      <c r="B13" s="20" t="n">
        <f aca="false">SUMIFS('5. Capacity asks'!$H$6:$H$305,'5. Capacity asks'!$E$6:$E$305,"Outsourced")</f>
        <v>0</v>
      </c>
    </row>
    <row r="14" customFormat="false" ht="15" hidden="false" customHeight="false" outlineLevel="0" collapsed="false">
      <c r="A14" s="6" t="s">
        <v>276</v>
      </c>
      <c r="B14" s="34" t="n">
        <f aca="false">SUM('5. Capacity asks'!$Q$6:$Q$305)</f>
        <v>0</v>
      </c>
      <c r="C14" s="28" t="s">
        <v>277</v>
      </c>
    </row>
    <row r="15" customFormat="false" ht="15" hidden="false" customHeight="false" outlineLevel="0" collapsed="false">
      <c r="A15" s="6" t="s">
        <v>278</v>
      </c>
      <c r="B15" s="34" t="n">
        <f aca="false">SUM('5. Capacity asks'!$R$6:$R$305)</f>
        <v>0</v>
      </c>
    </row>
    <row r="17" customFormat="false" ht="15" hidden="false" customHeight="false" outlineLevel="0" collapsed="false">
      <c r="A17" s="3" t="s">
        <v>279</v>
      </c>
    </row>
    <row r="18" customFormat="false" ht="27.75" hidden="false" customHeight="true" outlineLevel="0" collapsed="false">
      <c r="A18" s="12" t="s">
        <v>280</v>
      </c>
      <c r="B18" s="12" t="s">
        <v>281</v>
      </c>
      <c r="C18" s="12" t="s">
        <v>282</v>
      </c>
      <c r="D18" s="12" t="s">
        <v>283</v>
      </c>
      <c r="E18" s="12" t="s">
        <v>284</v>
      </c>
      <c r="F18" s="12"/>
    </row>
    <row r="19" customFormat="false" ht="15" hidden="false" customHeight="false" outlineLevel="0" collapsed="false">
      <c r="A19" s="35" t="s">
        <v>285</v>
      </c>
      <c r="B19" s="36" t="n">
        <f aca="false">CostEnvelope</f>
        <v>2418</v>
      </c>
      <c r="C19" s="37" t="n">
        <f aca="false">$B$14</f>
        <v>0</v>
      </c>
      <c r="D19" s="38" t="n">
        <f aca="false">$B19-$C19</f>
        <v>2418</v>
      </c>
      <c r="E19" s="39" t="str">
        <f aca="false">IF($D19&gt;=0,"Within envelope","Over envelope")</f>
        <v>Within envelope</v>
      </c>
      <c r="F19" s="40" t="s">
        <v>286</v>
      </c>
    </row>
    <row r="20" customFormat="false" ht="15" hidden="false" customHeight="false" outlineLevel="0" collapsed="false">
      <c r="A20" s="35" t="s">
        <v>287</v>
      </c>
      <c r="B20" s="41" t="n">
        <f aca="false">HeadEnvelope</f>
        <v>9</v>
      </c>
      <c r="C20" s="42" t="n">
        <f aca="false">SUM('5. Capacity asks'!$H$6:$H$305)-SUMIFS('4. Structure changes'!$H$5:$H$44,'4. Structure changes'!$B$5:$B$44,"Close")-SUMIFS('4. Structure changes'!$H$5:$H$44,'4. Structure changes'!$B$5:$B$44,"Merge into another unit")</f>
        <v>0</v>
      </c>
      <c r="D20" s="43" t="n">
        <f aca="false">$B20-$C20</f>
        <v>9</v>
      </c>
      <c r="E20" s="39" t="str">
        <f aca="false">IF($D20&gt;=0,"Within envelope","Over envelope")</f>
        <v>Within envelope</v>
      </c>
      <c r="F20" s="40" t="s">
        <v>288</v>
      </c>
    </row>
    <row r="21" customFormat="false" ht="15" hidden="false" customHeight="false" outlineLevel="0" collapsed="false">
      <c r="A21" s="35" t="s">
        <v>289</v>
      </c>
      <c r="B21" s="44" t="n">
        <f aca="false">SaudiTarget</f>
        <v>0.66</v>
      </c>
      <c r="C21" s="45" t="n">
        <f aca="false">($B$6+SUMIFS('5. Capacity asks'!$H$6:$H$305,'5. Capacity asks'!$F$6:$F$305,"Saudi"))/($B$5+SUM('5. Capacity asks'!$H$6:$H$305))</f>
        <v>0.636942675159236</v>
      </c>
      <c r="D21" s="46" t="n">
        <f aca="false">$C21-$B21</f>
        <v>-0.0230573248407644</v>
      </c>
      <c r="E21" s="39" t="str">
        <f aca="false">IF($C21&gt;=$B21,"At or above target","Below target")</f>
        <v>Below target</v>
      </c>
      <c r="F21" s="40" t="s">
        <v>290</v>
      </c>
    </row>
    <row r="23" customFormat="false" ht="15" hidden="false" customHeight="false" outlineLevel="0" collapsed="false">
      <c r="A23" s="3" t="s">
        <v>291</v>
      </c>
      <c r="F23" s="29" t="s">
        <v>292</v>
      </c>
    </row>
    <row r="24" customFormat="false" ht="27.75" hidden="false" customHeight="true" outlineLevel="0" collapsed="false">
      <c r="A24" s="12" t="s">
        <v>293</v>
      </c>
      <c r="B24" s="12" t="s">
        <v>294</v>
      </c>
      <c r="C24" s="12" t="s">
        <v>295</v>
      </c>
      <c r="D24" s="12" t="s">
        <v>296</v>
      </c>
      <c r="E24" s="12" t="s">
        <v>297</v>
      </c>
      <c r="F24" s="12"/>
    </row>
    <row r="25" customFormat="false" ht="15" hidden="false" customHeight="false" outlineLevel="0" collapsed="false">
      <c r="A25" s="9" t="s">
        <v>298</v>
      </c>
      <c r="B25" s="43" t="n">
        <f aca="false">SUMIFS('5. Capacity asks'!$H$6:$H$305,'5. Capacity asks'!$K$6:$K$305,"Regulatory")</f>
        <v>0</v>
      </c>
      <c r="C25" s="38" t="n">
        <f aca="false">SUMIFS('5. Capacity asks'!$Q$6:$Q$305,'5. Capacity asks'!$K$6:$K$305,"Regulatory")</f>
        <v>0</v>
      </c>
      <c r="D25" s="38" t="n">
        <f aca="false">SUM($C$25:$C25)</f>
        <v>0</v>
      </c>
      <c r="E25" s="39" t="str">
        <f aca="false">IF($D25&lt;=CostEnvelope,"Yes","No")</f>
        <v>Yes</v>
      </c>
      <c r="F25" s="40" t="s">
        <v>299</v>
      </c>
    </row>
    <row r="26" customFormat="false" ht="15" hidden="false" customHeight="false" outlineLevel="0" collapsed="false">
      <c r="A26" s="9" t="s">
        <v>300</v>
      </c>
      <c r="B26" s="43" t="n">
        <f aca="false">SUMIFS('5. Capacity asks'!$H$6:$H$305,'5. Capacity asks'!$K$6:$K$305,"Risk")</f>
        <v>0</v>
      </c>
      <c r="C26" s="38" t="n">
        <f aca="false">SUMIFS('5. Capacity asks'!$Q$6:$Q$305,'5. Capacity asks'!$K$6:$K$305,"Risk")</f>
        <v>0</v>
      </c>
      <c r="D26" s="38" t="n">
        <f aca="false">SUM($C$25:$C26)</f>
        <v>0</v>
      </c>
      <c r="E26" s="39" t="str">
        <f aca="false">IF($D26&lt;=CostEnvelope,"Yes","No")</f>
        <v>Yes</v>
      </c>
      <c r="F26" s="40" t="s">
        <v>301</v>
      </c>
    </row>
    <row r="27" customFormat="false" ht="15" hidden="false" customHeight="false" outlineLevel="0" collapsed="false">
      <c r="A27" s="9" t="s">
        <v>302</v>
      </c>
      <c r="B27" s="43" t="n">
        <f aca="false">SUMIFS('5. Capacity asks'!$H$6:$H$305,'5. Capacity asks'!$K$6:$K$305,"Revenue")</f>
        <v>0</v>
      </c>
      <c r="C27" s="38" t="n">
        <f aca="false">SUMIFS('5. Capacity asks'!$Q$6:$Q$305,'5. Capacity asks'!$K$6:$K$305,"Revenue")</f>
        <v>0</v>
      </c>
      <c r="D27" s="38" t="n">
        <f aca="false">SUM($C$25:$C27)</f>
        <v>0</v>
      </c>
      <c r="E27" s="39" t="str">
        <f aca="false">IF($D27&lt;=CostEnvelope,"Yes","No")</f>
        <v>Yes</v>
      </c>
      <c r="F27" s="40" t="s">
        <v>303</v>
      </c>
    </row>
    <row r="28" customFormat="false" ht="15" hidden="false" customHeight="false" outlineLevel="0" collapsed="false">
      <c r="A28" s="9" t="s">
        <v>304</v>
      </c>
      <c r="B28" s="43" t="n">
        <f aca="false">SUMIFS('5. Capacity asks'!$H$6:$H$305,'5. Capacity asks'!$K$6:$K$305,"Replacement")</f>
        <v>0</v>
      </c>
      <c r="C28" s="38" t="n">
        <f aca="false">SUMIFS('5. Capacity asks'!$Q$6:$Q$305,'5. Capacity asks'!$K$6:$K$305,"Replacement")</f>
        <v>0</v>
      </c>
      <c r="D28" s="38" t="n">
        <f aca="false">SUM($C$25:$C28)</f>
        <v>0</v>
      </c>
      <c r="E28" s="39" t="str">
        <f aca="false">IF($D28&lt;=CostEnvelope,"Yes","No")</f>
        <v>Yes</v>
      </c>
      <c r="F28" s="40" t="s">
        <v>305</v>
      </c>
    </row>
    <row r="29" customFormat="false" ht="15" hidden="false" customHeight="false" outlineLevel="0" collapsed="false">
      <c r="A29" s="9" t="s">
        <v>306</v>
      </c>
      <c r="B29" s="43" t="n">
        <f aca="false">SUMIFS('5. Capacity asks'!$H$6:$H$305,'5. Capacity asks'!$K$6:$K$305,"Efficiency")</f>
        <v>0</v>
      </c>
      <c r="C29" s="38" t="n">
        <f aca="false">SUMIFS('5. Capacity asks'!$Q$6:$Q$305,'5. Capacity asks'!$K$6:$K$305,"Efficiency")</f>
        <v>0</v>
      </c>
      <c r="D29" s="38" t="n">
        <f aca="false">SUM($C$25:$C29)</f>
        <v>0</v>
      </c>
      <c r="E29" s="39" t="str">
        <f aca="false">IF($D29&lt;=CostEnvelope,"Yes","No")</f>
        <v>Yes</v>
      </c>
      <c r="F29" s="40" t="s">
        <v>307</v>
      </c>
    </row>
    <row r="30" customFormat="false" ht="15" hidden="false" customHeight="false" outlineLevel="0" collapsed="false">
      <c r="A30" s="9" t="s">
        <v>308</v>
      </c>
      <c r="B30" s="43" t="n">
        <f aca="false">SUMIFS('5. Capacity asks'!$H$6:$H$305,'5. Capacity asks'!$K$6:$K$305,"Other")</f>
        <v>0</v>
      </c>
      <c r="C30" s="38" t="n">
        <f aca="false">SUMIFS('5. Capacity asks'!$Q$6:$Q$305,'5. Capacity asks'!$K$6:$K$305,"Other")</f>
        <v>0</v>
      </c>
      <c r="D30" s="38" t="n">
        <f aca="false">SUM($C$25:$C30)</f>
        <v>0</v>
      </c>
      <c r="E30" s="39" t="str">
        <f aca="false">IF($D30&lt;=CostEnvelope,"Yes","No")</f>
        <v>Yes</v>
      </c>
      <c r="F30" s="40" t="s">
        <v>309</v>
      </c>
    </row>
    <row r="32" customFormat="false" ht="15" hidden="false" customHeight="false" outlineLevel="0" collapsed="false">
      <c r="A32" s="3" t="s">
        <v>310</v>
      </c>
    </row>
    <row r="33" customFormat="false" ht="27.75" hidden="false" customHeight="true" outlineLevel="0" collapsed="false">
      <c r="A33" s="12" t="s">
        <v>254</v>
      </c>
      <c r="B33" s="12" t="s">
        <v>311</v>
      </c>
      <c r="C33" s="12" t="s">
        <v>295</v>
      </c>
      <c r="D33" s="12" t="s">
        <v>312</v>
      </c>
      <c r="E33" s="12"/>
      <c r="F33" s="12"/>
    </row>
    <row r="34" customFormat="false" ht="15" hidden="false" customHeight="false" outlineLevel="0" collapsed="false">
      <c r="A34" s="9" t="s">
        <v>313</v>
      </c>
      <c r="B34" s="43" t="n">
        <f aca="false">SUMIFS('5. Capacity asks'!$H$6:$H$305,'5. Capacity asks'!$I$6:$I$305,"Q1")</f>
        <v>0</v>
      </c>
      <c r="C34" s="38" t="n">
        <f aca="false">SUMIFS('5. Capacity asks'!$Q$6:$Q$305,'5. Capacity asks'!$I$6:$I$305,"Q1")</f>
        <v>0</v>
      </c>
      <c r="D34" s="38" t="n">
        <f aca="false">SUMIFS('5. Capacity asks'!$R$6:$R$305,'5. Capacity asks'!$I$6:$I$305,"Q1")</f>
        <v>0</v>
      </c>
    </row>
    <row r="35" customFormat="false" ht="15" hidden="false" customHeight="false" outlineLevel="0" collapsed="false">
      <c r="A35" s="9" t="s">
        <v>314</v>
      </c>
      <c r="B35" s="43" t="n">
        <f aca="false">SUMIFS('5. Capacity asks'!$H$6:$H$305,'5. Capacity asks'!$I$6:$I$305,"Q2")</f>
        <v>0</v>
      </c>
      <c r="C35" s="38" t="n">
        <f aca="false">SUMIFS('5. Capacity asks'!$Q$6:$Q$305,'5. Capacity asks'!$I$6:$I$305,"Q2")</f>
        <v>0</v>
      </c>
      <c r="D35" s="38" t="n">
        <f aca="false">SUMIFS('5. Capacity asks'!$R$6:$R$305,'5. Capacity asks'!$I$6:$I$305,"Q2")</f>
        <v>0</v>
      </c>
    </row>
    <row r="36" customFormat="false" ht="15" hidden="false" customHeight="false" outlineLevel="0" collapsed="false">
      <c r="A36" s="9" t="s">
        <v>134</v>
      </c>
      <c r="B36" s="43" t="n">
        <f aca="false">SUMIFS('5. Capacity asks'!$H$6:$H$305,'5. Capacity asks'!$I$6:$I$305,"Q3")</f>
        <v>0</v>
      </c>
      <c r="C36" s="38" t="n">
        <f aca="false">SUMIFS('5. Capacity asks'!$Q$6:$Q$305,'5. Capacity asks'!$I$6:$I$305,"Q3")</f>
        <v>0</v>
      </c>
      <c r="D36" s="38" t="n">
        <f aca="false">SUMIFS('5. Capacity asks'!$R$6:$R$305,'5. Capacity asks'!$I$6:$I$305,"Q3")</f>
        <v>0</v>
      </c>
    </row>
    <row r="37" customFormat="false" ht="15" hidden="false" customHeight="false" outlineLevel="0" collapsed="false">
      <c r="A37" s="9" t="s">
        <v>141</v>
      </c>
      <c r="B37" s="43" t="n">
        <f aca="false">SUMIFS('5. Capacity asks'!$H$6:$H$305,'5. Capacity asks'!$I$6:$I$305,"Q4")</f>
        <v>0</v>
      </c>
      <c r="C37" s="38" t="n">
        <f aca="false">SUMIFS('5. Capacity asks'!$Q$6:$Q$305,'5. Capacity asks'!$I$6:$I$305,"Q4")</f>
        <v>0</v>
      </c>
      <c r="D37" s="38" t="n">
        <f aca="false">SUMIFS('5. Capacity asks'!$R$6:$R$305,'5. Capacity asks'!$I$6:$I$305,"Q4")</f>
        <v>0</v>
      </c>
    </row>
    <row r="39" customFormat="false" ht="15" hidden="false" customHeight="false" outlineLevel="0" collapsed="false">
      <c r="A39" s="3" t="s">
        <v>315</v>
      </c>
    </row>
    <row r="40" customFormat="false" ht="27.75" hidden="false" customHeight="true" outlineLevel="0" collapsed="false">
      <c r="A40" s="12" t="s">
        <v>83</v>
      </c>
      <c r="B40" s="12" t="s">
        <v>316</v>
      </c>
      <c r="C40" s="12" t="s">
        <v>317</v>
      </c>
      <c r="D40" s="12" t="s">
        <v>90</v>
      </c>
      <c r="E40" s="12" t="s">
        <v>318</v>
      </c>
      <c r="F40" s="12"/>
    </row>
    <row r="41" customFormat="false" ht="15" hidden="false" customHeight="false" outlineLevel="0" collapsed="false">
      <c r="A41" s="9" t="s">
        <v>319</v>
      </c>
      <c r="B41" s="38" t="n">
        <f aca="false">COUNTIF('2. Current capacity'!$E$5:$E$19,"Accounts serviced")</f>
        <v>0</v>
      </c>
      <c r="C41" s="43" t="n">
        <f aca="false">SUMIFS('2. Current capacity'!$C$5:$C$19,'2. Current capacity'!$E$5:$E$19,"Accounts serviced")</f>
        <v>0</v>
      </c>
      <c r="D41" s="43" t="n">
        <f aca="false">SUMIFS('2. Current capacity'!$L$5:$L$19,'2. Current capacity'!$E$5:$E$19,"Accounts serviced")</f>
        <v>0</v>
      </c>
      <c r="E41" s="43" t="n">
        <f aca="false">SUMIFS('2. Current capacity'!$M$5:$M$19,'2. Current capacity'!$E$5:$E$19,"Accounts serviced")</f>
        <v>0</v>
      </c>
      <c r="F41" s="17" t="s">
        <v>320</v>
      </c>
    </row>
    <row r="42" customFormat="false" ht="15" hidden="false" customHeight="false" outlineLevel="0" collapsed="false">
      <c r="A42" s="9" t="s">
        <v>321</v>
      </c>
      <c r="B42" s="38" t="n">
        <f aca="false">COUNTIF('2. Current capacity'!$E$5:$E$19,"Transactions processed")</f>
        <v>0</v>
      </c>
      <c r="C42" s="43" t="n">
        <f aca="false">SUMIFS('2. Current capacity'!$C$5:$C$19,'2. Current capacity'!$E$5:$E$19,"Transactions processed")</f>
        <v>0</v>
      </c>
      <c r="D42" s="43" t="n">
        <f aca="false">SUMIFS('2. Current capacity'!$L$5:$L$19,'2. Current capacity'!$E$5:$E$19,"Transactions processed")</f>
        <v>0</v>
      </c>
      <c r="E42" s="43" t="n">
        <f aca="false">SUMIFS('2. Current capacity'!$M$5:$M$19,'2. Current capacity'!$E$5:$E$19,"Transactions processed")</f>
        <v>0</v>
      </c>
      <c r="F42" s="17" t="s">
        <v>322</v>
      </c>
    </row>
    <row r="43" customFormat="false" ht="15" hidden="false" customHeight="false" outlineLevel="0" collapsed="false">
      <c r="A43" s="9" t="s">
        <v>323</v>
      </c>
      <c r="B43" s="38" t="n">
        <f aca="false">COUNTIF('2. Current capacity'!$E$5:$E$19,"Applications processed")</f>
        <v>0</v>
      </c>
      <c r="C43" s="43" t="n">
        <f aca="false">SUMIFS('2. Current capacity'!$C$5:$C$19,'2. Current capacity'!$E$5:$E$19,"Applications processed")</f>
        <v>0</v>
      </c>
      <c r="D43" s="43" t="n">
        <f aca="false">SUMIFS('2. Current capacity'!$L$5:$L$19,'2. Current capacity'!$E$5:$E$19,"Applications processed")</f>
        <v>0</v>
      </c>
      <c r="E43" s="43" t="n">
        <f aca="false">SUMIFS('2. Current capacity'!$M$5:$M$19,'2. Current capacity'!$E$5:$E$19,"Applications processed")</f>
        <v>0</v>
      </c>
      <c r="F43" s="17" t="s">
        <v>324</v>
      </c>
    </row>
    <row r="44" customFormat="false" ht="15" hidden="false" customHeight="false" outlineLevel="0" collapsed="false">
      <c r="A44" s="9" t="s">
        <v>325</v>
      </c>
      <c r="B44" s="38" t="n">
        <f aca="false">COUNTIF('2. Current capacity'!$E$5:$E$19,"Payments processed")</f>
        <v>0</v>
      </c>
      <c r="C44" s="43" t="n">
        <f aca="false">SUMIFS('2. Current capacity'!$C$5:$C$19,'2. Current capacity'!$E$5:$E$19,"Payments processed")</f>
        <v>0</v>
      </c>
      <c r="D44" s="43" t="n">
        <f aca="false">SUMIFS('2. Current capacity'!$L$5:$L$19,'2. Current capacity'!$E$5:$E$19,"Payments processed")</f>
        <v>0</v>
      </c>
      <c r="E44" s="43" t="n">
        <f aca="false">SUMIFS('2. Current capacity'!$M$5:$M$19,'2. Current capacity'!$E$5:$E$19,"Payments processed")</f>
        <v>0</v>
      </c>
      <c r="F44" s="17" t="s">
        <v>326</v>
      </c>
    </row>
    <row r="45" customFormat="false" ht="15" hidden="false" customHeight="false" outlineLevel="0" collapsed="false">
      <c r="A45" s="9" t="s">
        <v>327</v>
      </c>
      <c r="B45" s="38" t="n">
        <f aca="false">COUNTIF('2. Current capacity'!$E$5:$E$19,"Cases or tickets handled")</f>
        <v>0</v>
      </c>
      <c r="C45" s="43" t="n">
        <f aca="false">SUMIFS('2. Current capacity'!$C$5:$C$19,'2. Current capacity'!$E$5:$E$19,"Cases or tickets handled")</f>
        <v>0</v>
      </c>
      <c r="D45" s="43" t="n">
        <f aca="false">SUMIFS('2. Current capacity'!$L$5:$L$19,'2. Current capacity'!$E$5:$E$19,"Cases or tickets handled")</f>
        <v>0</v>
      </c>
      <c r="E45" s="43" t="n">
        <f aca="false">SUMIFS('2. Current capacity'!$M$5:$M$19,'2. Current capacity'!$E$5:$E$19,"Cases or tickets handled")</f>
        <v>0</v>
      </c>
      <c r="F45" s="17" t="s">
        <v>328</v>
      </c>
    </row>
    <row r="46" customFormat="false" ht="15" hidden="false" customHeight="false" outlineLevel="0" collapsed="false">
      <c r="A46" s="9" t="s">
        <v>329</v>
      </c>
      <c r="B46" s="38" t="n">
        <f aca="false">COUNTIF('2. Current capacity'!$E$5:$E$19,"Calls handled")</f>
        <v>0</v>
      </c>
      <c r="C46" s="43" t="n">
        <f aca="false">SUMIFS('2. Current capacity'!$C$5:$C$19,'2. Current capacity'!$E$5:$E$19,"Calls handled")</f>
        <v>0</v>
      </c>
      <c r="D46" s="43" t="n">
        <f aca="false">SUMIFS('2. Current capacity'!$L$5:$L$19,'2. Current capacity'!$E$5:$E$19,"Calls handled")</f>
        <v>0</v>
      </c>
      <c r="E46" s="43" t="n">
        <f aca="false">SUMIFS('2. Current capacity'!$M$5:$M$19,'2. Current capacity'!$E$5:$E$19,"Calls handled")</f>
        <v>0</v>
      </c>
      <c r="F46" s="17" t="s">
        <v>330</v>
      </c>
    </row>
    <row r="47" customFormat="false" ht="15" hidden="false" customHeight="false" outlineLevel="0" collapsed="false">
      <c r="A47" s="9" t="s">
        <v>331</v>
      </c>
      <c r="B47" s="38" t="n">
        <f aca="false">COUNTIF('2. Current capacity'!$E$5:$E$19,"Customers covered")</f>
        <v>0</v>
      </c>
      <c r="C47" s="43" t="n">
        <f aca="false">SUMIFS('2. Current capacity'!$C$5:$C$19,'2. Current capacity'!$E$5:$E$19,"Customers covered")</f>
        <v>0</v>
      </c>
      <c r="D47" s="43" t="n">
        <f aca="false">SUMIFS('2. Current capacity'!$L$5:$L$19,'2. Current capacity'!$E$5:$E$19,"Customers covered")</f>
        <v>0</v>
      </c>
      <c r="E47" s="43" t="n">
        <f aca="false">SUMIFS('2. Current capacity'!$M$5:$M$19,'2. Current capacity'!$E$5:$E$19,"Customers covered")</f>
        <v>0</v>
      </c>
      <c r="F47" s="17" t="s">
        <v>332</v>
      </c>
    </row>
    <row r="48" customFormat="false" ht="15" hidden="false" customHeight="false" outlineLevel="0" collapsed="false">
      <c r="A48" s="9" t="s">
        <v>333</v>
      </c>
      <c r="B48" s="38" t="n">
        <f aca="false">COUNTIF('2. Current capacity'!$E$5:$E$19,"Branches supported")</f>
        <v>0</v>
      </c>
      <c r="C48" s="43" t="n">
        <f aca="false">SUMIFS('2. Current capacity'!$C$5:$C$19,'2. Current capacity'!$E$5:$E$19,"Branches supported")</f>
        <v>0</v>
      </c>
      <c r="D48" s="43" t="n">
        <f aca="false">SUMIFS('2. Current capacity'!$L$5:$L$19,'2. Current capacity'!$E$5:$E$19,"Branches supported")</f>
        <v>0</v>
      </c>
      <c r="E48" s="43" t="n">
        <f aca="false">SUMIFS('2. Current capacity'!$M$5:$M$19,'2. Current capacity'!$E$5:$E$19,"Branches supported")</f>
        <v>0</v>
      </c>
      <c r="F48" s="17" t="s">
        <v>334</v>
      </c>
    </row>
    <row r="49" customFormat="false" ht="15" hidden="false" customHeight="false" outlineLevel="0" collapsed="false">
      <c r="A49" s="9" t="s">
        <v>335</v>
      </c>
      <c r="B49" s="38" t="n">
        <f aca="false">COUNTIF('2. Current capacity'!$E$5:$E$19,"Audits or reviews delivered")</f>
        <v>0</v>
      </c>
      <c r="C49" s="43" t="n">
        <f aca="false">SUMIFS('2. Current capacity'!$C$5:$C$19,'2. Current capacity'!$E$5:$E$19,"Audits or reviews delivered")</f>
        <v>0</v>
      </c>
      <c r="D49" s="43" t="n">
        <f aca="false">SUMIFS('2. Current capacity'!$L$5:$L$19,'2. Current capacity'!$E$5:$E$19,"Audits or reviews delivered")</f>
        <v>0</v>
      </c>
      <c r="E49" s="43" t="n">
        <f aca="false">SUMIFS('2. Current capacity'!$M$5:$M$19,'2. Current capacity'!$E$5:$E$19,"Audits or reviews delivered")</f>
        <v>0</v>
      </c>
      <c r="F49" s="17" t="s">
        <v>336</v>
      </c>
    </row>
    <row r="50" customFormat="false" ht="15" hidden="false" customHeight="false" outlineLevel="0" collapsed="false">
      <c r="A50" s="9" t="s">
        <v>337</v>
      </c>
      <c r="B50" s="38" t="n">
        <f aca="false">COUNTIF('2. Current capacity'!$E$5:$E$19,"Reports or returns produced")</f>
        <v>0</v>
      </c>
      <c r="C50" s="43" t="n">
        <f aca="false">SUMIFS('2. Current capacity'!$C$5:$C$19,'2. Current capacity'!$E$5:$E$19,"Reports or returns produced")</f>
        <v>0</v>
      </c>
      <c r="D50" s="43" t="n">
        <f aca="false">SUMIFS('2. Current capacity'!$L$5:$L$19,'2. Current capacity'!$E$5:$E$19,"Reports or returns produced")</f>
        <v>0</v>
      </c>
      <c r="E50" s="43" t="n">
        <f aca="false">SUMIFS('2. Current capacity'!$M$5:$M$19,'2. Current capacity'!$E$5:$E$19,"Reports or returns produced")</f>
        <v>0</v>
      </c>
      <c r="F50" s="17" t="s">
        <v>338</v>
      </c>
    </row>
    <row r="51" customFormat="false" ht="15" hidden="false" customHeight="false" outlineLevel="0" collapsed="false">
      <c r="A51" s="9" t="s">
        <v>339</v>
      </c>
      <c r="B51" s="38" t="n">
        <f aca="false">COUNTIF('2. Current capacity'!$E$5:$E$19,"Systems or applications supported")</f>
        <v>0</v>
      </c>
      <c r="C51" s="43" t="n">
        <f aca="false">SUMIFS('2. Current capacity'!$C$5:$C$19,'2. Current capacity'!$E$5:$E$19,"Systems or applications supported")</f>
        <v>0</v>
      </c>
      <c r="D51" s="43" t="n">
        <f aca="false">SUMIFS('2. Current capacity'!$L$5:$L$19,'2. Current capacity'!$E$5:$E$19,"Systems or applications supported")</f>
        <v>0</v>
      </c>
      <c r="E51" s="43" t="n">
        <f aca="false">SUMIFS('2. Current capacity'!$M$5:$M$19,'2. Current capacity'!$E$5:$E$19,"Systems or applications supported")</f>
        <v>0</v>
      </c>
      <c r="F51" s="17" t="s">
        <v>340</v>
      </c>
    </row>
    <row r="52" customFormat="false" ht="15" hidden="false" customHeight="false" outlineLevel="0" collapsed="false">
      <c r="A52" s="9" t="s">
        <v>341</v>
      </c>
      <c r="B52" s="38" t="n">
        <f aca="false">COUNTIF('2. Current capacity'!$E$5:$E$19,"Change requests delivered")</f>
        <v>0</v>
      </c>
      <c r="C52" s="43" t="n">
        <f aca="false">SUMIFS('2. Current capacity'!$C$5:$C$19,'2. Current capacity'!$E$5:$E$19,"Change requests delivered")</f>
        <v>0</v>
      </c>
      <c r="D52" s="43" t="n">
        <f aca="false">SUMIFS('2. Current capacity'!$L$5:$L$19,'2. Current capacity'!$E$5:$E$19,"Change requests delivered")</f>
        <v>0</v>
      </c>
      <c r="E52" s="43" t="n">
        <f aca="false">SUMIFS('2. Current capacity'!$M$5:$M$19,'2. Current capacity'!$E$5:$E$19,"Change requests delivered")</f>
        <v>0</v>
      </c>
      <c r="F52" s="17" t="s">
        <v>342</v>
      </c>
    </row>
    <row r="53" customFormat="false" ht="15" hidden="false" customHeight="false" outlineLevel="0" collapsed="false">
      <c r="A53" s="9" t="s">
        <v>343</v>
      </c>
      <c r="B53" s="38" t="n">
        <f aca="false">COUNTIF('2. Current capacity'!$E$5:$E$19,"Headcount supported")</f>
        <v>0</v>
      </c>
      <c r="C53" s="43" t="n">
        <f aca="false">SUMIFS('2. Current capacity'!$C$5:$C$19,'2. Current capacity'!$E$5:$E$19,"Headcount supported")</f>
        <v>0</v>
      </c>
      <c r="D53" s="43" t="n">
        <f aca="false">SUMIFS('2. Current capacity'!$L$5:$L$19,'2. Current capacity'!$E$5:$E$19,"Headcount supported")</f>
        <v>0</v>
      </c>
      <c r="E53" s="43" t="n">
        <f aca="false">SUMIFS('2. Current capacity'!$M$5:$M$19,'2. Current capacity'!$E$5:$E$19,"Headcount supported")</f>
        <v>0</v>
      </c>
      <c r="F53" s="17" t="s">
        <v>344</v>
      </c>
    </row>
    <row r="54" customFormat="false" ht="15" hidden="false" customHeight="false" outlineLevel="0" collapsed="false">
      <c r="A54" s="9" t="s">
        <v>345</v>
      </c>
      <c r="B54" s="38" t="n">
        <f aca="false">COUNTIF('2. Current capacity'!$E$5:$E$19,"Group-specific driver 1")</f>
        <v>0</v>
      </c>
      <c r="C54" s="43" t="n">
        <f aca="false">SUMIFS('2. Current capacity'!$C$5:$C$19,'2. Current capacity'!$E$5:$E$19,"Group-specific driver 1")</f>
        <v>0</v>
      </c>
      <c r="D54" s="43" t="n">
        <f aca="false">SUMIFS('2. Current capacity'!$L$5:$L$19,'2. Current capacity'!$E$5:$E$19,"Group-specific driver 1")</f>
        <v>0</v>
      </c>
      <c r="E54" s="43" t="n">
        <f aca="false">SUMIFS('2. Current capacity'!$M$5:$M$19,'2. Current capacity'!$E$5:$E$19,"Group-specific driver 1")</f>
        <v>0</v>
      </c>
      <c r="F54" s="17" t="s">
        <v>346</v>
      </c>
    </row>
    <row r="55" customFormat="false" ht="15" hidden="false" customHeight="false" outlineLevel="0" collapsed="false">
      <c r="A55" s="9" t="s">
        <v>347</v>
      </c>
      <c r="B55" s="38" t="n">
        <f aca="false">COUNTIF('2. Current capacity'!$E$5:$E$19,"Group-specific driver 2")</f>
        <v>0</v>
      </c>
      <c r="C55" s="43" t="n">
        <f aca="false">SUMIFS('2. Current capacity'!$C$5:$C$19,'2. Current capacity'!$E$5:$E$19,"Group-specific driver 2")</f>
        <v>0</v>
      </c>
      <c r="D55" s="43" t="n">
        <f aca="false">SUMIFS('2. Current capacity'!$L$5:$L$19,'2. Current capacity'!$E$5:$E$19,"Group-specific driver 2")</f>
        <v>0</v>
      </c>
      <c r="E55" s="43" t="n">
        <f aca="false">SUMIFS('2. Current capacity'!$M$5:$M$19,'2. Current capacity'!$E$5:$E$19,"Group-specific driver 2")</f>
        <v>0</v>
      </c>
      <c r="F55" s="17" t="s">
        <v>346</v>
      </c>
    </row>
    <row r="56" customFormat="false" ht="15" hidden="false" customHeight="false" outlineLevel="0" collapsed="false">
      <c r="A56" s="6" t="s">
        <v>348</v>
      </c>
      <c r="E56" s="47" t="n">
        <f aca="false">SUM($E$41:$E$55)</f>
        <v>0</v>
      </c>
      <c r="F56" s="48" t="s">
        <v>349</v>
      </c>
    </row>
    <row r="57" customFormat="false" ht="22.35" hidden="false" customHeight="false" outlineLevel="0" collapsed="false">
      <c r="A57" s="6" t="s">
        <v>350</v>
      </c>
      <c r="E57" s="47" t="n">
        <f aca="false">$B$10</f>
        <v>0</v>
      </c>
      <c r="F57" s="48" t="s">
        <v>351</v>
      </c>
    </row>
  </sheetData>
  <sheetProtection sheet="true" sort="false" autoFilter="false"/>
  <mergeCells count="1">
    <mergeCell ref="A2:J2"/>
  </mergeCells>
  <conditionalFormatting sqref="E19:E21">
    <cfRule type="expression" priority="2" aboveAverage="0" equalAverage="0" bottom="0" percent="0" rank="0" text="" dxfId="12">
      <formula>OR($E19="Over envelope",$E19="Below target")</formula>
    </cfRule>
    <cfRule type="expression" priority="3" aboveAverage="0" equalAverage="0" bottom="0" percent="0" rank="0" text="" dxfId="0">
      <formula>OR($E19="Within envelope",$E19="At or above target")</formula>
    </cfRule>
  </conditionalFormatting>
  <conditionalFormatting sqref="E25:E30">
    <cfRule type="cellIs" priority="4" operator="equal" aboveAverage="0" equalAverage="0" bottom="0" percent="0" rank="0" text="" dxfId="12">
      <formula>"No"</formula>
    </cfRule>
  </conditionalFormatting>
  <conditionalFormatting sqref="E41:E55">
    <cfRule type="cellIs" priority="5"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352</v>
      </c>
    </row>
    <row r="2" customFormat="false" ht="15" hidden="false" customHeight="false" outlineLevel="0" collapsed="false">
      <c r="A2" s="2" t="s">
        <v>353</v>
      </c>
      <c r="B2" s="2"/>
      <c r="C2" s="2"/>
      <c r="D2" s="2"/>
      <c r="E2" s="2"/>
      <c r="F2" s="2"/>
      <c r="G2" s="2"/>
      <c r="H2" s="2"/>
      <c r="I2" s="2"/>
      <c r="J2" s="2"/>
    </row>
    <row r="4" customFormat="false" ht="15" hidden="false" customHeight="false" outlineLevel="0" collapsed="false">
      <c r="A4" s="3" t="s">
        <v>354</v>
      </c>
    </row>
    <row r="5" customFormat="false" ht="27.75" hidden="false" customHeight="true" outlineLevel="0" collapsed="false">
      <c r="A5" s="12" t="s">
        <v>355</v>
      </c>
      <c r="B5" s="12" t="s">
        <v>356</v>
      </c>
      <c r="C5" s="12" t="s">
        <v>284</v>
      </c>
      <c r="D5" s="12" t="s">
        <v>2</v>
      </c>
    </row>
    <row r="6" customFormat="false" ht="25.5" hidden="false" customHeight="true" outlineLevel="0" collapsed="false">
      <c r="A6" s="9" t="s">
        <v>357</v>
      </c>
      <c r="B6" s="38" t="n">
        <f aca="false">COUNTIF('5. Capacity asks'!$S$6:$S$305,"?*")</f>
        <v>0</v>
      </c>
      <c r="C6" s="49" t="str">
        <f aca="false">IF($B6=0,"OK","Fix")</f>
        <v>OK</v>
      </c>
      <c r="D6" s="40" t="s">
        <v>358</v>
      </c>
    </row>
    <row r="7" customFormat="false" ht="25.5" hidden="false" customHeight="true" outlineLevel="0" collapsed="false">
      <c r="A7" s="9" t="s">
        <v>359</v>
      </c>
      <c r="B7" s="38" t="n">
        <f aca="false">SUMPRODUCT(('5. Capacity asks'!$B$6:$B$305&lt;&gt;"")*(COUNTIF(UnitList,'5. Capacity asks'!$B$6:$B$305)=0)*(COUNTIF('4. Structure changes'!$J$5:$J$44,'5. Capacity asks'!$B$6:$B$305)=0))</f>
        <v>0</v>
      </c>
      <c r="C7" s="49" t="str">
        <f aca="false">IF($B7=0,"OK","Fix")</f>
        <v>OK</v>
      </c>
      <c r="D7" s="40" t="s">
        <v>360</v>
      </c>
    </row>
    <row r="8" customFormat="false" ht="25.5" hidden="false" customHeight="true" outlineLevel="0" collapsed="false">
      <c r="A8" s="9" t="s">
        <v>361</v>
      </c>
      <c r="B8" s="38" t="n">
        <f aca="false">COUNTBLANK('3. Attrition &amp; pipeline'!$E$77:$E$93)</f>
        <v>17</v>
      </c>
      <c r="C8" s="49" t="str">
        <f aca="false">IF($B8=0,"OK","Fix")</f>
        <v>Fix</v>
      </c>
      <c r="D8" s="40" t="s">
        <v>362</v>
      </c>
    </row>
    <row r="9" customFormat="false" ht="25.5" hidden="false" customHeight="true" outlineLevel="0" collapsed="false">
      <c r="A9" s="9" t="s">
        <v>363</v>
      </c>
      <c r="B9" s="38" t="n">
        <f aca="false">SUMPRODUCT(('3. Attrition &amp; pipeline'!$B$14:$B$73&lt;&gt;"")*('3. Attrition &amp; pipeline'!$G$14:$G$73=""))</f>
        <v>0</v>
      </c>
      <c r="C9" s="49" t="str">
        <f aca="false">IF($B9=0,"OK","Fix")</f>
        <v>OK</v>
      </c>
      <c r="D9" s="40" t="s">
        <v>364</v>
      </c>
    </row>
    <row r="10" customFormat="false" ht="25.5" hidden="false" customHeight="true" outlineLevel="0" collapsed="false">
      <c r="A10" s="9" t="s">
        <v>365</v>
      </c>
      <c r="B10" s="38" t="n">
        <f aca="false">SUMPRODUCT(('2. Current capacity'!$A$5:$A$19&lt;&gt;"")*('2. Current capacity'!$E$5:$E$19=""))</f>
        <v>15</v>
      </c>
      <c r="C10" s="49" t="str">
        <f aca="false">IF($B10=0,"OK","Fix")</f>
        <v>Fix</v>
      </c>
      <c r="D10" s="40" t="s">
        <v>366</v>
      </c>
    </row>
    <row r="11" customFormat="false" ht="25.5" hidden="false" customHeight="true" outlineLevel="0" collapsed="false">
      <c r="A11" s="9" t="s">
        <v>367</v>
      </c>
      <c r="B11" s="38" t="n">
        <f aca="false">SUMPRODUCT(('2. Current capacity'!$E$5:$E$19&lt;&gt;"")*((('2. Current capacity'!$F$5:$F$19="")+('2. Current capacity'!$G$5:$G$19="")+('2. Current capacity'!$I$5:$I$19=""))&gt;0))</f>
        <v>0</v>
      </c>
      <c r="C11" s="49" t="str">
        <f aca="false">IF($B11=0,"OK","Fix")</f>
        <v>OK</v>
      </c>
      <c r="D11" s="40" t="s">
        <v>368</v>
      </c>
    </row>
    <row r="12" customFormat="false" ht="25.5" hidden="false" customHeight="true" outlineLevel="0" collapsed="false">
      <c r="A12" s="9" t="s">
        <v>369</v>
      </c>
      <c r="B12" s="38" t="n">
        <f aca="false">SUMPRODUCT(('4. Structure changes'!$B$5:$B$44&lt;&gt;"")*((('4. Structure changes'!$C$5:$C$44="")+('4. Structure changes'!$D$5:$D$44="")+('4. Structure changes'!$G$5:$G$44=""))&gt;0))</f>
        <v>0</v>
      </c>
      <c r="C12" s="49" t="str">
        <f aca="false">IF($B12=0,"OK","Fix")</f>
        <v>OK</v>
      </c>
      <c r="D12" s="40" t="s">
        <v>370</v>
      </c>
    </row>
    <row r="14" customFormat="false" ht="15" hidden="false" customHeight="false" outlineLevel="0" collapsed="false">
      <c r="A14" s="3" t="s">
        <v>371</v>
      </c>
    </row>
    <row r="15" customFormat="false" ht="27.75" hidden="false" customHeight="true" outlineLevel="0" collapsed="false">
      <c r="A15" s="12" t="s">
        <v>355</v>
      </c>
      <c r="B15" s="12" t="s">
        <v>356</v>
      </c>
      <c r="C15" s="12" t="s">
        <v>284</v>
      </c>
      <c r="D15" s="12" t="s">
        <v>2</v>
      </c>
    </row>
    <row r="16" customFormat="false" ht="25.5" hidden="false" customHeight="true" outlineLevel="0" collapsed="false">
      <c r="A16" s="9" t="s">
        <v>372</v>
      </c>
      <c r="B16" s="38" t="n">
        <f aca="false">IF('6. My position'!$C$19&gt;'6. My position'!$B$19,1,0)</f>
        <v>0</v>
      </c>
      <c r="C16" s="49" t="str">
        <f aca="false">IF($B16=0,"OK","Review")</f>
        <v>OK</v>
      </c>
      <c r="D16" s="40" t="s">
        <v>373</v>
      </c>
    </row>
    <row r="17" customFormat="false" ht="25.5" hidden="false" customHeight="true" outlineLevel="0" collapsed="false">
      <c r="A17" s="9" t="s">
        <v>374</v>
      </c>
      <c r="B17" s="38" t="n">
        <f aca="false">IF('6. My position'!$C$20&gt;'6. My position'!$B$20,1,0)</f>
        <v>0</v>
      </c>
      <c r="C17" s="49" t="str">
        <f aca="false">IF($B17=0,"OK","Review")</f>
        <v>OK</v>
      </c>
      <c r="D17" s="40" t="s">
        <v>375</v>
      </c>
    </row>
    <row r="18" customFormat="false" ht="25.5" hidden="false" customHeight="true" outlineLevel="0" collapsed="false">
      <c r="A18" s="9" t="s">
        <v>376</v>
      </c>
      <c r="B18" s="38" t="n">
        <f aca="false">IF('6. My position'!$C$21&lt;'6. My position'!$B$21,1,0)</f>
        <v>1</v>
      </c>
      <c r="C18" s="49" t="str">
        <f aca="false">IF($B18=0,"OK","Review")</f>
        <v>Review</v>
      </c>
      <c r="D18" s="40" t="s">
        <v>377</v>
      </c>
    </row>
    <row r="20" customFormat="false" ht="15" hidden="false" customHeight="false" outlineLevel="0" collapsed="false">
      <c r="A20" s="3" t="s">
        <v>378</v>
      </c>
      <c r="D20" s="29" t="s">
        <v>379</v>
      </c>
    </row>
    <row r="21" customFormat="false" ht="27.75" hidden="false" customHeight="true" outlineLevel="0" collapsed="false">
      <c r="A21" s="12" t="s">
        <v>380</v>
      </c>
      <c r="B21" s="12" t="s">
        <v>30</v>
      </c>
      <c r="C21" s="12" t="s">
        <v>124</v>
      </c>
      <c r="D21" s="12" t="s">
        <v>381</v>
      </c>
    </row>
    <row r="22" customFormat="false" ht="15" hidden="false" customHeight="false" outlineLevel="0" collapsed="false">
      <c r="A22" s="9" t="str">
        <f aca="false">IFERROR(IF(INDEX('5. Capacity asks'!$A$6:$A$305,MATCH(1,'5. Capacity asks'!$T$6:$T$305,0))=0,"",INDEX('5. Capacity asks'!$A$6:$A$305,MATCH(1,'5. Capacity asks'!$T$6:$T$305,0))),"")</f>
        <v/>
      </c>
      <c r="B22" s="9" t="str">
        <f aca="false">IFERROR(IF(INDEX('5. Capacity asks'!$B$6:$B$305,MATCH(1,'5. Capacity asks'!$T$6:$T$305,0))=0,"",INDEX('5. Capacity asks'!$B$6:$B$305,MATCH(1,'5. Capacity asks'!$T$6:$T$305,0))),"")</f>
        <v/>
      </c>
      <c r="C22" s="9" t="str">
        <f aca="false">IFERROR(IF(INDEX('5. Capacity asks'!$C$6:$C$305,MATCH(1,'5. Capacity asks'!$T$6:$T$305,0))=0,"",INDEX('5. Capacity asks'!$C$6:$C$305,MATCH(1,'5. Capacity asks'!$T$6:$T$305,0))),"")</f>
        <v/>
      </c>
      <c r="D22" s="50" t="str">
        <f aca="false">IFERROR(IF(INDEX('5. Capacity asks'!$S$6:$S$305,MATCH(1,'5. Capacity asks'!$T$6:$T$305,0))=0,"",INDEX('5. Capacity asks'!$S$6:$S$305,MATCH(1,'5. Capacity asks'!$T$6:$T$305,0))),"")</f>
        <v/>
      </c>
    </row>
    <row r="23" customFormat="false" ht="15" hidden="false" customHeight="false" outlineLevel="0" collapsed="false">
      <c r="A23" s="9" t="str">
        <f aca="false">IFERROR(IF(INDEX('5. Capacity asks'!$A$6:$A$305,MATCH(2,'5. Capacity asks'!$T$6:$T$305,0))=0,"",INDEX('5. Capacity asks'!$A$6:$A$305,MATCH(2,'5. Capacity asks'!$T$6:$T$305,0))),"")</f>
        <v/>
      </c>
      <c r="B23" s="9" t="str">
        <f aca="false">IFERROR(IF(INDEX('5. Capacity asks'!$B$6:$B$305,MATCH(2,'5. Capacity asks'!$T$6:$T$305,0))=0,"",INDEX('5. Capacity asks'!$B$6:$B$305,MATCH(2,'5. Capacity asks'!$T$6:$T$305,0))),"")</f>
        <v/>
      </c>
      <c r="C23" s="9" t="str">
        <f aca="false">IFERROR(IF(INDEX('5. Capacity asks'!$C$6:$C$305,MATCH(2,'5. Capacity asks'!$T$6:$T$305,0))=0,"",INDEX('5. Capacity asks'!$C$6:$C$305,MATCH(2,'5. Capacity asks'!$T$6:$T$305,0))),"")</f>
        <v/>
      </c>
      <c r="D23" s="50" t="str">
        <f aca="false">IFERROR(IF(INDEX('5. Capacity asks'!$S$6:$S$305,MATCH(2,'5. Capacity asks'!$T$6:$T$305,0))=0,"",INDEX('5. Capacity asks'!$S$6:$S$305,MATCH(2,'5. Capacity asks'!$T$6:$T$305,0))),"")</f>
        <v/>
      </c>
    </row>
    <row r="24" customFormat="false" ht="15" hidden="false" customHeight="false" outlineLevel="0" collapsed="false">
      <c r="A24" s="9" t="str">
        <f aca="false">IFERROR(IF(INDEX('5. Capacity asks'!$A$6:$A$305,MATCH(3,'5. Capacity asks'!$T$6:$T$305,0))=0,"",INDEX('5. Capacity asks'!$A$6:$A$305,MATCH(3,'5. Capacity asks'!$T$6:$T$305,0))),"")</f>
        <v/>
      </c>
      <c r="B24" s="9" t="str">
        <f aca="false">IFERROR(IF(INDEX('5. Capacity asks'!$B$6:$B$305,MATCH(3,'5. Capacity asks'!$T$6:$T$305,0))=0,"",INDEX('5. Capacity asks'!$B$6:$B$305,MATCH(3,'5. Capacity asks'!$T$6:$T$305,0))),"")</f>
        <v/>
      </c>
      <c r="C24" s="9" t="str">
        <f aca="false">IFERROR(IF(INDEX('5. Capacity asks'!$C$6:$C$305,MATCH(3,'5. Capacity asks'!$T$6:$T$305,0))=0,"",INDEX('5. Capacity asks'!$C$6:$C$305,MATCH(3,'5. Capacity asks'!$T$6:$T$305,0))),"")</f>
        <v/>
      </c>
      <c r="D24" s="50" t="str">
        <f aca="false">IFERROR(IF(INDEX('5. Capacity asks'!$S$6:$S$305,MATCH(3,'5. Capacity asks'!$T$6:$T$305,0))=0,"",INDEX('5. Capacity asks'!$S$6:$S$305,MATCH(3,'5. Capacity asks'!$T$6:$T$305,0))),"")</f>
        <v/>
      </c>
    </row>
    <row r="25" customFormat="false" ht="15" hidden="false" customHeight="false" outlineLevel="0" collapsed="false">
      <c r="A25" s="9" t="str">
        <f aca="false">IFERROR(IF(INDEX('5. Capacity asks'!$A$6:$A$305,MATCH(4,'5. Capacity asks'!$T$6:$T$305,0))=0,"",INDEX('5. Capacity asks'!$A$6:$A$305,MATCH(4,'5. Capacity asks'!$T$6:$T$305,0))),"")</f>
        <v/>
      </c>
      <c r="B25" s="9" t="str">
        <f aca="false">IFERROR(IF(INDEX('5. Capacity asks'!$B$6:$B$305,MATCH(4,'5. Capacity asks'!$T$6:$T$305,0))=0,"",INDEX('5. Capacity asks'!$B$6:$B$305,MATCH(4,'5. Capacity asks'!$T$6:$T$305,0))),"")</f>
        <v/>
      </c>
      <c r="C25" s="9" t="str">
        <f aca="false">IFERROR(IF(INDEX('5. Capacity asks'!$C$6:$C$305,MATCH(4,'5. Capacity asks'!$T$6:$T$305,0))=0,"",INDEX('5. Capacity asks'!$C$6:$C$305,MATCH(4,'5. Capacity asks'!$T$6:$T$305,0))),"")</f>
        <v/>
      </c>
      <c r="D25" s="50" t="str">
        <f aca="false">IFERROR(IF(INDEX('5. Capacity asks'!$S$6:$S$305,MATCH(4,'5. Capacity asks'!$T$6:$T$305,0))=0,"",INDEX('5. Capacity asks'!$S$6:$S$305,MATCH(4,'5. Capacity asks'!$T$6:$T$305,0))),"")</f>
        <v/>
      </c>
    </row>
    <row r="26" customFormat="false" ht="15" hidden="false" customHeight="false" outlineLevel="0" collapsed="false">
      <c r="A26" s="9" t="str">
        <f aca="false">IFERROR(IF(INDEX('5. Capacity asks'!$A$6:$A$305,MATCH(5,'5. Capacity asks'!$T$6:$T$305,0))=0,"",INDEX('5. Capacity asks'!$A$6:$A$305,MATCH(5,'5. Capacity asks'!$T$6:$T$305,0))),"")</f>
        <v/>
      </c>
      <c r="B26" s="9" t="str">
        <f aca="false">IFERROR(IF(INDEX('5. Capacity asks'!$B$6:$B$305,MATCH(5,'5. Capacity asks'!$T$6:$T$305,0))=0,"",INDEX('5. Capacity asks'!$B$6:$B$305,MATCH(5,'5. Capacity asks'!$T$6:$T$305,0))),"")</f>
        <v/>
      </c>
      <c r="C26" s="9" t="str">
        <f aca="false">IFERROR(IF(INDEX('5. Capacity asks'!$C$6:$C$305,MATCH(5,'5. Capacity asks'!$T$6:$T$305,0))=0,"",INDEX('5. Capacity asks'!$C$6:$C$305,MATCH(5,'5. Capacity asks'!$T$6:$T$305,0))),"")</f>
        <v/>
      </c>
      <c r="D26" s="50" t="str">
        <f aca="false">IFERROR(IF(INDEX('5. Capacity asks'!$S$6:$S$305,MATCH(5,'5. Capacity asks'!$T$6:$T$305,0))=0,"",INDEX('5. Capacity asks'!$S$6:$S$305,MATCH(5,'5. Capacity asks'!$T$6:$T$305,0))),"")</f>
        <v/>
      </c>
    </row>
    <row r="27" customFormat="false" ht="15" hidden="false" customHeight="false" outlineLevel="0" collapsed="false">
      <c r="A27" s="9" t="str">
        <f aca="false">IFERROR(IF(INDEX('5. Capacity asks'!$A$6:$A$305,MATCH(6,'5. Capacity asks'!$T$6:$T$305,0))=0,"",INDEX('5. Capacity asks'!$A$6:$A$305,MATCH(6,'5. Capacity asks'!$T$6:$T$305,0))),"")</f>
        <v/>
      </c>
      <c r="B27" s="9" t="str">
        <f aca="false">IFERROR(IF(INDEX('5. Capacity asks'!$B$6:$B$305,MATCH(6,'5. Capacity asks'!$T$6:$T$305,0))=0,"",INDEX('5. Capacity asks'!$B$6:$B$305,MATCH(6,'5. Capacity asks'!$T$6:$T$305,0))),"")</f>
        <v/>
      </c>
      <c r="C27" s="9" t="str">
        <f aca="false">IFERROR(IF(INDEX('5. Capacity asks'!$C$6:$C$305,MATCH(6,'5. Capacity asks'!$T$6:$T$305,0))=0,"",INDEX('5. Capacity asks'!$C$6:$C$305,MATCH(6,'5. Capacity asks'!$T$6:$T$305,0))),"")</f>
        <v/>
      </c>
      <c r="D27" s="50" t="str">
        <f aca="false">IFERROR(IF(INDEX('5. Capacity asks'!$S$6:$S$305,MATCH(6,'5. Capacity asks'!$T$6:$T$305,0))=0,"",INDEX('5. Capacity asks'!$S$6:$S$305,MATCH(6,'5. Capacity asks'!$T$6:$T$305,0))),"")</f>
        <v/>
      </c>
    </row>
    <row r="28" customFormat="false" ht="15" hidden="false" customHeight="false" outlineLevel="0" collapsed="false">
      <c r="A28" s="9" t="str">
        <f aca="false">IFERROR(IF(INDEX('5. Capacity asks'!$A$6:$A$305,MATCH(7,'5. Capacity asks'!$T$6:$T$305,0))=0,"",INDEX('5. Capacity asks'!$A$6:$A$305,MATCH(7,'5. Capacity asks'!$T$6:$T$305,0))),"")</f>
        <v/>
      </c>
      <c r="B28" s="9" t="str">
        <f aca="false">IFERROR(IF(INDEX('5. Capacity asks'!$B$6:$B$305,MATCH(7,'5. Capacity asks'!$T$6:$T$305,0))=0,"",INDEX('5. Capacity asks'!$B$6:$B$305,MATCH(7,'5. Capacity asks'!$T$6:$T$305,0))),"")</f>
        <v/>
      </c>
      <c r="C28" s="9" t="str">
        <f aca="false">IFERROR(IF(INDEX('5. Capacity asks'!$C$6:$C$305,MATCH(7,'5. Capacity asks'!$T$6:$T$305,0))=0,"",INDEX('5. Capacity asks'!$C$6:$C$305,MATCH(7,'5. Capacity asks'!$T$6:$T$305,0))),"")</f>
        <v/>
      </c>
      <c r="D28" s="50" t="str">
        <f aca="false">IFERROR(IF(INDEX('5. Capacity asks'!$S$6:$S$305,MATCH(7,'5. Capacity asks'!$T$6:$T$305,0))=0,"",INDEX('5. Capacity asks'!$S$6:$S$305,MATCH(7,'5. Capacity asks'!$T$6:$T$305,0))),"")</f>
        <v/>
      </c>
    </row>
    <row r="29" customFormat="false" ht="15" hidden="false" customHeight="false" outlineLevel="0" collapsed="false">
      <c r="A29" s="9" t="str">
        <f aca="false">IFERROR(IF(INDEX('5. Capacity asks'!$A$6:$A$305,MATCH(8,'5. Capacity asks'!$T$6:$T$305,0))=0,"",INDEX('5. Capacity asks'!$A$6:$A$305,MATCH(8,'5. Capacity asks'!$T$6:$T$305,0))),"")</f>
        <v/>
      </c>
      <c r="B29" s="9" t="str">
        <f aca="false">IFERROR(IF(INDEX('5. Capacity asks'!$B$6:$B$305,MATCH(8,'5. Capacity asks'!$T$6:$T$305,0))=0,"",INDEX('5. Capacity asks'!$B$6:$B$305,MATCH(8,'5. Capacity asks'!$T$6:$T$305,0))),"")</f>
        <v/>
      </c>
      <c r="C29" s="9" t="str">
        <f aca="false">IFERROR(IF(INDEX('5. Capacity asks'!$C$6:$C$305,MATCH(8,'5. Capacity asks'!$T$6:$T$305,0))=0,"",INDEX('5. Capacity asks'!$C$6:$C$305,MATCH(8,'5. Capacity asks'!$T$6:$T$305,0))),"")</f>
        <v/>
      </c>
      <c r="D29" s="50" t="str">
        <f aca="false">IFERROR(IF(INDEX('5. Capacity asks'!$S$6:$S$305,MATCH(8,'5. Capacity asks'!$T$6:$T$305,0))=0,"",INDEX('5. Capacity asks'!$S$6:$S$305,MATCH(8,'5. Capacity asks'!$T$6:$T$305,0))),"")</f>
        <v/>
      </c>
    </row>
    <row r="30" customFormat="false" ht="15" hidden="false" customHeight="false" outlineLevel="0" collapsed="false">
      <c r="A30" s="9" t="str">
        <f aca="false">IFERROR(IF(INDEX('5. Capacity asks'!$A$6:$A$305,MATCH(9,'5. Capacity asks'!$T$6:$T$305,0))=0,"",INDEX('5. Capacity asks'!$A$6:$A$305,MATCH(9,'5. Capacity asks'!$T$6:$T$305,0))),"")</f>
        <v/>
      </c>
      <c r="B30" s="9" t="str">
        <f aca="false">IFERROR(IF(INDEX('5. Capacity asks'!$B$6:$B$305,MATCH(9,'5. Capacity asks'!$T$6:$T$305,0))=0,"",INDEX('5. Capacity asks'!$B$6:$B$305,MATCH(9,'5. Capacity asks'!$T$6:$T$305,0))),"")</f>
        <v/>
      </c>
      <c r="C30" s="9" t="str">
        <f aca="false">IFERROR(IF(INDEX('5. Capacity asks'!$C$6:$C$305,MATCH(9,'5. Capacity asks'!$T$6:$T$305,0))=0,"",INDEX('5. Capacity asks'!$C$6:$C$305,MATCH(9,'5. Capacity asks'!$T$6:$T$305,0))),"")</f>
        <v/>
      </c>
      <c r="D30" s="50" t="str">
        <f aca="false">IFERROR(IF(INDEX('5. Capacity asks'!$S$6:$S$305,MATCH(9,'5. Capacity asks'!$T$6:$T$305,0))=0,"",INDEX('5. Capacity asks'!$S$6:$S$305,MATCH(9,'5. Capacity asks'!$T$6:$T$305,0))),"")</f>
        <v/>
      </c>
    </row>
    <row r="31" customFormat="false" ht="15" hidden="false" customHeight="false" outlineLevel="0" collapsed="false">
      <c r="A31" s="9" t="str">
        <f aca="false">IFERROR(IF(INDEX('5. Capacity asks'!$A$6:$A$305,MATCH(10,'5. Capacity asks'!$T$6:$T$305,0))=0,"",INDEX('5. Capacity asks'!$A$6:$A$305,MATCH(10,'5. Capacity asks'!$T$6:$T$305,0))),"")</f>
        <v/>
      </c>
      <c r="B31" s="9" t="str">
        <f aca="false">IFERROR(IF(INDEX('5. Capacity asks'!$B$6:$B$305,MATCH(10,'5. Capacity asks'!$T$6:$T$305,0))=0,"",INDEX('5. Capacity asks'!$B$6:$B$305,MATCH(10,'5. Capacity asks'!$T$6:$T$305,0))),"")</f>
        <v/>
      </c>
      <c r="C31" s="9" t="str">
        <f aca="false">IFERROR(IF(INDEX('5. Capacity asks'!$C$6:$C$305,MATCH(10,'5. Capacity asks'!$T$6:$T$305,0))=0,"",INDEX('5. Capacity asks'!$C$6:$C$305,MATCH(10,'5. Capacity asks'!$T$6:$T$305,0))),"")</f>
        <v/>
      </c>
      <c r="D31" s="50" t="str">
        <f aca="false">IFERROR(IF(INDEX('5. Capacity asks'!$S$6:$S$305,MATCH(10,'5. Capacity asks'!$T$6:$T$305,0))=0,"",INDEX('5. Capacity asks'!$S$6:$S$305,MATCH(10,'5. Capacity asks'!$T$6:$T$305,0))),"")</f>
        <v/>
      </c>
    </row>
    <row r="32" customFormat="false" ht="15" hidden="false" customHeight="false" outlineLevel="0" collapsed="false">
      <c r="A32" s="9" t="str">
        <f aca="false">IFERROR(IF(INDEX('5. Capacity asks'!$A$6:$A$305,MATCH(11,'5. Capacity asks'!$T$6:$T$305,0))=0,"",INDEX('5. Capacity asks'!$A$6:$A$305,MATCH(11,'5. Capacity asks'!$T$6:$T$305,0))),"")</f>
        <v/>
      </c>
      <c r="B32" s="9" t="str">
        <f aca="false">IFERROR(IF(INDEX('5. Capacity asks'!$B$6:$B$305,MATCH(11,'5. Capacity asks'!$T$6:$T$305,0))=0,"",INDEX('5. Capacity asks'!$B$6:$B$305,MATCH(11,'5. Capacity asks'!$T$6:$T$305,0))),"")</f>
        <v/>
      </c>
      <c r="C32" s="9" t="str">
        <f aca="false">IFERROR(IF(INDEX('5. Capacity asks'!$C$6:$C$305,MATCH(11,'5. Capacity asks'!$T$6:$T$305,0))=0,"",INDEX('5. Capacity asks'!$C$6:$C$305,MATCH(11,'5. Capacity asks'!$T$6:$T$305,0))),"")</f>
        <v/>
      </c>
      <c r="D32" s="50" t="str">
        <f aca="false">IFERROR(IF(INDEX('5. Capacity asks'!$S$6:$S$305,MATCH(11,'5. Capacity asks'!$T$6:$T$305,0))=0,"",INDEX('5. Capacity asks'!$S$6:$S$305,MATCH(11,'5. Capacity asks'!$T$6:$T$305,0))),"")</f>
        <v/>
      </c>
    </row>
    <row r="33" customFormat="false" ht="15" hidden="false" customHeight="false" outlineLevel="0" collapsed="false">
      <c r="A33" s="9" t="str">
        <f aca="false">IFERROR(IF(INDEX('5. Capacity asks'!$A$6:$A$305,MATCH(12,'5. Capacity asks'!$T$6:$T$305,0))=0,"",INDEX('5. Capacity asks'!$A$6:$A$305,MATCH(12,'5. Capacity asks'!$T$6:$T$305,0))),"")</f>
        <v/>
      </c>
      <c r="B33" s="9" t="str">
        <f aca="false">IFERROR(IF(INDEX('5. Capacity asks'!$B$6:$B$305,MATCH(12,'5. Capacity asks'!$T$6:$T$305,0))=0,"",INDEX('5. Capacity asks'!$B$6:$B$305,MATCH(12,'5. Capacity asks'!$T$6:$T$305,0))),"")</f>
        <v/>
      </c>
      <c r="C33" s="9" t="str">
        <f aca="false">IFERROR(IF(INDEX('5. Capacity asks'!$C$6:$C$305,MATCH(12,'5. Capacity asks'!$T$6:$T$305,0))=0,"",INDEX('5. Capacity asks'!$C$6:$C$305,MATCH(12,'5. Capacity asks'!$T$6:$T$305,0))),"")</f>
        <v/>
      </c>
      <c r="D33" s="50" t="str">
        <f aca="false">IFERROR(IF(INDEX('5. Capacity asks'!$S$6:$S$305,MATCH(12,'5. Capacity asks'!$T$6:$T$305,0))=0,"",INDEX('5. Capacity asks'!$S$6:$S$305,MATCH(12,'5. Capacity asks'!$T$6:$T$305,0))),"")</f>
        <v/>
      </c>
    </row>
    <row r="34" customFormat="false" ht="15" hidden="false" customHeight="false" outlineLevel="0" collapsed="false">
      <c r="A34" s="9" t="str">
        <f aca="false">IFERROR(IF(INDEX('5. Capacity asks'!$A$6:$A$305,MATCH(13,'5. Capacity asks'!$T$6:$T$305,0))=0,"",INDEX('5. Capacity asks'!$A$6:$A$305,MATCH(13,'5. Capacity asks'!$T$6:$T$305,0))),"")</f>
        <v/>
      </c>
      <c r="B34" s="9" t="str">
        <f aca="false">IFERROR(IF(INDEX('5. Capacity asks'!$B$6:$B$305,MATCH(13,'5. Capacity asks'!$T$6:$T$305,0))=0,"",INDEX('5. Capacity asks'!$B$6:$B$305,MATCH(13,'5. Capacity asks'!$T$6:$T$305,0))),"")</f>
        <v/>
      </c>
      <c r="C34" s="9" t="str">
        <f aca="false">IFERROR(IF(INDEX('5. Capacity asks'!$C$6:$C$305,MATCH(13,'5. Capacity asks'!$T$6:$T$305,0))=0,"",INDEX('5. Capacity asks'!$C$6:$C$305,MATCH(13,'5. Capacity asks'!$T$6:$T$305,0))),"")</f>
        <v/>
      </c>
      <c r="D34" s="50" t="str">
        <f aca="false">IFERROR(IF(INDEX('5. Capacity asks'!$S$6:$S$305,MATCH(13,'5. Capacity asks'!$T$6:$T$305,0))=0,"",INDEX('5. Capacity asks'!$S$6:$S$305,MATCH(13,'5. Capacity asks'!$T$6:$T$305,0))),"")</f>
        <v/>
      </c>
    </row>
    <row r="35" customFormat="false" ht="15" hidden="false" customHeight="false" outlineLevel="0" collapsed="false">
      <c r="A35" s="9" t="str">
        <f aca="false">IFERROR(IF(INDEX('5. Capacity asks'!$A$6:$A$305,MATCH(14,'5. Capacity asks'!$T$6:$T$305,0))=0,"",INDEX('5. Capacity asks'!$A$6:$A$305,MATCH(14,'5. Capacity asks'!$T$6:$T$305,0))),"")</f>
        <v/>
      </c>
      <c r="B35" s="9" t="str">
        <f aca="false">IFERROR(IF(INDEX('5. Capacity asks'!$B$6:$B$305,MATCH(14,'5. Capacity asks'!$T$6:$T$305,0))=0,"",INDEX('5. Capacity asks'!$B$6:$B$305,MATCH(14,'5. Capacity asks'!$T$6:$T$305,0))),"")</f>
        <v/>
      </c>
      <c r="C35" s="9" t="str">
        <f aca="false">IFERROR(IF(INDEX('5. Capacity asks'!$C$6:$C$305,MATCH(14,'5. Capacity asks'!$T$6:$T$305,0))=0,"",INDEX('5. Capacity asks'!$C$6:$C$305,MATCH(14,'5. Capacity asks'!$T$6:$T$305,0))),"")</f>
        <v/>
      </c>
      <c r="D35" s="50" t="str">
        <f aca="false">IFERROR(IF(INDEX('5. Capacity asks'!$S$6:$S$305,MATCH(14,'5. Capacity asks'!$T$6:$T$305,0))=0,"",INDEX('5. Capacity asks'!$S$6:$S$305,MATCH(14,'5. Capacity asks'!$T$6:$T$305,0))),"")</f>
        <v/>
      </c>
    </row>
    <row r="36" customFormat="false" ht="15" hidden="false" customHeight="false" outlineLevel="0" collapsed="false">
      <c r="A36" s="9" t="str">
        <f aca="false">IFERROR(IF(INDEX('5. Capacity asks'!$A$6:$A$305,MATCH(15,'5. Capacity asks'!$T$6:$T$305,0))=0,"",INDEX('5. Capacity asks'!$A$6:$A$305,MATCH(15,'5. Capacity asks'!$T$6:$T$305,0))),"")</f>
        <v/>
      </c>
      <c r="B36" s="9" t="str">
        <f aca="false">IFERROR(IF(INDEX('5. Capacity asks'!$B$6:$B$305,MATCH(15,'5. Capacity asks'!$T$6:$T$305,0))=0,"",INDEX('5. Capacity asks'!$B$6:$B$305,MATCH(15,'5. Capacity asks'!$T$6:$T$305,0))),"")</f>
        <v/>
      </c>
      <c r="C36" s="9" t="str">
        <f aca="false">IFERROR(IF(INDEX('5. Capacity asks'!$C$6:$C$305,MATCH(15,'5. Capacity asks'!$T$6:$T$305,0))=0,"",INDEX('5. Capacity asks'!$C$6:$C$305,MATCH(15,'5. Capacity asks'!$T$6:$T$305,0))),"")</f>
        <v/>
      </c>
      <c r="D36" s="50" t="str">
        <f aca="false">IFERROR(IF(INDEX('5. Capacity asks'!$S$6:$S$305,MATCH(15,'5. Capacity asks'!$T$6:$T$305,0))=0,"",INDEX('5. Capacity asks'!$S$6:$S$305,MATCH(15,'5. Capacity asks'!$T$6:$T$305,0))),"")</f>
        <v/>
      </c>
    </row>
    <row r="37" customFormat="false" ht="15" hidden="false" customHeight="false" outlineLevel="0" collapsed="false">
      <c r="A37" s="9" t="str">
        <f aca="false">IFERROR(IF(INDEX('5. Capacity asks'!$A$6:$A$305,MATCH(16,'5. Capacity asks'!$T$6:$T$305,0))=0,"",INDEX('5. Capacity asks'!$A$6:$A$305,MATCH(16,'5. Capacity asks'!$T$6:$T$305,0))),"")</f>
        <v/>
      </c>
      <c r="B37" s="9" t="str">
        <f aca="false">IFERROR(IF(INDEX('5. Capacity asks'!$B$6:$B$305,MATCH(16,'5. Capacity asks'!$T$6:$T$305,0))=0,"",INDEX('5. Capacity asks'!$B$6:$B$305,MATCH(16,'5. Capacity asks'!$T$6:$T$305,0))),"")</f>
        <v/>
      </c>
      <c r="C37" s="9" t="str">
        <f aca="false">IFERROR(IF(INDEX('5. Capacity asks'!$C$6:$C$305,MATCH(16,'5. Capacity asks'!$T$6:$T$305,0))=0,"",INDEX('5. Capacity asks'!$C$6:$C$305,MATCH(16,'5. Capacity asks'!$T$6:$T$305,0))),"")</f>
        <v/>
      </c>
      <c r="D37" s="50" t="str">
        <f aca="false">IFERROR(IF(INDEX('5. Capacity asks'!$S$6:$S$305,MATCH(16,'5. Capacity asks'!$T$6:$T$305,0))=0,"",INDEX('5. Capacity asks'!$S$6:$S$305,MATCH(16,'5. Capacity asks'!$T$6:$T$305,0))),"")</f>
        <v/>
      </c>
    </row>
    <row r="38" customFormat="false" ht="15" hidden="false" customHeight="false" outlineLevel="0" collapsed="false">
      <c r="A38" s="9" t="str">
        <f aca="false">IFERROR(IF(INDEX('5. Capacity asks'!$A$6:$A$305,MATCH(17,'5. Capacity asks'!$T$6:$T$305,0))=0,"",INDEX('5. Capacity asks'!$A$6:$A$305,MATCH(17,'5. Capacity asks'!$T$6:$T$305,0))),"")</f>
        <v/>
      </c>
      <c r="B38" s="9" t="str">
        <f aca="false">IFERROR(IF(INDEX('5. Capacity asks'!$B$6:$B$305,MATCH(17,'5. Capacity asks'!$T$6:$T$305,0))=0,"",INDEX('5. Capacity asks'!$B$6:$B$305,MATCH(17,'5. Capacity asks'!$T$6:$T$305,0))),"")</f>
        <v/>
      </c>
      <c r="C38" s="9" t="str">
        <f aca="false">IFERROR(IF(INDEX('5. Capacity asks'!$C$6:$C$305,MATCH(17,'5. Capacity asks'!$T$6:$T$305,0))=0,"",INDEX('5. Capacity asks'!$C$6:$C$305,MATCH(17,'5. Capacity asks'!$T$6:$T$305,0))),"")</f>
        <v/>
      </c>
      <c r="D38" s="50" t="str">
        <f aca="false">IFERROR(IF(INDEX('5. Capacity asks'!$S$6:$S$305,MATCH(17,'5. Capacity asks'!$T$6:$T$305,0))=0,"",INDEX('5. Capacity asks'!$S$6:$S$305,MATCH(17,'5. Capacity asks'!$T$6:$T$305,0))),"")</f>
        <v/>
      </c>
    </row>
    <row r="39" customFormat="false" ht="15" hidden="false" customHeight="false" outlineLevel="0" collapsed="false">
      <c r="A39" s="9" t="str">
        <f aca="false">IFERROR(IF(INDEX('5. Capacity asks'!$A$6:$A$305,MATCH(18,'5. Capacity asks'!$T$6:$T$305,0))=0,"",INDEX('5. Capacity asks'!$A$6:$A$305,MATCH(18,'5. Capacity asks'!$T$6:$T$305,0))),"")</f>
        <v/>
      </c>
      <c r="B39" s="9" t="str">
        <f aca="false">IFERROR(IF(INDEX('5. Capacity asks'!$B$6:$B$305,MATCH(18,'5. Capacity asks'!$T$6:$T$305,0))=0,"",INDEX('5. Capacity asks'!$B$6:$B$305,MATCH(18,'5. Capacity asks'!$T$6:$T$305,0))),"")</f>
        <v/>
      </c>
      <c r="C39" s="9" t="str">
        <f aca="false">IFERROR(IF(INDEX('5. Capacity asks'!$C$6:$C$305,MATCH(18,'5. Capacity asks'!$T$6:$T$305,0))=0,"",INDEX('5. Capacity asks'!$C$6:$C$305,MATCH(18,'5. Capacity asks'!$T$6:$T$305,0))),"")</f>
        <v/>
      </c>
      <c r="D39" s="50" t="str">
        <f aca="false">IFERROR(IF(INDEX('5. Capacity asks'!$S$6:$S$305,MATCH(18,'5. Capacity asks'!$T$6:$T$305,0))=0,"",INDEX('5. Capacity asks'!$S$6:$S$305,MATCH(18,'5. Capacity asks'!$T$6:$T$305,0))),"")</f>
        <v/>
      </c>
    </row>
    <row r="40" customFormat="false" ht="15" hidden="false" customHeight="false" outlineLevel="0" collapsed="false">
      <c r="A40" s="9" t="str">
        <f aca="false">IFERROR(IF(INDEX('5. Capacity asks'!$A$6:$A$305,MATCH(19,'5. Capacity asks'!$T$6:$T$305,0))=0,"",INDEX('5. Capacity asks'!$A$6:$A$305,MATCH(19,'5. Capacity asks'!$T$6:$T$305,0))),"")</f>
        <v/>
      </c>
      <c r="B40" s="9" t="str">
        <f aca="false">IFERROR(IF(INDEX('5. Capacity asks'!$B$6:$B$305,MATCH(19,'5. Capacity asks'!$T$6:$T$305,0))=0,"",INDEX('5. Capacity asks'!$B$6:$B$305,MATCH(19,'5. Capacity asks'!$T$6:$T$305,0))),"")</f>
        <v/>
      </c>
      <c r="C40" s="9" t="str">
        <f aca="false">IFERROR(IF(INDEX('5. Capacity asks'!$C$6:$C$305,MATCH(19,'5. Capacity asks'!$T$6:$T$305,0))=0,"",INDEX('5. Capacity asks'!$C$6:$C$305,MATCH(19,'5. Capacity asks'!$T$6:$T$305,0))),"")</f>
        <v/>
      </c>
      <c r="D40" s="50" t="str">
        <f aca="false">IFERROR(IF(INDEX('5. Capacity asks'!$S$6:$S$305,MATCH(19,'5. Capacity asks'!$T$6:$T$305,0))=0,"",INDEX('5. Capacity asks'!$S$6:$S$305,MATCH(19,'5. Capacity asks'!$T$6:$T$305,0))),"")</f>
        <v/>
      </c>
    </row>
    <row r="41" customFormat="false" ht="15" hidden="false" customHeight="false" outlineLevel="0" collapsed="false">
      <c r="A41" s="9" t="str">
        <f aca="false">IFERROR(IF(INDEX('5. Capacity asks'!$A$6:$A$305,MATCH(20,'5. Capacity asks'!$T$6:$T$305,0))=0,"",INDEX('5. Capacity asks'!$A$6:$A$305,MATCH(20,'5. Capacity asks'!$T$6:$T$305,0))),"")</f>
        <v/>
      </c>
      <c r="B41" s="9" t="str">
        <f aca="false">IFERROR(IF(INDEX('5. Capacity asks'!$B$6:$B$305,MATCH(20,'5. Capacity asks'!$T$6:$T$305,0))=0,"",INDEX('5. Capacity asks'!$B$6:$B$305,MATCH(20,'5. Capacity asks'!$T$6:$T$305,0))),"")</f>
        <v/>
      </c>
      <c r="C41" s="9" t="str">
        <f aca="false">IFERROR(IF(INDEX('5. Capacity asks'!$C$6:$C$305,MATCH(20,'5. Capacity asks'!$T$6:$T$305,0))=0,"",INDEX('5. Capacity asks'!$C$6:$C$305,MATCH(20,'5. Capacity asks'!$T$6:$T$305,0))),"")</f>
        <v/>
      </c>
      <c r="D41" s="50" t="str">
        <f aca="false">IFERROR(IF(INDEX('5. Capacity asks'!$S$6:$S$305,MATCH(20,'5. Capacity asks'!$T$6:$T$305,0))=0,"",INDEX('5. Capacity asks'!$S$6:$S$305,MATCH(20,'5. Capacity asks'!$T$6:$T$305,0))),"")</f>
        <v/>
      </c>
    </row>
    <row r="42" customFormat="false" ht="15" hidden="false" customHeight="false" outlineLevel="0" collapsed="false">
      <c r="A42" s="9" t="str">
        <f aca="false">IFERROR(IF(INDEX('5. Capacity asks'!$A$6:$A$305,MATCH(21,'5. Capacity asks'!$T$6:$T$305,0))=0,"",INDEX('5. Capacity asks'!$A$6:$A$305,MATCH(21,'5. Capacity asks'!$T$6:$T$305,0))),"")</f>
        <v/>
      </c>
      <c r="B42" s="9" t="str">
        <f aca="false">IFERROR(IF(INDEX('5. Capacity asks'!$B$6:$B$305,MATCH(21,'5. Capacity asks'!$T$6:$T$305,0))=0,"",INDEX('5. Capacity asks'!$B$6:$B$305,MATCH(21,'5. Capacity asks'!$T$6:$T$305,0))),"")</f>
        <v/>
      </c>
      <c r="C42" s="9" t="str">
        <f aca="false">IFERROR(IF(INDEX('5. Capacity asks'!$C$6:$C$305,MATCH(21,'5. Capacity asks'!$T$6:$T$305,0))=0,"",INDEX('5. Capacity asks'!$C$6:$C$305,MATCH(21,'5. Capacity asks'!$T$6:$T$305,0))),"")</f>
        <v/>
      </c>
      <c r="D42" s="50" t="str">
        <f aca="false">IFERROR(IF(INDEX('5. Capacity asks'!$S$6:$S$305,MATCH(21,'5. Capacity asks'!$T$6:$T$305,0))=0,"",INDEX('5. Capacity asks'!$S$6:$S$305,MATCH(21,'5. Capacity asks'!$T$6:$T$305,0))),"")</f>
        <v/>
      </c>
    </row>
    <row r="43" customFormat="false" ht="15" hidden="false" customHeight="false" outlineLevel="0" collapsed="false">
      <c r="A43" s="9" t="str">
        <f aca="false">IFERROR(IF(INDEX('5. Capacity asks'!$A$6:$A$305,MATCH(22,'5. Capacity asks'!$T$6:$T$305,0))=0,"",INDEX('5. Capacity asks'!$A$6:$A$305,MATCH(22,'5. Capacity asks'!$T$6:$T$305,0))),"")</f>
        <v/>
      </c>
      <c r="B43" s="9" t="str">
        <f aca="false">IFERROR(IF(INDEX('5. Capacity asks'!$B$6:$B$305,MATCH(22,'5. Capacity asks'!$T$6:$T$305,0))=0,"",INDEX('5. Capacity asks'!$B$6:$B$305,MATCH(22,'5. Capacity asks'!$T$6:$T$305,0))),"")</f>
        <v/>
      </c>
      <c r="C43" s="9" t="str">
        <f aca="false">IFERROR(IF(INDEX('5. Capacity asks'!$C$6:$C$305,MATCH(22,'5. Capacity asks'!$T$6:$T$305,0))=0,"",INDEX('5. Capacity asks'!$C$6:$C$305,MATCH(22,'5. Capacity asks'!$T$6:$T$305,0))),"")</f>
        <v/>
      </c>
      <c r="D43" s="50" t="str">
        <f aca="false">IFERROR(IF(INDEX('5. Capacity asks'!$S$6:$S$305,MATCH(22,'5. Capacity asks'!$T$6:$T$305,0))=0,"",INDEX('5. Capacity asks'!$S$6:$S$305,MATCH(22,'5. Capacity asks'!$T$6:$T$305,0))),"")</f>
        <v/>
      </c>
    </row>
    <row r="44" customFormat="false" ht="15" hidden="false" customHeight="false" outlineLevel="0" collapsed="false">
      <c r="A44" s="9" t="str">
        <f aca="false">IFERROR(IF(INDEX('5. Capacity asks'!$A$6:$A$305,MATCH(23,'5. Capacity asks'!$T$6:$T$305,0))=0,"",INDEX('5. Capacity asks'!$A$6:$A$305,MATCH(23,'5. Capacity asks'!$T$6:$T$305,0))),"")</f>
        <v/>
      </c>
      <c r="B44" s="9" t="str">
        <f aca="false">IFERROR(IF(INDEX('5. Capacity asks'!$B$6:$B$305,MATCH(23,'5. Capacity asks'!$T$6:$T$305,0))=0,"",INDEX('5. Capacity asks'!$B$6:$B$305,MATCH(23,'5. Capacity asks'!$T$6:$T$305,0))),"")</f>
        <v/>
      </c>
      <c r="C44" s="9" t="str">
        <f aca="false">IFERROR(IF(INDEX('5. Capacity asks'!$C$6:$C$305,MATCH(23,'5. Capacity asks'!$T$6:$T$305,0))=0,"",INDEX('5. Capacity asks'!$C$6:$C$305,MATCH(23,'5. Capacity asks'!$T$6:$T$305,0))),"")</f>
        <v/>
      </c>
      <c r="D44" s="50" t="str">
        <f aca="false">IFERROR(IF(INDEX('5. Capacity asks'!$S$6:$S$305,MATCH(23,'5. Capacity asks'!$T$6:$T$305,0))=0,"",INDEX('5. Capacity asks'!$S$6:$S$305,MATCH(23,'5. Capacity asks'!$T$6:$T$305,0))),"")</f>
        <v/>
      </c>
    </row>
    <row r="45" customFormat="false" ht="15" hidden="false" customHeight="false" outlineLevel="0" collapsed="false">
      <c r="A45" s="9" t="str">
        <f aca="false">IFERROR(IF(INDEX('5. Capacity asks'!$A$6:$A$305,MATCH(24,'5. Capacity asks'!$T$6:$T$305,0))=0,"",INDEX('5. Capacity asks'!$A$6:$A$305,MATCH(24,'5. Capacity asks'!$T$6:$T$305,0))),"")</f>
        <v/>
      </c>
      <c r="B45" s="9" t="str">
        <f aca="false">IFERROR(IF(INDEX('5. Capacity asks'!$B$6:$B$305,MATCH(24,'5. Capacity asks'!$T$6:$T$305,0))=0,"",INDEX('5. Capacity asks'!$B$6:$B$305,MATCH(24,'5. Capacity asks'!$T$6:$T$305,0))),"")</f>
        <v/>
      </c>
      <c r="C45" s="9" t="str">
        <f aca="false">IFERROR(IF(INDEX('5. Capacity asks'!$C$6:$C$305,MATCH(24,'5. Capacity asks'!$T$6:$T$305,0))=0,"",INDEX('5. Capacity asks'!$C$6:$C$305,MATCH(24,'5. Capacity asks'!$T$6:$T$305,0))),"")</f>
        <v/>
      </c>
      <c r="D45" s="50" t="str">
        <f aca="false">IFERROR(IF(INDEX('5. Capacity asks'!$S$6:$S$305,MATCH(24,'5. Capacity asks'!$T$6:$T$305,0))=0,"",INDEX('5. Capacity asks'!$S$6:$S$305,MATCH(24,'5. Capacity asks'!$T$6:$T$305,0))),"")</f>
        <v/>
      </c>
    </row>
    <row r="46" customFormat="false" ht="15" hidden="false" customHeight="false" outlineLevel="0" collapsed="false">
      <c r="A46" s="9" t="str">
        <f aca="false">IFERROR(IF(INDEX('5. Capacity asks'!$A$6:$A$305,MATCH(25,'5. Capacity asks'!$T$6:$T$305,0))=0,"",INDEX('5. Capacity asks'!$A$6:$A$305,MATCH(25,'5. Capacity asks'!$T$6:$T$305,0))),"")</f>
        <v/>
      </c>
      <c r="B46" s="9" t="str">
        <f aca="false">IFERROR(IF(INDEX('5. Capacity asks'!$B$6:$B$305,MATCH(25,'5. Capacity asks'!$T$6:$T$305,0))=0,"",INDEX('5. Capacity asks'!$B$6:$B$305,MATCH(25,'5. Capacity asks'!$T$6:$T$305,0))),"")</f>
        <v/>
      </c>
      <c r="C46" s="9" t="str">
        <f aca="false">IFERROR(IF(INDEX('5. Capacity asks'!$C$6:$C$305,MATCH(25,'5. Capacity asks'!$T$6:$T$305,0))=0,"",INDEX('5. Capacity asks'!$C$6:$C$305,MATCH(25,'5. Capacity asks'!$T$6:$T$305,0))),"")</f>
        <v/>
      </c>
      <c r="D46" s="50" t="str">
        <f aca="false">IFERROR(IF(INDEX('5. Capacity asks'!$S$6:$S$305,MATCH(25,'5. Capacity asks'!$T$6:$T$305,0))=0,"",INDEX('5. Capacity asks'!$S$6:$S$305,MATCH(25,'5. Capacity asks'!$T$6:$T$305,0))),"")</f>
        <v/>
      </c>
    </row>
    <row r="48" customFormat="false" ht="15" hidden="false" customHeight="false" outlineLevel="0" collapsed="false">
      <c r="A48" s="3" t="s">
        <v>382</v>
      </c>
    </row>
    <row r="49" customFormat="false" ht="15" hidden="false" customHeight="false" outlineLevel="0" collapsed="false">
      <c r="A49" s="6" t="s">
        <v>383</v>
      </c>
      <c r="B49" s="51" t="str">
        <f aca="false">IF(SUM($B$6:$B$12)=0,"Yes","No")</f>
        <v>No</v>
      </c>
      <c r="C49" s="28" t="s">
        <v>384</v>
      </c>
    </row>
    <row r="50" customFormat="false" ht="15" hidden="false" customHeight="false" outlineLevel="0" collapsed="false">
      <c r="A50" s="6" t="s">
        <v>385</v>
      </c>
      <c r="B50" s="22"/>
    </row>
    <row r="51" customFormat="false" ht="15" hidden="false" customHeight="false" outlineLevel="0" collapsed="false">
      <c r="A51" s="6" t="s">
        <v>386</v>
      </c>
      <c r="B51" s="22"/>
    </row>
    <row r="52" customFormat="false" ht="15" hidden="false" customHeight="false" outlineLevel="0" collapsed="false">
      <c r="A52" s="6" t="s">
        <v>387</v>
      </c>
      <c r="B52" s="22"/>
    </row>
    <row r="53" customFormat="false" ht="15" hidden="false" customHeight="false" outlineLevel="0" collapsed="false">
      <c r="A53" s="3" t="s">
        <v>388</v>
      </c>
      <c r="B53" s="52" t="s">
        <v>389</v>
      </c>
      <c r="C53" s="28" t="s">
        <v>390</v>
      </c>
    </row>
    <row r="55" customFormat="false" ht="25.5" hidden="false" customHeight="true" outlineLevel="0" collapsed="false">
      <c r="A55" s="11" t="s">
        <v>391</v>
      </c>
      <c r="B55" s="11"/>
      <c r="C55" s="11"/>
      <c r="D55" s="11"/>
    </row>
  </sheetData>
  <sheetProtection sheet="true" sort="false" autoFilter="false"/>
  <mergeCells count="2">
    <mergeCell ref="A2:J2"/>
    <mergeCell ref="A55:D55"/>
  </mergeCells>
  <conditionalFormatting sqref="C6:C12">
    <cfRule type="cellIs" priority="2" operator="equal" aboveAverage="0" equalAverage="0" bottom="0" percent="0" rank="0" text="" dxfId="0">
      <formula>"OK"</formula>
    </cfRule>
    <cfRule type="cellIs" priority="3" operator="equal" aboveAverage="0" equalAverage="0" bottom="0" percent="0" rank="0" text="" dxfId="12">
      <formula>"Fix"</formula>
    </cfRule>
    <cfRule type="cellIs" priority="4" operator="equal" aboveAverage="0" equalAverage="0" bottom="0" percent="0" rank="0" text="" dxfId="2">
      <formula>"Review"</formula>
    </cfRule>
  </conditionalFormatting>
  <conditionalFormatting sqref="C16:C18">
    <cfRule type="cellIs" priority="5" operator="equal" aboveAverage="0" equalAverage="0" bottom="0" percent="0" rank="0" text="" dxfId="0">
      <formula>"OK"</formula>
    </cfRule>
    <cfRule type="cellIs" priority="6" operator="equal" aboveAverage="0" equalAverage="0" bottom="0" percent="0" rank="0" text="" dxfId="12">
      <formula>"Fix"</formula>
    </cfRule>
    <cfRule type="cellIs" priority="7" operator="equal" aboveAverage="0" equalAverage="0" bottom="0" percent="0" rank="0" text="" dxfId="2">
      <formula>"Review"</formula>
    </cfRule>
  </conditionalFormatting>
  <conditionalFormatting sqref="B49">
    <cfRule type="cellIs" priority="8" operator="equal" aboveAverage="0" equalAverage="0" bottom="0" percent="0" rank="0" text="" dxfId="14">
      <formula>"Yes"</formula>
    </cfRule>
    <cfRule type="cellIs" priority="9" operator="equal" aboveAverage="0" equalAverage="0" bottom="0" percent="0" rank="0" text="" dxfId="15">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3" type="custom">
      <formula1>AND(OR($B$53="Draft",$B$53="Submitted"),OR($B$53="Draft",$B$49="Yes"))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8"/>
  </cols>
  <sheetData>
    <row r="1" customFormat="false" ht="24" hidden="false" customHeight="true" outlineLevel="0" collapsed="false">
      <c r="A1" s="1" t="s">
        <v>392</v>
      </c>
    </row>
    <row r="2" customFormat="false" ht="15" hidden="false" customHeight="false" outlineLevel="0" collapsed="false">
      <c r="A2" s="2" t="s">
        <v>393</v>
      </c>
      <c r="B2" s="2"/>
      <c r="C2" s="2"/>
      <c r="D2" s="2"/>
      <c r="E2" s="2"/>
      <c r="F2" s="2"/>
      <c r="G2" s="2"/>
      <c r="H2" s="2"/>
      <c r="I2" s="2"/>
      <c r="J2" s="2"/>
    </row>
    <row r="4" customFormat="false" ht="15" hidden="false" customHeight="false" outlineLevel="0" collapsed="false">
      <c r="A4" s="3" t="s">
        <v>394</v>
      </c>
    </row>
    <row r="5" customFormat="false" ht="15" hidden="false" customHeight="false" outlineLevel="0" collapsed="false">
      <c r="A5" s="6" t="s">
        <v>395</v>
      </c>
      <c r="B5" s="53" t="n">
        <v>2027</v>
      </c>
    </row>
    <row r="6" customFormat="false" ht="15" hidden="false" customHeight="false" outlineLevel="0" collapsed="false">
      <c r="A6" s="6" t="s">
        <v>396</v>
      </c>
      <c r="B6" s="53" t="n">
        <v>2026</v>
      </c>
    </row>
    <row r="7" customFormat="false" ht="15" hidden="false" customHeight="false" outlineLevel="0" collapsed="false">
      <c r="A7" s="6" t="s">
        <v>397</v>
      </c>
      <c r="B7" s="54" t="n">
        <v>0.09</v>
      </c>
    </row>
    <row r="8" customFormat="false" ht="15" hidden="false" customHeight="false" outlineLevel="0" collapsed="false">
      <c r="A8" s="6" t="s">
        <v>398</v>
      </c>
      <c r="B8" s="54" t="n">
        <v>0.03</v>
      </c>
    </row>
    <row r="9" customFormat="false" ht="15" hidden="false" customHeight="false" outlineLevel="0" collapsed="false">
      <c r="A9" s="6" t="s">
        <v>399</v>
      </c>
      <c r="B9" s="54" t="n">
        <v>0.04</v>
      </c>
    </row>
    <row r="10" customFormat="false" ht="15" hidden="false" customHeight="false" outlineLevel="0" collapsed="false">
      <c r="A10" s="6" t="s">
        <v>400</v>
      </c>
      <c r="B10" s="54" t="n">
        <v>0.1175</v>
      </c>
    </row>
    <row r="11" customFormat="false" ht="15" hidden="false" customHeight="false" outlineLevel="0" collapsed="false">
      <c r="A11" s="6" t="s">
        <v>401</v>
      </c>
      <c r="B11" s="54" t="n">
        <v>0.02</v>
      </c>
    </row>
    <row r="12" customFormat="false" ht="15" hidden="false" customHeight="false" outlineLevel="0" collapsed="false">
      <c r="A12" s="6" t="s">
        <v>402</v>
      </c>
      <c r="B12" s="55" t="n">
        <v>12</v>
      </c>
    </row>
    <row r="13" customFormat="false" ht="15" hidden="false" customHeight="false" outlineLevel="0" collapsed="false">
      <c r="A13" s="6" t="s">
        <v>403</v>
      </c>
      <c r="B13" s="55" t="n">
        <v>45</v>
      </c>
    </row>
    <row r="14" customFormat="false" ht="15" hidden="false" customHeight="false" outlineLevel="0" collapsed="false">
      <c r="A14" s="6" t="s">
        <v>37</v>
      </c>
      <c r="B14" s="53" t="s">
        <v>38</v>
      </c>
    </row>
    <row r="16" customFormat="false" ht="15" hidden="false" customHeight="false" outlineLevel="0" collapsed="false">
      <c r="A16" s="3" t="s">
        <v>404</v>
      </c>
    </row>
    <row r="17" customFormat="false" ht="15" hidden="false" customHeight="false" outlineLevel="0" collapsed="false">
      <c r="A17" s="6" t="s">
        <v>405</v>
      </c>
      <c r="B17" s="55" t="n">
        <v>2418</v>
      </c>
      <c r="C17" s="28" t="s">
        <v>406</v>
      </c>
    </row>
    <row r="18" customFormat="false" ht="15" hidden="false" customHeight="false" outlineLevel="0" collapsed="false">
      <c r="A18" s="6" t="s">
        <v>407</v>
      </c>
      <c r="B18" s="55" t="n">
        <v>9</v>
      </c>
      <c r="C18" s="28" t="s">
        <v>408</v>
      </c>
    </row>
    <row r="19" customFormat="false" ht="15" hidden="false" customHeight="false" outlineLevel="0" collapsed="false">
      <c r="A19" s="6" t="s">
        <v>409</v>
      </c>
      <c r="B19" s="54" t="n">
        <v>0.66</v>
      </c>
      <c r="C19" s="28" t="s">
        <v>410</v>
      </c>
    </row>
    <row r="21" customFormat="false" ht="15" hidden="false" customHeight="false" outlineLevel="0" collapsed="false">
      <c r="A21" s="3" t="s">
        <v>411</v>
      </c>
      <c r="F21" s="29" t="s">
        <v>412</v>
      </c>
    </row>
    <row r="22" customFormat="false" ht="30" hidden="false" customHeight="true" outlineLevel="0" collapsed="false">
      <c r="A22" s="12" t="s">
        <v>125</v>
      </c>
      <c r="B22" s="12" t="s">
        <v>413</v>
      </c>
      <c r="C22" s="12" t="s">
        <v>414</v>
      </c>
      <c r="D22" s="12" t="s">
        <v>415</v>
      </c>
      <c r="E22" s="12" t="s">
        <v>416</v>
      </c>
      <c r="F22" s="12" t="s">
        <v>257</v>
      </c>
    </row>
    <row r="23" customFormat="false" ht="15" hidden="false" customHeight="false" outlineLevel="0" collapsed="false">
      <c r="A23" s="0" t="s">
        <v>139</v>
      </c>
      <c r="B23" s="21" t="n">
        <v>96</v>
      </c>
      <c r="C23" s="21" t="n">
        <v>24</v>
      </c>
      <c r="D23" s="21" t="n">
        <v>12</v>
      </c>
      <c r="E23" s="56" t="n">
        <v>0.05</v>
      </c>
      <c r="F23" s="21" t="n">
        <v>1</v>
      </c>
    </row>
    <row r="24" customFormat="false" ht="15" hidden="false" customHeight="false" outlineLevel="0" collapsed="false">
      <c r="A24" s="0" t="s">
        <v>132</v>
      </c>
      <c r="B24" s="21" t="n">
        <v>120</v>
      </c>
      <c r="C24" s="21" t="n">
        <v>30</v>
      </c>
      <c r="D24" s="21" t="n">
        <v>12</v>
      </c>
      <c r="E24" s="56" t="n">
        <v>0.06</v>
      </c>
      <c r="F24" s="21" t="n">
        <v>2</v>
      </c>
    </row>
    <row r="25" customFormat="false" ht="15" hidden="false" customHeight="false" outlineLevel="0" collapsed="false">
      <c r="A25" s="0" t="s">
        <v>144</v>
      </c>
      <c r="B25" s="21" t="n">
        <v>150</v>
      </c>
      <c r="C25" s="21" t="n">
        <v>38</v>
      </c>
      <c r="D25" s="21" t="n">
        <v>14</v>
      </c>
      <c r="E25" s="56" t="n">
        <v>0.08</v>
      </c>
      <c r="F25" s="21" t="n">
        <v>3</v>
      </c>
    </row>
    <row r="26" customFormat="false" ht="15" hidden="false" customHeight="false" outlineLevel="0" collapsed="false">
      <c r="A26" s="0" t="s">
        <v>158</v>
      </c>
      <c r="B26" s="21" t="n">
        <v>192</v>
      </c>
      <c r="C26" s="21" t="n">
        <v>48</v>
      </c>
      <c r="D26" s="21" t="n">
        <v>14</v>
      </c>
      <c r="E26" s="56" t="n">
        <v>0.1</v>
      </c>
      <c r="F26" s="21" t="n">
        <v>4</v>
      </c>
    </row>
    <row r="27" customFormat="false" ht="15" hidden="false" customHeight="false" outlineLevel="0" collapsed="false">
      <c r="A27" s="0" t="s">
        <v>417</v>
      </c>
      <c r="B27" s="21" t="n">
        <v>252</v>
      </c>
      <c r="C27" s="21" t="n">
        <v>63</v>
      </c>
      <c r="D27" s="21" t="n">
        <v>18</v>
      </c>
      <c r="E27" s="56" t="n">
        <v>0.12</v>
      </c>
      <c r="F27" s="21" t="n">
        <v>5</v>
      </c>
    </row>
    <row r="28" customFormat="false" ht="15" hidden="false" customHeight="false" outlineLevel="0" collapsed="false">
      <c r="A28" s="0" t="s">
        <v>418</v>
      </c>
      <c r="B28" s="21" t="n">
        <v>336</v>
      </c>
      <c r="C28" s="21" t="n">
        <v>84</v>
      </c>
      <c r="D28" s="21" t="n">
        <v>18</v>
      </c>
      <c r="E28" s="56" t="n">
        <v>0.15</v>
      </c>
      <c r="F28" s="21" t="n">
        <v>6</v>
      </c>
    </row>
    <row r="29" customFormat="false" ht="15" hidden="false" customHeight="false" outlineLevel="0" collapsed="false">
      <c r="A29" s="0" t="s">
        <v>419</v>
      </c>
      <c r="B29" s="21" t="n">
        <v>450</v>
      </c>
      <c r="C29" s="21" t="n">
        <v>113</v>
      </c>
      <c r="D29" s="21" t="n">
        <v>24</v>
      </c>
      <c r="E29" s="56" t="n">
        <v>0.2</v>
      </c>
      <c r="F29" s="21" t="n">
        <v>7</v>
      </c>
    </row>
    <row r="30" customFormat="false" ht="15" hidden="false" customHeight="false" outlineLevel="0" collapsed="false">
      <c r="A30" s="0" t="s">
        <v>420</v>
      </c>
      <c r="B30" s="21" t="n">
        <v>630</v>
      </c>
      <c r="C30" s="21" t="n">
        <v>158</v>
      </c>
      <c r="D30" s="21" t="n">
        <v>30</v>
      </c>
      <c r="E30" s="56" t="n">
        <v>0.25</v>
      </c>
      <c r="F30" s="21" t="n">
        <v>8</v>
      </c>
    </row>
    <row r="31" customFormat="false" ht="15" hidden="false" customHeight="false" outlineLevel="0" collapsed="false">
      <c r="A31" s="0" t="s">
        <v>421</v>
      </c>
      <c r="B31" s="21" t="n">
        <v>900</v>
      </c>
      <c r="C31" s="21" t="n">
        <v>225</v>
      </c>
      <c r="D31" s="21" t="n">
        <v>36</v>
      </c>
      <c r="E31" s="56" t="n">
        <v>0.3</v>
      </c>
      <c r="F31" s="21" t="n">
        <v>9</v>
      </c>
    </row>
    <row r="33" customFormat="false" ht="15" hidden="false" customHeight="false" outlineLevel="0" collapsed="false">
      <c r="A33" s="3" t="s">
        <v>422</v>
      </c>
    </row>
    <row r="34" customFormat="false" ht="30" hidden="false" customHeight="true" outlineLevel="0" collapsed="false">
      <c r="A34" s="12" t="s">
        <v>255</v>
      </c>
      <c r="B34" s="12" t="s">
        <v>256</v>
      </c>
      <c r="C34" s="12" t="s">
        <v>257</v>
      </c>
    </row>
    <row r="35" customFormat="false" ht="15" hidden="false" customHeight="false" outlineLevel="0" collapsed="false">
      <c r="A35" s="0" t="s">
        <v>423</v>
      </c>
      <c r="B35" s="0" t="s">
        <v>424</v>
      </c>
      <c r="C35" s="0" t="n">
        <v>1</v>
      </c>
    </row>
    <row r="36" customFormat="false" ht="15" hidden="false" customHeight="false" outlineLevel="0" collapsed="false">
      <c r="A36" s="0" t="s">
        <v>425</v>
      </c>
      <c r="B36" s="0" t="s">
        <v>424</v>
      </c>
      <c r="C36" s="0" t="n">
        <v>1</v>
      </c>
    </row>
    <row r="37" customFormat="false" ht="15" hidden="false" customHeight="false" outlineLevel="0" collapsed="false">
      <c r="A37" s="0" t="s">
        <v>426</v>
      </c>
      <c r="B37" s="0" t="s">
        <v>424</v>
      </c>
      <c r="C37" s="0" t="n">
        <v>1</v>
      </c>
    </row>
    <row r="38" customFormat="false" ht="15" hidden="false" customHeight="false" outlineLevel="0" collapsed="false">
      <c r="A38" s="0" t="s">
        <v>427</v>
      </c>
      <c r="B38" s="0" t="s">
        <v>428</v>
      </c>
      <c r="C38" s="0" t="n">
        <v>2</v>
      </c>
    </row>
    <row r="39" customFormat="false" ht="15" hidden="false" customHeight="false" outlineLevel="0" collapsed="false">
      <c r="A39" s="0" t="s">
        <v>429</v>
      </c>
      <c r="B39" s="0" t="s">
        <v>428</v>
      </c>
      <c r="C39" s="0" t="n">
        <v>2</v>
      </c>
    </row>
    <row r="40" customFormat="false" ht="15" hidden="false" customHeight="false" outlineLevel="0" collapsed="false">
      <c r="A40" s="0" t="s">
        <v>430</v>
      </c>
      <c r="B40" s="0" t="s">
        <v>428</v>
      </c>
      <c r="C40" s="0" t="n">
        <v>2</v>
      </c>
    </row>
    <row r="41" customFormat="false" ht="15" hidden="false" customHeight="false" outlineLevel="0" collapsed="false">
      <c r="A41" s="0" t="s">
        <v>431</v>
      </c>
      <c r="B41" s="0" t="s">
        <v>428</v>
      </c>
      <c r="C41" s="0" t="n">
        <v>2</v>
      </c>
    </row>
    <row r="42" customFormat="false" ht="15" hidden="false" customHeight="false" outlineLevel="0" collapsed="false">
      <c r="A42" s="0" t="s">
        <v>432</v>
      </c>
      <c r="B42" s="0" t="s">
        <v>433</v>
      </c>
      <c r="C42" s="0" t="n">
        <v>3</v>
      </c>
    </row>
    <row r="43" customFormat="false" ht="15" hidden="false" customHeight="false" outlineLevel="0" collapsed="false">
      <c r="A43" s="0" t="s">
        <v>434</v>
      </c>
      <c r="B43" s="0" t="s">
        <v>433</v>
      </c>
      <c r="C43" s="0" t="n">
        <v>3</v>
      </c>
    </row>
    <row r="44" customFormat="false" ht="15" hidden="false" customHeight="false" outlineLevel="0" collapsed="false">
      <c r="A44" s="0" t="s">
        <v>435</v>
      </c>
      <c r="B44" s="0" t="s">
        <v>433</v>
      </c>
      <c r="C44" s="0" t="n">
        <v>3</v>
      </c>
    </row>
    <row r="45" customFormat="false" ht="15" hidden="false" customHeight="false" outlineLevel="0" collapsed="false">
      <c r="A45" s="0" t="s">
        <v>436</v>
      </c>
      <c r="B45" s="0" t="s">
        <v>433</v>
      </c>
      <c r="C45" s="0" t="n">
        <v>3</v>
      </c>
    </row>
    <row r="46" customFormat="false" ht="15" hidden="false" customHeight="false" outlineLevel="0" collapsed="false">
      <c r="A46" s="0" t="s">
        <v>437</v>
      </c>
      <c r="B46" s="0" t="s">
        <v>438</v>
      </c>
      <c r="C46" s="0" t="n">
        <v>4</v>
      </c>
    </row>
    <row r="47" customFormat="false" ht="15" hidden="false" customHeight="false" outlineLevel="0" collapsed="false">
      <c r="A47" s="0" t="s">
        <v>439</v>
      </c>
      <c r="B47" s="0" t="s">
        <v>438</v>
      </c>
      <c r="C47" s="0" t="n">
        <v>4</v>
      </c>
    </row>
    <row r="48" customFormat="false" ht="15" hidden="false" customHeight="false" outlineLevel="0" collapsed="false">
      <c r="A48" s="0" t="s">
        <v>440</v>
      </c>
      <c r="B48" s="0" t="s">
        <v>438</v>
      </c>
      <c r="C48" s="0" t="n">
        <v>4</v>
      </c>
    </row>
    <row r="49" customFormat="false" ht="15" hidden="false" customHeight="false" outlineLevel="0" collapsed="false">
      <c r="A49" s="0" t="s">
        <v>441</v>
      </c>
      <c r="B49" s="0" t="s">
        <v>442</v>
      </c>
      <c r="C49" s="0" t="n">
        <v>5</v>
      </c>
    </row>
    <row r="50" customFormat="false" ht="15" hidden="false" customHeight="false" outlineLevel="0" collapsed="false">
      <c r="A50" s="0" t="s">
        <v>443</v>
      </c>
      <c r="B50" s="0" t="s">
        <v>442</v>
      </c>
      <c r="C50" s="0" t="n">
        <v>5</v>
      </c>
    </row>
    <row r="51" customFormat="false" ht="15" hidden="false" customHeight="false" outlineLevel="0" collapsed="false">
      <c r="A51" s="0" t="s">
        <v>444</v>
      </c>
      <c r="B51" s="0" t="s">
        <v>442</v>
      </c>
      <c r="C51" s="0" t="n">
        <v>5</v>
      </c>
    </row>
    <row r="52" customFormat="false" ht="15" hidden="false" customHeight="false" outlineLevel="0" collapsed="false">
      <c r="A52" s="0" t="s">
        <v>445</v>
      </c>
      <c r="B52" s="0" t="s">
        <v>446</v>
      </c>
      <c r="C52" s="0" t="n">
        <v>6</v>
      </c>
    </row>
    <row r="53" customFormat="false" ht="15" hidden="false" customHeight="false" outlineLevel="0" collapsed="false">
      <c r="A53" s="0" t="s">
        <v>447</v>
      </c>
      <c r="B53" s="0" t="s">
        <v>446</v>
      </c>
      <c r="C53" s="0" t="n">
        <v>6</v>
      </c>
    </row>
    <row r="55" customFormat="false" ht="15" hidden="false" customHeight="false" outlineLevel="0" collapsed="false">
      <c r="A55" s="6" t="s">
        <v>448</v>
      </c>
      <c r="C55" s="6" t="s">
        <v>127</v>
      </c>
      <c r="E55" s="6" t="s">
        <v>449</v>
      </c>
      <c r="G55" s="6" t="s">
        <v>450</v>
      </c>
      <c r="I55" s="6" t="s">
        <v>451</v>
      </c>
      <c r="K55" s="6" t="s">
        <v>452</v>
      </c>
      <c r="M55" s="6" t="s">
        <v>453</v>
      </c>
      <c r="O55" s="6" t="s">
        <v>256</v>
      </c>
      <c r="Q55" s="6" t="s">
        <v>454</v>
      </c>
      <c r="S55" s="6" t="s">
        <v>316</v>
      </c>
    </row>
    <row r="56" customFormat="false" ht="15" hidden="false" customHeight="false" outlineLevel="0" collapsed="false">
      <c r="A56" s="0" t="s">
        <v>319</v>
      </c>
      <c r="C56" s="0" t="s">
        <v>313</v>
      </c>
      <c r="E56" s="0" t="s">
        <v>455</v>
      </c>
      <c r="G56" s="0" t="s">
        <v>456</v>
      </c>
      <c r="I56" s="0" t="s">
        <v>457</v>
      </c>
      <c r="K56" s="0" t="s">
        <v>458</v>
      </c>
      <c r="M56" s="0" t="s">
        <v>37</v>
      </c>
      <c r="O56" s="0" t="s">
        <v>424</v>
      </c>
      <c r="Q56" s="0" t="s">
        <v>136</v>
      </c>
      <c r="S56" s="0" t="s">
        <v>38</v>
      </c>
    </row>
    <row r="57" customFormat="false" ht="15" hidden="false" customHeight="false" outlineLevel="0" collapsed="false">
      <c r="A57" s="0" t="s">
        <v>321</v>
      </c>
      <c r="C57" s="0" t="s">
        <v>314</v>
      </c>
      <c r="E57" s="0" t="s">
        <v>459</v>
      </c>
      <c r="G57" s="0" t="s">
        <v>460</v>
      </c>
      <c r="I57" s="0" t="s">
        <v>438</v>
      </c>
      <c r="K57" s="0" t="s">
        <v>461</v>
      </c>
      <c r="M57" s="0" t="s">
        <v>39</v>
      </c>
      <c r="O57" s="0" t="s">
        <v>428</v>
      </c>
      <c r="Q57" s="0" t="s">
        <v>462</v>
      </c>
      <c r="S57" s="0" t="s">
        <v>463</v>
      </c>
    </row>
    <row r="58" customFormat="false" ht="15" hidden="false" customHeight="false" outlineLevel="0" collapsed="false">
      <c r="A58" s="0" t="s">
        <v>323</v>
      </c>
      <c r="C58" s="0" t="s">
        <v>134</v>
      </c>
      <c r="E58" s="0" t="s">
        <v>464</v>
      </c>
      <c r="G58" s="0" t="s">
        <v>465</v>
      </c>
      <c r="I58" s="0" t="s">
        <v>466</v>
      </c>
      <c r="K58" s="0" t="s">
        <v>467</v>
      </c>
      <c r="M58" s="0" t="s">
        <v>41</v>
      </c>
      <c r="O58" s="0" t="s">
        <v>433</v>
      </c>
      <c r="S58" s="0" t="s">
        <v>94</v>
      </c>
    </row>
    <row r="59" customFormat="false" ht="15" hidden="false" customHeight="false" outlineLevel="0" collapsed="false">
      <c r="A59" s="0" t="s">
        <v>325</v>
      </c>
      <c r="C59" s="0" t="s">
        <v>141</v>
      </c>
      <c r="K59" s="0" t="s">
        <v>468</v>
      </c>
      <c r="M59" s="0" t="s">
        <v>30</v>
      </c>
      <c r="O59" s="0" t="s">
        <v>438</v>
      </c>
      <c r="S59" s="0" t="s">
        <v>95</v>
      </c>
    </row>
    <row r="60" customFormat="false" ht="15" hidden="false" customHeight="false" outlineLevel="0" collapsed="false">
      <c r="A60" s="0" t="s">
        <v>327</v>
      </c>
      <c r="K60" s="0" t="s">
        <v>469</v>
      </c>
      <c r="M60" s="0" t="s">
        <v>44</v>
      </c>
      <c r="O60" s="0" t="s">
        <v>442</v>
      </c>
      <c r="S60" s="0" t="s">
        <v>174</v>
      </c>
    </row>
    <row r="61" customFormat="false" ht="15" hidden="false" customHeight="false" outlineLevel="0" collapsed="false">
      <c r="A61" s="0" t="s">
        <v>329</v>
      </c>
      <c r="M61" s="0" t="s">
        <v>470</v>
      </c>
      <c r="O61" s="0" t="s">
        <v>446</v>
      </c>
      <c r="S61" s="0" t="s">
        <v>154</v>
      </c>
    </row>
    <row r="62" customFormat="false" ht="15" hidden="false" customHeight="false" outlineLevel="0" collapsed="false">
      <c r="A62" s="0" t="s">
        <v>331</v>
      </c>
      <c r="S62" s="0" t="s">
        <v>96</v>
      </c>
    </row>
    <row r="63" customFormat="false" ht="15" hidden="false" customHeight="false" outlineLevel="0" collapsed="false">
      <c r="A63" s="0" t="s">
        <v>333</v>
      </c>
      <c r="S63" s="0" t="s">
        <v>471</v>
      </c>
    </row>
    <row r="64" customFormat="false" ht="15" hidden="false" customHeight="false" outlineLevel="0" collapsed="false">
      <c r="A64" s="0" t="s">
        <v>335</v>
      </c>
      <c r="S64" s="0" t="s">
        <v>137</v>
      </c>
    </row>
    <row r="65" customFormat="false" ht="15" hidden="false" customHeight="false" outlineLevel="0" collapsed="false">
      <c r="A65" s="0" t="s">
        <v>337</v>
      </c>
      <c r="S65" s="0" t="s">
        <v>97</v>
      </c>
    </row>
    <row r="66" customFormat="false" ht="15" hidden="false" customHeight="false" outlineLevel="0" collapsed="false">
      <c r="A66" s="0" t="s">
        <v>339</v>
      </c>
      <c r="S66" s="0" t="s">
        <v>98</v>
      </c>
    </row>
    <row r="67" customFormat="false" ht="15" hidden="false" customHeight="false" outlineLevel="0" collapsed="false">
      <c r="A67" s="0" t="s">
        <v>341</v>
      </c>
      <c r="S67" s="0" t="s">
        <v>142</v>
      </c>
    </row>
    <row r="68" customFormat="false" ht="15" hidden="false" customHeight="false" outlineLevel="0" collapsed="false">
      <c r="A68" s="0" t="s">
        <v>343</v>
      </c>
      <c r="S68" s="0" t="s">
        <v>178</v>
      </c>
    </row>
    <row r="69" customFormat="false" ht="15" hidden="false" customHeight="false" outlineLevel="0" collapsed="false">
      <c r="A69" s="0" t="s">
        <v>345</v>
      </c>
      <c r="S69" s="0" t="s">
        <v>99</v>
      </c>
    </row>
    <row r="70" customFormat="false" ht="15" hidden="false" customHeight="false" outlineLevel="0" collapsed="false">
      <c r="A70" s="0" t="s">
        <v>347</v>
      </c>
      <c r="S70" s="0" t="s">
        <v>183</v>
      </c>
    </row>
    <row r="71" customFormat="false" ht="15" hidden="false" customHeight="false" outlineLevel="0" collapsed="false">
      <c r="S71" s="0" t="s">
        <v>146</v>
      </c>
    </row>
    <row r="72" customFormat="false" ht="15" hidden="false" customHeight="false" outlineLevel="0" collapsed="false">
      <c r="S72" s="0" t="s">
        <v>472</v>
      </c>
    </row>
    <row r="73" customFormat="false" ht="15" hidden="false" customHeight="false" outlineLevel="0" collapsed="false">
      <c r="S73" s="0" t="s">
        <v>100</v>
      </c>
    </row>
    <row r="74" customFormat="false" ht="15" hidden="false" customHeight="false" outlineLevel="0" collapsed="false">
      <c r="S74" s="0" t="s">
        <v>101</v>
      </c>
    </row>
    <row r="75" customFormat="false" ht="15" hidden="false" customHeight="false" outlineLevel="0" collapsed="false">
      <c r="S75" s="0" t="s">
        <v>473</v>
      </c>
    </row>
    <row r="76" customFormat="false" ht="15" hidden="false" customHeight="false" outlineLevel="0" collapsed="false">
      <c r="S76" s="0" t="s">
        <v>171</v>
      </c>
    </row>
    <row r="77" customFormat="false" ht="15" hidden="false" customHeight="false" outlineLevel="0" collapsed="false">
      <c r="S77" s="0" t="s">
        <v>102</v>
      </c>
    </row>
    <row r="78" customFormat="false" ht="15" hidden="false" customHeight="false" outlineLevel="0" collapsed="false">
      <c r="S78" s="0" t="s">
        <v>163</v>
      </c>
    </row>
    <row r="79" customFormat="false" ht="15" hidden="false" customHeight="false" outlineLevel="0" collapsed="false">
      <c r="S79" s="0" t="s">
        <v>160</v>
      </c>
    </row>
    <row r="80" customFormat="false" ht="15" hidden="false" customHeight="false" outlineLevel="0" collapsed="false">
      <c r="S80" s="0" t="s">
        <v>103</v>
      </c>
    </row>
    <row r="81" customFormat="false" ht="15" hidden="false" customHeight="false" outlineLevel="0" collapsed="false">
      <c r="S81" s="0" t="s">
        <v>104</v>
      </c>
    </row>
    <row r="82" customFormat="false" ht="15" hidden="false" customHeight="false" outlineLevel="0" collapsed="false">
      <c r="S82" s="0" t="s">
        <v>474</v>
      </c>
    </row>
    <row r="83" customFormat="false" ht="15" hidden="false" customHeight="false" outlineLevel="0" collapsed="false">
      <c r="S83" s="0" t="s">
        <v>176</v>
      </c>
    </row>
    <row r="84" customFormat="false" ht="15" hidden="false" customHeight="false" outlineLevel="0" collapsed="false">
      <c r="S84" s="0" t="s">
        <v>105</v>
      </c>
    </row>
    <row r="85" customFormat="false" ht="15" hidden="false" customHeight="false" outlineLevel="0" collapsed="false">
      <c r="S85" s="0" t="s">
        <v>475</v>
      </c>
    </row>
    <row r="86" customFormat="false" ht="15" hidden="false" customHeight="false" outlineLevel="0" collapsed="false">
      <c r="S86" s="0" t="s">
        <v>151</v>
      </c>
    </row>
    <row r="87" customFormat="false" ht="15" hidden="false" customHeight="false" outlineLevel="0" collapsed="false">
      <c r="S87" s="0" t="s">
        <v>476</v>
      </c>
    </row>
    <row r="88" customFormat="false" ht="15" hidden="false" customHeight="false" outlineLevel="0" collapsed="false">
      <c r="S88" s="0" t="s">
        <v>106</v>
      </c>
    </row>
    <row r="89" customFormat="false" ht="15" hidden="false" customHeight="false" outlineLevel="0" collapsed="false">
      <c r="S89" s="0" t="s">
        <v>107</v>
      </c>
    </row>
    <row r="90" customFormat="false" ht="15" hidden="false" customHeight="false" outlineLevel="0" collapsed="false">
      <c r="S90" s="0" t="s">
        <v>188</v>
      </c>
    </row>
    <row r="91" customFormat="false" ht="15" hidden="false" customHeight="false" outlineLevel="0" collapsed="false">
      <c r="S91" s="0" t="s">
        <v>130</v>
      </c>
    </row>
    <row r="92" customFormat="false" ht="15" hidden="false" customHeight="false" outlineLevel="0" collapsed="false">
      <c r="S92" s="0" t="s">
        <v>108</v>
      </c>
    </row>
    <row r="93" customFormat="false" ht="15" hidden="false" customHeight="false" outlineLevel="0" collapsed="false">
      <c r="S93" s="0" t="s">
        <v>477</v>
      </c>
    </row>
    <row r="94" customFormat="false" ht="15" hidden="false" customHeight="false" outlineLevel="0" collapsed="false">
      <c r="S94" s="0" t="s">
        <v>148</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2026-09-01T19:03:58Z</dcterms:created>
  <dc:creator>Capacity exercise toolkit</dc:creator>
  <dc:description/>
  <dc:language>en-US</dc:language>
  <cp:lastModifiedBy/>
  <dcterms:modified xsi:type="dcterms:W3CDTF">2026-09-01T19:04:23Z</dcterms:modified>
  <cp:revision>1</cp:revision>
  <dc:subject/>
  <dc:title>2027 Capacity Exercise - Finance Group</dc:title>
</cp:coreProperties>
</file>

<file path=docProps/custom.xml><?xml version="1.0" encoding="utf-8"?>
<Properties xmlns="http://schemas.openxmlformats.org/officeDocument/2006/custom-properties" xmlns:vt="http://schemas.openxmlformats.org/officeDocument/2006/docPropsVTypes"/>
</file>