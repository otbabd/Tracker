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1. My structure" sheetId="2" state="visible" r:id="rId4"/>
    <sheet name="2. Current capacity" sheetId="3" state="visible" r:id="rId5"/>
    <sheet name="3. Pipeline out" sheetId="4" state="visible" r:id="rId6"/>
    <sheet name="4. Capacity asks" sheetId="5" state="visible" r:id="rId7"/>
    <sheet name="5. My position" sheetId="6" state="visible" r:id="rId8"/>
    <sheet name="6. Check &amp; submit" sheetId="7" state="visible" r:id="rId9"/>
    <sheet name="Glossary"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capacity'!$A$5:$Q$309</definedName>
    <definedName function="false" hidden="false" localSheetId="3" name="_xlnm.Print_Titles" vbProcedure="false">'3. Pipeline out'!$5:$5</definedName>
    <definedName function="false" hidden="true" localSheetId="3" name="_xlnm._FilterDatabase" vbProcedure="false">'3. Pipeline out'!$A$5:$O$125</definedName>
    <definedName function="false" hidden="false" localSheetId="4" name="_xlnm.Print_Titles" vbProcedure="false">'4. Capacity asks'!$5:$5</definedName>
    <definedName function="false" hidden="true" localSheetId="4" name="_xlnm._FilterDatabase" vbProcedure="false">'4. Capacity asks'!$A$5:$T$205</definedName>
    <definedName function="false" hidden="false" localSheetId="7" name="_xlnm.Print_Titles" vbProcedure="false">Glossary!$4:$4</definedName>
    <definedName function="false" hidden="false" name="AskCategory" vbProcedure="false">'4. Capacity asks'!$P$6:$P$205</definedName>
    <definedName function="false" hidden="false" name="AskDepartment" vbProcedure="false">'4. Capacity asks'!$C$6:$C$205</definedName>
    <definedName function="false" hidden="false" name="AskDivision" vbProcedure="false">'4. Capacity asks'!$B$6:$B$205</definedName>
    <definedName function="false" hidden="false" name="AskDriver" vbProcedure="false">'4. Capacity asks'!$Q$6:$Q$205</definedName>
    <definedName function="false" hidden="false" name="AskFamily" vbProcedure="false">'4. Capacity asks'!$H$6:$H$205</definedName>
    <definedName function="false" hidden="false" name="AskIssueNo" vbProcedure="false">'4. Capacity asks'!$T$6:$T$205</definedName>
    <definedName function="false" hidden="false" name="AskLevel" vbProcedure="false">'4. Capacity asks'!$G$6:$G$205</definedName>
    <definedName function="false" hidden="false" name="AskProblem" vbProcedure="false">'4. Capacity asks'!$S$6:$S$205</definedName>
    <definedName function="false" hidden="false" name="AskQ1" vbProcedure="false">'4. Capacity asks'!$L$6:$L$205</definedName>
    <definedName function="false" hidden="false" name="AskQ2" vbProcedure="false">'4. Capacity asks'!$M$6:$M$205</definedName>
    <definedName function="false" hidden="false" name="AskQ3" vbProcedure="false">'4. Capacity asks'!$N$6:$N$205</definedName>
    <definedName function="false" hidden="false" name="AskQ4" vbProcedure="false">'4. Capacity asks'!$O$6:$O$205</definedName>
    <definedName function="false" hidden="false" name="AskRef" vbProcedure="false">'4. Capacity asks'!$A$6:$A$205</definedName>
    <definedName function="false" hidden="false" name="AskSubUnit" vbProcedure="false">'4. Capacity asks'!$E$6:$E$205</definedName>
    <definedName function="false" hidden="false" name="AskTitle" vbProcedure="false">'4. Capacity asks'!$F$6:$F$205</definedName>
    <definedName function="false" hidden="false" name="AskTotal" vbProcedure="false">'4. Capacity asks'!$K$6:$K$205</definedName>
    <definedName function="false" hidden="false" name="AskUnit" vbProcedure="false">'4. Capacity asks'!$D$6:$D$205</definedName>
    <definedName function="false" hidden="false" name="AskWorkerType" vbProcedure="false">'4.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Ref!$Q$51:$Q$56</definedName>
    <definedName function="false" hidden="false" name="CategoryList" vbProcedure="false">Ref!$M$51:$M$54</definedName>
    <definedName function="false" hidden="false" name="CostEnvelope" vbProcedure="false">Ref!$B$15</definedName>
    <definedName function="false" hidden="false" name="CostLimit" vbProcedure="false">'5. My position'!$B$30</definedName>
    <definedName function="false" hidden="false" name="CostMine" vbProcedure="false">'5. My position'!$C$30</definedName>
    <definedName function="false" hidden="false" name="DirectionList" vbProcedure="false">Ref!$E$51:$E$53</definedName>
    <definedName function="false" hidden="false" name="DispositionList" vbProcedure="false">Ref!$I$51:$I$53</definedName>
    <definedName function="false" hidden="false" name="DivisionList" vbProcedure="false">Ref!$U$51:$U$54</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'5. My position'!$B$31</definedName>
    <definedName function="false" hidden="false" name="HeadMine" vbProcedure="false">'5. My position'!$C$31</definedName>
    <definedName function="false" hidden="false" name="JobFamilies" vbProcedure="false">Ref!$S$51:$S$54</definedName>
    <definedName function="false" hidden="false" name="LadderLevels" vbProcedure="false">Ref!$K$51:$K$56</definedName>
    <definedName function="false" hidden="false" name="LeavingReasons" vbProcedure="false">Ref!$G$51:$G$55</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'5. My position'!$B$32</definedName>
    <definedName function="false" hidden="false" name="MandateMine" vbProcedure="false">'5. My position'!$C$32</definedName>
    <definedName function="false" hidden="false" name="OutCash" vbProcedure="false">'3. Pipeline out'!$M$6:$M$125</definedName>
    <definedName function="false" hidden="false" name="OutDisposition" vbProcedure="false">'3. Pipeline out'!$J$6:$J$125</definedName>
    <definedName function="false" hidden="false" name="OutDivision" vbProcedure="false">'3. Pipeline out'!$B$6:$B$125</definedName>
    <definedName function="false" hidden="false" name="OutLevel" vbProcedure="false">'3. Pipeline out'!$E$6:$E$125</definedName>
    <definedName function="false" hidden="false" name="OutProblem" vbProcedure="false">'3. Pipeline out'!$O$6:$O$125</definedName>
    <definedName function="false" hidden="false" name="OutQuarter" vbProcedure="false">'3. Pipeline out'!$I$6:$I$125</definedName>
    <definedName function="false" hidden="false" name="OutRunRate" vbProcedure="false">'3. Pipeline out'!$N$6:$N$125</definedName>
    <definedName function="false" hidden="false" name="OutTitle" vbProcedure="false">'3. Pipeline out'!$D$6:$D$125</definedName>
    <definedName function="false" hidden="false" name="OutUnit" vbProcedure="false">'3. Pipeline out'!$C$6:$C$125</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capacity'!$J$6:$J$309</definedName>
    <definedName function="false" hidden="false" name="SeatDepartment" vbProcedure="false">'2. Current capacity'!$C$6:$C$309</definedName>
    <definedName function="false" hidden="false" name="SeatDirection" vbProcedure="false">'2. Current capacity'!$N$6:$N$309</definedName>
    <definedName function="false" hidden="false" name="SeatDivision" vbProcedure="false">'2. Current capacity'!$B$6:$B$309</definedName>
    <definedName function="false" hidden="false" name="SeatExits" vbProcedure="false">'2. Current capacity'!$P$6:$P$309</definedName>
    <definedName function="false" hidden="false" name="SeatFilled" vbProcedure="false">'2. Current capacity'!$K$6:$K$309</definedName>
    <definedName function="false" hidden="false" name="SeatLevel" vbProcedure="false">'2. Current capacity'!$G$6:$G$309</definedName>
    <definedName function="false" hidden="false" name="SeatMandate" vbProcedure="false">'2. Current capacity'!$I$6:$I$309</definedName>
    <definedName function="false" hidden="false" name="SeatProblem" vbProcedure="false">'2. Current capacity'!$Q$6:$Q$309</definedName>
    <definedName function="false" hidden="false" name="SeatSlated" vbProcedure="false">'2. Current capacity'!$O$6:$O$309</definedName>
    <definedName function="false" hidden="false" name="SeatSubUnit" vbProcedure="false">'2. Current capacity'!$E$6:$E$309</definedName>
    <definedName function="false" hidden="false" name="SeatTitle" vbProcedure="false">'2. Current capacity'!$F$6:$F$309</definedName>
    <definedName function="false" hidden="false" name="SeatUnit" vbProcedure="false">'2. Current capacity'!$D$6:$D$309</definedName>
    <definedName function="false" hidden="false" name="SeatVacant" vbProcedure="false">'2. Current capacity'!$L$6:$L$309</definedName>
    <definedName function="false" hidden="false" name="SeatWorkerType" vbProcedure="false">'2. Current capacity'!$M$6:$M$309</definedName>
    <definedName function="false" hidden="false" name="UnitList" vbProcedure="false">Ref!$W$51:$W$199</definedName>
    <definedName function="false" hidden="false" name="WorkerTypes" vbProcedure="false">Ref!$C$51:$C$53</definedName>
    <definedName function="false" hidden="false" name="YesNo" vbProcedure="false">Ref!$O$51:$O$52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<sst xmlns="http://schemas.openxmlformats.org/spreadsheetml/2006/main" count="3040" uniqueCount="781">
  <si>
    <t xml:space="preserve">2027 Capacity Exercise</t>
  </si>
  <si>
    <t xml:space="preserve">Retail Banking Group — what to do, in the order to do it</t>
  </si>
  <si>
    <t xml:space="preserve">The sheets, in the order to work through them</t>
  </si>
  <si>
    <t xml:space="preserve">1. My structure</t>
  </si>
  <si>
    <t xml:space="preserve">Your group as it stands today. Collapse and expand with the +/- buttons in the left margin. Nothing to fill in — the 2027 columns fill themselves from the three sheets after it.</t>
  </si>
  <si>
    <t xml:space="preserve">2. Current capacity</t>
  </si>
  <si>
    <t xml:space="preserve">One row per job, with the seats you have in it. Fill in the career level, whether the seat has to be Saudi, and what you intend to do with the job next year. If you are reducing it, say how many of its seats are going.</t>
  </si>
  <si>
    <t xml:space="preserve">3. Pipeline out</t>
  </si>
  <si>
    <t xml:space="preserve">Everyone you already know is leaving. For each one, say what happens to the seat: refill it, hold it empty for a while, or give it up to help pay for what you are asking for.</t>
  </si>
  <si>
    <t xml:space="preserve">4. Capacity asks</t>
  </si>
  <si>
    <t xml:space="preserve">One row per position you want. Put the numbers in the quarter you want them to start — the total adds itself up. Every row needs a driver, because that is what decides the order things get funded in.</t>
  </si>
  <si>
    <t xml:space="preserve">5. My position</t>
  </si>
  <si>
    <t xml:space="preserve">Your headcount and your cost by division, the cash the year actually costs, and where you land against your envelopes. Read this before you submit, not after.</t>
  </si>
  <si>
    <t xml:space="preserve">6. Check &amp; submit</t>
  </si>
  <si>
    <t xml:space="preserve">Everything still missing or invalid, listed row by row. When it is clear, set the state to Submitted and return the file.</t>
  </si>
  <si>
    <t xml:space="preserve">Glossary</t>
  </si>
  <si>
    <t xml:space="preserve">Every term this workbook uses, in plain words. Start here if a column header is not obvious.</t>
  </si>
  <si>
    <t xml:space="preserve">What each yellow column expects</t>
  </si>
  <si>
    <t xml:space="preserve">Career Level</t>
  </si>
  <si>
    <t xml:space="preserve">2. Current capacity — The level of the job, not of the person and not the grade. Pick from the list. Until every row has one, no cost anywhere in this file can be worked out and it all reads as a dash.</t>
  </si>
  <si>
    <t xml:space="preserve">Nationality Mandate?</t>
  </si>
  <si>
    <t xml:space="preserve">2. Current capacity — Does this job have to be filled by a Saudi national? A property of the role, not of whoever is in it today.</t>
  </si>
  <si>
    <t xml:space="preserve">Capacity Direction</t>
  </si>
  <si>
    <t xml:space="preserve">2. Current capacity — Grow, Hold or Reduce. Grow and Hold change nothing by themselves — growth arrives as a row on the asks sheet. Reduce is the only way a seat leaves your establishment.</t>
  </si>
  <si>
    <t xml:space="preserve">HC slated for exit</t>
  </si>
  <si>
    <t xml:space="preserve">2. Current capacity — How many of the row's seats are going. If the row has four and two are going, put 2. Only counted when the direction says Reduce.</t>
  </si>
  <si>
    <t xml:space="preserve">What happens to the seat</t>
  </si>
  <si>
    <t xml:space="preserve">3. Pipeline out — Refill it, hold it empty until a quarter you name, or give it up. Giving it up is the only one that changes your establishment, and it has to be counted in the Reduce column on 2. Current capacity as well.</t>
  </si>
  <si>
    <t xml:space="preserve">Q1 to Q4</t>
  </si>
  <si>
    <t xml:space="preserve">4. Capacity asks — How many people you want starting in each quarter. Leave the rest blank. The New Asks total adds itself up from these four.</t>
  </si>
  <si>
    <t xml:space="preserve">Driver</t>
  </si>
  <si>
    <t xml:space="preserve">4. Capacity asks — Why you need it. The driver sets the priority, and the priority decides what survives if the envelope binds.</t>
  </si>
  <si>
    <t xml:space="preserve">Alternatives considered</t>
  </si>
  <si>
    <t xml:space="preserve">4. Capacity asks — What you tried before asking for a person: automation, vendor cover, reprioritising. The first question you will be asked.</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</si>
  <si>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</si>
  <si>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</si>
  <si>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</si>
  <si>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</si>
  <si>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</si>
  <si>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</si>
  <si>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</si>
  <si>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The three things people get wrong</t>
  </si>
  <si>
    <t xml:space="preserve">The quarters make the total, not the other way round. New Asks is worked out from what you put in Q1 to Q4, so there is nothing to reconcile and nothing that can disagree. If the total looks wrong, a quarter is wrong.</t>
  </si>
  <si>
    <t xml:space="preserve">Reduce is the only way to give up a seat, and it needs a number. Marking a job Reduce without saying how many seats are going changes nothing at all. A vacancy you no longer need is a Reduce; so is a leaver whose seat you are surrendering on the pipeline sheet.</t>
  </si>
  <si>
    <t xml:space="preserve">The cost by division is a full-year run-rate, not what you spend next year. It sits beside headcount because both are stocks. What the year actually costs is the separate cash block underneath, and the two answer different questions — approving both at once counts the same money twice.</t>
  </si>
  <si>
    <t xml:space="preserve">When the check sheet complains</t>
  </si>
  <si>
    <t xml:space="preserve">6. Check &amp; submit lists what is still missing and where. Every sheet also has a last column telling you, row by row, what that row needs — filter on it to find the rows rather than hunting for them. The file will not let you set the state to Submitted until every blocking check reads OK, which is the point: it is quicker to fix here than after the centre has read it.</t>
  </si>
  <si>
    <t xml:space="preserve">My structure</t>
  </si>
  <si>
    <t xml:space="preserve">Retail Banking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</si>
  <si>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</si>
  <si>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</si>
  <si>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</si>
  <si>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</si>
  <si>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</si>
  <si>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</si>
  <si>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</si>
  <si>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</si>
  <si>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</si>
  <si>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</si>
  <si>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</si>
  <si>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Retail Banking Group</t>
  </si>
  <si>
    <t xml:space="preserve">Division</t>
  </si>
  <si>
    <t xml:space="preserve">    Branch Network Division</t>
  </si>
  <si>
    <t xml:space="preserve">Branch Network Division</t>
  </si>
  <si>
    <t xml:space="preserve">Department</t>
  </si>
  <si>
    <t xml:space="preserve">        Central Region Branches</t>
  </si>
  <si>
    <t xml:space="preserve">Central Region Branches</t>
  </si>
  <si>
    <t xml:space="preserve">            Central Region Branches Unit 1</t>
  </si>
  <si>
    <t xml:space="preserve">Central Region Branches Unit 1</t>
  </si>
  <si>
    <t xml:space="preserve">Sub-unit</t>
  </si>
  <si>
    <t xml:space="preserve">                Central Region Branches Unit 1 - Team A</t>
  </si>
  <si>
    <t xml:space="preserve">Central Region Branches Unit 1 - Team A</t>
  </si>
  <si>
    <t xml:space="preserve">Section</t>
  </si>
  <si>
    <t xml:space="preserve">                    Central Region Branches Unit 1 - Team A / Section 1</t>
  </si>
  <si>
    <t xml:space="preserve">Central Region Branches Unit 1 - Team A / Section 1</t>
  </si>
  <si>
    <t xml:space="preserve">                    Central Region Branches Unit 1 - Team A / Section 2</t>
  </si>
  <si>
    <t xml:space="preserve">Central Region Branches Unit 1 - Team A / Section 2</t>
  </si>
  <si>
    <t xml:space="preserve">                Central Region Branches Unit 1 - Team B</t>
  </si>
  <si>
    <t xml:space="preserve">Central Region Branches Unit 1 - Team B</t>
  </si>
  <si>
    <t xml:space="preserve">                    Central Region Branches Unit 1 - Team B / Section 1</t>
  </si>
  <si>
    <t xml:space="preserve">Central Region Branches Unit 1 - Team B / Section 1</t>
  </si>
  <si>
    <t xml:space="preserve">                    Central Region Branches Unit 1 - Team B / Section 2</t>
  </si>
  <si>
    <t xml:space="preserve">Central Region Branches Unit 1 - Team B / Section 2</t>
  </si>
  <si>
    <t xml:space="preserve">            Central Region Branches Unit 2</t>
  </si>
  <si>
    <t xml:space="preserve">Central Region Branches Unit 2</t>
  </si>
  <si>
    <t xml:space="preserve">                Central Region Branches Unit 2 - Team A</t>
  </si>
  <si>
    <t xml:space="preserve">Central Region Branches Unit 2 - Team A</t>
  </si>
  <si>
    <t xml:space="preserve">                    Central Region Branches Unit 2 - Team A / Section 1</t>
  </si>
  <si>
    <t xml:space="preserve">Central Region Branches Unit 2 - Team A / Section 1</t>
  </si>
  <si>
    <t xml:space="preserve">                    Central Region Branches Unit 2 - Team A / Section 2</t>
  </si>
  <si>
    <t xml:space="preserve">Central Region Branches Unit 2 - Team A / Section 2</t>
  </si>
  <si>
    <t xml:space="preserve">                Central Region Branches Unit 2 - Team B</t>
  </si>
  <si>
    <t xml:space="preserve">Central Region Branches Unit 2 - Team B</t>
  </si>
  <si>
    <t xml:space="preserve">                    Central Region Branches Unit 2 - Team B / Section 1</t>
  </si>
  <si>
    <t xml:space="preserve">Central Region Branches Unit 2 - Team B / Section 1</t>
  </si>
  <si>
    <t xml:space="preserve">                    Central Region Branches Unit 2 - Team B / Section 2</t>
  </si>
  <si>
    <t xml:space="preserve">Central Region Branches Unit 2 - Team B / Section 2</t>
  </si>
  <si>
    <t xml:space="preserve">        Eastern Region Branches</t>
  </si>
  <si>
    <t xml:space="preserve">Eastern Region Branches</t>
  </si>
  <si>
    <t xml:space="preserve">            Eastern Region Branches Unit 1</t>
  </si>
  <si>
    <t xml:space="preserve">Eastern Region Branches Unit 1</t>
  </si>
  <si>
    <t xml:space="preserve">                Eastern Region Branches Unit 1 - Team A</t>
  </si>
  <si>
    <t xml:space="preserve">Eastern Region Branches Unit 1 - Team A</t>
  </si>
  <si>
    <t xml:space="preserve">                    Eastern Region Branches Unit 1 - Team A / Section 1</t>
  </si>
  <si>
    <t xml:space="preserve">Eastern Region Branches Unit 1 - Team A / Section 1</t>
  </si>
  <si>
    <t xml:space="preserve">                    Eastern Region Branches Unit 1 - Team A / Section 2</t>
  </si>
  <si>
    <t xml:space="preserve">Eastern Region Branches Unit 1 - Team A / Section 2</t>
  </si>
  <si>
    <t xml:space="preserve">                Eastern Region Branches Unit 1 - Team B</t>
  </si>
  <si>
    <t xml:space="preserve">Eastern Region Branches Unit 1 - Team B</t>
  </si>
  <si>
    <t xml:space="preserve">                    Eastern Region Branches Unit 1 - Team B / Section 1</t>
  </si>
  <si>
    <t xml:space="preserve">Eastern Region Branches Unit 1 - Team B / Section 1</t>
  </si>
  <si>
    <t xml:space="preserve">                    Eastern Region Branches Unit 1 - Team B / Section 2</t>
  </si>
  <si>
    <t xml:space="preserve">Eastern Region Branches Unit 1 - Team B / Section 2</t>
  </si>
  <si>
    <t xml:space="preserve">            Eastern Region Branches Unit 2</t>
  </si>
  <si>
    <t xml:space="preserve">Eastern Region Branches Unit 2</t>
  </si>
  <si>
    <t xml:space="preserve">                Eastern Region Branches Unit 2 - Team A</t>
  </si>
  <si>
    <t xml:space="preserve">Eastern Region Branches Unit 2 - Team A</t>
  </si>
  <si>
    <t xml:space="preserve">                    Eastern Region Branches Unit 2 - Team A / Section 1</t>
  </si>
  <si>
    <t xml:space="preserve">Eastern Region Branches Unit 2 - Team A / Section 1</t>
  </si>
  <si>
    <t xml:space="preserve">                    Eastern Region Branches Unit 2 - Team A / Section 2</t>
  </si>
  <si>
    <t xml:space="preserve">Eastern Region Branches Unit 2 - Team A / Section 2</t>
  </si>
  <si>
    <t xml:space="preserve">                Eastern Region Branches Unit 2 - Team B</t>
  </si>
  <si>
    <t xml:space="preserve">Eastern Region Branches Unit 2 - Team B</t>
  </si>
  <si>
    <t xml:space="preserve">                    Eastern Region Branches Unit 2 - Team B / Section 1</t>
  </si>
  <si>
    <t xml:space="preserve">Eastern Region Branches Unit 2 - Team B / Section 1</t>
  </si>
  <si>
    <t xml:space="preserve">                    Eastern Region Branches Unit 2 - Team B / Section 2</t>
  </si>
  <si>
    <t xml:space="preserve">Eastern Region Branches Unit 2 - Team B / Section 2</t>
  </si>
  <si>
    <t xml:space="preserve">        Western Region Branches</t>
  </si>
  <si>
    <t xml:space="preserve">Western Region Branches</t>
  </si>
  <si>
    <t xml:space="preserve">            Western Region Branches Unit 1</t>
  </si>
  <si>
    <t xml:space="preserve">Western Region Branches Unit 1</t>
  </si>
  <si>
    <t xml:space="preserve">                Western Region Branches Unit 1 - Team A</t>
  </si>
  <si>
    <t xml:space="preserve">Western Region Branches Unit 1 - Team A</t>
  </si>
  <si>
    <t xml:space="preserve">                    Western Region Branches Unit 1 - Team A / Section 1</t>
  </si>
  <si>
    <t xml:space="preserve">Western Region Branches Unit 1 - Team A / Section 1</t>
  </si>
  <si>
    <t xml:space="preserve">                    Western Region Branches Unit 1 - Team A / Section 2</t>
  </si>
  <si>
    <t xml:space="preserve">Western Region Branches Unit 1 - Team A / Section 2</t>
  </si>
  <si>
    <t xml:space="preserve">                Western Region Branches Unit 1 - Team B</t>
  </si>
  <si>
    <t xml:space="preserve">Western Region Branches Unit 1 - Team B</t>
  </si>
  <si>
    <t xml:space="preserve">                    Western Region Branches Unit 1 - Team B / Section 1</t>
  </si>
  <si>
    <t xml:space="preserve">Western Region Branches Unit 1 - Team B / Section 1</t>
  </si>
  <si>
    <t xml:space="preserve">                    Western Region Branches Unit 1 - Team B / Section 2</t>
  </si>
  <si>
    <t xml:space="preserve">Western Region Branches Unit 1 - Team B / Section 2</t>
  </si>
  <si>
    <t xml:space="preserve">            Western Region Branches Unit 2</t>
  </si>
  <si>
    <t xml:space="preserve">Western Region Branches Unit 2</t>
  </si>
  <si>
    <t xml:space="preserve">                Western Region Branches Unit 2 - Team A</t>
  </si>
  <si>
    <t xml:space="preserve">Western Region Branches Unit 2 - Team A</t>
  </si>
  <si>
    <t xml:space="preserve">                    Western Region Branches Unit 2 - Team A / Section 1</t>
  </si>
  <si>
    <t xml:space="preserve">Western Region Branches Unit 2 - Team A / Section 1</t>
  </si>
  <si>
    <t xml:space="preserve">                    Western Region Branches Unit 2 - Team A / Section 2</t>
  </si>
  <si>
    <t xml:space="preserve">Western Region Branches Unit 2 - Team A / Section 2</t>
  </si>
  <si>
    <t xml:space="preserve">                Western Region Branches Unit 2 - Team B</t>
  </si>
  <si>
    <t xml:space="preserve">Western Region Branches Unit 2 - Team B</t>
  </si>
  <si>
    <t xml:space="preserve">                    Western Region Branches Unit 2 - Team B / Section 1</t>
  </si>
  <si>
    <t xml:space="preserve">Western Region Branches Unit 2 - Team B / Section 1</t>
  </si>
  <si>
    <t xml:space="preserve">                    Western Region Branches Unit 2 - Team B / Section 2</t>
  </si>
  <si>
    <t xml:space="preserve">Western Region Branches Unit 2 - Team B / Section 2</t>
  </si>
  <si>
    <t xml:space="preserve">    Customer Experience Division</t>
  </si>
  <si>
    <t xml:space="preserve">Customer Experience Division</t>
  </si>
  <si>
    <t xml:space="preserve">        Contact Centre</t>
  </si>
  <si>
    <t xml:space="preserve">Contact Centre</t>
  </si>
  <si>
    <t xml:space="preserve">            Contact Centre Unit 1</t>
  </si>
  <si>
    <t xml:space="preserve">Contact Centre Unit 1</t>
  </si>
  <si>
    <t xml:space="preserve">                Contact Centre Unit 1 - Team A</t>
  </si>
  <si>
    <t xml:space="preserve">Contact Centre Unit 1 - Team A</t>
  </si>
  <si>
    <t xml:space="preserve">                    Contact Centre Unit 1 - Team A / Section 1</t>
  </si>
  <si>
    <t xml:space="preserve">Contact Centre Unit 1 - Team A / Section 1</t>
  </si>
  <si>
    <t xml:space="preserve">                    Contact Centre Unit 1 - Team A / Section 2</t>
  </si>
  <si>
    <t xml:space="preserve">Contact Centre Unit 1 - Team A / Section 2</t>
  </si>
  <si>
    <t xml:space="preserve">                Contact Centre Unit 1 - Team B</t>
  </si>
  <si>
    <t xml:space="preserve">Contact Centre Unit 1 - Team B</t>
  </si>
  <si>
    <t xml:space="preserve">                    Contact Centre Unit 1 - Team B / Section 1</t>
  </si>
  <si>
    <t xml:space="preserve">Contact Centre Unit 1 - Team B / Section 1</t>
  </si>
  <si>
    <t xml:space="preserve">                    Contact Centre Unit 1 - Team B / Section 2</t>
  </si>
  <si>
    <t xml:space="preserve">Contact Centre Unit 1 - Team B / Section 2</t>
  </si>
  <si>
    <t xml:space="preserve">            Contact Centre Unit 2</t>
  </si>
  <si>
    <t xml:space="preserve">Contact Centre Unit 2</t>
  </si>
  <si>
    <t xml:space="preserve">                Contact Centre Unit 2 - Team A</t>
  </si>
  <si>
    <t xml:space="preserve">Contact Centre Unit 2 - Team A</t>
  </si>
  <si>
    <t xml:space="preserve">                    Contact Centre Unit 2 - Team A / Section 1</t>
  </si>
  <si>
    <t xml:space="preserve">Contact Centre Unit 2 - Team A / Section 1</t>
  </si>
  <si>
    <t xml:space="preserve">                    Contact Centre Unit 2 - Team A / Section 2</t>
  </si>
  <si>
    <t xml:space="preserve">Contact Centre Unit 2 - Team A / Section 2</t>
  </si>
  <si>
    <t xml:space="preserve">                Contact Centre Unit 2 - Team B</t>
  </si>
  <si>
    <t xml:space="preserve">Contact Centre Unit 2 - Team B</t>
  </si>
  <si>
    <t xml:space="preserve">                    Contact Centre Unit 2 - Team B / Section 1</t>
  </si>
  <si>
    <t xml:space="preserve">Contact Centre Unit 2 - Team B / Section 1</t>
  </si>
  <si>
    <t xml:space="preserve">                    Contact Centre Unit 2 - Team B / Section 2</t>
  </si>
  <si>
    <t xml:space="preserve">Contact Centre Unit 2 - Team B / Section 2</t>
  </si>
  <si>
    <t xml:space="preserve">        Customer Experience</t>
  </si>
  <si>
    <t xml:space="preserve">Customer Experience</t>
  </si>
  <si>
    <t xml:space="preserve">            Customer Experience Unit 1</t>
  </si>
  <si>
    <t xml:space="preserve">Customer Experience Unit 1</t>
  </si>
  <si>
    <t xml:space="preserve">                Customer Experience Unit 1 - Team A</t>
  </si>
  <si>
    <t xml:space="preserve">Customer Experience Unit 1 - Team A</t>
  </si>
  <si>
    <t xml:space="preserve">                    Customer Experience Unit 1 - Team A / Section 1</t>
  </si>
  <si>
    <t xml:space="preserve">Customer Experience Unit 1 - Team A / Section 1</t>
  </si>
  <si>
    <t xml:space="preserve">                    Customer Experience Unit 1 - Team A / Section 2</t>
  </si>
  <si>
    <t xml:space="preserve">Customer Experience Unit 1 - Team A / Section 2</t>
  </si>
  <si>
    <t xml:space="preserve">                Customer Experience Unit 1 - Team B</t>
  </si>
  <si>
    <t xml:space="preserve">Customer Experience Unit 1 - Team B</t>
  </si>
  <si>
    <t xml:space="preserve">                    Customer Experience Unit 1 - Team B / Section 1</t>
  </si>
  <si>
    <t xml:space="preserve">Customer Experience Unit 1 - Team B / Section 1</t>
  </si>
  <si>
    <t xml:space="preserve">                    Customer Experience Unit 1 - Team B / Section 2</t>
  </si>
  <si>
    <t xml:space="preserve">Customer Experience Unit 1 - Team B / Section 2</t>
  </si>
  <si>
    <t xml:space="preserve">            Customer Experience Unit 2</t>
  </si>
  <si>
    <t xml:space="preserve">Customer Experience Unit 2</t>
  </si>
  <si>
    <t xml:space="preserve">                Customer Experience Unit 2 - Team A</t>
  </si>
  <si>
    <t xml:space="preserve">Customer Experience Unit 2 - Team A</t>
  </si>
  <si>
    <t xml:space="preserve">                    Customer Experience Unit 2 - Team A / Section 1</t>
  </si>
  <si>
    <t xml:space="preserve">Customer Experience Unit 2 - Team A / Section 1</t>
  </si>
  <si>
    <t xml:space="preserve">                    Customer Experience Unit 2 - Team A / Section 2</t>
  </si>
  <si>
    <t xml:space="preserve">Customer Experience Unit 2 - Team A / Section 2</t>
  </si>
  <si>
    <t xml:space="preserve">                Customer Experience Unit 2 - Team B</t>
  </si>
  <si>
    <t xml:space="preserve">Customer Experience Unit 2 - Team B</t>
  </si>
  <si>
    <t xml:space="preserve">                    Customer Experience Unit 2 - Team B / Section 1</t>
  </si>
  <si>
    <t xml:space="preserve">Customer Experience Unit 2 - Team B / Section 1</t>
  </si>
  <si>
    <t xml:space="preserve">                    Customer Experience Unit 2 - Team B / Section 2</t>
  </si>
  <si>
    <t xml:space="preserve">Customer Experience Unit 2 - Team B / Section 2</t>
  </si>
  <si>
    <t xml:space="preserve">    Products &amp; Cards Division</t>
  </si>
  <si>
    <t xml:space="preserve">Products &amp; Cards Division</t>
  </si>
  <si>
    <t xml:space="preserve">        Cards &amp; Payments</t>
  </si>
  <si>
    <t xml:space="preserve">Cards &amp; Payments</t>
  </si>
  <si>
    <t xml:space="preserve">            Cards &amp; Payments Unit 1</t>
  </si>
  <si>
    <t xml:space="preserve">Cards &amp; Payments Unit 1</t>
  </si>
  <si>
    <t xml:space="preserve">                Cards &amp; Payments Unit 1 - Team A</t>
  </si>
  <si>
    <t xml:space="preserve">Cards &amp; Payments Unit 1 - Team A</t>
  </si>
  <si>
    <t xml:space="preserve">                    Cards &amp; Payments Unit 1 - Team A / Section 1</t>
  </si>
  <si>
    <t xml:space="preserve">Cards &amp; Payments Unit 1 - Team A / Section 1</t>
  </si>
  <si>
    <t xml:space="preserve">                    Cards &amp; Payments Unit 1 - Team A / Section 2</t>
  </si>
  <si>
    <t xml:space="preserve">Cards &amp; Payments Unit 1 - Team A / Section 2</t>
  </si>
  <si>
    <t xml:space="preserve">                Cards &amp; Payments Unit 1 - Team B</t>
  </si>
  <si>
    <t xml:space="preserve">Cards &amp; Payments Unit 1 - Team B</t>
  </si>
  <si>
    <t xml:space="preserve">                    Cards &amp; Payments Unit 1 - Team B / Section 1</t>
  </si>
  <si>
    <t xml:space="preserve">Cards &amp; Payments Unit 1 - Team B / Section 1</t>
  </si>
  <si>
    <t xml:space="preserve">                    Cards &amp; Payments Unit 1 - Team B / Section 2</t>
  </si>
  <si>
    <t xml:space="preserve">Cards &amp; Payments Unit 1 - Team B / Section 2</t>
  </si>
  <si>
    <t xml:space="preserve">            Cards &amp; Payments Unit 2</t>
  </si>
  <si>
    <t xml:space="preserve">Cards &amp; Payments Unit 2</t>
  </si>
  <si>
    <t xml:space="preserve">                Cards &amp; Payments Unit 2 - Team A</t>
  </si>
  <si>
    <t xml:space="preserve">Cards &amp; Payments Unit 2 - Team A</t>
  </si>
  <si>
    <t xml:space="preserve">                    Cards &amp; Payments Unit 2 - Team A / Section 1</t>
  </si>
  <si>
    <t xml:space="preserve">Cards &amp; Payments Unit 2 - Team A / Section 1</t>
  </si>
  <si>
    <t xml:space="preserve">                    Cards &amp; Payments Unit 2 - Team A / Section 2</t>
  </si>
  <si>
    <t xml:space="preserve">Cards &amp; Payments Unit 2 - Team A / Section 2</t>
  </si>
  <si>
    <t xml:space="preserve">                Cards &amp; Payments Unit 2 - Team B</t>
  </si>
  <si>
    <t xml:space="preserve">Cards &amp; Payments Unit 2 - Team B</t>
  </si>
  <si>
    <t xml:space="preserve">                    Cards &amp; Payments Unit 2 - Team B / Section 1</t>
  </si>
  <si>
    <t xml:space="preserve">Cards &amp; Payments Unit 2 - Team B / Section 1</t>
  </si>
  <si>
    <t xml:space="preserve">                    Cards &amp; Payments Unit 2 - Team B / Section 2</t>
  </si>
  <si>
    <t xml:space="preserve">Cards &amp; Payments Unit 2 - Team B / Section 2</t>
  </si>
  <si>
    <t xml:space="preserve">        Deposits &amp; Liabilities</t>
  </si>
  <si>
    <t xml:space="preserve">Deposits &amp; Liabilities</t>
  </si>
  <si>
    <t xml:space="preserve">            Deposits &amp; Liabilities Unit 1</t>
  </si>
  <si>
    <t xml:space="preserve">Deposits &amp; Liabilities Unit 1</t>
  </si>
  <si>
    <t xml:space="preserve">                Deposits &amp; Liabilities Unit 1 - Team A</t>
  </si>
  <si>
    <t xml:space="preserve">Deposits &amp; Liabilities Unit 1 - Team A</t>
  </si>
  <si>
    <t xml:space="preserve">                    Deposits &amp; Liabilities Unit 1 - Team A / Section 1</t>
  </si>
  <si>
    <t xml:space="preserve">Deposits &amp; Liabilities Unit 1 - Team A / Section 1</t>
  </si>
  <si>
    <t xml:space="preserve">                    Deposits &amp; Liabilities Unit 1 - Team A / Section 2</t>
  </si>
  <si>
    <t xml:space="preserve">Deposits &amp; Liabilities Unit 1 - Team A / Section 2</t>
  </si>
  <si>
    <t xml:space="preserve">                Deposits &amp; Liabilities Unit 1 - Team B</t>
  </si>
  <si>
    <t xml:space="preserve">Deposits &amp; Liabilities Unit 1 - Team B</t>
  </si>
  <si>
    <t xml:space="preserve">                    Deposits &amp; Liabilities Unit 1 - Team B / Section 1</t>
  </si>
  <si>
    <t xml:space="preserve">Deposits &amp; Liabilities Unit 1 - Team B / Section 1</t>
  </si>
  <si>
    <t xml:space="preserve">                    Deposits &amp; Liabilities Unit 1 - Team B / Section 2</t>
  </si>
  <si>
    <t xml:space="preserve">Deposits &amp; Liabilities Unit 1 - Team B / Section 2</t>
  </si>
  <si>
    <t xml:space="preserve">            Deposits &amp; Liabilities Unit 2</t>
  </si>
  <si>
    <t xml:space="preserve">Deposits &amp; Liabilities Unit 2</t>
  </si>
  <si>
    <t xml:space="preserve">                Deposits &amp; Liabilities Unit 2 - Team A</t>
  </si>
  <si>
    <t xml:space="preserve">Deposits &amp; Liabilities Unit 2 - Team A</t>
  </si>
  <si>
    <t xml:space="preserve">                    Deposits &amp; Liabilities Unit 2 - Team A / Section 1</t>
  </si>
  <si>
    <t xml:space="preserve">Deposits &amp; Liabilities Unit 2 - Team A / Section 1</t>
  </si>
  <si>
    <t xml:space="preserve">                    Deposits &amp; Liabilities Unit 2 - Team A / Section 2</t>
  </si>
  <si>
    <t xml:space="preserve">Deposits &amp; Liabilities Unit 2 - Team A / Section 2</t>
  </si>
  <si>
    <t xml:space="preserve">                Deposits &amp; Liabilities Unit 2 - Team B</t>
  </si>
  <si>
    <t xml:space="preserve">Deposits &amp; Liabilities Unit 2 - Team B</t>
  </si>
  <si>
    <t xml:space="preserve">                    Deposits &amp; Liabilities Unit 2 - Team B / Section 1</t>
  </si>
  <si>
    <t xml:space="preserve">Deposits &amp; Liabilities Unit 2 - Team B / Section 1</t>
  </si>
  <si>
    <t xml:space="preserve">                    Deposits &amp; Liabilities Unit 2 - Team B / Section 2</t>
  </si>
  <si>
    <t xml:space="preserve">Deposits &amp; Liabilities Unit 2 - Team B / Section 2</t>
  </si>
  <si>
    <t xml:space="preserve">        Personal Finance</t>
  </si>
  <si>
    <t xml:space="preserve">Personal Finance</t>
  </si>
  <si>
    <t xml:space="preserve">            Personal Finance Unit 1</t>
  </si>
  <si>
    <t xml:space="preserve">Personal Finance Unit 1</t>
  </si>
  <si>
    <t xml:space="preserve">                Personal Finance Unit 1 - Team A</t>
  </si>
  <si>
    <t xml:space="preserve">Personal Finance Unit 1 - Team A</t>
  </si>
  <si>
    <t xml:space="preserve">                    Personal Finance Unit 1 - Team A / Section 1</t>
  </si>
  <si>
    <t xml:space="preserve">Personal Finance Unit 1 - Team A / Section 1</t>
  </si>
  <si>
    <t xml:space="preserve">                    Personal Finance Unit 1 - Team A / Section 2</t>
  </si>
  <si>
    <t xml:space="preserve">Personal Finance Unit 1 - Team A / Section 2</t>
  </si>
  <si>
    <t xml:space="preserve">                Personal Finance Unit 1 - Team B</t>
  </si>
  <si>
    <t xml:space="preserve">Personal Finance Unit 1 - Team B</t>
  </si>
  <si>
    <t xml:space="preserve">                    Personal Finance Unit 1 - Team B / Section 1</t>
  </si>
  <si>
    <t xml:space="preserve">Personal Finance Unit 1 - Team B / Section 1</t>
  </si>
  <si>
    <t xml:space="preserve">                    Personal Finance Unit 1 - Team B / Section 2</t>
  </si>
  <si>
    <t xml:space="preserve">Personal Finance Unit 1 - Team B / Section 2</t>
  </si>
  <si>
    <t xml:space="preserve">            Personal Finance Unit 2</t>
  </si>
  <si>
    <t xml:space="preserve">Personal Finance Unit 2</t>
  </si>
  <si>
    <t xml:space="preserve">                Personal Finance Unit 2 - Team A</t>
  </si>
  <si>
    <t xml:space="preserve">Personal Finance Unit 2 - Team A</t>
  </si>
  <si>
    <t xml:space="preserve">                    Personal Finance Unit 2 - Team A / Section 1</t>
  </si>
  <si>
    <t xml:space="preserve">Personal Finance Unit 2 - Team A / Section 1</t>
  </si>
  <si>
    <t xml:space="preserve">                Personal Finance Unit 2 - Team B</t>
  </si>
  <si>
    <t xml:space="preserve">Personal Finance Unit 2 - Team B</t>
  </si>
  <si>
    <t xml:space="preserve">                    Personal Finance Unit 2 - Team B / Section 1</t>
  </si>
  <si>
    <t xml:space="preserve">Personal Finance Unit 2 - Team B / Section 1</t>
  </si>
  <si>
    <t xml:space="preserve">                    Personal Finance Unit 2 - Team B / Section 2</t>
  </si>
  <si>
    <t xml:space="preserve">Personal Finance Unit 2 - Team B / Section 2</t>
  </si>
  <si>
    <t xml:space="preserve">    Wealth &amp; Privilege Division</t>
  </si>
  <si>
    <t xml:space="preserve">Wealth &amp; Privilege Division</t>
  </si>
  <si>
    <t xml:space="preserve">        Privilege Banking</t>
  </si>
  <si>
    <t xml:space="preserve">Privilege Banking</t>
  </si>
  <si>
    <t xml:space="preserve">            Privilege Banking Unit 1</t>
  </si>
  <si>
    <t xml:space="preserve">Privilege Banking Unit 1</t>
  </si>
  <si>
    <t xml:space="preserve">                Privilege Banking Unit 1 - Team A</t>
  </si>
  <si>
    <t xml:space="preserve">Privilege Banking Unit 1 - Team A</t>
  </si>
  <si>
    <t xml:space="preserve">                    Privilege Banking Unit 1 - Team A / Section 1</t>
  </si>
  <si>
    <t xml:space="preserve">Privilege Banking Unit 1 - Team A / Section 1</t>
  </si>
  <si>
    <t xml:space="preserve">                    Privilege Banking Unit 1 - Team A / Section 2</t>
  </si>
  <si>
    <t xml:space="preserve">Privilege Banking Unit 1 - Team A / Section 2</t>
  </si>
  <si>
    <t xml:space="preserve">                Privilege Banking Unit 1 - Team B</t>
  </si>
  <si>
    <t xml:space="preserve">Privilege Banking Unit 1 - Team B</t>
  </si>
  <si>
    <t xml:space="preserve">                    Privilege Banking Unit 1 - Team B / Section 1</t>
  </si>
  <si>
    <t xml:space="preserve">Privilege Banking Unit 1 - Team B / Section 1</t>
  </si>
  <si>
    <t xml:space="preserve">                    Privilege Banking Unit 1 - Team B / Section 2</t>
  </si>
  <si>
    <t xml:space="preserve">Privilege Banking Unit 1 - Team B / Section 2</t>
  </si>
  <si>
    <t xml:space="preserve">            Privilege Banking Unit 2</t>
  </si>
  <si>
    <t xml:space="preserve">Privilege Banking Unit 2</t>
  </si>
  <si>
    <t xml:space="preserve">                Privilege Banking Unit 2 - Team A</t>
  </si>
  <si>
    <t xml:space="preserve">Privilege Banking Unit 2 - Team A</t>
  </si>
  <si>
    <t xml:space="preserve">                    Privilege Banking Unit 2 - Team A / Section 1</t>
  </si>
  <si>
    <t xml:space="preserve">Privilege Banking Unit 2 - Team A / Section 1</t>
  </si>
  <si>
    <t xml:space="preserve">                    Privilege Banking Unit 2 - Team A / Section 2</t>
  </si>
  <si>
    <t xml:space="preserve">Privilege Banking Unit 2 - Team A / Section 2</t>
  </si>
  <si>
    <t xml:space="preserve">                Privilege Banking Unit 2 - Team B</t>
  </si>
  <si>
    <t xml:space="preserve">Privilege Banking Unit 2 - Team B</t>
  </si>
  <si>
    <t xml:space="preserve">                    Privilege Banking Unit 2 - Team B / Section 1</t>
  </si>
  <si>
    <t xml:space="preserve">Privilege Banking Unit 2 - Team B / Section 1</t>
  </si>
  <si>
    <t xml:space="preserve">                    Privilege Banking Unit 2 - Team B / Section 2</t>
  </si>
  <si>
    <t xml:space="preserve">Privilege Banking Unit 2 - Team B / Section 2</t>
  </si>
  <si>
    <t xml:space="preserve">        Wealth Management</t>
  </si>
  <si>
    <t xml:space="preserve">Wealth Management</t>
  </si>
  <si>
    <t xml:space="preserve">            Wealth Management Unit 1</t>
  </si>
  <si>
    <t xml:space="preserve">Wealth Management Unit 1</t>
  </si>
  <si>
    <t xml:space="preserve">                Wealth Management Unit 1 - Team A</t>
  </si>
  <si>
    <t xml:space="preserve">Wealth Management Unit 1 - Team A</t>
  </si>
  <si>
    <t xml:space="preserve">                    Wealth Management Unit 1 - Team A / Section 1</t>
  </si>
  <si>
    <t xml:space="preserve">Wealth Management Unit 1 - Team A / Section 1</t>
  </si>
  <si>
    <t xml:space="preserve">                    Wealth Management Unit 1 - Team A / Section 2</t>
  </si>
  <si>
    <t xml:space="preserve">Wealth Management Unit 1 - Team A / Section 2</t>
  </si>
  <si>
    <t xml:space="preserve">                Wealth Management Unit 1 - Team B</t>
  </si>
  <si>
    <t xml:space="preserve">Wealth Management Unit 1 - Team B</t>
  </si>
  <si>
    <t xml:space="preserve">                    Wealth Management Unit 1 - Team B / Section 1</t>
  </si>
  <si>
    <t xml:space="preserve">Wealth Management Unit 1 - Team B / Section 1</t>
  </si>
  <si>
    <t xml:space="preserve">                    Wealth Management Unit 1 - Team B / Section 2</t>
  </si>
  <si>
    <t xml:space="preserve">Wealth Management Unit 1 - Team B / Section 2</t>
  </si>
  <si>
    <t xml:space="preserve">            Wealth Management Unit 2</t>
  </si>
  <si>
    <t xml:space="preserve">Wealth Management Unit 2</t>
  </si>
  <si>
    <t xml:space="preserve">                Wealth Management Unit 2 - Team A</t>
  </si>
  <si>
    <t xml:space="preserve">Wealth Management Unit 2 - Team A</t>
  </si>
  <si>
    <t xml:space="preserve">                    Wealth Management Unit 2 - Team A / Section 1</t>
  </si>
  <si>
    <t xml:space="preserve">Wealth Management Unit 2 - Team A / Section 1</t>
  </si>
  <si>
    <t xml:space="preserve">                    Wealth Management Unit 2 - Team A / Section 2</t>
  </si>
  <si>
    <t xml:space="preserve">Wealth Management Unit 2 - Team A / Section 2</t>
  </si>
  <si>
    <t xml:space="preserve">                Wealth Management Unit 2 - Team B</t>
  </si>
  <si>
    <t xml:space="preserve">Wealth Management Unit 2 - Team B</t>
  </si>
  <si>
    <t xml:space="preserve">                    Wealth Management Unit 2 - Team B / Section 1</t>
  </si>
  <si>
    <t xml:space="preserve">Wealth Management Unit 2 - Team B / Section 1</t>
  </si>
  <si>
    <t xml:space="preserve">                    Wealth Management Unit 2 - Team B / Section 2</t>
  </si>
  <si>
    <t xml:space="preserve">Wealth Management Unit 2 - Team B / Section 2</t>
  </si>
  <si>
    <t xml:space="preserve">Each row counts what names it, and the group and division rows sum everything beneath them. Seats released come from the Reduce column on 2. Current capacity; asks come from 4. Capacity asks.</t>
  </si>
  <si>
    <t xml:space="preserve">Current capacity</t>
  </si>
  <si>
    <t xml:space="preserve">One row per job, with the seats you have in it. The columns that need you are career level, whether the seat is mandated Saudi, what you intend to do with the job in 2027 — and, if you are reducing it, how many of its seats are going.</t>
  </si>
  <si>
    <t xml:space="preserve">Mis Code</t>
  </si>
  <si>
    <t xml:space="preserve">Sub-Unit</t>
  </si>
  <si>
    <t xml:space="preserve">Job Title</t>
  </si>
  <si>
    <t xml:space="preserve">Job Family</t>
  </si>
  <si>
    <t xml:space="preserve">Approved HC</t>
  </si>
  <si>
    <t xml:space="preserve">Worker type</t>
  </si>
  <si>
    <t xml:space="preserve">Seats released</t>
  </si>
  <si>
    <t xml:space="preserve">What's missing</t>
  </si>
  <si>
    <t xml:space="preserve">CC-1058</t>
  </si>
  <si>
    <t xml:space="preserve">Chief Retail Banking Officer</t>
  </si>
  <si>
    <t xml:space="preserve">Executive</t>
  </si>
  <si>
    <t xml:space="preserve">Permanent</t>
  </si>
  <si>
    <t xml:space="preserve">CC-1036</t>
  </si>
  <si>
    <t xml:space="preserve">General Manager - Branch Network</t>
  </si>
  <si>
    <t xml:space="preserve">Leadership</t>
  </si>
  <si>
    <t xml:space="preserve">Insourced</t>
  </si>
  <si>
    <t xml:space="preserve">CC-1060</t>
  </si>
  <si>
    <t xml:space="preserve">Head of Central Region Branches</t>
  </si>
  <si>
    <t xml:space="preserve">CC-1031</t>
  </si>
  <si>
    <t xml:space="preserve">Manager Central Region Branches</t>
  </si>
  <si>
    <t xml:space="preserve">Management</t>
  </si>
  <si>
    <t xml:space="preserve">Analyst Central Region Branches</t>
  </si>
  <si>
    <t xml:space="preserve">Professional</t>
  </si>
  <si>
    <t xml:space="preserve">CC-1023</t>
  </si>
  <si>
    <t xml:space="preserve">Associate Central Region Branches</t>
  </si>
  <si>
    <t xml:space="preserve">CC-1002</t>
  </si>
  <si>
    <t xml:space="preserve">Officer Central Region Branches</t>
  </si>
  <si>
    <t xml:space="preserve">Senior Analyst Central Region Branches</t>
  </si>
  <si>
    <t xml:space="preserve">Senior Officer Central Region Branches</t>
  </si>
  <si>
    <t xml:space="preserve">CC-1017</t>
  </si>
  <si>
    <t xml:space="preserve">Team Lead Central Region Branches</t>
  </si>
  <si>
    <t xml:space="preserve">CC-1025</t>
  </si>
  <si>
    <t xml:space="preserve">CC-1011</t>
  </si>
  <si>
    <t xml:space="preserve">CC-1059</t>
  </si>
  <si>
    <t xml:space="preserve">CC-1040</t>
  </si>
  <si>
    <t xml:space="preserve">CC-1024</t>
  </si>
  <si>
    <t xml:space="preserve">Specialist Central Region Branches</t>
  </si>
  <si>
    <t xml:space="preserve">CC-1012</t>
  </si>
  <si>
    <t xml:space="preserve">CC-1049</t>
  </si>
  <si>
    <t xml:space="preserve">CC-1039</t>
  </si>
  <si>
    <t xml:space="preserve">CC-1046</t>
  </si>
  <si>
    <t xml:space="preserve">Head of Eastern Region Branches</t>
  </si>
  <si>
    <t xml:space="preserve">CC-1050</t>
  </si>
  <si>
    <t xml:space="preserve">Manager Eastern Region Branches</t>
  </si>
  <si>
    <t xml:space="preserve">CC-1044</t>
  </si>
  <si>
    <t xml:space="preserve">Analyst Eastern Region Branches</t>
  </si>
  <si>
    <t xml:space="preserve">CC-1003</t>
  </si>
  <si>
    <t xml:space="preserve">Associate Eastern Region Branches</t>
  </si>
  <si>
    <t xml:space="preserve">Senior Officer Eastern Region Branches</t>
  </si>
  <si>
    <t xml:space="preserve">CC-1000</t>
  </si>
  <si>
    <t xml:space="preserve">Team Lead Eastern Region Branches</t>
  </si>
  <si>
    <t xml:space="preserve">CC-1021</t>
  </si>
  <si>
    <t xml:space="preserve">CC-1019</t>
  </si>
  <si>
    <t xml:space="preserve">Officer Eastern Region Branches</t>
  </si>
  <si>
    <t xml:space="preserve">CC-1004</t>
  </si>
  <si>
    <t xml:space="preserve">CC-1020</t>
  </si>
  <si>
    <t xml:space="preserve">Specialist Eastern Region Branches</t>
  </si>
  <si>
    <t xml:space="preserve">CC-1028</t>
  </si>
  <si>
    <t xml:space="preserve">CC-1030</t>
  </si>
  <si>
    <t xml:space="preserve">CC-1056</t>
  </si>
  <si>
    <t xml:space="preserve">CC-1054</t>
  </si>
  <si>
    <t xml:space="preserve">CC-1026</t>
  </si>
  <si>
    <t xml:space="preserve">Senior Analyst Eastern Region Branches</t>
  </si>
  <si>
    <t xml:space="preserve">CC-1045</t>
  </si>
  <si>
    <t xml:space="preserve">CC-1013</t>
  </si>
  <si>
    <t xml:space="preserve">CC-1007</t>
  </si>
  <si>
    <t xml:space="preserve">Head of Western Region Branches</t>
  </si>
  <si>
    <t xml:space="preserve">CC-1035</t>
  </si>
  <si>
    <t xml:space="preserve">Manager Western Region Branches</t>
  </si>
  <si>
    <t xml:space="preserve">Analyst Western Region Branches</t>
  </si>
  <si>
    <t xml:space="preserve">Associate Western Region Branches</t>
  </si>
  <si>
    <t xml:space="preserve">CC-1032</t>
  </si>
  <si>
    <t xml:space="preserve">Senior Officer Western Region Branches</t>
  </si>
  <si>
    <t xml:space="preserve">Specialist Western Region Branches</t>
  </si>
  <si>
    <t xml:space="preserve">Team Lead Western Region Branches</t>
  </si>
  <si>
    <t xml:space="preserve">CC-1029</t>
  </si>
  <si>
    <t xml:space="preserve">Officer Western Region Branches</t>
  </si>
  <si>
    <t xml:space="preserve">CC-1038</t>
  </si>
  <si>
    <t xml:space="preserve">Senior Analyst Western Region Branches</t>
  </si>
  <si>
    <t xml:space="preserve">CC-1016</t>
  </si>
  <si>
    <t xml:space="preserve">CC-1010</t>
  </si>
  <si>
    <t xml:space="preserve">CC-1008</t>
  </si>
  <si>
    <t xml:space="preserve">General Manager - Customer Experience</t>
  </si>
  <si>
    <t xml:space="preserve">Head of Contact Centre</t>
  </si>
  <si>
    <t xml:space="preserve">Manager Contact Centre</t>
  </si>
  <si>
    <t xml:space="preserve">CC-1001</t>
  </si>
  <si>
    <t xml:space="preserve">Analyst Contact Centre</t>
  </si>
  <si>
    <t xml:space="preserve">Associate Contact Centre</t>
  </si>
  <si>
    <t xml:space="preserve">Senior Officer Contact Centre</t>
  </si>
  <si>
    <t xml:space="preserve">CC-1047</t>
  </si>
  <si>
    <t xml:space="preserve">Team Lead Contact Centre</t>
  </si>
  <si>
    <t xml:space="preserve">Senior Analyst Contact Centre</t>
  </si>
  <si>
    <t xml:space="preserve">CC-1006</t>
  </si>
  <si>
    <t xml:space="preserve">CC-1015</t>
  </si>
  <si>
    <t xml:space="preserve">Officer Contact Centre</t>
  </si>
  <si>
    <t xml:space="preserve">CC-1043</t>
  </si>
  <si>
    <t xml:space="preserve">Specialist Contact Centre</t>
  </si>
  <si>
    <t xml:space="preserve">Consultant - Orphaned</t>
  </si>
  <si>
    <t xml:space="preserve">CC-1009</t>
  </si>
  <si>
    <t xml:space="preserve">CC-1018</t>
  </si>
  <si>
    <t xml:space="preserve">Head of Customer Experience</t>
  </si>
  <si>
    <t xml:space="preserve">Manager Customer Experience</t>
  </si>
  <si>
    <t xml:space="preserve">Analyst Customer Experience</t>
  </si>
  <si>
    <t xml:space="preserve">CC-1037</t>
  </si>
  <si>
    <t xml:space="preserve">Associate Customer Experience</t>
  </si>
  <si>
    <t xml:space="preserve">Officer Customer Experience</t>
  </si>
  <si>
    <t xml:space="preserve">Senior Officer Customer Experience</t>
  </si>
  <si>
    <t xml:space="preserve">Team Lead Customer Experience</t>
  </si>
  <si>
    <t xml:space="preserve">Senior Analyst Customer Experience</t>
  </si>
  <si>
    <t xml:space="preserve">Specialist Customer Experience</t>
  </si>
  <si>
    <t xml:space="preserve">CC-1042</t>
  </si>
  <si>
    <t xml:space="preserve">General Manager - Products &amp; Cards</t>
  </si>
  <si>
    <t xml:space="preserve">Head of Cards &amp; Payments</t>
  </si>
  <si>
    <t xml:space="preserve">Manager Cards &amp; Payments</t>
  </si>
  <si>
    <t xml:space="preserve">CC-1014</t>
  </si>
  <si>
    <t xml:space="preserve">Associate Cards &amp; Payments</t>
  </si>
  <si>
    <t xml:space="preserve">Officer Cards &amp; Payments</t>
  </si>
  <si>
    <t xml:space="preserve">Senior Analyst Cards &amp; Payments</t>
  </si>
  <si>
    <t xml:space="preserve">Senior Officer Cards &amp; Payments</t>
  </si>
  <si>
    <t xml:space="preserve">Specialist Cards &amp; Payments</t>
  </si>
  <si>
    <t xml:space="preserve">Team Lead Cards &amp; Payments</t>
  </si>
  <si>
    <t xml:space="preserve">Analyst Cards &amp; Payments</t>
  </si>
  <si>
    <t xml:space="preserve">CC-1048</t>
  </si>
  <si>
    <t xml:space="preserve">Head of Deposits &amp; Liabilities</t>
  </si>
  <si>
    <t xml:space="preserve">Manager Deposits &amp; Liabilities</t>
  </si>
  <si>
    <t xml:space="preserve">Analyst Deposits &amp; Liabilities</t>
  </si>
  <si>
    <t xml:space="preserve">Associate Deposits &amp; Liabilities</t>
  </si>
  <si>
    <t xml:space="preserve">Officer Deposits &amp; Liabilities</t>
  </si>
  <si>
    <t xml:space="preserve">Senior Analyst Deposits &amp; Liabilities</t>
  </si>
  <si>
    <t xml:space="preserve">Senior Officer Deposits &amp; Liabilities</t>
  </si>
  <si>
    <t xml:space="preserve">Team Lead Deposits &amp; Liabilities</t>
  </si>
  <si>
    <t xml:space="preserve">CC-1057</t>
  </si>
  <si>
    <t xml:space="preserve">Specialist Deposits &amp; Liabilities</t>
  </si>
  <si>
    <t xml:space="preserve">CC-1041</t>
  </si>
  <si>
    <t xml:space="preserve">CC-1055</t>
  </si>
  <si>
    <t xml:space="preserve">Head of Personal Finance</t>
  </si>
  <si>
    <t xml:space="preserve">Manager Personal Finance</t>
  </si>
  <si>
    <t xml:space="preserve">Analyst Personal Finance</t>
  </si>
  <si>
    <t xml:space="preserve">Senior Analyst Personal Finance</t>
  </si>
  <si>
    <t xml:space="preserve">Team Lead Personal Finance</t>
  </si>
  <si>
    <t xml:space="preserve">Associate Personal Finance</t>
  </si>
  <si>
    <t xml:space="preserve">Officer Personal Finance</t>
  </si>
  <si>
    <t xml:space="preserve">Senior Officer Personal Finance</t>
  </si>
  <si>
    <t xml:space="preserve">CC-1022</t>
  </si>
  <si>
    <t xml:space="preserve">Specialist Personal Finance</t>
  </si>
  <si>
    <t xml:space="preserve">General Manager - Wealth &amp; Privilege</t>
  </si>
  <si>
    <t xml:space="preserve">CC-1053</t>
  </si>
  <si>
    <t xml:space="preserve">Head of Privilege Banking</t>
  </si>
  <si>
    <t xml:space="preserve">CC-1005</t>
  </si>
  <si>
    <t xml:space="preserve">Manager Privilege Banking</t>
  </si>
  <si>
    <t xml:space="preserve">CC-1034</t>
  </si>
  <si>
    <t xml:space="preserve">Analyst Privilege Banking</t>
  </si>
  <si>
    <t xml:space="preserve">Associate Privilege Banking</t>
  </si>
  <si>
    <t xml:space="preserve">Officer Privilege Banking</t>
  </si>
  <si>
    <t xml:space="preserve">Senior Analyst Privilege Banking</t>
  </si>
  <si>
    <t xml:space="preserve">Senior Officer Privilege Banking</t>
  </si>
  <si>
    <t xml:space="preserve">Specialist Privilege Banking</t>
  </si>
  <si>
    <t xml:space="preserve">Team Lead Privilege Banking</t>
  </si>
  <si>
    <t xml:space="preserve">CC-1052</t>
  </si>
  <si>
    <t xml:space="preserve">Head of Wealth Management</t>
  </si>
  <si>
    <t xml:space="preserve">CC-1051</t>
  </si>
  <si>
    <t xml:space="preserve">Manager Wealth Management</t>
  </si>
  <si>
    <t xml:space="preserve">Analyst Wealth Management</t>
  </si>
  <si>
    <t xml:space="preserve">Associate Wealth Management</t>
  </si>
  <si>
    <t xml:space="preserve">Senior Officer Wealth Management</t>
  </si>
  <si>
    <t xml:space="preserve">Specialist Wealth Management</t>
  </si>
  <si>
    <t xml:space="preserve">Team Lead Wealth Management</t>
  </si>
  <si>
    <t xml:space="preserve">Officer Wealth Management</t>
  </si>
  <si>
    <t xml:space="preserve">Senior Analyst Wealth Management</t>
  </si>
  <si>
    <t xml:space="preserve">Pipeline out</t>
  </si>
  <si>
    <t xml:space="preserve">Everyone you already know is leaving, and what you intend to do with each seat. This is where the saving from people going gets counted.</t>
  </si>
  <si>
    <t xml:space="preserve">Ref</t>
  </si>
  <si>
    <t xml:space="preserve">Job title</t>
  </si>
  <si>
    <t xml:space="preserve">Name or ID</t>
  </si>
  <si>
    <t xml:space="preserve">Reason</t>
  </si>
  <si>
    <t xml:space="preserve">Leaving quarter</t>
  </si>
  <si>
    <t xml:space="preserve">Backfill quarter</t>
  </si>
  <si>
    <t xml:space="preserve">Paid this year</t>
  </si>
  <si>
    <t xml:space="preserve">2027 cash released</t>
  </si>
  <si>
    <t xml:space="preserve">Run-rate released</t>
  </si>
  <si>
    <t xml:space="preserve">A seat is paid up to and including the quarter its holder leaves, which is the mirror of a new position being paid from the quarter it starts. So a Q1 leaver releases three quarters of cost and a Q4 leaver releases none. Deferring a backfill releases only the gap between the two quarters; the seat is still yours and still on the establishment. Only 'Surrender to fund new asks' gives the seat up, and it has to be counted in the Reduce column on 2. Current capacity as well — that column, not this sheet, is what moves the establishment.</t>
  </si>
  <si>
    <t xml:space="preserve">Capacity asks</t>
  </si>
  <si>
    <t xml:space="preserve">One row per position you want in 2027. Put each one in the quarter you want it to start — the total adds itself up.</t>
  </si>
  <si>
    <t xml:space="preserve">Start quarter</t>
  </si>
  <si>
    <t xml:space="preserve">Current Capacity</t>
  </si>
  <si>
    <t xml:space="preserve">New Asks</t>
  </si>
  <si>
    <t xml:space="preserve">Q1</t>
  </si>
  <si>
    <t xml:space="preserve">Q2</t>
  </si>
  <si>
    <t xml:space="preserve">Q3</t>
  </si>
  <si>
    <t xml:space="preserve">Q4</t>
  </si>
  <si>
    <t xml:space="preserve">Category</t>
  </si>
  <si>
    <t xml:space="preserve">Issue no.</t>
  </si>
  <si>
    <t xml:space="preserve">My position</t>
  </si>
  <si>
    <t xml:space="preserve">Your headcount and your cost by division, and where they land against your envelopes. Nothing here is typed in.</t>
  </si>
  <si>
    <t xml:space="preserve">Headcount</t>
  </si>
  <si>
    <t xml:space="preserve">Exits</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</si>
  <si>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</si>
  <si>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</si>
  <si>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</si>
  <si>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</si>
  <si>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</si>
  <si>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</si>
  <si>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</si>
  <si>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</si>
  <si>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</si>
  <si>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</si>
  <si>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less cash released by people leaving (SAR '000)</t>
  </si>
  <si>
    <t xml:space="preserve">From 3. Pipeline out. A seat is paid to the end of the quarter its holder leaves.</t>
  </si>
  <si>
    <t xml:space="preserve">Net 2027 cash (SAR '000)</t>
  </si>
  <si>
    <t xml:space="preserve">What the plan year actually costs.</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</si>
  <si>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</si>
  <si>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</si>
  <si>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</si>
  <si>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</si>
  <si>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</si>
  <si>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</si>
  <si>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</si>
  <si>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</si>
  <si>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</si>
  <si>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are giving up.</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</si>
  <si>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</si>
  <si>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</si>
  <si>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</si>
  <si>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</si>
  <si>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</si>
  <si>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</si>
  <si>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</si>
  <si>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</si>
  <si>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</si>
  <si>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</si>
  <si>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</si>
  <si>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</si>
  <si>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</si>
  <si>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</si>
  <si>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</si>
  <si>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</si>
  <si>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</si>
  <si>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</si>
  <si>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</si>
  <si>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</si>
  <si>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</si>
  <si>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</si>
  <si>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</si>
  <si>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</si>
  <si>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</si>
  <si>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</si>
  <si>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</si>
  <si>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What to do</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</si>
  <si>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</si>
  <si>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</si>
  <si>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</si>
  <si>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5. My position can be worked out and it reads as a dash.</t>
  </si>
  <si>
    <t xml:space="preserve">Jobs with no capacity direction</t>
  </si>
  <si>
    <t xml:space="preserve">2. Current capacity. Say what you intend to do with each job: Grow, Hold or Reduce.</t>
  </si>
  <si>
    <t xml:space="preserve">Jobs marked Reduce without saying how many seats go</t>
  </si>
  <si>
    <t xml:space="preserve">2. Current capacity. A Reduce with no number changes nothing. If the row has four seats and two are going, put 2.</t>
  </si>
  <si>
    <t xml:space="preserve">Rows giving up seats but not marked Reduce</t>
  </si>
  <si>
    <t xml:space="preserve">2. Current capacity. The number is ignored unless the direction says Reduce, so either set the direction or clear the number.</t>
  </si>
  <si>
    <t xml:space="preserve">Rows giving up more seats than they have</t>
  </si>
  <si>
    <t xml:space="preserve">2. Current capacity. You cannot release more than the row's approved headcount.</t>
  </si>
  <si>
    <t xml:space="preserve">Departures with something missing</t>
  </si>
  <si>
    <t xml:space="preserve">3. Pipeline out spells out what each row is missing in its last column.</t>
  </si>
  <si>
    <t xml:space="preserve">Seats surrendered beyond what the job is reducing</t>
  </si>
  <si>
    <t xml:space="preserve">A seat surrendered on 3. Pipeline out has to be counted in the Reduce column on 2. Current capacity too. Fewer surrenders than the Reduce count is fine — the balance is vacancies you are not refilling.</t>
  </si>
  <si>
    <t xml:space="preserve">Ask rows with something missing</t>
  </si>
  <si>
    <t xml:space="preserve">4. Capacity asks lists what each row is missing in its last two columns.</t>
  </si>
  <si>
    <t xml:space="preserve">Ask rows with nothing in any quarter</t>
  </si>
  <si>
    <t xml:space="preserve">4. Capacity asks. Put the position in the quarter you want it to start.</t>
  </si>
  <si>
    <t xml:space="preserve">Ask rows naming a unit that is not in your structure</t>
  </si>
  <si>
    <t xml:space="preserve">4. Capacity asks. Pick the unit from the list — a unit that does not exist cannot be costed or consolidated.</t>
  </si>
  <si>
    <t xml:space="preserve">Worth a look — these do not block you</t>
  </si>
  <si>
    <t xml:space="preserve">Run-rate cost above your envelope</t>
  </si>
  <si>
    <t xml:space="preserve">Move start quarters later, give up more seats, or say why the envelope has to move.</t>
  </si>
  <si>
    <t xml:space="preserve">Net establishment change above your envelope</t>
  </si>
  <si>
    <t xml:space="preserve">Convert, insource or reduce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</si>
  <si>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</si>
  <si>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</si>
  <si>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</si>
  <si>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</si>
  <si>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</si>
  <si>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</si>
  <si>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</si>
  <si>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</si>
  <si>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</si>
  <si>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</si>
  <si>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</si>
  <si>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</si>
  <si>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</si>
  <si>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</si>
  <si>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</si>
  <si>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Retail Banking Group.</t>
  </si>
  <si>
    <t xml:space="preserve">Every term this workbook uses. If a column header is not obvious, it is explained here.</t>
  </si>
  <si>
    <t xml:space="preserve">Term</t>
  </si>
  <si>
    <t xml:space="preserve">What it means</t>
  </si>
  <si>
    <t xml:space="preserve">Establishment</t>
  </si>
  <si>
    <t xml:space="preserve">The seats the bank has approved, filled or not. This exercise plans seats; who sits in them is a separate question.</t>
  </si>
  <si>
    <t xml:space="preserve">How many seats a job has on the establishment.</t>
  </si>
  <si>
    <t xml:space="preserve">Filled / Vacant</t>
  </si>
  <si>
    <t xml:space="preserve">Of those seats, how many have somebody in them and how many do not.</t>
  </si>
  <si>
    <t xml:space="preserve">Career level</t>
  </si>
  <si>
    <t xml:space="preserve">The level of the job — the bank's own ladder. A property of the job, not of the person and not the grade. Everything is priced off it, so a row without one cannot be costed.</t>
  </si>
  <si>
    <t xml:space="preserve">Job family</t>
  </si>
  <si>
    <t xml:space="preserve">The kind of work, used to group like with like across the bank.</t>
  </si>
  <si>
    <t xml:space="preserve">Permanent, insourced or outsourced. All three cost money and all three take a seat; they are simply bought differently.</t>
  </si>
  <si>
    <t xml:space="preserve">Capacity direction</t>
  </si>
  <si>
    <t xml:space="preserve">What you intend to do with a job next year: Grow, Hold or Reduce.</t>
  </si>
  <si>
    <t xml:space="preserve">Grow</t>
  </si>
  <si>
    <t xml:space="preserve">You need more here. The extra arrives as a row on 4. Capacity asks; the direction on its own changes no numbers.</t>
  </si>
  <si>
    <t xml:space="preserve">Hold</t>
  </si>
  <si>
    <t xml:space="preserve">Stays as it is.</t>
  </si>
  <si>
    <t xml:space="preserve">Reduce</t>
  </si>
  <si>
    <t xml:space="preserve">You are giving up seats on this row. The only direction that moves the establishment, and it needs a number beside it.</t>
  </si>
  <si>
    <t xml:space="preserve">How many of a row's seats are going. Four seats and two going means 2, not 4.</t>
  </si>
  <si>
    <t xml:space="preserve">People you already know are leaving — resignations, retirements, contract ends, transfers out.</t>
  </si>
  <si>
    <t xml:space="preserve">Backfill</t>
  </si>
  <si>
    <t xml:space="preserve">Refill the seat. Nothing changes but who is in it.</t>
  </si>
  <si>
    <t xml:space="preserve">Defer backfill</t>
  </si>
  <si>
    <t xml:space="preserve">Keep the seat but hold it empty until a later quarter. Saves cash this year; the seat is still yours.</t>
  </si>
  <si>
    <t xml:space="preserve">Surrender to fund new asks</t>
  </si>
  <si>
    <t xml:space="preserve">Give the seat up so its cost helps pay for what you have asked for. Count it in the Reduce column on 2. Current capacity as well.</t>
  </si>
  <si>
    <t xml:space="preserve">What a seat costs for a full twelve months, whenever it starts. What the bank commits to, and what carries into the year after.</t>
  </si>
  <si>
    <t xml:space="preserve">In-year or cash cost</t>
  </si>
  <si>
    <t xml:space="preserve">What is actually paid in the plan year. A position starting in Q1 is paid four quarters of its cost; one starting in Q4 is paid one.</t>
  </si>
  <si>
    <t xml:space="preserve">One-off cost</t>
  </si>
  <si>
    <t xml:space="preserve">The cost of bringing somebody in — recruitment, relocation, setup — paid in the year they join and never again. Kept out of the run-rate so it does not inflate every year that follows.</t>
  </si>
  <si>
    <t xml:space="preserve">Envelope</t>
  </si>
  <si>
    <t xml:space="preserve">The ceiling set centrally for your group: cost, net establishment change, and the mandated-seat share.</t>
  </si>
  <si>
    <t xml:space="preserve">Mandated seat</t>
  </si>
  <si>
    <t xml:space="preserve">A seat that has to be filled by a Saudi national. A property of the role.</t>
  </si>
  <si>
    <t xml:space="preserve">Regulatory, Strategic, Control or BAU. Set by the driver you choose, and it decides the order things are funded in — regulatory first, BAU first to fall.</t>
  </si>
  <si>
    <t xml:space="preserve">The reason a position is needed. Pick the closest; it sets the priority for you.</t>
  </si>
  <si>
    <t xml:space="preserve">Loaded cost</t>
  </si>
  <si>
    <t xml:space="preserve">Basic pay, housing, transport, target bonus and employer GOSI together. Not the salary — the whole cost of the seat.</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</si>
  <si>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</si>
  <si>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</si>
  <si>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</si>
  <si>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</si>
  <si>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</si>
  <si>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</si>
  <si>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</si>
  <si>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</si>
  <si>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</si>
  <si>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</si>
  <si>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</si>
  <si>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</si>
  <si>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</si>
  <si>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</si>
  <si>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</si>
  <si>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</si>
  <si>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</si>
  <si>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</si>
  <si>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</si>
  <si>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</si>
  <si>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</si>
  <si>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</si>
  <si>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</si>
  <si>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</si>
  <si>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</si>
  <si>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</si>
  <si>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</si>
  <si>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</si>
  <si>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</si>
  <si>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</si>
  <si>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</si>
  <si>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</si>
  <si>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</si>
  <si>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</si>
  <si>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</si>
  <si>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</si>
  <si>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</si>
  <si>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</si>
  <si>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</si>
  <si>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</si>
  <si>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</si>
  <si>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</si>
  <si>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</si>
  <si>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</si>
  <si>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</si>
  <si>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</si>
  <si>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</si>
  <si>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</si>
  <si>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</si>
  <si>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</si>
  <si>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</si>
  <si>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</si>
  <si>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</si>
  <si>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</si>
  <si>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</si>
  <si>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</si>
  <si>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LeavingReasons</t>
  </si>
  <si>
    <t xml:space="preserve">Disposition</t>
  </si>
  <si>
    <t xml:space="preserve">LadderLevels</t>
  </si>
  <si>
    <t xml:space="preserve">YesNo</t>
  </si>
  <si>
    <t xml:space="preserve">CareerLevels</t>
  </si>
  <si>
    <t xml:space="preserve">JobFamilies</t>
  </si>
  <si>
    <t xml:space="preserve">Divisions</t>
  </si>
  <si>
    <t xml:space="preserve">Units</t>
  </si>
  <si>
    <t xml:space="preserve">Resignation</t>
  </si>
  <si>
    <t xml:space="preserve">Yes</t>
  </si>
  <si>
    <t xml:space="preserve">Retirement</t>
  </si>
  <si>
    <t xml:space="preserve">No</t>
  </si>
  <si>
    <t xml:space="preserve">Outsourced</t>
  </si>
  <si>
    <t xml:space="preserve">End of contract</t>
  </si>
  <si>
    <t xml:space="preserve">Internal transfer out</t>
  </si>
  <si>
    <t xml:space="preserve">What each capacity direction means</t>
  </si>
  <si>
    <t xml:space="preserve">More capacity needed here. The growth arrives as a row on the asks sheet.</t>
  </si>
  <si>
    <t xml:space="preserve">Seats are being given up here. Say how many in the next column.</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</si>
</sst>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ont>
        <name val="Arial"/>
        <charset val="1"/>
        <family val="0"/>
        <b val="1"/>
        <color rgb="FF8A5300"/>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position'!$A$36:$A$39</c:f>
              <c:strCache>
                <c:ptCount val="4"/>
                <c:pt idx="0">
                  <c:v>1. Regulatory</c:v>
                </c:pt>
                <c:pt idx="1">
                  <c:v>2. Strategic</c:v>
                </c:pt>
                <c:pt idx="2">
                  <c:v>3. Control</c:v>
                </c:pt>
                <c:pt idx="3">
                  <c:v>4. BAU</c:v>
                </c:pt>
              </c:strCache>
            </c:strRef>
          </c:cat>
          <c:val>
            <c:numRef>
              <c:f>'5. My position'!$C$36:$C$39</c:f>
              <c:numCache>
                <c:formatCode>#,##0;\(#,##0\);\-</c:formatCode>
                <c:ptCount val="4"/>
                <c:pt idx="0">
                  <c:v>0</c:v>
                </c:pt>
                <c:pt idx="1">
                  <c:v>0</c:v>
                </c:pt>
                <c:pt idx="2">
                  <c:v>0</c:v>
                </c:pt>
                <c:pt idx="3">
                  <c:v>0</c:v>
                </c:pt>
              </c:numCache>
            </c:numRef>
          </c:val>
        </c:ser>
        <c:gapWidth val="150"/>
        <c:overlap val="0"/>
        <c:axId val="8011799"/>
        <c:axId val="34364236"/>
      </c:barChart>
      <c:catAx>
        <c:axId val="801179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64236"/>
        <c:crosses val="autoZero"/>
        <c:auto val="1"/>
        <c:lblAlgn val="ctr"/>
        <c:lblOffset val="100"/>
        <c:noMultiLvlLbl val="0"/>
      </c:catAx>
      <c:valAx>
        <c:axId val="3436423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11799"/>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position'!$A$43:$A$46</c:f>
              <c:strCache>
                <c:ptCount val="4"/>
                <c:pt idx="0">
                  <c:v>Q1</c:v>
                </c:pt>
                <c:pt idx="1">
                  <c:v>Q2</c:v>
                </c:pt>
                <c:pt idx="2">
                  <c:v>Q3</c:v>
                </c:pt>
                <c:pt idx="3">
                  <c:v>Q4</c:v>
                </c:pt>
              </c:strCache>
            </c:strRef>
          </c:cat>
          <c:val>
            <c:numRef>
              <c:f>'5. My position'!$B$43:$B$46</c:f>
              <c:numCache>
                <c:formatCode>#,##0.0;\(#,##0.0\);\-</c:formatCode>
                <c:ptCount val="4"/>
                <c:pt idx="0">
                  <c:v>0</c:v>
                </c:pt>
                <c:pt idx="1">
                  <c:v>0</c:v>
                </c:pt>
                <c:pt idx="2">
                  <c:v>0</c:v>
                </c:pt>
                <c:pt idx="3">
                  <c:v>0</c:v>
                </c:pt>
              </c:numCache>
            </c:numRef>
          </c:val>
        </c:ser>
        <c:gapWidth val="150"/>
        <c:overlap val="0"/>
        <c:axId val="32226349"/>
        <c:axId val="13477837"/>
      </c:barChart>
      <c:catAx>
        <c:axId val="322263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77837"/>
        <c:crosses val="autoZero"/>
        <c:auto val="1"/>
        <c:lblAlgn val="ctr"/>
        <c:lblOffset val="100"/>
        <c:noMultiLvlLbl val="0"/>
      </c:catAx>
      <c:valAx>
        <c:axId val="13477837"/>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2634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0</xdr:rowOff>
    </xdr:from>
    <xdr:to>
      <xdr:col>3</xdr:col>
      <xdr:colOff>247680</xdr:colOff>
      <xdr:row>63</xdr:row>
      <xdr:rowOff>21960</xdr:rowOff>
    </xdr:to>
    <xdr:graphicFrame>
      <xdr:nvGraphicFramePr>
        <xdr:cNvPr id="0" name="Chart 1"/>
        <xdr:cNvGraphicFramePr/>
      </xdr:nvGraphicFramePr>
      <xdr:xfrm>
        <a:off x="0" y="100677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48</xdr:row>
      <xdr:rowOff>0</xdr:rowOff>
    </xdr:from>
    <xdr:to>
      <xdr:col>6</xdr:col>
      <xdr:colOff>1652760</xdr:colOff>
      <xdr:row>63</xdr:row>
      <xdr:rowOff>21960</xdr:rowOff>
    </xdr:to>
    <xdr:graphicFrame>
      <xdr:nvGraphicFramePr>
        <xdr:cNvPr id="1" name="Chart 2"/>
        <xdr:cNvGraphicFramePr/>
      </xdr:nvGraphicFramePr>
      <xdr:xfrm>
        <a:off x="6756480" y="100677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0" customFormat="false" ht="39.75" hidden="false" customHeight="true" outlineLevel="0" collapsed="false">
      <c r="A10" s="4" t="s">
        <v>13</v>
      </c>
      <c r="B10" s="5" t="s">
        <v>14</v>
      </c>
      <c r="C10" s="5"/>
      <c r="D10" s="5"/>
      <c r="E10" s="5"/>
      <c r="F10" s="5"/>
      <c r="G10" s="5"/>
      <c r="H10" s="5"/>
    </row>
    <row r="11" customFormat="false" ht="39.75" hidden="false" customHeight="true" outlineLevel="0" collapsed="false">
      <c r="A11" s="4" t="s">
        <v>15</v>
      </c>
      <c r="B11" s="5" t="s">
        <v>16</v>
      </c>
      <c r="C11" s="5"/>
      <c r="D11" s="5"/>
      <c r="E11" s="5"/>
      <c r="F11" s="5"/>
      <c r="G11" s="5"/>
      <c r="H11" s="5"/>
    </row>
    <row r="13" customFormat="false" ht="15" hidden="false" customHeight="false" outlineLevel="0" collapsed="false">
      <c r="A13" s="3" t="s">
        <v>17</v>
      </c>
    </row>
    <row r="14" customFormat="false" ht="39.75" hidden="false" customHeight="true" outlineLevel="0" collapsed="false">
      <c r="A14" s="4" t="s">
        <v>18</v>
      </c>
      <c r="B14" s="5" t="s">
        <v>19</v>
      </c>
      <c r="C14" s="5"/>
      <c r="D14" s="5"/>
      <c r="E14" s="5"/>
      <c r="F14" s="5"/>
      <c r="G14" s="5"/>
      <c r="H14" s="5"/>
    </row>
    <row r="15" customFormat="false" ht="39.75" hidden="false" customHeight="true" outlineLevel="0" collapsed="false">
      <c r="A15" s="4" t="s">
        <v>20</v>
      </c>
      <c r="B15" s="5" t="s">
        <v>21</v>
      </c>
      <c r="C15" s="5"/>
      <c r="D15" s="5"/>
      <c r="E15" s="5"/>
      <c r="F15" s="5"/>
      <c r="G15" s="5"/>
      <c r="H15" s="5"/>
    </row>
    <row r="16" customFormat="false" ht="39.75" hidden="false" customHeight="true" outlineLevel="0" collapsed="false">
      <c r="A16" s="4" t="s">
        <v>22</v>
      </c>
      <c r="B16" s="5" t="s">
        <v>23</v>
      </c>
      <c r="C16" s="5"/>
      <c r="D16" s="5"/>
      <c r="E16" s="5"/>
      <c r="F16" s="5"/>
      <c r="G16" s="5"/>
      <c r="H16" s="5"/>
    </row>
    <row r="17" customFormat="false" ht="39.75" hidden="false" customHeight="true" outlineLevel="0" collapsed="false">
      <c r="A17" s="4" t="s">
        <v>24</v>
      </c>
      <c r="B17" s="5" t="s">
        <v>25</v>
      </c>
      <c r="C17" s="5"/>
      <c r="D17" s="5"/>
      <c r="E17" s="5"/>
      <c r="F17" s="5"/>
      <c r="G17" s="5"/>
      <c r="H17" s="5"/>
    </row>
    <row r="18" customFormat="false" ht="39.75" hidden="false" customHeight="true" outlineLevel="0" collapsed="false">
      <c r="A18" s="4" t="s">
        <v>26</v>
      </c>
      <c r="B18" s="5" t="s">
        <v>27</v>
      </c>
      <c r="C18" s="5"/>
      <c r="D18" s="5"/>
      <c r="E18" s="5"/>
      <c r="F18" s="5"/>
      <c r="G18" s="5"/>
      <c r="H18" s="5"/>
    </row>
    <row r="19" customFormat="false" ht="39.75" hidden="false" customHeight="true" outlineLevel="0" collapsed="false">
      <c r="A19" s="4" t="s">
        <v>28</v>
      </c>
      <c r="B19" s="5" t="s">
        <v>29</v>
      </c>
      <c r="C19" s="5"/>
      <c r="D19" s="5"/>
      <c r="E19" s="5"/>
      <c r="F19" s="5"/>
      <c r="G19" s="5"/>
      <c r="H19" s="5"/>
    </row>
    <row r="20" customFormat="false" ht="39.75" hidden="false" customHeight="true" outlineLevel="0" collapsed="false">
      <c r="A20" s="4" t="s">
        <v>30</v>
      </c>
      <c r="B20" s="5" t="s">
        <v>31</v>
      </c>
      <c r="C20" s="5"/>
      <c r="D20" s="5"/>
      <c r="E20" s="5"/>
      <c r="F20" s="5"/>
      <c r="G20" s="5"/>
      <c r="H20" s="5"/>
    </row>
    <row r="21" customFormat="false" ht="39.75" hidden="false" customHeight="true" outlineLevel="0" collapsed="false">
      <c r="A21" s="4" t="s">
        <v>32</v>
      </c>
      <c r="B21" s="5" t="s">
        <v>33</v>
      </c>
      <c r="C21" s="5"/>
      <c r="D21" s="5"/>
      <c r="E21" s="5"/>
      <c r="F21" s="5"/>
      <c r="G21" s="5"/>
      <c r="H21" s="5"/>
    </row>
    <row r="23" customFormat="false" ht="15" hidden="false" customHeight="false" outlineLevel="0" collapsed="false">
      <c r="A23" s="6" t="s">
        <v>34</v>
      </c>
    </row>
    <row r="24" customFormat="false" ht="15" hidden="false" customHeight="false" outlineLevel="0" collapsed="false">
      <c r="A24" s="7" t="s">
        <v>35</v>
      </c>
      <c r="B24" s="8" t="s">
        <v>36</v>
      </c>
      <c r="C24" s="8"/>
      <c r="D24" s="8"/>
      <c r="E24" s="8"/>
      <c r="F24" s="8"/>
      <c r="G24" s="8"/>
    </row>
    <row r="25" customFormat="false" ht="15" hidden="false" customHeight="false" outlineLevel="0" collapsed="false">
      <c r="A25" s="9" t="s">
        <v>37</v>
      </c>
      <c r="B25" s="8" t="s">
        <v>38</v>
      </c>
      <c r="C25" s="8"/>
      <c r="D25" s="8"/>
      <c r="E25" s="8"/>
      <c r="F25" s="8"/>
      <c r="G25" s="8"/>
    </row>
    <row r="26" customFormat="false" ht="15" hidden="false" customHeight="false" outlineLevel="0" collapsed="false">
      <c r="A26" s="10" t="s">
        <v>39</v>
      </c>
      <c r="B26" s="8" t="s">
        <v>40</v>
      </c>
      <c r="C26" s="8"/>
      <c r="D26" s="8"/>
      <c r="E26" s="8"/>
      <c r="F26" s="8"/>
      <c r="G26" s="8"/>
    </row>
    <row r="28" customFormat="false" ht="15" hidden="false" customHeight="false" outlineLevel="0" collapsed="false">
      <c r="A28" s="3" t="s">
        <v>41</v>
      </c>
    </row>
    <row r="29" customFormat="false" ht="25.5" hidden="false" customHeight="true" outlineLevel="0" collapsed="false">
      <c r="A29" s="11" t="s">
        <v>42</v>
      </c>
      <c r="B29" s="11"/>
      <c r="C29" s="11"/>
      <c r="D29" s="11"/>
      <c r="E29" s="11"/>
      <c r="F29" s="11"/>
      <c r="G29" s="11"/>
      <c r="H29" s="11"/>
    </row>
    <row r="30" customFormat="false" ht="25.5" hidden="false" customHeight="true" outlineLevel="0" collapsed="false">
      <c r="A30" s="11" t="s">
        <v>43</v>
      </c>
      <c r="B30" s="11"/>
      <c r="C30" s="11"/>
      <c r="D30" s="11"/>
      <c r="E30" s="11"/>
      <c r="F30" s="11"/>
      <c r="G30" s="11"/>
      <c r="H30" s="11"/>
    </row>
    <row r="31" customFormat="false" ht="25.5" hidden="false" customHeight="true" outlineLevel="0" collapsed="false">
      <c r="A31" s="11" t="s">
        <v>44</v>
      </c>
      <c r="B31" s="11"/>
      <c r="C31" s="11"/>
      <c r="D31" s="11"/>
      <c r="E31" s="11"/>
      <c r="F31" s="11"/>
      <c r="G31" s="11"/>
      <c r="H31" s="11"/>
    </row>
    <row r="33" customFormat="false" ht="15" hidden="false" customHeight="false" outlineLevel="0" collapsed="false">
      <c r="A33" s="3" t="s">
        <v>45</v>
      </c>
    </row>
    <row r="34" customFormat="false" ht="25.5" hidden="false" customHeight="true" outlineLevel="0" collapsed="false">
      <c r="A34" s="11" t="s">
        <v>46</v>
      </c>
      <c r="B34" s="11"/>
      <c r="C34" s="11"/>
      <c r="D34" s="11"/>
      <c r="E34" s="11"/>
      <c r="F34" s="11"/>
      <c r="G34" s="11"/>
      <c r="H34" s="11"/>
    </row>
  </sheetData>
  <sheetProtection sheet="true" sort="false" autoFilter="false"/>
  <mergeCells count="23">
    <mergeCell ref="A2:J2"/>
    <mergeCell ref="B5:H5"/>
    <mergeCell ref="B6:H6"/>
    <mergeCell ref="B7:H7"/>
    <mergeCell ref="B8:H8"/>
    <mergeCell ref="B9:H9"/>
    <mergeCell ref="B10:H10"/>
    <mergeCell ref="B11:H11"/>
    <mergeCell ref="B14:H14"/>
    <mergeCell ref="B15:H15"/>
    <mergeCell ref="B16:H16"/>
    <mergeCell ref="B17:H17"/>
    <mergeCell ref="B18:H18"/>
    <mergeCell ref="B19:H19"/>
    <mergeCell ref="B20:H20"/>
    <mergeCell ref="B21:H21"/>
    <mergeCell ref="B24:G24"/>
    <mergeCell ref="B25:G25"/>
    <mergeCell ref="B26:G26"/>
    <mergeCell ref="A29:H29"/>
    <mergeCell ref="A30:H30"/>
    <mergeCell ref="A31:H31"/>
    <mergeCell ref="A34:H3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5"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47</v>
      </c>
    </row>
    <row r="2" customFormat="false" ht="15" hidden="false" customHeight="false" outlineLevel="0" collapsed="false">
      <c r="A2" s="2" t="s">
        <v>48</v>
      </c>
      <c r="B2" s="2"/>
      <c r="C2" s="2"/>
      <c r="D2" s="2"/>
      <c r="E2" s="2"/>
      <c r="F2" s="2"/>
      <c r="G2" s="2"/>
      <c r="H2" s="2"/>
      <c r="I2" s="2"/>
      <c r="J2" s="2"/>
    </row>
    <row r="4" customFormat="false" ht="30" hidden="false" customHeight="true" outlineLevel="0" collapsed="false">
      <c r="A4" s="12" t="s">
        <v>49</v>
      </c>
      <c r="B4" s="12" t="s">
        <v>50</v>
      </c>
      <c r="C4" s="12" t="s">
        <v>51</v>
      </c>
      <c r="D4" s="12" t="s">
        <v>52</v>
      </c>
      <c r="E4" s="12" t="s">
        <v>53</v>
      </c>
      <c r="F4" s="12" t="s">
        <v>54</v>
      </c>
      <c r="G4" s="12" t="s">
        <v>55</v>
      </c>
      <c r="H4" s="12" t="s">
        <v>56</v>
      </c>
      <c r="I4" s="12" t="s">
        <v>57</v>
      </c>
      <c r="J4" s="12" t="s">
        <v>58</v>
      </c>
    </row>
    <row r="5" customFormat="false" ht="15" hidden="false" customHeight="false" outlineLevel="0" collapsed="false">
      <c r="A5" s="13" t="s">
        <v>59</v>
      </c>
      <c r="B5" s="14" t="s">
        <v>60</v>
      </c>
      <c r="C5" s="15" t="n">
        <v>360</v>
      </c>
      <c r="D5" s="15" t="n">
        <v>328</v>
      </c>
      <c r="E5" s="15" t="n">
        <v>32</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360</v>
      </c>
      <c r="I5" s="16" t="n">
        <f aca="false">$H5-$C5</f>
        <v>0</v>
      </c>
      <c r="J5" s="17" t="s">
        <v>60</v>
      </c>
    </row>
    <row r="6" customFormat="false" ht="15" hidden="false" customHeight="false" outlineLevel="1" collapsed="false">
      <c r="A6" s="13" t="s">
        <v>61</v>
      </c>
      <c r="B6" s="14" t="s">
        <v>62</v>
      </c>
      <c r="C6" s="15" t="n">
        <v>110</v>
      </c>
      <c r="D6" s="15" t="n">
        <v>100</v>
      </c>
      <c r="E6" s="15" t="n">
        <v>10</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110</v>
      </c>
      <c r="I6" s="16" t="n">
        <f aca="false">$H6-$C6</f>
        <v>0</v>
      </c>
      <c r="J6" s="17" t="s">
        <v>63</v>
      </c>
    </row>
    <row r="7" customFormat="false" ht="15" hidden="false" customHeight="false" outlineLevel="2" collapsed="false">
      <c r="A7" s="17" t="s">
        <v>64</v>
      </c>
      <c r="B7" s="18" t="s">
        <v>65</v>
      </c>
      <c r="C7" s="19" t="n">
        <v>41</v>
      </c>
      <c r="D7" s="19" t="n">
        <v>37</v>
      </c>
      <c r="E7" s="19" t="n">
        <v>4</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41</v>
      </c>
      <c r="I7" s="20" t="n">
        <f aca="false">$H7-$C7</f>
        <v>0</v>
      </c>
      <c r="J7" s="17" t="s">
        <v>66</v>
      </c>
    </row>
    <row r="8" customFormat="false" ht="15" hidden="false" customHeight="false" outlineLevel="3" collapsed="false">
      <c r="A8" s="17" t="s">
        <v>50</v>
      </c>
      <c r="B8" s="18" t="s">
        <v>67</v>
      </c>
      <c r="C8" s="19" t="n">
        <v>19</v>
      </c>
      <c r="D8" s="19" t="n">
        <v>17</v>
      </c>
      <c r="E8" s="19" t="n">
        <v>2</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19</v>
      </c>
      <c r="I8" s="20" t="n">
        <f aca="false">$H8-$C8</f>
        <v>0</v>
      </c>
      <c r="J8" s="17" t="s">
        <v>68</v>
      </c>
    </row>
    <row r="9" customFormat="false" ht="15" hidden="false" customHeight="false" outlineLevel="4" collapsed="false">
      <c r="A9" s="17" t="s">
        <v>69</v>
      </c>
      <c r="B9" s="18" t="s">
        <v>70</v>
      </c>
      <c r="C9" s="19" t="n">
        <v>10</v>
      </c>
      <c r="D9" s="19" t="n">
        <v>10</v>
      </c>
      <c r="E9" s="19" t="n">
        <v>0</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10</v>
      </c>
      <c r="I9" s="20" t="n">
        <f aca="false">$H9-$C9</f>
        <v>0</v>
      </c>
      <c r="J9" s="17" t="s">
        <v>71</v>
      </c>
    </row>
    <row r="10" customFormat="false" ht="15" hidden="false" customHeight="false" outlineLevel="5" collapsed="false">
      <c r="A10" s="17" t="s">
        <v>72</v>
      </c>
      <c r="B10" s="18" t="s">
        <v>73</v>
      </c>
      <c r="C10" s="19" t="n">
        <v>5</v>
      </c>
      <c r="D10" s="19" t="n">
        <v>5</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5</v>
      </c>
      <c r="I10" s="20" t="n">
        <f aca="false">$H10-$C10</f>
        <v>0</v>
      </c>
      <c r="J10" s="17" t="s">
        <v>74</v>
      </c>
    </row>
    <row r="11" customFormat="false" ht="15" hidden="false" customHeight="false" outlineLevel="5" collapsed="false">
      <c r="A11" s="17" t="s">
        <v>72</v>
      </c>
      <c r="B11" s="18" t="s">
        <v>75</v>
      </c>
      <c r="C11" s="19" t="n">
        <v>4</v>
      </c>
      <c r="D11" s="19" t="n">
        <v>4</v>
      </c>
      <c r="E11" s="19" t="n">
        <v>0</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4</v>
      </c>
      <c r="I11" s="20" t="n">
        <f aca="false">$H11-$C11</f>
        <v>0</v>
      </c>
      <c r="J11" s="17" t="s">
        <v>76</v>
      </c>
    </row>
    <row r="12" customFormat="false" ht="15" hidden="false" customHeight="false" outlineLevel="4" collapsed="false">
      <c r="A12" s="17" t="s">
        <v>69</v>
      </c>
      <c r="B12" s="18" t="s">
        <v>77</v>
      </c>
      <c r="C12" s="19" t="n">
        <v>8</v>
      </c>
      <c r="D12" s="19" t="n">
        <v>7</v>
      </c>
      <c r="E12" s="19" t="n">
        <v>1</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8</v>
      </c>
      <c r="I12" s="20" t="n">
        <f aca="false">$H12-$C12</f>
        <v>0</v>
      </c>
      <c r="J12" s="17" t="s">
        <v>78</v>
      </c>
    </row>
    <row r="13" customFormat="false" ht="15" hidden="false" customHeight="false" outlineLevel="5" collapsed="false">
      <c r="A13" s="17" t="s">
        <v>72</v>
      </c>
      <c r="B13" s="18" t="s">
        <v>79</v>
      </c>
      <c r="C13" s="19" t="n">
        <v>5</v>
      </c>
      <c r="D13" s="19" t="n">
        <v>5</v>
      </c>
      <c r="E13" s="19" t="n">
        <v>0</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5</v>
      </c>
      <c r="I13" s="20" t="n">
        <f aca="false">$H13-$C13</f>
        <v>0</v>
      </c>
      <c r="J13" s="17" t="s">
        <v>80</v>
      </c>
    </row>
    <row r="14" customFormat="false" ht="15" hidden="false" customHeight="false" outlineLevel="5" collapsed="false">
      <c r="A14" s="17" t="s">
        <v>72</v>
      </c>
      <c r="B14" s="18" t="s">
        <v>81</v>
      </c>
      <c r="C14" s="19" t="n">
        <v>2</v>
      </c>
      <c r="D14" s="19" t="n">
        <v>1</v>
      </c>
      <c r="E14" s="19" t="n">
        <v>1</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2</v>
      </c>
      <c r="I14" s="20" t="n">
        <f aca="false">$H14-$C14</f>
        <v>0</v>
      </c>
      <c r="J14" s="17" t="s">
        <v>82</v>
      </c>
    </row>
    <row r="15" customFormat="false" ht="15" hidden="false" customHeight="false" outlineLevel="3" collapsed="false">
      <c r="A15" s="17" t="s">
        <v>50</v>
      </c>
      <c r="B15" s="18" t="s">
        <v>83</v>
      </c>
      <c r="C15" s="19" t="n">
        <v>21</v>
      </c>
      <c r="D15" s="19" t="n">
        <v>19</v>
      </c>
      <c r="E15" s="19" t="n">
        <v>2</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21</v>
      </c>
      <c r="I15" s="20" t="n">
        <f aca="false">$H15-$C15</f>
        <v>0</v>
      </c>
      <c r="J15" s="17" t="s">
        <v>84</v>
      </c>
    </row>
    <row r="16" customFormat="false" ht="15" hidden="false" customHeight="false" outlineLevel="4" collapsed="false">
      <c r="A16" s="17" t="s">
        <v>69</v>
      </c>
      <c r="B16" s="18" t="s">
        <v>85</v>
      </c>
      <c r="C16" s="19" t="n">
        <v>10</v>
      </c>
      <c r="D16" s="19" t="n">
        <v>9</v>
      </c>
      <c r="E16" s="19" t="n">
        <v>1</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10</v>
      </c>
      <c r="I16" s="20" t="n">
        <f aca="false">$H16-$C16</f>
        <v>0</v>
      </c>
      <c r="J16" s="17" t="s">
        <v>86</v>
      </c>
    </row>
    <row r="17" customFormat="false" ht="15" hidden="false" customHeight="false" outlineLevel="5" collapsed="false">
      <c r="A17" s="17" t="s">
        <v>72</v>
      </c>
      <c r="B17" s="18" t="s">
        <v>87</v>
      </c>
      <c r="C17" s="19" t="n">
        <v>3</v>
      </c>
      <c r="D17" s="19" t="n">
        <v>2</v>
      </c>
      <c r="E17" s="19" t="n">
        <v>1</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3</v>
      </c>
      <c r="I17" s="20" t="n">
        <f aca="false">$H17-$C17</f>
        <v>0</v>
      </c>
      <c r="J17" s="17" t="s">
        <v>88</v>
      </c>
    </row>
    <row r="18" customFormat="false" ht="15" hidden="false" customHeight="false" outlineLevel="5" collapsed="false">
      <c r="A18" s="17" t="s">
        <v>72</v>
      </c>
      <c r="B18" s="18" t="s">
        <v>89</v>
      </c>
      <c r="C18" s="19" t="n">
        <v>6</v>
      </c>
      <c r="D18" s="19" t="n">
        <v>6</v>
      </c>
      <c r="E18" s="19" t="n">
        <v>0</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6</v>
      </c>
      <c r="I18" s="20" t="n">
        <f aca="false">$H18-$C18</f>
        <v>0</v>
      </c>
      <c r="J18" s="17" t="s">
        <v>90</v>
      </c>
    </row>
    <row r="19" customFormat="false" ht="15" hidden="false" customHeight="false" outlineLevel="4" collapsed="false">
      <c r="A19" s="17" t="s">
        <v>69</v>
      </c>
      <c r="B19" s="18" t="s">
        <v>91</v>
      </c>
      <c r="C19" s="19" t="n">
        <v>10</v>
      </c>
      <c r="D19" s="19" t="n">
        <v>9</v>
      </c>
      <c r="E19" s="19" t="n">
        <v>1</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10</v>
      </c>
      <c r="I19" s="20" t="n">
        <f aca="false">$H19-$C19</f>
        <v>0</v>
      </c>
      <c r="J19" s="17" t="s">
        <v>92</v>
      </c>
    </row>
    <row r="20" customFormat="false" ht="15" hidden="false" customHeight="false" outlineLevel="5" collapsed="false">
      <c r="A20" s="17" t="s">
        <v>72</v>
      </c>
      <c r="B20" s="18" t="s">
        <v>93</v>
      </c>
      <c r="C20" s="19" t="n">
        <v>5</v>
      </c>
      <c r="D20" s="19" t="n">
        <v>5</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5</v>
      </c>
      <c r="I20" s="20" t="n">
        <f aca="false">$H20-$C20</f>
        <v>0</v>
      </c>
      <c r="J20" s="17" t="s">
        <v>94</v>
      </c>
    </row>
    <row r="21" customFormat="false" ht="15" hidden="false" customHeight="false" outlineLevel="5" collapsed="false">
      <c r="A21" s="17" t="s">
        <v>72</v>
      </c>
      <c r="B21" s="18" t="s">
        <v>95</v>
      </c>
      <c r="C21" s="19" t="n">
        <v>4</v>
      </c>
      <c r="D21" s="19" t="n">
        <v>3</v>
      </c>
      <c r="E21" s="19" t="n">
        <v>1</v>
      </c>
      <c r="F21" s="20" t="n">
        <f aca="false">SUMIFS(SeatExits,SeatDivision,$J21)+SUMIFS(SeatExits,SeatDepartment,$J21)+SUMIFS(SeatExits,SeatUnit,$J21)+SUMIFS(SeatExits,SeatSubUnit,$J21)</f>
        <v>0</v>
      </c>
      <c r="G21" s="20" t="n">
        <f aca="false">SUMIFS(AskTotal,AskDivision,$J21)+SUMIFS(AskTotal,AskDepartment,$J21)+SUMIFS(AskTotal,AskUnit,$J21)+SUMIFS(AskTotal,AskSubUnit,$J21)</f>
        <v>0</v>
      </c>
      <c r="H21" s="20" t="n">
        <f aca="false">$C21-$F21+$G21</f>
        <v>4</v>
      </c>
      <c r="I21" s="20" t="n">
        <f aca="false">$H21-$C21</f>
        <v>0</v>
      </c>
      <c r="J21" s="17" t="s">
        <v>96</v>
      </c>
    </row>
    <row r="22" customFormat="false" ht="15" hidden="false" customHeight="false" outlineLevel="2" collapsed="false">
      <c r="A22" s="17" t="s">
        <v>64</v>
      </c>
      <c r="B22" s="18" t="s">
        <v>97</v>
      </c>
      <c r="C22" s="19" t="n">
        <v>35</v>
      </c>
      <c r="D22" s="19" t="n">
        <v>31</v>
      </c>
      <c r="E22" s="19" t="n">
        <v>4</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35</v>
      </c>
      <c r="I22" s="20" t="n">
        <f aca="false">$H22-$C22</f>
        <v>0</v>
      </c>
      <c r="J22" s="17" t="s">
        <v>98</v>
      </c>
    </row>
    <row r="23" customFormat="false" ht="15" hidden="false" customHeight="false" outlineLevel="3" collapsed="false">
      <c r="A23" s="17" t="s">
        <v>50</v>
      </c>
      <c r="B23" s="18" t="s">
        <v>99</v>
      </c>
      <c r="C23" s="19" t="n">
        <v>14</v>
      </c>
      <c r="D23" s="19" t="n">
        <v>14</v>
      </c>
      <c r="E23" s="19" t="n">
        <v>0</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14</v>
      </c>
      <c r="I23" s="20" t="n">
        <f aca="false">$H23-$C23</f>
        <v>0</v>
      </c>
      <c r="J23" s="17" t="s">
        <v>100</v>
      </c>
    </row>
    <row r="24" customFormat="false" ht="15" hidden="false" customHeight="false" outlineLevel="4" collapsed="false">
      <c r="A24" s="17" t="s">
        <v>69</v>
      </c>
      <c r="B24" s="18" t="s">
        <v>101</v>
      </c>
      <c r="C24" s="19" t="n">
        <v>6</v>
      </c>
      <c r="D24" s="19" t="n">
        <v>6</v>
      </c>
      <c r="E24" s="19" t="n">
        <v>0</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6</v>
      </c>
      <c r="I24" s="20" t="n">
        <f aca="false">$H24-$C24</f>
        <v>0</v>
      </c>
      <c r="J24" s="17" t="s">
        <v>102</v>
      </c>
    </row>
    <row r="25" customFormat="false" ht="15" hidden="false" customHeight="false" outlineLevel="5" collapsed="false">
      <c r="A25" s="17" t="s">
        <v>72</v>
      </c>
      <c r="B25" s="18" t="s">
        <v>103</v>
      </c>
      <c r="C25" s="19" t="n">
        <v>3</v>
      </c>
      <c r="D25" s="19" t="n">
        <v>3</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3</v>
      </c>
      <c r="I25" s="20" t="n">
        <f aca="false">$H25-$C25</f>
        <v>0</v>
      </c>
      <c r="J25" s="17" t="s">
        <v>104</v>
      </c>
    </row>
    <row r="26" customFormat="false" ht="15" hidden="false" customHeight="false" outlineLevel="5" collapsed="false">
      <c r="A26" s="17" t="s">
        <v>72</v>
      </c>
      <c r="B26" s="18" t="s">
        <v>105</v>
      </c>
      <c r="C26" s="19" t="n">
        <v>2</v>
      </c>
      <c r="D26" s="19" t="n">
        <v>2</v>
      </c>
      <c r="E26" s="19" t="n">
        <v>0</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2</v>
      </c>
      <c r="I26" s="20" t="n">
        <f aca="false">$H26-$C26</f>
        <v>0</v>
      </c>
      <c r="J26" s="17" t="s">
        <v>106</v>
      </c>
    </row>
    <row r="27" customFormat="false" ht="15" hidden="false" customHeight="false" outlineLevel="4" collapsed="false">
      <c r="A27" s="17" t="s">
        <v>69</v>
      </c>
      <c r="B27" s="18" t="s">
        <v>107</v>
      </c>
      <c r="C27" s="19" t="n">
        <v>7</v>
      </c>
      <c r="D27" s="19" t="n">
        <v>7</v>
      </c>
      <c r="E27" s="19" t="n">
        <v>0</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7</v>
      </c>
      <c r="I27" s="20" t="n">
        <f aca="false">$H27-$C27</f>
        <v>0</v>
      </c>
      <c r="J27" s="17" t="s">
        <v>108</v>
      </c>
    </row>
    <row r="28" customFormat="false" ht="15" hidden="false" customHeight="false" outlineLevel="5" collapsed="false">
      <c r="A28" s="17" t="s">
        <v>72</v>
      </c>
      <c r="B28" s="18" t="s">
        <v>109</v>
      </c>
      <c r="C28" s="19" t="n">
        <v>3</v>
      </c>
      <c r="D28" s="19" t="n">
        <v>3</v>
      </c>
      <c r="E28" s="19" t="n">
        <v>0</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3</v>
      </c>
      <c r="I28" s="20" t="n">
        <f aca="false">$H28-$C28</f>
        <v>0</v>
      </c>
      <c r="J28" s="17" t="s">
        <v>110</v>
      </c>
    </row>
    <row r="29" customFormat="false" ht="15" hidden="false" customHeight="false" outlineLevel="5" collapsed="false">
      <c r="A29" s="17" t="s">
        <v>72</v>
      </c>
      <c r="B29" s="18" t="s">
        <v>111</v>
      </c>
      <c r="C29" s="19" t="n">
        <v>3</v>
      </c>
      <c r="D29" s="19" t="n">
        <v>3</v>
      </c>
      <c r="E29" s="19" t="n">
        <v>0</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3</v>
      </c>
      <c r="I29" s="20" t="n">
        <f aca="false">$H29-$C29</f>
        <v>0</v>
      </c>
      <c r="J29" s="17" t="s">
        <v>112</v>
      </c>
    </row>
    <row r="30" customFormat="false" ht="15" hidden="false" customHeight="false" outlineLevel="3" collapsed="false">
      <c r="A30" s="17" t="s">
        <v>50</v>
      </c>
      <c r="B30" s="18" t="s">
        <v>113</v>
      </c>
      <c r="C30" s="19" t="n">
        <v>20</v>
      </c>
      <c r="D30" s="19" t="n">
        <v>16</v>
      </c>
      <c r="E30" s="19" t="n">
        <v>4</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20</v>
      </c>
      <c r="I30" s="20" t="n">
        <f aca="false">$H30-$C30</f>
        <v>0</v>
      </c>
      <c r="J30" s="17" t="s">
        <v>114</v>
      </c>
    </row>
    <row r="31" customFormat="false" ht="15" hidden="false" customHeight="false" outlineLevel="4" collapsed="false">
      <c r="A31" s="17" t="s">
        <v>69</v>
      </c>
      <c r="B31" s="18" t="s">
        <v>115</v>
      </c>
      <c r="C31" s="19" t="n">
        <v>9</v>
      </c>
      <c r="D31" s="19" t="n">
        <v>9</v>
      </c>
      <c r="E31" s="19" t="n">
        <v>0</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9</v>
      </c>
      <c r="I31" s="20" t="n">
        <f aca="false">$H31-$C31</f>
        <v>0</v>
      </c>
      <c r="J31" s="17" t="s">
        <v>116</v>
      </c>
    </row>
    <row r="32" customFormat="false" ht="15" hidden="false" customHeight="false" outlineLevel="5" collapsed="false">
      <c r="A32" s="17" t="s">
        <v>72</v>
      </c>
      <c r="B32" s="18" t="s">
        <v>117</v>
      </c>
      <c r="C32" s="19" t="n">
        <v>3</v>
      </c>
      <c r="D32" s="19" t="n">
        <v>3</v>
      </c>
      <c r="E32" s="19" t="n">
        <v>0</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3</v>
      </c>
      <c r="I32" s="20" t="n">
        <f aca="false">$H32-$C32</f>
        <v>0</v>
      </c>
      <c r="J32" s="17" t="s">
        <v>118</v>
      </c>
    </row>
    <row r="33" customFormat="false" ht="15" hidden="false" customHeight="false" outlineLevel="5" collapsed="false">
      <c r="A33" s="17" t="s">
        <v>72</v>
      </c>
      <c r="B33" s="18" t="s">
        <v>119</v>
      </c>
      <c r="C33" s="19" t="n">
        <v>5</v>
      </c>
      <c r="D33" s="19" t="n">
        <v>5</v>
      </c>
      <c r="E33" s="19" t="n">
        <v>0</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5</v>
      </c>
      <c r="I33" s="20" t="n">
        <f aca="false">$H33-$C33</f>
        <v>0</v>
      </c>
      <c r="J33" s="17" t="s">
        <v>120</v>
      </c>
    </row>
    <row r="34" customFormat="false" ht="15" hidden="false" customHeight="false" outlineLevel="4" collapsed="false">
      <c r="A34" s="17" t="s">
        <v>69</v>
      </c>
      <c r="B34" s="18" t="s">
        <v>121</v>
      </c>
      <c r="C34" s="19" t="n">
        <v>10</v>
      </c>
      <c r="D34" s="19" t="n">
        <v>6</v>
      </c>
      <c r="E34" s="19" t="n">
        <v>4</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10</v>
      </c>
      <c r="I34" s="20" t="n">
        <f aca="false">$H34-$C34</f>
        <v>0</v>
      </c>
      <c r="J34" s="17" t="s">
        <v>122</v>
      </c>
    </row>
    <row r="35" customFormat="false" ht="15" hidden="false" customHeight="false" outlineLevel="5" collapsed="false">
      <c r="A35" s="17" t="s">
        <v>72</v>
      </c>
      <c r="B35" s="18" t="s">
        <v>123</v>
      </c>
      <c r="C35" s="19" t="n">
        <v>5</v>
      </c>
      <c r="D35" s="19" t="n">
        <v>5</v>
      </c>
      <c r="E35" s="19" t="n">
        <v>0</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5</v>
      </c>
      <c r="I35" s="20" t="n">
        <f aca="false">$H35-$C35</f>
        <v>0</v>
      </c>
      <c r="J35" s="17" t="s">
        <v>124</v>
      </c>
    </row>
    <row r="36" customFormat="false" ht="15" hidden="false" customHeight="false" outlineLevel="5" collapsed="false">
      <c r="A36" s="17" t="s">
        <v>72</v>
      </c>
      <c r="B36" s="18" t="s">
        <v>125</v>
      </c>
      <c r="C36" s="19" t="n">
        <v>4</v>
      </c>
      <c r="D36" s="19" t="n">
        <v>0</v>
      </c>
      <c r="E36" s="19" t="n">
        <v>4</v>
      </c>
      <c r="F36" s="20" t="n">
        <f aca="false">SUMIFS(SeatExits,SeatDivision,$J36)+SUMIFS(SeatExits,SeatDepartment,$J36)+SUMIFS(SeatExits,SeatUnit,$J36)+SUMIFS(SeatExits,SeatSubUnit,$J36)</f>
        <v>0</v>
      </c>
      <c r="G36" s="20" t="n">
        <f aca="false">SUMIFS(AskTotal,AskDivision,$J36)+SUMIFS(AskTotal,AskDepartment,$J36)+SUMIFS(AskTotal,AskUnit,$J36)+SUMIFS(AskTotal,AskSubUnit,$J36)</f>
        <v>0</v>
      </c>
      <c r="H36" s="20" t="n">
        <f aca="false">$C36-$F36+$G36</f>
        <v>4</v>
      </c>
      <c r="I36" s="20" t="n">
        <f aca="false">$H36-$C36</f>
        <v>0</v>
      </c>
      <c r="J36" s="17" t="s">
        <v>126</v>
      </c>
    </row>
    <row r="37" customFormat="false" ht="15" hidden="false" customHeight="false" outlineLevel="2" collapsed="false">
      <c r="A37" s="17" t="s">
        <v>64</v>
      </c>
      <c r="B37" s="18" t="s">
        <v>127</v>
      </c>
      <c r="C37" s="19" t="n">
        <v>33</v>
      </c>
      <c r="D37" s="19" t="n">
        <v>31</v>
      </c>
      <c r="E37" s="19" t="n">
        <v>2</v>
      </c>
      <c r="F37" s="20" t="n">
        <f aca="false">SUMIFS(SeatExits,SeatDivision,$J37)+SUMIFS(SeatExits,SeatDepartment,$J37)+SUMIFS(SeatExits,SeatUnit,$J37)+SUMIFS(SeatExits,SeatSubUnit,$J37)</f>
        <v>0</v>
      </c>
      <c r="G37" s="20" t="n">
        <f aca="false">SUMIFS(AskTotal,AskDivision,$J37)+SUMIFS(AskTotal,AskDepartment,$J37)+SUMIFS(AskTotal,AskUnit,$J37)+SUMIFS(AskTotal,AskSubUnit,$J37)</f>
        <v>0</v>
      </c>
      <c r="H37" s="20" t="n">
        <f aca="false">$C37-$F37+$G37</f>
        <v>33</v>
      </c>
      <c r="I37" s="20" t="n">
        <f aca="false">$H37-$C37</f>
        <v>0</v>
      </c>
      <c r="J37" s="17" t="s">
        <v>128</v>
      </c>
    </row>
    <row r="38" customFormat="false" ht="15" hidden="false" customHeight="false" outlineLevel="3" collapsed="false">
      <c r="A38" s="17" t="s">
        <v>50</v>
      </c>
      <c r="B38" s="18" t="s">
        <v>129</v>
      </c>
      <c r="C38" s="19" t="n">
        <v>15</v>
      </c>
      <c r="D38" s="19" t="n">
        <v>15</v>
      </c>
      <c r="E38" s="19" t="n">
        <v>0</v>
      </c>
      <c r="F38" s="20" t="n">
        <f aca="false">SUMIFS(SeatExits,SeatDivision,$J38)+SUMIFS(SeatExits,SeatDepartment,$J38)+SUMIFS(SeatExits,SeatUnit,$J38)+SUMIFS(SeatExits,SeatSubUnit,$J38)</f>
        <v>0</v>
      </c>
      <c r="G38" s="20" t="n">
        <f aca="false">SUMIFS(AskTotal,AskDivision,$J38)+SUMIFS(AskTotal,AskDepartment,$J38)+SUMIFS(AskTotal,AskUnit,$J38)+SUMIFS(AskTotal,AskSubUnit,$J38)</f>
        <v>0</v>
      </c>
      <c r="H38" s="20" t="n">
        <f aca="false">$C38-$F38+$G38</f>
        <v>15</v>
      </c>
      <c r="I38" s="20" t="n">
        <f aca="false">$H38-$C38</f>
        <v>0</v>
      </c>
      <c r="J38" s="17" t="s">
        <v>130</v>
      </c>
    </row>
    <row r="39" customFormat="false" ht="15" hidden="false" customHeight="false" outlineLevel="4" collapsed="false">
      <c r="A39" s="17" t="s">
        <v>69</v>
      </c>
      <c r="B39" s="18" t="s">
        <v>131</v>
      </c>
      <c r="C39" s="19" t="n">
        <v>7</v>
      </c>
      <c r="D39" s="19" t="n">
        <v>7</v>
      </c>
      <c r="E39" s="19" t="n">
        <v>0</v>
      </c>
      <c r="F39" s="20" t="n">
        <f aca="false">SUMIFS(SeatExits,SeatDivision,$J39)+SUMIFS(SeatExits,SeatDepartment,$J39)+SUMIFS(SeatExits,SeatUnit,$J39)+SUMIFS(SeatExits,SeatSubUnit,$J39)</f>
        <v>0</v>
      </c>
      <c r="G39" s="20" t="n">
        <f aca="false">SUMIFS(AskTotal,AskDivision,$J39)+SUMIFS(AskTotal,AskDepartment,$J39)+SUMIFS(AskTotal,AskUnit,$J39)+SUMIFS(AskTotal,AskSubUnit,$J39)</f>
        <v>0</v>
      </c>
      <c r="H39" s="20" t="n">
        <f aca="false">$C39-$F39+$G39</f>
        <v>7</v>
      </c>
      <c r="I39" s="20" t="n">
        <f aca="false">$H39-$C39</f>
        <v>0</v>
      </c>
      <c r="J39" s="17" t="s">
        <v>132</v>
      </c>
    </row>
    <row r="40" customFormat="false" ht="15" hidden="false" customHeight="false" outlineLevel="5" collapsed="false">
      <c r="A40" s="17" t="s">
        <v>72</v>
      </c>
      <c r="B40" s="18" t="s">
        <v>133</v>
      </c>
      <c r="C40" s="19" t="n">
        <v>3</v>
      </c>
      <c r="D40" s="19" t="n">
        <v>3</v>
      </c>
      <c r="E40" s="19" t="n">
        <v>0</v>
      </c>
      <c r="F40" s="20" t="n">
        <f aca="false">SUMIFS(SeatExits,SeatDivision,$J40)+SUMIFS(SeatExits,SeatDepartment,$J40)+SUMIFS(SeatExits,SeatUnit,$J40)+SUMIFS(SeatExits,SeatSubUnit,$J40)</f>
        <v>0</v>
      </c>
      <c r="G40" s="20" t="n">
        <f aca="false">SUMIFS(AskTotal,AskDivision,$J40)+SUMIFS(AskTotal,AskDepartment,$J40)+SUMIFS(AskTotal,AskUnit,$J40)+SUMIFS(AskTotal,AskSubUnit,$J40)</f>
        <v>0</v>
      </c>
      <c r="H40" s="20" t="n">
        <f aca="false">$C40-$F40+$G40</f>
        <v>3</v>
      </c>
      <c r="I40" s="20" t="n">
        <f aca="false">$H40-$C40</f>
        <v>0</v>
      </c>
      <c r="J40" s="17" t="s">
        <v>134</v>
      </c>
    </row>
    <row r="41" customFormat="false" ht="15" hidden="false" customHeight="false" outlineLevel="5" collapsed="false">
      <c r="A41" s="17" t="s">
        <v>72</v>
      </c>
      <c r="B41" s="18" t="s">
        <v>135</v>
      </c>
      <c r="C41" s="19" t="n">
        <v>3</v>
      </c>
      <c r="D41" s="19" t="n">
        <v>3</v>
      </c>
      <c r="E41" s="19" t="n">
        <v>0</v>
      </c>
      <c r="F41" s="20" t="n">
        <f aca="false">SUMIFS(SeatExits,SeatDivision,$J41)+SUMIFS(SeatExits,SeatDepartment,$J41)+SUMIFS(SeatExits,SeatUnit,$J41)+SUMIFS(SeatExits,SeatSubUnit,$J41)</f>
        <v>0</v>
      </c>
      <c r="G41" s="20" t="n">
        <f aca="false">SUMIFS(AskTotal,AskDivision,$J41)+SUMIFS(AskTotal,AskDepartment,$J41)+SUMIFS(AskTotal,AskUnit,$J41)+SUMIFS(AskTotal,AskSubUnit,$J41)</f>
        <v>0</v>
      </c>
      <c r="H41" s="20" t="n">
        <f aca="false">$C41-$F41+$G41</f>
        <v>3</v>
      </c>
      <c r="I41" s="20" t="n">
        <f aca="false">$H41-$C41</f>
        <v>0</v>
      </c>
      <c r="J41" s="17" t="s">
        <v>136</v>
      </c>
    </row>
    <row r="42" customFormat="false" ht="15" hidden="false" customHeight="false" outlineLevel="4" collapsed="false">
      <c r="A42" s="17" t="s">
        <v>69</v>
      </c>
      <c r="B42" s="18" t="s">
        <v>137</v>
      </c>
      <c r="C42" s="19" t="n">
        <v>7</v>
      </c>
      <c r="D42" s="19" t="n">
        <v>7</v>
      </c>
      <c r="E42" s="19" t="n">
        <v>0</v>
      </c>
      <c r="F42" s="20" t="n">
        <f aca="false">SUMIFS(SeatExits,SeatDivision,$J42)+SUMIFS(SeatExits,SeatDepartment,$J42)+SUMIFS(SeatExits,SeatUnit,$J42)+SUMIFS(SeatExits,SeatSubUnit,$J42)</f>
        <v>0</v>
      </c>
      <c r="G42" s="20" t="n">
        <f aca="false">SUMIFS(AskTotal,AskDivision,$J42)+SUMIFS(AskTotal,AskDepartment,$J42)+SUMIFS(AskTotal,AskUnit,$J42)+SUMIFS(AskTotal,AskSubUnit,$J42)</f>
        <v>0</v>
      </c>
      <c r="H42" s="20" t="n">
        <f aca="false">$C42-$F42+$G42</f>
        <v>7</v>
      </c>
      <c r="I42" s="20" t="n">
        <f aca="false">$H42-$C42</f>
        <v>0</v>
      </c>
      <c r="J42" s="17" t="s">
        <v>138</v>
      </c>
    </row>
    <row r="43" customFormat="false" ht="15" hidden="false" customHeight="false" outlineLevel="5" collapsed="false">
      <c r="A43" s="17" t="s">
        <v>72</v>
      </c>
      <c r="B43" s="18" t="s">
        <v>139</v>
      </c>
      <c r="C43" s="19" t="n">
        <v>3</v>
      </c>
      <c r="D43" s="19" t="n">
        <v>3</v>
      </c>
      <c r="E43" s="19" t="n">
        <v>0</v>
      </c>
      <c r="F43" s="20" t="n">
        <f aca="false">SUMIFS(SeatExits,SeatDivision,$J43)+SUMIFS(SeatExits,SeatDepartment,$J43)+SUMIFS(SeatExits,SeatUnit,$J43)+SUMIFS(SeatExits,SeatSubUnit,$J43)</f>
        <v>0</v>
      </c>
      <c r="G43" s="20" t="n">
        <f aca="false">SUMIFS(AskTotal,AskDivision,$J43)+SUMIFS(AskTotal,AskDepartment,$J43)+SUMIFS(AskTotal,AskUnit,$J43)+SUMIFS(AskTotal,AskSubUnit,$J43)</f>
        <v>0</v>
      </c>
      <c r="H43" s="20" t="n">
        <f aca="false">$C43-$F43+$G43</f>
        <v>3</v>
      </c>
      <c r="I43" s="20" t="n">
        <f aca="false">$H43-$C43</f>
        <v>0</v>
      </c>
      <c r="J43" s="17" t="s">
        <v>140</v>
      </c>
    </row>
    <row r="44" customFormat="false" ht="15" hidden="false" customHeight="false" outlineLevel="5" collapsed="false">
      <c r="A44" s="17" t="s">
        <v>72</v>
      </c>
      <c r="B44" s="18" t="s">
        <v>141</v>
      </c>
      <c r="C44" s="19" t="n">
        <v>3</v>
      </c>
      <c r="D44" s="19" t="n">
        <v>3</v>
      </c>
      <c r="E44" s="19" t="n">
        <v>0</v>
      </c>
      <c r="F44" s="20" t="n">
        <f aca="false">SUMIFS(SeatExits,SeatDivision,$J44)+SUMIFS(SeatExits,SeatDepartment,$J44)+SUMIFS(SeatExits,SeatUnit,$J44)+SUMIFS(SeatExits,SeatSubUnit,$J44)</f>
        <v>0</v>
      </c>
      <c r="G44" s="20" t="n">
        <f aca="false">SUMIFS(AskTotal,AskDivision,$J44)+SUMIFS(AskTotal,AskDepartment,$J44)+SUMIFS(AskTotal,AskUnit,$J44)+SUMIFS(AskTotal,AskSubUnit,$J44)</f>
        <v>0</v>
      </c>
      <c r="H44" s="20" t="n">
        <f aca="false">$C44-$F44+$G44</f>
        <v>3</v>
      </c>
      <c r="I44" s="20" t="n">
        <f aca="false">$H44-$C44</f>
        <v>0</v>
      </c>
      <c r="J44" s="17" t="s">
        <v>142</v>
      </c>
    </row>
    <row r="45" customFormat="false" ht="15" hidden="false" customHeight="false" outlineLevel="3" collapsed="false">
      <c r="A45" s="17" t="s">
        <v>50</v>
      </c>
      <c r="B45" s="18" t="s">
        <v>143</v>
      </c>
      <c r="C45" s="19" t="n">
        <v>17</v>
      </c>
      <c r="D45" s="19" t="n">
        <v>15</v>
      </c>
      <c r="E45" s="19" t="n">
        <v>2</v>
      </c>
      <c r="F45" s="20" t="n">
        <f aca="false">SUMIFS(SeatExits,SeatDivision,$J45)+SUMIFS(SeatExits,SeatDepartment,$J45)+SUMIFS(SeatExits,SeatUnit,$J45)+SUMIFS(SeatExits,SeatSubUnit,$J45)</f>
        <v>0</v>
      </c>
      <c r="G45" s="20" t="n">
        <f aca="false">SUMIFS(AskTotal,AskDivision,$J45)+SUMIFS(AskTotal,AskDepartment,$J45)+SUMIFS(AskTotal,AskUnit,$J45)+SUMIFS(AskTotal,AskSubUnit,$J45)</f>
        <v>0</v>
      </c>
      <c r="H45" s="20" t="n">
        <f aca="false">$C45-$F45+$G45</f>
        <v>17</v>
      </c>
      <c r="I45" s="20" t="n">
        <f aca="false">$H45-$C45</f>
        <v>0</v>
      </c>
      <c r="J45" s="17" t="s">
        <v>144</v>
      </c>
    </row>
    <row r="46" customFormat="false" ht="15" hidden="false" customHeight="false" outlineLevel="4" collapsed="false">
      <c r="A46" s="17" t="s">
        <v>69</v>
      </c>
      <c r="B46" s="18" t="s">
        <v>145</v>
      </c>
      <c r="C46" s="19" t="n">
        <v>10</v>
      </c>
      <c r="D46" s="19" t="n">
        <v>8</v>
      </c>
      <c r="E46" s="19" t="n">
        <v>2</v>
      </c>
      <c r="F46" s="20" t="n">
        <f aca="false">SUMIFS(SeatExits,SeatDivision,$J46)+SUMIFS(SeatExits,SeatDepartment,$J46)+SUMIFS(SeatExits,SeatUnit,$J46)+SUMIFS(SeatExits,SeatSubUnit,$J46)</f>
        <v>0</v>
      </c>
      <c r="G46" s="20" t="n">
        <f aca="false">SUMIFS(AskTotal,AskDivision,$J46)+SUMIFS(AskTotal,AskDepartment,$J46)+SUMIFS(AskTotal,AskUnit,$J46)+SUMIFS(AskTotal,AskSubUnit,$J46)</f>
        <v>0</v>
      </c>
      <c r="H46" s="20" t="n">
        <f aca="false">$C46-$F46+$G46</f>
        <v>10</v>
      </c>
      <c r="I46" s="20" t="n">
        <f aca="false">$H46-$C46</f>
        <v>0</v>
      </c>
      <c r="J46" s="17" t="s">
        <v>146</v>
      </c>
    </row>
    <row r="47" customFormat="false" ht="15" hidden="false" customHeight="false" outlineLevel="5" collapsed="false">
      <c r="A47" s="17" t="s">
        <v>72</v>
      </c>
      <c r="B47" s="18" t="s">
        <v>147</v>
      </c>
      <c r="C47" s="19" t="n">
        <v>5</v>
      </c>
      <c r="D47" s="19" t="n">
        <v>4</v>
      </c>
      <c r="E47" s="19" t="n">
        <v>1</v>
      </c>
      <c r="F47" s="20" t="n">
        <f aca="false">SUMIFS(SeatExits,SeatDivision,$J47)+SUMIFS(SeatExits,SeatDepartment,$J47)+SUMIFS(SeatExits,SeatUnit,$J47)+SUMIFS(SeatExits,SeatSubUnit,$J47)</f>
        <v>0</v>
      </c>
      <c r="G47" s="20" t="n">
        <f aca="false">SUMIFS(AskTotal,AskDivision,$J47)+SUMIFS(AskTotal,AskDepartment,$J47)+SUMIFS(AskTotal,AskUnit,$J47)+SUMIFS(AskTotal,AskSubUnit,$J47)</f>
        <v>0</v>
      </c>
      <c r="H47" s="20" t="n">
        <f aca="false">$C47-$F47+$G47</f>
        <v>5</v>
      </c>
      <c r="I47" s="20" t="n">
        <f aca="false">$H47-$C47</f>
        <v>0</v>
      </c>
      <c r="J47" s="17" t="s">
        <v>148</v>
      </c>
    </row>
    <row r="48" customFormat="false" ht="15" hidden="false" customHeight="false" outlineLevel="5" collapsed="false">
      <c r="A48" s="17" t="s">
        <v>72</v>
      </c>
      <c r="B48" s="18" t="s">
        <v>149</v>
      </c>
      <c r="C48" s="19" t="n">
        <v>4</v>
      </c>
      <c r="D48" s="19" t="n">
        <v>3</v>
      </c>
      <c r="E48" s="19" t="n">
        <v>1</v>
      </c>
      <c r="F48" s="20" t="n">
        <f aca="false">SUMIFS(SeatExits,SeatDivision,$J48)+SUMIFS(SeatExits,SeatDepartment,$J48)+SUMIFS(SeatExits,SeatUnit,$J48)+SUMIFS(SeatExits,SeatSubUnit,$J48)</f>
        <v>0</v>
      </c>
      <c r="G48" s="20" t="n">
        <f aca="false">SUMIFS(AskTotal,AskDivision,$J48)+SUMIFS(AskTotal,AskDepartment,$J48)+SUMIFS(AskTotal,AskUnit,$J48)+SUMIFS(AskTotal,AskSubUnit,$J48)</f>
        <v>0</v>
      </c>
      <c r="H48" s="20" t="n">
        <f aca="false">$C48-$F48+$G48</f>
        <v>4</v>
      </c>
      <c r="I48" s="20" t="n">
        <f aca="false">$H48-$C48</f>
        <v>0</v>
      </c>
      <c r="J48" s="17" t="s">
        <v>150</v>
      </c>
    </row>
    <row r="49" customFormat="false" ht="15" hidden="false" customHeight="false" outlineLevel="4" collapsed="false">
      <c r="A49" s="17" t="s">
        <v>69</v>
      </c>
      <c r="B49" s="18" t="s">
        <v>151</v>
      </c>
      <c r="C49" s="19" t="n">
        <v>6</v>
      </c>
      <c r="D49" s="19" t="n">
        <v>6</v>
      </c>
      <c r="E49" s="19" t="n">
        <v>0</v>
      </c>
      <c r="F49" s="20" t="n">
        <f aca="false">SUMIFS(SeatExits,SeatDivision,$J49)+SUMIFS(SeatExits,SeatDepartment,$J49)+SUMIFS(SeatExits,SeatUnit,$J49)+SUMIFS(SeatExits,SeatSubUnit,$J49)</f>
        <v>0</v>
      </c>
      <c r="G49" s="20" t="n">
        <f aca="false">SUMIFS(AskTotal,AskDivision,$J49)+SUMIFS(AskTotal,AskDepartment,$J49)+SUMIFS(AskTotal,AskUnit,$J49)+SUMIFS(AskTotal,AskSubUnit,$J49)</f>
        <v>0</v>
      </c>
      <c r="H49" s="20" t="n">
        <f aca="false">$C49-$F49+$G49</f>
        <v>6</v>
      </c>
      <c r="I49" s="20" t="n">
        <f aca="false">$H49-$C49</f>
        <v>0</v>
      </c>
      <c r="J49" s="17" t="s">
        <v>152</v>
      </c>
    </row>
    <row r="50" customFormat="false" ht="15" hidden="false" customHeight="false" outlineLevel="5" collapsed="false">
      <c r="A50" s="17" t="s">
        <v>72</v>
      </c>
      <c r="B50" s="18" t="s">
        <v>153</v>
      </c>
      <c r="C50" s="19" t="n">
        <v>2</v>
      </c>
      <c r="D50" s="19" t="n">
        <v>2</v>
      </c>
      <c r="E50" s="19" t="n">
        <v>0</v>
      </c>
      <c r="F50" s="20" t="n">
        <f aca="false">SUMIFS(SeatExits,SeatDivision,$J50)+SUMIFS(SeatExits,SeatDepartment,$J50)+SUMIFS(SeatExits,SeatUnit,$J50)+SUMIFS(SeatExits,SeatSubUnit,$J50)</f>
        <v>0</v>
      </c>
      <c r="G50" s="20" t="n">
        <f aca="false">SUMIFS(AskTotal,AskDivision,$J50)+SUMIFS(AskTotal,AskDepartment,$J50)+SUMIFS(AskTotal,AskUnit,$J50)+SUMIFS(AskTotal,AskSubUnit,$J50)</f>
        <v>0</v>
      </c>
      <c r="H50" s="20" t="n">
        <f aca="false">$C50-$F50+$G50</f>
        <v>2</v>
      </c>
      <c r="I50" s="20" t="n">
        <f aca="false">$H50-$C50</f>
        <v>0</v>
      </c>
      <c r="J50" s="17" t="s">
        <v>154</v>
      </c>
    </row>
    <row r="51" customFormat="false" ht="15" hidden="false" customHeight="false" outlineLevel="5" collapsed="false">
      <c r="A51" s="17" t="s">
        <v>72</v>
      </c>
      <c r="B51" s="18" t="s">
        <v>155</v>
      </c>
      <c r="C51" s="19" t="n">
        <v>3</v>
      </c>
      <c r="D51" s="19" t="n">
        <v>3</v>
      </c>
      <c r="E51" s="19" t="n">
        <v>0</v>
      </c>
      <c r="F51" s="20" t="n">
        <f aca="false">SUMIFS(SeatExits,SeatDivision,$J51)+SUMIFS(SeatExits,SeatDepartment,$J51)+SUMIFS(SeatExits,SeatUnit,$J51)+SUMIFS(SeatExits,SeatSubUnit,$J51)</f>
        <v>0</v>
      </c>
      <c r="G51" s="20" t="n">
        <f aca="false">SUMIFS(AskTotal,AskDivision,$J51)+SUMIFS(AskTotal,AskDepartment,$J51)+SUMIFS(AskTotal,AskUnit,$J51)+SUMIFS(AskTotal,AskSubUnit,$J51)</f>
        <v>0</v>
      </c>
      <c r="H51" s="20" t="n">
        <f aca="false">$C51-$F51+$G51</f>
        <v>3</v>
      </c>
      <c r="I51" s="20" t="n">
        <f aca="false">$H51-$C51</f>
        <v>0</v>
      </c>
      <c r="J51" s="17" t="s">
        <v>156</v>
      </c>
    </row>
    <row r="52" customFormat="false" ht="15" hidden="false" customHeight="false" outlineLevel="1" collapsed="false">
      <c r="A52" s="13" t="s">
        <v>61</v>
      </c>
      <c r="B52" s="14" t="s">
        <v>157</v>
      </c>
      <c r="C52" s="15" t="n">
        <v>72</v>
      </c>
      <c r="D52" s="15" t="n">
        <v>66</v>
      </c>
      <c r="E52" s="15" t="n">
        <v>6</v>
      </c>
      <c r="F52" s="16" t="n">
        <f aca="false">SUMIFS(SeatExits,SeatDivision,$J52)+SUMIFS(SeatExits,SeatDepartment,$J52)+SUMIFS(SeatExits,SeatUnit,$J52)+SUMIFS(SeatExits,SeatSubUnit,$J52)</f>
        <v>0</v>
      </c>
      <c r="G52" s="16" t="n">
        <f aca="false">SUMIFS(AskTotal,AskDivision,$J52)+SUMIFS(AskTotal,AskDepartment,$J52)+SUMIFS(AskTotal,AskUnit,$J52)+SUMIFS(AskTotal,AskSubUnit,$J52)</f>
        <v>0</v>
      </c>
      <c r="H52" s="16" t="n">
        <f aca="false">$C52-$F52+$G52</f>
        <v>72</v>
      </c>
      <c r="I52" s="16" t="n">
        <f aca="false">$H52-$C52</f>
        <v>0</v>
      </c>
      <c r="J52" s="17" t="s">
        <v>158</v>
      </c>
    </row>
    <row r="53" customFormat="false" ht="15" hidden="false" customHeight="false" outlineLevel="2" collapsed="false">
      <c r="A53" s="17" t="s">
        <v>64</v>
      </c>
      <c r="B53" s="18" t="s">
        <v>159</v>
      </c>
      <c r="C53" s="19" t="n">
        <v>36</v>
      </c>
      <c r="D53" s="19" t="n">
        <v>33</v>
      </c>
      <c r="E53" s="19" t="n">
        <v>3</v>
      </c>
      <c r="F53" s="20" t="n">
        <f aca="false">SUMIFS(SeatExits,SeatDivision,$J53)+SUMIFS(SeatExits,SeatDepartment,$J53)+SUMIFS(SeatExits,SeatUnit,$J53)+SUMIFS(SeatExits,SeatSubUnit,$J53)</f>
        <v>0</v>
      </c>
      <c r="G53" s="20" t="n">
        <f aca="false">SUMIFS(AskTotal,AskDivision,$J53)+SUMIFS(AskTotal,AskDepartment,$J53)+SUMIFS(AskTotal,AskUnit,$J53)+SUMIFS(AskTotal,AskSubUnit,$J53)</f>
        <v>0</v>
      </c>
      <c r="H53" s="20" t="n">
        <f aca="false">$C53-$F53+$G53</f>
        <v>36</v>
      </c>
      <c r="I53" s="20" t="n">
        <f aca="false">$H53-$C53</f>
        <v>0</v>
      </c>
      <c r="J53" s="17" t="s">
        <v>160</v>
      </c>
    </row>
    <row r="54" customFormat="false" ht="15" hidden="false" customHeight="false" outlineLevel="3" collapsed="false">
      <c r="A54" s="17" t="s">
        <v>50</v>
      </c>
      <c r="B54" s="18" t="s">
        <v>161</v>
      </c>
      <c r="C54" s="19" t="n">
        <v>14</v>
      </c>
      <c r="D54" s="19" t="n">
        <v>12</v>
      </c>
      <c r="E54" s="19" t="n">
        <v>2</v>
      </c>
      <c r="F54" s="20" t="n">
        <f aca="false">SUMIFS(SeatExits,SeatDivision,$J54)+SUMIFS(SeatExits,SeatDepartment,$J54)+SUMIFS(SeatExits,SeatUnit,$J54)+SUMIFS(SeatExits,SeatSubUnit,$J54)</f>
        <v>0</v>
      </c>
      <c r="G54" s="20" t="n">
        <f aca="false">SUMIFS(AskTotal,AskDivision,$J54)+SUMIFS(AskTotal,AskDepartment,$J54)+SUMIFS(AskTotal,AskUnit,$J54)+SUMIFS(AskTotal,AskSubUnit,$J54)</f>
        <v>0</v>
      </c>
      <c r="H54" s="20" t="n">
        <f aca="false">$C54-$F54+$G54</f>
        <v>14</v>
      </c>
      <c r="I54" s="20" t="n">
        <f aca="false">$H54-$C54</f>
        <v>0</v>
      </c>
      <c r="J54" s="17" t="s">
        <v>162</v>
      </c>
    </row>
    <row r="55" customFormat="false" ht="15" hidden="false" customHeight="false" outlineLevel="4" collapsed="false">
      <c r="A55" s="17" t="s">
        <v>69</v>
      </c>
      <c r="B55" s="18" t="s">
        <v>163</v>
      </c>
      <c r="C55" s="19" t="n">
        <v>7</v>
      </c>
      <c r="D55" s="19" t="n">
        <v>6</v>
      </c>
      <c r="E55" s="19" t="n">
        <v>1</v>
      </c>
      <c r="F55" s="20" t="n">
        <f aca="false">SUMIFS(SeatExits,SeatDivision,$J55)+SUMIFS(SeatExits,SeatDepartment,$J55)+SUMIFS(SeatExits,SeatUnit,$J55)+SUMIFS(SeatExits,SeatSubUnit,$J55)</f>
        <v>0</v>
      </c>
      <c r="G55" s="20" t="n">
        <f aca="false">SUMIFS(AskTotal,AskDivision,$J55)+SUMIFS(AskTotal,AskDepartment,$J55)+SUMIFS(AskTotal,AskUnit,$J55)+SUMIFS(AskTotal,AskSubUnit,$J55)</f>
        <v>0</v>
      </c>
      <c r="H55" s="20" t="n">
        <f aca="false">$C55-$F55+$G55</f>
        <v>7</v>
      </c>
      <c r="I55" s="20" t="n">
        <f aca="false">$H55-$C55</f>
        <v>0</v>
      </c>
      <c r="J55" s="17" t="s">
        <v>164</v>
      </c>
    </row>
    <row r="56" customFormat="false" ht="15" hidden="false" customHeight="false" outlineLevel="5" collapsed="false">
      <c r="A56" s="17" t="s">
        <v>72</v>
      </c>
      <c r="B56" s="18" t="s">
        <v>165</v>
      </c>
      <c r="C56" s="19" t="n">
        <v>2</v>
      </c>
      <c r="D56" s="19" t="n">
        <v>2</v>
      </c>
      <c r="E56" s="19" t="n">
        <v>0</v>
      </c>
      <c r="F56" s="20" t="n">
        <f aca="false">SUMIFS(SeatExits,SeatDivision,$J56)+SUMIFS(SeatExits,SeatDepartment,$J56)+SUMIFS(SeatExits,SeatUnit,$J56)+SUMIFS(SeatExits,SeatSubUnit,$J56)</f>
        <v>0</v>
      </c>
      <c r="G56" s="20" t="n">
        <f aca="false">SUMIFS(AskTotal,AskDivision,$J56)+SUMIFS(AskTotal,AskDepartment,$J56)+SUMIFS(AskTotal,AskUnit,$J56)+SUMIFS(AskTotal,AskSubUnit,$J56)</f>
        <v>0</v>
      </c>
      <c r="H56" s="20" t="n">
        <f aca="false">$C56-$F56+$G56</f>
        <v>2</v>
      </c>
      <c r="I56" s="20" t="n">
        <f aca="false">$H56-$C56</f>
        <v>0</v>
      </c>
      <c r="J56" s="17" t="s">
        <v>166</v>
      </c>
    </row>
    <row r="57" customFormat="false" ht="15" hidden="false" customHeight="false" outlineLevel="5" collapsed="false">
      <c r="A57" s="17" t="s">
        <v>72</v>
      </c>
      <c r="B57" s="18" t="s">
        <v>167</v>
      </c>
      <c r="C57" s="19" t="n">
        <v>4</v>
      </c>
      <c r="D57" s="19" t="n">
        <v>3</v>
      </c>
      <c r="E57" s="19" t="n">
        <v>1</v>
      </c>
      <c r="F57" s="20" t="n">
        <f aca="false">SUMIFS(SeatExits,SeatDivision,$J57)+SUMIFS(SeatExits,SeatDepartment,$J57)+SUMIFS(SeatExits,SeatUnit,$J57)+SUMIFS(SeatExits,SeatSubUnit,$J57)</f>
        <v>0</v>
      </c>
      <c r="G57" s="20" t="n">
        <f aca="false">SUMIFS(AskTotal,AskDivision,$J57)+SUMIFS(AskTotal,AskDepartment,$J57)+SUMIFS(AskTotal,AskUnit,$J57)+SUMIFS(AskTotal,AskSubUnit,$J57)</f>
        <v>0</v>
      </c>
      <c r="H57" s="20" t="n">
        <f aca="false">$C57-$F57+$G57</f>
        <v>4</v>
      </c>
      <c r="I57" s="20" t="n">
        <f aca="false">$H57-$C57</f>
        <v>0</v>
      </c>
      <c r="J57" s="17" t="s">
        <v>168</v>
      </c>
    </row>
    <row r="58" customFormat="false" ht="15" hidden="false" customHeight="false" outlineLevel="4" collapsed="false">
      <c r="A58" s="17" t="s">
        <v>69</v>
      </c>
      <c r="B58" s="18" t="s">
        <v>169</v>
      </c>
      <c r="C58" s="19" t="n">
        <v>6</v>
      </c>
      <c r="D58" s="19" t="n">
        <v>5</v>
      </c>
      <c r="E58" s="19" t="n">
        <v>1</v>
      </c>
      <c r="F58" s="20" t="n">
        <f aca="false">SUMIFS(SeatExits,SeatDivision,$J58)+SUMIFS(SeatExits,SeatDepartment,$J58)+SUMIFS(SeatExits,SeatUnit,$J58)+SUMIFS(SeatExits,SeatSubUnit,$J58)</f>
        <v>0</v>
      </c>
      <c r="G58" s="20" t="n">
        <f aca="false">SUMIFS(AskTotal,AskDivision,$J58)+SUMIFS(AskTotal,AskDepartment,$J58)+SUMIFS(AskTotal,AskUnit,$J58)+SUMIFS(AskTotal,AskSubUnit,$J58)</f>
        <v>0</v>
      </c>
      <c r="H58" s="20" t="n">
        <f aca="false">$C58-$F58+$G58</f>
        <v>6</v>
      </c>
      <c r="I58" s="20" t="n">
        <f aca="false">$H58-$C58</f>
        <v>0</v>
      </c>
      <c r="J58" s="17" t="s">
        <v>170</v>
      </c>
    </row>
    <row r="59" customFormat="false" ht="15" hidden="false" customHeight="false" outlineLevel="5" collapsed="false">
      <c r="A59" s="17" t="s">
        <v>72</v>
      </c>
      <c r="B59" s="18" t="s">
        <v>171</v>
      </c>
      <c r="C59" s="19" t="n">
        <v>2</v>
      </c>
      <c r="D59" s="19" t="n">
        <v>1</v>
      </c>
      <c r="E59" s="19" t="n">
        <v>1</v>
      </c>
      <c r="F59" s="20" t="n">
        <f aca="false">SUMIFS(SeatExits,SeatDivision,$J59)+SUMIFS(SeatExits,SeatDepartment,$J59)+SUMIFS(SeatExits,SeatUnit,$J59)+SUMIFS(SeatExits,SeatSubUnit,$J59)</f>
        <v>0</v>
      </c>
      <c r="G59" s="20" t="n">
        <f aca="false">SUMIFS(AskTotal,AskDivision,$J59)+SUMIFS(AskTotal,AskDepartment,$J59)+SUMIFS(AskTotal,AskUnit,$J59)+SUMIFS(AskTotal,AskSubUnit,$J59)</f>
        <v>0</v>
      </c>
      <c r="H59" s="20" t="n">
        <f aca="false">$C59-$F59+$G59</f>
        <v>2</v>
      </c>
      <c r="I59" s="20" t="n">
        <f aca="false">$H59-$C59</f>
        <v>0</v>
      </c>
      <c r="J59" s="17" t="s">
        <v>172</v>
      </c>
    </row>
    <row r="60" customFormat="false" ht="15" hidden="false" customHeight="false" outlineLevel="5" collapsed="false">
      <c r="A60" s="17" t="s">
        <v>72</v>
      </c>
      <c r="B60" s="18" t="s">
        <v>173</v>
      </c>
      <c r="C60" s="19" t="n">
        <v>3</v>
      </c>
      <c r="D60" s="19" t="n">
        <v>3</v>
      </c>
      <c r="E60" s="19" t="n">
        <v>0</v>
      </c>
      <c r="F60" s="20" t="n">
        <f aca="false">SUMIFS(SeatExits,SeatDivision,$J60)+SUMIFS(SeatExits,SeatDepartment,$J60)+SUMIFS(SeatExits,SeatUnit,$J60)+SUMIFS(SeatExits,SeatSubUnit,$J60)</f>
        <v>0</v>
      </c>
      <c r="G60" s="20" t="n">
        <f aca="false">SUMIFS(AskTotal,AskDivision,$J60)+SUMIFS(AskTotal,AskDepartment,$J60)+SUMIFS(AskTotal,AskUnit,$J60)+SUMIFS(AskTotal,AskSubUnit,$J60)</f>
        <v>0</v>
      </c>
      <c r="H60" s="20" t="n">
        <f aca="false">$C60-$F60+$G60</f>
        <v>3</v>
      </c>
      <c r="I60" s="20" t="n">
        <f aca="false">$H60-$C60</f>
        <v>0</v>
      </c>
      <c r="J60" s="17" t="s">
        <v>174</v>
      </c>
    </row>
    <row r="61" customFormat="false" ht="15" hidden="false" customHeight="false" outlineLevel="3" collapsed="false">
      <c r="A61" s="17" t="s">
        <v>50</v>
      </c>
      <c r="B61" s="18" t="s">
        <v>175</v>
      </c>
      <c r="C61" s="19" t="n">
        <v>21</v>
      </c>
      <c r="D61" s="19" t="n">
        <v>20</v>
      </c>
      <c r="E61" s="19" t="n">
        <v>1</v>
      </c>
      <c r="F61" s="20" t="n">
        <f aca="false">SUMIFS(SeatExits,SeatDivision,$J61)+SUMIFS(SeatExits,SeatDepartment,$J61)+SUMIFS(SeatExits,SeatUnit,$J61)+SUMIFS(SeatExits,SeatSubUnit,$J61)</f>
        <v>0</v>
      </c>
      <c r="G61" s="20" t="n">
        <f aca="false">SUMIFS(AskTotal,AskDivision,$J61)+SUMIFS(AskTotal,AskDepartment,$J61)+SUMIFS(AskTotal,AskUnit,$J61)+SUMIFS(AskTotal,AskSubUnit,$J61)</f>
        <v>0</v>
      </c>
      <c r="H61" s="20" t="n">
        <f aca="false">$C61-$F61+$G61</f>
        <v>21</v>
      </c>
      <c r="I61" s="20" t="n">
        <f aca="false">$H61-$C61</f>
        <v>0</v>
      </c>
      <c r="J61" s="17" t="s">
        <v>176</v>
      </c>
    </row>
    <row r="62" customFormat="false" ht="15" hidden="false" customHeight="false" outlineLevel="4" collapsed="false">
      <c r="A62" s="17" t="s">
        <v>69</v>
      </c>
      <c r="B62" s="18" t="s">
        <v>177</v>
      </c>
      <c r="C62" s="19" t="n">
        <v>10</v>
      </c>
      <c r="D62" s="19" t="n">
        <v>9</v>
      </c>
      <c r="E62" s="19" t="n">
        <v>1</v>
      </c>
      <c r="F62" s="20" t="n">
        <f aca="false">SUMIFS(SeatExits,SeatDivision,$J62)+SUMIFS(SeatExits,SeatDepartment,$J62)+SUMIFS(SeatExits,SeatUnit,$J62)+SUMIFS(SeatExits,SeatSubUnit,$J62)</f>
        <v>0</v>
      </c>
      <c r="G62" s="20" t="n">
        <f aca="false">SUMIFS(AskTotal,AskDivision,$J62)+SUMIFS(AskTotal,AskDepartment,$J62)+SUMIFS(AskTotal,AskUnit,$J62)+SUMIFS(AskTotal,AskSubUnit,$J62)</f>
        <v>0</v>
      </c>
      <c r="H62" s="20" t="n">
        <f aca="false">$C62-$F62+$G62</f>
        <v>10</v>
      </c>
      <c r="I62" s="20" t="n">
        <f aca="false">$H62-$C62</f>
        <v>0</v>
      </c>
      <c r="J62" s="17" t="s">
        <v>178</v>
      </c>
    </row>
    <row r="63" customFormat="false" ht="15" hidden="false" customHeight="false" outlineLevel="5" collapsed="false">
      <c r="A63" s="17" t="s">
        <v>72</v>
      </c>
      <c r="B63" s="18" t="s">
        <v>179</v>
      </c>
      <c r="C63" s="19" t="n">
        <v>5</v>
      </c>
      <c r="D63" s="19" t="n">
        <v>5</v>
      </c>
      <c r="E63" s="19" t="n">
        <v>0</v>
      </c>
      <c r="F63" s="20" t="n">
        <f aca="false">SUMIFS(SeatExits,SeatDivision,$J63)+SUMIFS(SeatExits,SeatDepartment,$J63)+SUMIFS(SeatExits,SeatUnit,$J63)+SUMIFS(SeatExits,SeatSubUnit,$J63)</f>
        <v>0</v>
      </c>
      <c r="G63" s="20" t="n">
        <f aca="false">SUMIFS(AskTotal,AskDivision,$J63)+SUMIFS(AskTotal,AskDepartment,$J63)+SUMIFS(AskTotal,AskUnit,$J63)+SUMIFS(AskTotal,AskSubUnit,$J63)</f>
        <v>0</v>
      </c>
      <c r="H63" s="20" t="n">
        <f aca="false">$C63-$F63+$G63</f>
        <v>5</v>
      </c>
      <c r="I63" s="20" t="n">
        <f aca="false">$H63-$C63</f>
        <v>0</v>
      </c>
      <c r="J63" s="17" t="s">
        <v>180</v>
      </c>
    </row>
    <row r="64" customFormat="false" ht="15" hidden="false" customHeight="false" outlineLevel="5" collapsed="false">
      <c r="A64" s="17" t="s">
        <v>72</v>
      </c>
      <c r="B64" s="18" t="s">
        <v>181</v>
      </c>
      <c r="C64" s="19" t="n">
        <v>4</v>
      </c>
      <c r="D64" s="19" t="n">
        <v>3</v>
      </c>
      <c r="E64" s="19" t="n">
        <v>1</v>
      </c>
      <c r="F64" s="20" t="n">
        <f aca="false">SUMIFS(SeatExits,SeatDivision,$J64)+SUMIFS(SeatExits,SeatDepartment,$J64)+SUMIFS(SeatExits,SeatUnit,$J64)+SUMIFS(SeatExits,SeatSubUnit,$J64)</f>
        <v>0</v>
      </c>
      <c r="G64" s="20" t="n">
        <f aca="false">SUMIFS(AskTotal,AskDivision,$J64)+SUMIFS(AskTotal,AskDepartment,$J64)+SUMIFS(AskTotal,AskUnit,$J64)+SUMIFS(AskTotal,AskSubUnit,$J64)</f>
        <v>0</v>
      </c>
      <c r="H64" s="20" t="n">
        <f aca="false">$C64-$F64+$G64</f>
        <v>4</v>
      </c>
      <c r="I64" s="20" t="n">
        <f aca="false">$H64-$C64</f>
        <v>0</v>
      </c>
      <c r="J64" s="17" t="s">
        <v>182</v>
      </c>
    </row>
    <row r="65" customFormat="false" ht="15" hidden="false" customHeight="false" outlineLevel="4" collapsed="false">
      <c r="A65" s="17" t="s">
        <v>69</v>
      </c>
      <c r="B65" s="18" t="s">
        <v>183</v>
      </c>
      <c r="C65" s="19" t="n">
        <v>10</v>
      </c>
      <c r="D65" s="19" t="n">
        <v>10</v>
      </c>
      <c r="E65" s="19" t="n">
        <v>0</v>
      </c>
      <c r="F65" s="20" t="n">
        <f aca="false">SUMIFS(SeatExits,SeatDivision,$J65)+SUMIFS(SeatExits,SeatDepartment,$J65)+SUMIFS(SeatExits,SeatUnit,$J65)+SUMIFS(SeatExits,SeatSubUnit,$J65)</f>
        <v>0</v>
      </c>
      <c r="G65" s="20" t="n">
        <f aca="false">SUMIFS(AskTotal,AskDivision,$J65)+SUMIFS(AskTotal,AskDepartment,$J65)+SUMIFS(AskTotal,AskUnit,$J65)+SUMIFS(AskTotal,AskSubUnit,$J65)</f>
        <v>0</v>
      </c>
      <c r="H65" s="20" t="n">
        <f aca="false">$C65-$F65+$G65</f>
        <v>10</v>
      </c>
      <c r="I65" s="20" t="n">
        <f aca="false">$H65-$C65</f>
        <v>0</v>
      </c>
      <c r="J65" s="17" t="s">
        <v>184</v>
      </c>
    </row>
    <row r="66" customFormat="false" ht="15" hidden="false" customHeight="false" outlineLevel="5" collapsed="false">
      <c r="A66" s="17" t="s">
        <v>72</v>
      </c>
      <c r="B66" s="18" t="s">
        <v>185</v>
      </c>
      <c r="C66" s="19" t="n">
        <v>1</v>
      </c>
      <c r="D66" s="19" t="n">
        <v>1</v>
      </c>
      <c r="E66" s="19" t="n">
        <v>0</v>
      </c>
      <c r="F66" s="20" t="n">
        <f aca="false">SUMIFS(SeatExits,SeatDivision,$J66)+SUMIFS(SeatExits,SeatDepartment,$J66)+SUMIFS(SeatExits,SeatUnit,$J66)+SUMIFS(SeatExits,SeatSubUnit,$J66)</f>
        <v>0</v>
      </c>
      <c r="G66" s="20" t="n">
        <f aca="false">SUMIFS(AskTotal,AskDivision,$J66)+SUMIFS(AskTotal,AskDepartment,$J66)+SUMIFS(AskTotal,AskUnit,$J66)+SUMIFS(AskTotal,AskSubUnit,$J66)</f>
        <v>0</v>
      </c>
      <c r="H66" s="20" t="n">
        <f aca="false">$C66-$F66+$G66</f>
        <v>1</v>
      </c>
      <c r="I66" s="20" t="n">
        <f aca="false">$H66-$C66</f>
        <v>0</v>
      </c>
      <c r="J66" s="17" t="s">
        <v>186</v>
      </c>
    </row>
    <row r="67" customFormat="false" ht="15" hidden="false" customHeight="false" outlineLevel="5" collapsed="false">
      <c r="A67" s="17" t="s">
        <v>72</v>
      </c>
      <c r="B67" s="18" t="s">
        <v>187</v>
      </c>
      <c r="C67" s="19" t="n">
        <v>8</v>
      </c>
      <c r="D67" s="19" t="n">
        <v>8</v>
      </c>
      <c r="E67" s="19" t="n">
        <v>0</v>
      </c>
      <c r="F67" s="20" t="n">
        <f aca="false">SUMIFS(SeatExits,SeatDivision,$J67)+SUMIFS(SeatExits,SeatDepartment,$J67)+SUMIFS(SeatExits,SeatUnit,$J67)+SUMIFS(SeatExits,SeatSubUnit,$J67)</f>
        <v>0</v>
      </c>
      <c r="G67" s="20" t="n">
        <f aca="false">SUMIFS(AskTotal,AskDivision,$J67)+SUMIFS(AskTotal,AskDepartment,$J67)+SUMIFS(AskTotal,AskUnit,$J67)+SUMIFS(AskTotal,AskSubUnit,$J67)</f>
        <v>0</v>
      </c>
      <c r="H67" s="20" t="n">
        <f aca="false">$C67-$F67+$G67</f>
        <v>8</v>
      </c>
      <c r="I67" s="20" t="n">
        <f aca="false">$H67-$C67</f>
        <v>0</v>
      </c>
      <c r="J67" s="17" t="s">
        <v>188</v>
      </c>
    </row>
    <row r="68" customFormat="false" ht="15" hidden="false" customHeight="false" outlineLevel="2" collapsed="false">
      <c r="A68" s="17" t="s">
        <v>64</v>
      </c>
      <c r="B68" s="18" t="s">
        <v>189</v>
      </c>
      <c r="C68" s="19" t="n">
        <v>35</v>
      </c>
      <c r="D68" s="19" t="n">
        <v>32</v>
      </c>
      <c r="E68" s="19" t="n">
        <v>3</v>
      </c>
      <c r="F68" s="20" t="n">
        <f aca="false">SUMIFS(SeatExits,SeatDivision,$J68)+SUMIFS(SeatExits,SeatDepartment,$J68)+SUMIFS(SeatExits,SeatUnit,$J68)+SUMIFS(SeatExits,SeatSubUnit,$J68)</f>
        <v>0</v>
      </c>
      <c r="G68" s="20" t="n">
        <f aca="false">SUMIFS(AskTotal,AskDivision,$J68)+SUMIFS(AskTotal,AskDepartment,$J68)+SUMIFS(AskTotal,AskUnit,$J68)+SUMIFS(AskTotal,AskSubUnit,$J68)</f>
        <v>0</v>
      </c>
      <c r="H68" s="20" t="n">
        <f aca="false">$C68-$F68+$G68</f>
        <v>35</v>
      </c>
      <c r="I68" s="20" t="n">
        <f aca="false">$H68-$C68</f>
        <v>0</v>
      </c>
      <c r="J68" s="17" t="s">
        <v>190</v>
      </c>
    </row>
    <row r="69" customFormat="false" ht="15" hidden="false" customHeight="false" outlineLevel="3" collapsed="false">
      <c r="A69" s="17" t="s">
        <v>50</v>
      </c>
      <c r="B69" s="18" t="s">
        <v>191</v>
      </c>
      <c r="C69" s="19" t="n">
        <v>19</v>
      </c>
      <c r="D69" s="19" t="n">
        <v>17</v>
      </c>
      <c r="E69" s="19" t="n">
        <v>2</v>
      </c>
      <c r="F69" s="20" t="n">
        <f aca="false">SUMIFS(SeatExits,SeatDivision,$J69)+SUMIFS(SeatExits,SeatDepartment,$J69)+SUMIFS(SeatExits,SeatUnit,$J69)+SUMIFS(SeatExits,SeatSubUnit,$J69)</f>
        <v>0</v>
      </c>
      <c r="G69" s="20" t="n">
        <f aca="false">SUMIFS(AskTotal,AskDivision,$J69)+SUMIFS(AskTotal,AskDepartment,$J69)+SUMIFS(AskTotal,AskUnit,$J69)+SUMIFS(AskTotal,AskSubUnit,$J69)</f>
        <v>0</v>
      </c>
      <c r="H69" s="20" t="n">
        <f aca="false">$C69-$F69+$G69</f>
        <v>19</v>
      </c>
      <c r="I69" s="20" t="n">
        <f aca="false">$H69-$C69</f>
        <v>0</v>
      </c>
      <c r="J69" s="17" t="s">
        <v>192</v>
      </c>
    </row>
    <row r="70" customFormat="false" ht="15" hidden="false" customHeight="false" outlineLevel="4" collapsed="false">
      <c r="A70" s="17" t="s">
        <v>69</v>
      </c>
      <c r="B70" s="18" t="s">
        <v>193</v>
      </c>
      <c r="C70" s="19" t="n">
        <v>8</v>
      </c>
      <c r="D70" s="19" t="n">
        <v>7</v>
      </c>
      <c r="E70" s="19" t="n">
        <v>1</v>
      </c>
      <c r="F70" s="20" t="n">
        <f aca="false">SUMIFS(SeatExits,SeatDivision,$J70)+SUMIFS(SeatExits,SeatDepartment,$J70)+SUMIFS(SeatExits,SeatUnit,$J70)+SUMIFS(SeatExits,SeatSubUnit,$J70)</f>
        <v>0</v>
      </c>
      <c r="G70" s="20" t="n">
        <f aca="false">SUMIFS(AskTotal,AskDivision,$J70)+SUMIFS(AskTotal,AskDepartment,$J70)+SUMIFS(AskTotal,AskUnit,$J70)+SUMIFS(AskTotal,AskSubUnit,$J70)</f>
        <v>0</v>
      </c>
      <c r="H70" s="20" t="n">
        <f aca="false">$C70-$F70+$G70</f>
        <v>8</v>
      </c>
      <c r="I70" s="20" t="n">
        <f aca="false">$H70-$C70</f>
        <v>0</v>
      </c>
      <c r="J70" s="17" t="s">
        <v>194</v>
      </c>
    </row>
    <row r="71" customFormat="false" ht="15" hidden="false" customHeight="false" outlineLevel="5" collapsed="false">
      <c r="A71" s="17" t="s">
        <v>72</v>
      </c>
      <c r="B71" s="18" t="s">
        <v>195</v>
      </c>
      <c r="C71" s="19" t="n">
        <v>5</v>
      </c>
      <c r="D71" s="19" t="n">
        <v>5</v>
      </c>
      <c r="E71" s="19" t="n">
        <v>0</v>
      </c>
      <c r="F71" s="20" t="n">
        <f aca="false">SUMIFS(SeatExits,SeatDivision,$J71)+SUMIFS(SeatExits,SeatDepartment,$J71)+SUMIFS(SeatExits,SeatUnit,$J71)+SUMIFS(SeatExits,SeatSubUnit,$J71)</f>
        <v>0</v>
      </c>
      <c r="G71" s="20" t="n">
        <f aca="false">SUMIFS(AskTotal,AskDivision,$J71)+SUMIFS(AskTotal,AskDepartment,$J71)+SUMIFS(AskTotal,AskUnit,$J71)+SUMIFS(AskTotal,AskSubUnit,$J71)</f>
        <v>0</v>
      </c>
      <c r="H71" s="20" t="n">
        <f aca="false">$C71-$F71+$G71</f>
        <v>5</v>
      </c>
      <c r="I71" s="20" t="n">
        <f aca="false">$H71-$C71</f>
        <v>0</v>
      </c>
      <c r="J71" s="17" t="s">
        <v>196</v>
      </c>
    </row>
    <row r="72" customFormat="false" ht="15" hidden="false" customHeight="false" outlineLevel="5" collapsed="false">
      <c r="A72" s="17" t="s">
        <v>72</v>
      </c>
      <c r="B72" s="18" t="s">
        <v>197</v>
      </c>
      <c r="C72" s="19" t="n">
        <v>2</v>
      </c>
      <c r="D72" s="19" t="n">
        <v>1</v>
      </c>
      <c r="E72" s="19" t="n">
        <v>1</v>
      </c>
      <c r="F72" s="20" t="n">
        <f aca="false">SUMIFS(SeatExits,SeatDivision,$J72)+SUMIFS(SeatExits,SeatDepartment,$J72)+SUMIFS(SeatExits,SeatUnit,$J72)+SUMIFS(SeatExits,SeatSubUnit,$J72)</f>
        <v>0</v>
      </c>
      <c r="G72" s="20" t="n">
        <f aca="false">SUMIFS(AskTotal,AskDivision,$J72)+SUMIFS(AskTotal,AskDepartment,$J72)+SUMIFS(AskTotal,AskUnit,$J72)+SUMIFS(AskTotal,AskSubUnit,$J72)</f>
        <v>0</v>
      </c>
      <c r="H72" s="20" t="n">
        <f aca="false">$C72-$F72+$G72</f>
        <v>2</v>
      </c>
      <c r="I72" s="20" t="n">
        <f aca="false">$H72-$C72</f>
        <v>0</v>
      </c>
      <c r="J72" s="17" t="s">
        <v>198</v>
      </c>
    </row>
    <row r="73" customFormat="false" ht="15" hidden="false" customHeight="false" outlineLevel="4" collapsed="false">
      <c r="A73" s="17" t="s">
        <v>69</v>
      </c>
      <c r="B73" s="18" t="s">
        <v>199</v>
      </c>
      <c r="C73" s="19" t="n">
        <v>10</v>
      </c>
      <c r="D73" s="19" t="n">
        <v>9</v>
      </c>
      <c r="E73" s="19" t="n">
        <v>1</v>
      </c>
      <c r="F73" s="20" t="n">
        <f aca="false">SUMIFS(SeatExits,SeatDivision,$J73)+SUMIFS(SeatExits,SeatDepartment,$J73)+SUMIFS(SeatExits,SeatUnit,$J73)+SUMIFS(SeatExits,SeatSubUnit,$J73)</f>
        <v>0</v>
      </c>
      <c r="G73" s="20" t="n">
        <f aca="false">SUMIFS(AskTotal,AskDivision,$J73)+SUMIFS(AskTotal,AskDepartment,$J73)+SUMIFS(AskTotal,AskUnit,$J73)+SUMIFS(AskTotal,AskSubUnit,$J73)</f>
        <v>0</v>
      </c>
      <c r="H73" s="20" t="n">
        <f aca="false">$C73-$F73+$G73</f>
        <v>10</v>
      </c>
      <c r="I73" s="20" t="n">
        <f aca="false">$H73-$C73</f>
        <v>0</v>
      </c>
      <c r="J73" s="17" t="s">
        <v>200</v>
      </c>
    </row>
    <row r="74" customFormat="false" ht="15" hidden="false" customHeight="false" outlineLevel="5" collapsed="false">
      <c r="A74" s="17" t="s">
        <v>72</v>
      </c>
      <c r="B74" s="18" t="s">
        <v>201</v>
      </c>
      <c r="C74" s="19" t="n">
        <v>5</v>
      </c>
      <c r="D74" s="19" t="n">
        <v>4</v>
      </c>
      <c r="E74" s="19" t="n">
        <v>1</v>
      </c>
      <c r="F74" s="20" t="n">
        <f aca="false">SUMIFS(SeatExits,SeatDivision,$J74)+SUMIFS(SeatExits,SeatDepartment,$J74)+SUMIFS(SeatExits,SeatUnit,$J74)+SUMIFS(SeatExits,SeatSubUnit,$J74)</f>
        <v>0</v>
      </c>
      <c r="G74" s="20" t="n">
        <f aca="false">SUMIFS(AskTotal,AskDivision,$J74)+SUMIFS(AskTotal,AskDepartment,$J74)+SUMIFS(AskTotal,AskUnit,$J74)+SUMIFS(AskTotal,AskSubUnit,$J74)</f>
        <v>0</v>
      </c>
      <c r="H74" s="20" t="n">
        <f aca="false">$C74-$F74+$G74</f>
        <v>5</v>
      </c>
      <c r="I74" s="20" t="n">
        <f aca="false">$H74-$C74</f>
        <v>0</v>
      </c>
      <c r="J74" s="17" t="s">
        <v>202</v>
      </c>
    </row>
    <row r="75" customFormat="false" ht="15" hidden="false" customHeight="false" outlineLevel="5" collapsed="false">
      <c r="A75" s="17" t="s">
        <v>72</v>
      </c>
      <c r="B75" s="18" t="s">
        <v>203</v>
      </c>
      <c r="C75" s="19" t="n">
        <v>4</v>
      </c>
      <c r="D75" s="19" t="n">
        <v>4</v>
      </c>
      <c r="E75" s="19" t="n">
        <v>0</v>
      </c>
      <c r="F75" s="20" t="n">
        <f aca="false">SUMIFS(SeatExits,SeatDivision,$J75)+SUMIFS(SeatExits,SeatDepartment,$J75)+SUMIFS(SeatExits,SeatUnit,$J75)+SUMIFS(SeatExits,SeatSubUnit,$J75)</f>
        <v>0</v>
      </c>
      <c r="G75" s="20" t="n">
        <f aca="false">SUMIFS(AskTotal,AskDivision,$J75)+SUMIFS(AskTotal,AskDepartment,$J75)+SUMIFS(AskTotal,AskUnit,$J75)+SUMIFS(AskTotal,AskSubUnit,$J75)</f>
        <v>0</v>
      </c>
      <c r="H75" s="20" t="n">
        <f aca="false">$C75-$F75+$G75</f>
        <v>4</v>
      </c>
      <c r="I75" s="20" t="n">
        <f aca="false">$H75-$C75</f>
        <v>0</v>
      </c>
      <c r="J75" s="17" t="s">
        <v>204</v>
      </c>
    </row>
    <row r="76" customFormat="false" ht="15" hidden="false" customHeight="false" outlineLevel="3" collapsed="false">
      <c r="A76" s="17" t="s">
        <v>50</v>
      </c>
      <c r="B76" s="18" t="s">
        <v>205</v>
      </c>
      <c r="C76" s="19" t="n">
        <v>15</v>
      </c>
      <c r="D76" s="19" t="n">
        <v>14</v>
      </c>
      <c r="E76" s="19" t="n">
        <v>1</v>
      </c>
      <c r="F76" s="20" t="n">
        <f aca="false">SUMIFS(SeatExits,SeatDivision,$J76)+SUMIFS(SeatExits,SeatDepartment,$J76)+SUMIFS(SeatExits,SeatUnit,$J76)+SUMIFS(SeatExits,SeatSubUnit,$J76)</f>
        <v>0</v>
      </c>
      <c r="G76" s="20" t="n">
        <f aca="false">SUMIFS(AskTotal,AskDivision,$J76)+SUMIFS(AskTotal,AskDepartment,$J76)+SUMIFS(AskTotal,AskUnit,$J76)+SUMIFS(AskTotal,AskSubUnit,$J76)</f>
        <v>0</v>
      </c>
      <c r="H76" s="20" t="n">
        <f aca="false">$C76-$F76+$G76</f>
        <v>15</v>
      </c>
      <c r="I76" s="20" t="n">
        <f aca="false">$H76-$C76</f>
        <v>0</v>
      </c>
      <c r="J76" s="17" t="s">
        <v>206</v>
      </c>
    </row>
    <row r="77" customFormat="false" ht="15" hidden="false" customHeight="false" outlineLevel="4" collapsed="false">
      <c r="A77" s="17" t="s">
        <v>69</v>
      </c>
      <c r="B77" s="18" t="s">
        <v>207</v>
      </c>
      <c r="C77" s="19" t="n">
        <v>7</v>
      </c>
      <c r="D77" s="19" t="n">
        <v>7</v>
      </c>
      <c r="E77" s="19" t="n">
        <v>0</v>
      </c>
      <c r="F77" s="20" t="n">
        <f aca="false">SUMIFS(SeatExits,SeatDivision,$J77)+SUMIFS(SeatExits,SeatDepartment,$J77)+SUMIFS(SeatExits,SeatUnit,$J77)+SUMIFS(SeatExits,SeatSubUnit,$J77)</f>
        <v>0</v>
      </c>
      <c r="G77" s="20" t="n">
        <f aca="false">SUMIFS(AskTotal,AskDivision,$J77)+SUMIFS(AskTotal,AskDepartment,$J77)+SUMIFS(AskTotal,AskUnit,$J77)+SUMIFS(AskTotal,AskSubUnit,$J77)</f>
        <v>0</v>
      </c>
      <c r="H77" s="20" t="n">
        <f aca="false">$C77-$F77+$G77</f>
        <v>7</v>
      </c>
      <c r="I77" s="20" t="n">
        <f aca="false">$H77-$C77</f>
        <v>0</v>
      </c>
      <c r="J77" s="17" t="s">
        <v>208</v>
      </c>
    </row>
    <row r="78" customFormat="false" ht="15" hidden="false" customHeight="false" outlineLevel="5" collapsed="false">
      <c r="A78" s="17" t="s">
        <v>72</v>
      </c>
      <c r="B78" s="18" t="s">
        <v>209</v>
      </c>
      <c r="C78" s="19" t="n">
        <v>4</v>
      </c>
      <c r="D78" s="19" t="n">
        <v>4</v>
      </c>
      <c r="E78" s="19" t="n">
        <v>0</v>
      </c>
      <c r="F78" s="20" t="n">
        <f aca="false">SUMIFS(SeatExits,SeatDivision,$J78)+SUMIFS(SeatExits,SeatDepartment,$J78)+SUMIFS(SeatExits,SeatUnit,$J78)+SUMIFS(SeatExits,SeatSubUnit,$J78)</f>
        <v>0</v>
      </c>
      <c r="G78" s="20" t="n">
        <f aca="false">SUMIFS(AskTotal,AskDivision,$J78)+SUMIFS(AskTotal,AskDepartment,$J78)+SUMIFS(AskTotal,AskUnit,$J78)+SUMIFS(AskTotal,AskSubUnit,$J78)</f>
        <v>0</v>
      </c>
      <c r="H78" s="20" t="n">
        <f aca="false">$C78-$F78+$G78</f>
        <v>4</v>
      </c>
      <c r="I78" s="20" t="n">
        <f aca="false">$H78-$C78</f>
        <v>0</v>
      </c>
      <c r="J78" s="17" t="s">
        <v>210</v>
      </c>
    </row>
    <row r="79" customFormat="false" ht="15" hidden="false" customHeight="false" outlineLevel="5" collapsed="false">
      <c r="A79" s="17" t="s">
        <v>72</v>
      </c>
      <c r="B79" s="18" t="s">
        <v>211</v>
      </c>
      <c r="C79" s="19" t="n">
        <v>2</v>
      </c>
      <c r="D79" s="19" t="n">
        <v>2</v>
      </c>
      <c r="E79" s="19" t="n">
        <v>0</v>
      </c>
      <c r="F79" s="20" t="n">
        <f aca="false">SUMIFS(SeatExits,SeatDivision,$J79)+SUMIFS(SeatExits,SeatDepartment,$J79)+SUMIFS(SeatExits,SeatUnit,$J79)+SUMIFS(SeatExits,SeatSubUnit,$J79)</f>
        <v>0</v>
      </c>
      <c r="G79" s="20" t="n">
        <f aca="false">SUMIFS(AskTotal,AskDivision,$J79)+SUMIFS(AskTotal,AskDepartment,$J79)+SUMIFS(AskTotal,AskUnit,$J79)+SUMIFS(AskTotal,AskSubUnit,$J79)</f>
        <v>0</v>
      </c>
      <c r="H79" s="20" t="n">
        <f aca="false">$C79-$F79+$G79</f>
        <v>2</v>
      </c>
      <c r="I79" s="20" t="n">
        <f aca="false">$H79-$C79</f>
        <v>0</v>
      </c>
      <c r="J79" s="17" t="s">
        <v>212</v>
      </c>
    </row>
    <row r="80" customFormat="false" ht="15" hidden="false" customHeight="false" outlineLevel="4" collapsed="false">
      <c r="A80" s="17" t="s">
        <v>69</v>
      </c>
      <c r="B80" s="18" t="s">
        <v>213</v>
      </c>
      <c r="C80" s="19" t="n">
        <v>7</v>
      </c>
      <c r="D80" s="19" t="n">
        <v>6</v>
      </c>
      <c r="E80" s="19" t="n">
        <v>1</v>
      </c>
      <c r="F80" s="20" t="n">
        <f aca="false">SUMIFS(SeatExits,SeatDivision,$J80)+SUMIFS(SeatExits,SeatDepartment,$J80)+SUMIFS(SeatExits,SeatUnit,$J80)+SUMIFS(SeatExits,SeatSubUnit,$J80)</f>
        <v>0</v>
      </c>
      <c r="G80" s="20" t="n">
        <f aca="false">SUMIFS(AskTotal,AskDivision,$J80)+SUMIFS(AskTotal,AskDepartment,$J80)+SUMIFS(AskTotal,AskUnit,$J80)+SUMIFS(AskTotal,AskSubUnit,$J80)</f>
        <v>0</v>
      </c>
      <c r="H80" s="20" t="n">
        <f aca="false">$C80-$F80+$G80</f>
        <v>7</v>
      </c>
      <c r="I80" s="20" t="n">
        <f aca="false">$H80-$C80</f>
        <v>0</v>
      </c>
      <c r="J80" s="17" t="s">
        <v>214</v>
      </c>
    </row>
    <row r="81" customFormat="false" ht="15" hidden="false" customHeight="false" outlineLevel="5" collapsed="false">
      <c r="A81" s="17" t="s">
        <v>72</v>
      </c>
      <c r="B81" s="18" t="s">
        <v>215</v>
      </c>
      <c r="C81" s="19" t="n">
        <v>2</v>
      </c>
      <c r="D81" s="19" t="n">
        <v>2</v>
      </c>
      <c r="E81" s="19" t="n">
        <v>0</v>
      </c>
      <c r="F81" s="20" t="n">
        <f aca="false">SUMIFS(SeatExits,SeatDivision,$J81)+SUMIFS(SeatExits,SeatDepartment,$J81)+SUMIFS(SeatExits,SeatUnit,$J81)+SUMIFS(SeatExits,SeatSubUnit,$J81)</f>
        <v>0</v>
      </c>
      <c r="G81" s="20" t="n">
        <f aca="false">SUMIFS(AskTotal,AskDivision,$J81)+SUMIFS(AskTotal,AskDepartment,$J81)+SUMIFS(AskTotal,AskUnit,$J81)+SUMIFS(AskTotal,AskSubUnit,$J81)</f>
        <v>0</v>
      </c>
      <c r="H81" s="20" t="n">
        <f aca="false">$C81-$F81+$G81</f>
        <v>2</v>
      </c>
      <c r="I81" s="20" t="n">
        <f aca="false">$H81-$C81</f>
        <v>0</v>
      </c>
      <c r="J81" s="17" t="s">
        <v>216</v>
      </c>
    </row>
    <row r="82" customFormat="false" ht="15" hidden="false" customHeight="false" outlineLevel="5" collapsed="false">
      <c r="A82" s="17" t="s">
        <v>72</v>
      </c>
      <c r="B82" s="18" t="s">
        <v>217</v>
      </c>
      <c r="C82" s="19" t="n">
        <v>4</v>
      </c>
      <c r="D82" s="19" t="n">
        <v>3</v>
      </c>
      <c r="E82" s="19" t="n">
        <v>1</v>
      </c>
      <c r="F82" s="20" t="n">
        <f aca="false">SUMIFS(SeatExits,SeatDivision,$J82)+SUMIFS(SeatExits,SeatDepartment,$J82)+SUMIFS(SeatExits,SeatUnit,$J82)+SUMIFS(SeatExits,SeatSubUnit,$J82)</f>
        <v>0</v>
      </c>
      <c r="G82" s="20" t="n">
        <f aca="false">SUMIFS(AskTotal,AskDivision,$J82)+SUMIFS(AskTotal,AskDepartment,$J82)+SUMIFS(AskTotal,AskUnit,$J82)+SUMIFS(AskTotal,AskSubUnit,$J82)</f>
        <v>0</v>
      </c>
      <c r="H82" s="20" t="n">
        <f aca="false">$C82-$F82+$G82</f>
        <v>4</v>
      </c>
      <c r="I82" s="20" t="n">
        <f aca="false">$H82-$C82</f>
        <v>0</v>
      </c>
      <c r="J82" s="17" t="s">
        <v>218</v>
      </c>
    </row>
    <row r="83" customFormat="false" ht="15" hidden="false" customHeight="false" outlineLevel="1" collapsed="false">
      <c r="A83" s="13" t="s">
        <v>61</v>
      </c>
      <c r="B83" s="14" t="s">
        <v>219</v>
      </c>
      <c r="C83" s="15" t="n">
        <v>105</v>
      </c>
      <c r="D83" s="15" t="n">
        <v>95</v>
      </c>
      <c r="E83" s="15" t="n">
        <v>10</v>
      </c>
      <c r="F83" s="16" t="n">
        <f aca="false">SUMIFS(SeatExits,SeatDivision,$J83)+SUMIFS(SeatExits,SeatDepartment,$J83)+SUMIFS(SeatExits,SeatUnit,$J83)+SUMIFS(SeatExits,SeatSubUnit,$J83)</f>
        <v>0</v>
      </c>
      <c r="G83" s="16" t="n">
        <f aca="false">SUMIFS(AskTotal,AskDivision,$J83)+SUMIFS(AskTotal,AskDepartment,$J83)+SUMIFS(AskTotal,AskUnit,$J83)+SUMIFS(AskTotal,AskSubUnit,$J83)</f>
        <v>0</v>
      </c>
      <c r="H83" s="16" t="n">
        <f aca="false">$C83-$F83+$G83</f>
        <v>105</v>
      </c>
      <c r="I83" s="16" t="n">
        <f aca="false">$H83-$C83</f>
        <v>0</v>
      </c>
      <c r="J83" s="17" t="s">
        <v>220</v>
      </c>
    </row>
    <row r="84" customFormat="false" ht="15" hidden="false" customHeight="false" outlineLevel="2" collapsed="false">
      <c r="A84" s="17" t="s">
        <v>64</v>
      </c>
      <c r="B84" s="18" t="s">
        <v>221</v>
      </c>
      <c r="C84" s="19" t="n">
        <v>34</v>
      </c>
      <c r="D84" s="19" t="n">
        <v>31</v>
      </c>
      <c r="E84" s="19" t="n">
        <v>3</v>
      </c>
      <c r="F84" s="20" t="n">
        <f aca="false">SUMIFS(SeatExits,SeatDivision,$J84)+SUMIFS(SeatExits,SeatDepartment,$J84)+SUMIFS(SeatExits,SeatUnit,$J84)+SUMIFS(SeatExits,SeatSubUnit,$J84)</f>
        <v>0</v>
      </c>
      <c r="G84" s="20" t="n">
        <f aca="false">SUMIFS(AskTotal,AskDivision,$J84)+SUMIFS(AskTotal,AskDepartment,$J84)+SUMIFS(AskTotal,AskUnit,$J84)+SUMIFS(AskTotal,AskSubUnit,$J84)</f>
        <v>0</v>
      </c>
      <c r="H84" s="20" t="n">
        <f aca="false">$C84-$F84+$G84</f>
        <v>34</v>
      </c>
      <c r="I84" s="20" t="n">
        <f aca="false">$H84-$C84</f>
        <v>0</v>
      </c>
      <c r="J84" s="17" t="s">
        <v>222</v>
      </c>
    </row>
    <row r="85" customFormat="false" ht="15" hidden="false" customHeight="false" outlineLevel="3" collapsed="false">
      <c r="A85" s="17" t="s">
        <v>50</v>
      </c>
      <c r="B85" s="18" t="s">
        <v>223</v>
      </c>
      <c r="C85" s="19" t="n">
        <v>14</v>
      </c>
      <c r="D85" s="19" t="n">
        <v>13</v>
      </c>
      <c r="E85" s="19" t="n">
        <v>1</v>
      </c>
      <c r="F85" s="20" t="n">
        <f aca="false">SUMIFS(SeatExits,SeatDivision,$J85)+SUMIFS(SeatExits,SeatDepartment,$J85)+SUMIFS(SeatExits,SeatUnit,$J85)+SUMIFS(SeatExits,SeatSubUnit,$J85)</f>
        <v>0</v>
      </c>
      <c r="G85" s="20" t="n">
        <f aca="false">SUMIFS(AskTotal,AskDivision,$J85)+SUMIFS(AskTotal,AskDepartment,$J85)+SUMIFS(AskTotal,AskUnit,$J85)+SUMIFS(AskTotal,AskSubUnit,$J85)</f>
        <v>0</v>
      </c>
      <c r="H85" s="20" t="n">
        <f aca="false">$C85-$F85+$G85</f>
        <v>14</v>
      </c>
      <c r="I85" s="20" t="n">
        <f aca="false">$H85-$C85</f>
        <v>0</v>
      </c>
      <c r="J85" s="17" t="s">
        <v>224</v>
      </c>
    </row>
    <row r="86" customFormat="false" ht="15" hidden="false" customHeight="false" outlineLevel="4" collapsed="false">
      <c r="A86" s="17" t="s">
        <v>69</v>
      </c>
      <c r="B86" s="18" t="s">
        <v>225</v>
      </c>
      <c r="C86" s="19" t="n">
        <v>7</v>
      </c>
      <c r="D86" s="19" t="n">
        <v>6</v>
      </c>
      <c r="E86" s="19" t="n">
        <v>1</v>
      </c>
      <c r="F86" s="20" t="n">
        <f aca="false">SUMIFS(SeatExits,SeatDivision,$J86)+SUMIFS(SeatExits,SeatDepartment,$J86)+SUMIFS(SeatExits,SeatUnit,$J86)+SUMIFS(SeatExits,SeatSubUnit,$J86)</f>
        <v>0</v>
      </c>
      <c r="G86" s="20" t="n">
        <f aca="false">SUMIFS(AskTotal,AskDivision,$J86)+SUMIFS(AskTotal,AskDepartment,$J86)+SUMIFS(AskTotal,AskUnit,$J86)+SUMIFS(AskTotal,AskSubUnit,$J86)</f>
        <v>0</v>
      </c>
      <c r="H86" s="20" t="n">
        <f aca="false">$C86-$F86+$G86</f>
        <v>7</v>
      </c>
      <c r="I86" s="20" t="n">
        <f aca="false">$H86-$C86</f>
        <v>0</v>
      </c>
      <c r="J86" s="17" t="s">
        <v>226</v>
      </c>
    </row>
    <row r="87" customFormat="false" ht="15" hidden="false" customHeight="false" outlineLevel="5" collapsed="false">
      <c r="A87" s="17" t="s">
        <v>72</v>
      </c>
      <c r="B87" s="18" t="s">
        <v>227</v>
      </c>
      <c r="C87" s="19" t="n">
        <v>4</v>
      </c>
      <c r="D87" s="19" t="n">
        <v>3</v>
      </c>
      <c r="E87" s="19" t="n">
        <v>1</v>
      </c>
      <c r="F87" s="20" t="n">
        <f aca="false">SUMIFS(SeatExits,SeatDivision,$J87)+SUMIFS(SeatExits,SeatDepartment,$J87)+SUMIFS(SeatExits,SeatUnit,$J87)+SUMIFS(SeatExits,SeatSubUnit,$J87)</f>
        <v>0</v>
      </c>
      <c r="G87" s="20" t="n">
        <f aca="false">SUMIFS(AskTotal,AskDivision,$J87)+SUMIFS(AskTotal,AskDepartment,$J87)+SUMIFS(AskTotal,AskUnit,$J87)+SUMIFS(AskTotal,AskSubUnit,$J87)</f>
        <v>0</v>
      </c>
      <c r="H87" s="20" t="n">
        <f aca="false">$C87-$F87+$G87</f>
        <v>4</v>
      </c>
      <c r="I87" s="20" t="n">
        <f aca="false">$H87-$C87</f>
        <v>0</v>
      </c>
      <c r="J87" s="17" t="s">
        <v>228</v>
      </c>
    </row>
    <row r="88" customFormat="false" ht="15" hidden="false" customHeight="false" outlineLevel="5" collapsed="false">
      <c r="A88" s="17" t="s">
        <v>72</v>
      </c>
      <c r="B88" s="18" t="s">
        <v>229</v>
      </c>
      <c r="C88" s="19" t="n">
        <v>2</v>
      </c>
      <c r="D88" s="19" t="n">
        <v>2</v>
      </c>
      <c r="E88" s="19" t="n">
        <v>0</v>
      </c>
      <c r="F88" s="20" t="n">
        <f aca="false">SUMIFS(SeatExits,SeatDivision,$J88)+SUMIFS(SeatExits,SeatDepartment,$J88)+SUMIFS(SeatExits,SeatUnit,$J88)+SUMIFS(SeatExits,SeatSubUnit,$J88)</f>
        <v>0</v>
      </c>
      <c r="G88" s="20" t="n">
        <f aca="false">SUMIFS(AskTotal,AskDivision,$J88)+SUMIFS(AskTotal,AskDepartment,$J88)+SUMIFS(AskTotal,AskUnit,$J88)+SUMIFS(AskTotal,AskSubUnit,$J88)</f>
        <v>0</v>
      </c>
      <c r="H88" s="20" t="n">
        <f aca="false">$C88-$F88+$G88</f>
        <v>2</v>
      </c>
      <c r="I88" s="20" t="n">
        <f aca="false">$H88-$C88</f>
        <v>0</v>
      </c>
      <c r="J88" s="17" t="s">
        <v>230</v>
      </c>
    </row>
    <row r="89" customFormat="false" ht="15" hidden="false" customHeight="false" outlineLevel="4" collapsed="false">
      <c r="A89" s="17" t="s">
        <v>69</v>
      </c>
      <c r="B89" s="18" t="s">
        <v>231</v>
      </c>
      <c r="C89" s="19" t="n">
        <v>6</v>
      </c>
      <c r="D89" s="19" t="n">
        <v>6</v>
      </c>
      <c r="E89" s="19" t="n">
        <v>0</v>
      </c>
      <c r="F89" s="20" t="n">
        <f aca="false">SUMIFS(SeatExits,SeatDivision,$J89)+SUMIFS(SeatExits,SeatDepartment,$J89)+SUMIFS(SeatExits,SeatUnit,$J89)+SUMIFS(SeatExits,SeatSubUnit,$J89)</f>
        <v>0</v>
      </c>
      <c r="G89" s="20" t="n">
        <f aca="false">SUMIFS(AskTotal,AskDivision,$J89)+SUMIFS(AskTotal,AskDepartment,$J89)+SUMIFS(AskTotal,AskUnit,$J89)+SUMIFS(AskTotal,AskSubUnit,$J89)</f>
        <v>0</v>
      </c>
      <c r="H89" s="20" t="n">
        <f aca="false">$C89-$F89+$G89</f>
        <v>6</v>
      </c>
      <c r="I89" s="20" t="n">
        <f aca="false">$H89-$C89</f>
        <v>0</v>
      </c>
      <c r="J89" s="17" t="s">
        <v>232</v>
      </c>
    </row>
    <row r="90" customFormat="false" ht="15" hidden="false" customHeight="false" outlineLevel="5" collapsed="false">
      <c r="A90" s="17" t="s">
        <v>72</v>
      </c>
      <c r="B90" s="18" t="s">
        <v>233</v>
      </c>
      <c r="C90" s="19" t="n">
        <v>2</v>
      </c>
      <c r="D90" s="19" t="n">
        <v>2</v>
      </c>
      <c r="E90" s="19" t="n">
        <v>0</v>
      </c>
      <c r="F90" s="20" t="n">
        <f aca="false">SUMIFS(SeatExits,SeatDivision,$J90)+SUMIFS(SeatExits,SeatDepartment,$J90)+SUMIFS(SeatExits,SeatUnit,$J90)+SUMIFS(SeatExits,SeatSubUnit,$J90)</f>
        <v>0</v>
      </c>
      <c r="G90" s="20" t="n">
        <f aca="false">SUMIFS(AskTotal,AskDivision,$J90)+SUMIFS(AskTotal,AskDepartment,$J90)+SUMIFS(AskTotal,AskUnit,$J90)+SUMIFS(AskTotal,AskSubUnit,$J90)</f>
        <v>0</v>
      </c>
      <c r="H90" s="20" t="n">
        <f aca="false">$C90-$F90+$G90</f>
        <v>2</v>
      </c>
      <c r="I90" s="20" t="n">
        <f aca="false">$H90-$C90</f>
        <v>0</v>
      </c>
      <c r="J90" s="17" t="s">
        <v>234</v>
      </c>
    </row>
    <row r="91" customFormat="false" ht="15" hidden="false" customHeight="false" outlineLevel="5" collapsed="false">
      <c r="A91" s="17" t="s">
        <v>72</v>
      </c>
      <c r="B91" s="18" t="s">
        <v>235</v>
      </c>
      <c r="C91" s="19" t="n">
        <v>3</v>
      </c>
      <c r="D91" s="19" t="n">
        <v>3</v>
      </c>
      <c r="E91" s="19" t="n">
        <v>0</v>
      </c>
      <c r="F91" s="20" t="n">
        <f aca="false">SUMIFS(SeatExits,SeatDivision,$J91)+SUMIFS(SeatExits,SeatDepartment,$J91)+SUMIFS(SeatExits,SeatUnit,$J91)+SUMIFS(SeatExits,SeatSubUnit,$J91)</f>
        <v>0</v>
      </c>
      <c r="G91" s="20" t="n">
        <f aca="false">SUMIFS(AskTotal,AskDivision,$J91)+SUMIFS(AskTotal,AskDepartment,$J91)+SUMIFS(AskTotal,AskUnit,$J91)+SUMIFS(AskTotal,AskSubUnit,$J91)</f>
        <v>0</v>
      </c>
      <c r="H91" s="20" t="n">
        <f aca="false">$C91-$F91+$G91</f>
        <v>3</v>
      </c>
      <c r="I91" s="20" t="n">
        <f aca="false">$H91-$C91</f>
        <v>0</v>
      </c>
      <c r="J91" s="17" t="s">
        <v>236</v>
      </c>
    </row>
    <row r="92" customFormat="false" ht="15" hidden="false" customHeight="false" outlineLevel="3" collapsed="false">
      <c r="A92" s="17" t="s">
        <v>50</v>
      </c>
      <c r="B92" s="18" t="s">
        <v>237</v>
      </c>
      <c r="C92" s="19" t="n">
        <v>19</v>
      </c>
      <c r="D92" s="19" t="n">
        <v>17</v>
      </c>
      <c r="E92" s="19" t="n">
        <v>2</v>
      </c>
      <c r="F92" s="20" t="n">
        <f aca="false">SUMIFS(SeatExits,SeatDivision,$J92)+SUMIFS(SeatExits,SeatDepartment,$J92)+SUMIFS(SeatExits,SeatUnit,$J92)+SUMIFS(SeatExits,SeatSubUnit,$J92)</f>
        <v>0</v>
      </c>
      <c r="G92" s="20" t="n">
        <f aca="false">SUMIFS(AskTotal,AskDivision,$J92)+SUMIFS(AskTotal,AskDepartment,$J92)+SUMIFS(AskTotal,AskUnit,$J92)+SUMIFS(AskTotal,AskSubUnit,$J92)</f>
        <v>0</v>
      </c>
      <c r="H92" s="20" t="n">
        <f aca="false">$C92-$F92+$G92</f>
        <v>19</v>
      </c>
      <c r="I92" s="20" t="n">
        <f aca="false">$H92-$C92</f>
        <v>0</v>
      </c>
      <c r="J92" s="17" t="s">
        <v>238</v>
      </c>
    </row>
    <row r="93" customFormat="false" ht="15" hidden="false" customHeight="false" outlineLevel="4" collapsed="false">
      <c r="A93" s="17" t="s">
        <v>69</v>
      </c>
      <c r="B93" s="18" t="s">
        <v>239</v>
      </c>
      <c r="C93" s="19" t="n">
        <v>10</v>
      </c>
      <c r="D93" s="19" t="n">
        <v>8</v>
      </c>
      <c r="E93" s="19" t="n">
        <v>2</v>
      </c>
      <c r="F93" s="20" t="n">
        <f aca="false">SUMIFS(SeatExits,SeatDivision,$J93)+SUMIFS(SeatExits,SeatDepartment,$J93)+SUMIFS(SeatExits,SeatUnit,$J93)+SUMIFS(SeatExits,SeatSubUnit,$J93)</f>
        <v>0</v>
      </c>
      <c r="G93" s="20" t="n">
        <f aca="false">SUMIFS(AskTotal,AskDivision,$J93)+SUMIFS(AskTotal,AskDepartment,$J93)+SUMIFS(AskTotal,AskUnit,$J93)+SUMIFS(AskTotal,AskSubUnit,$J93)</f>
        <v>0</v>
      </c>
      <c r="H93" s="20" t="n">
        <f aca="false">$C93-$F93+$G93</f>
        <v>10</v>
      </c>
      <c r="I93" s="20" t="n">
        <f aca="false">$H93-$C93</f>
        <v>0</v>
      </c>
      <c r="J93" s="17" t="s">
        <v>240</v>
      </c>
    </row>
    <row r="94" customFormat="false" ht="15" hidden="false" customHeight="false" outlineLevel="5" collapsed="false">
      <c r="A94" s="17" t="s">
        <v>72</v>
      </c>
      <c r="B94" s="18" t="s">
        <v>241</v>
      </c>
      <c r="C94" s="19" t="n">
        <v>2</v>
      </c>
      <c r="D94" s="19" t="n">
        <v>2</v>
      </c>
      <c r="E94" s="19" t="n">
        <v>0</v>
      </c>
      <c r="F94" s="20" t="n">
        <f aca="false">SUMIFS(SeatExits,SeatDivision,$J94)+SUMIFS(SeatExits,SeatDepartment,$J94)+SUMIFS(SeatExits,SeatUnit,$J94)+SUMIFS(SeatExits,SeatSubUnit,$J94)</f>
        <v>0</v>
      </c>
      <c r="G94" s="20" t="n">
        <f aca="false">SUMIFS(AskTotal,AskDivision,$J94)+SUMIFS(AskTotal,AskDepartment,$J94)+SUMIFS(AskTotal,AskUnit,$J94)+SUMIFS(AskTotal,AskSubUnit,$J94)</f>
        <v>0</v>
      </c>
      <c r="H94" s="20" t="n">
        <f aca="false">$C94-$F94+$G94</f>
        <v>2</v>
      </c>
      <c r="I94" s="20" t="n">
        <f aca="false">$H94-$C94</f>
        <v>0</v>
      </c>
      <c r="J94" s="17" t="s">
        <v>242</v>
      </c>
    </row>
    <row r="95" customFormat="false" ht="15" hidden="false" customHeight="false" outlineLevel="5" collapsed="false">
      <c r="A95" s="17" t="s">
        <v>72</v>
      </c>
      <c r="B95" s="18" t="s">
        <v>243</v>
      </c>
      <c r="C95" s="19" t="n">
        <v>7</v>
      </c>
      <c r="D95" s="19" t="n">
        <v>5</v>
      </c>
      <c r="E95" s="19" t="n">
        <v>2</v>
      </c>
      <c r="F95" s="20" t="n">
        <f aca="false">SUMIFS(SeatExits,SeatDivision,$J95)+SUMIFS(SeatExits,SeatDepartment,$J95)+SUMIFS(SeatExits,SeatUnit,$J95)+SUMIFS(SeatExits,SeatSubUnit,$J95)</f>
        <v>0</v>
      </c>
      <c r="G95" s="20" t="n">
        <f aca="false">SUMIFS(AskTotal,AskDivision,$J95)+SUMIFS(AskTotal,AskDepartment,$J95)+SUMIFS(AskTotal,AskUnit,$J95)+SUMIFS(AskTotal,AskSubUnit,$J95)</f>
        <v>0</v>
      </c>
      <c r="H95" s="20" t="n">
        <f aca="false">$C95-$F95+$G95</f>
        <v>7</v>
      </c>
      <c r="I95" s="20" t="n">
        <f aca="false">$H95-$C95</f>
        <v>0</v>
      </c>
      <c r="J95" s="17" t="s">
        <v>244</v>
      </c>
    </row>
    <row r="96" customFormat="false" ht="15" hidden="false" customHeight="false" outlineLevel="4" collapsed="false">
      <c r="A96" s="17" t="s">
        <v>69</v>
      </c>
      <c r="B96" s="18" t="s">
        <v>245</v>
      </c>
      <c r="C96" s="19" t="n">
        <v>8</v>
      </c>
      <c r="D96" s="19" t="n">
        <v>8</v>
      </c>
      <c r="E96" s="19" t="n">
        <v>0</v>
      </c>
      <c r="F96" s="20" t="n">
        <f aca="false">SUMIFS(SeatExits,SeatDivision,$J96)+SUMIFS(SeatExits,SeatDepartment,$J96)+SUMIFS(SeatExits,SeatUnit,$J96)+SUMIFS(SeatExits,SeatSubUnit,$J96)</f>
        <v>0</v>
      </c>
      <c r="G96" s="20" t="n">
        <f aca="false">SUMIFS(AskTotal,AskDivision,$J96)+SUMIFS(AskTotal,AskDepartment,$J96)+SUMIFS(AskTotal,AskUnit,$J96)+SUMIFS(AskTotal,AskSubUnit,$J96)</f>
        <v>0</v>
      </c>
      <c r="H96" s="20" t="n">
        <f aca="false">$C96-$F96+$G96</f>
        <v>8</v>
      </c>
      <c r="I96" s="20" t="n">
        <f aca="false">$H96-$C96</f>
        <v>0</v>
      </c>
      <c r="J96" s="17" t="s">
        <v>246</v>
      </c>
    </row>
    <row r="97" customFormat="false" ht="15" hidden="false" customHeight="false" outlineLevel="5" collapsed="false">
      <c r="A97" s="17" t="s">
        <v>72</v>
      </c>
      <c r="B97" s="18" t="s">
        <v>247</v>
      </c>
      <c r="C97" s="19" t="n">
        <v>4</v>
      </c>
      <c r="D97" s="19" t="n">
        <v>4</v>
      </c>
      <c r="E97" s="19" t="n">
        <v>0</v>
      </c>
      <c r="F97" s="20" t="n">
        <f aca="false">SUMIFS(SeatExits,SeatDivision,$J97)+SUMIFS(SeatExits,SeatDepartment,$J97)+SUMIFS(SeatExits,SeatUnit,$J97)+SUMIFS(SeatExits,SeatSubUnit,$J97)</f>
        <v>0</v>
      </c>
      <c r="G97" s="20" t="n">
        <f aca="false">SUMIFS(AskTotal,AskDivision,$J97)+SUMIFS(AskTotal,AskDepartment,$J97)+SUMIFS(AskTotal,AskUnit,$J97)+SUMIFS(AskTotal,AskSubUnit,$J97)</f>
        <v>0</v>
      </c>
      <c r="H97" s="20" t="n">
        <f aca="false">$C97-$F97+$G97</f>
        <v>4</v>
      </c>
      <c r="I97" s="20" t="n">
        <f aca="false">$H97-$C97</f>
        <v>0</v>
      </c>
      <c r="J97" s="17" t="s">
        <v>248</v>
      </c>
    </row>
    <row r="98" customFormat="false" ht="15" hidden="false" customHeight="false" outlineLevel="5" collapsed="false">
      <c r="A98" s="17" t="s">
        <v>72</v>
      </c>
      <c r="B98" s="18" t="s">
        <v>249</v>
      </c>
      <c r="C98" s="19" t="n">
        <v>3</v>
      </c>
      <c r="D98" s="19" t="n">
        <v>3</v>
      </c>
      <c r="E98" s="19" t="n">
        <v>0</v>
      </c>
      <c r="F98" s="20" t="n">
        <f aca="false">SUMIFS(SeatExits,SeatDivision,$J98)+SUMIFS(SeatExits,SeatDepartment,$J98)+SUMIFS(SeatExits,SeatUnit,$J98)+SUMIFS(SeatExits,SeatSubUnit,$J98)</f>
        <v>0</v>
      </c>
      <c r="G98" s="20" t="n">
        <f aca="false">SUMIFS(AskTotal,AskDivision,$J98)+SUMIFS(AskTotal,AskDepartment,$J98)+SUMIFS(AskTotal,AskUnit,$J98)+SUMIFS(AskTotal,AskSubUnit,$J98)</f>
        <v>0</v>
      </c>
      <c r="H98" s="20" t="n">
        <f aca="false">$C98-$F98+$G98</f>
        <v>3</v>
      </c>
      <c r="I98" s="20" t="n">
        <f aca="false">$H98-$C98</f>
        <v>0</v>
      </c>
      <c r="J98" s="17" t="s">
        <v>250</v>
      </c>
    </row>
    <row r="99" customFormat="false" ht="15" hidden="false" customHeight="false" outlineLevel="2" collapsed="false">
      <c r="A99" s="17" t="s">
        <v>64</v>
      </c>
      <c r="B99" s="18" t="s">
        <v>251</v>
      </c>
      <c r="C99" s="19" t="n">
        <v>37</v>
      </c>
      <c r="D99" s="19" t="n">
        <v>34</v>
      </c>
      <c r="E99" s="19" t="n">
        <v>3</v>
      </c>
      <c r="F99" s="20" t="n">
        <f aca="false">SUMIFS(SeatExits,SeatDivision,$J99)+SUMIFS(SeatExits,SeatDepartment,$J99)+SUMIFS(SeatExits,SeatUnit,$J99)+SUMIFS(SeatExits,SeatSubUnit,$J99)</f>
        <v>0</v>
      </c>
      <c r="G99" s="20" t="n">
        <f aca="false">SUMIFS(AskTotal,AskDivision,$J99)+SUMIFS(AskTotal,AskDepartment,$J99)+SUMIFS(AskTotal,AskUnit,$J99)+SUMIFS(AskTotal,AskSubUnit,$J99)</f>
        <v>0</v>
      </c>
      <c r="H99" s="20" t="n">
        <f aca="false">$C99-$F99+$G99</f>
        <v>37</v>
      </c>
      <c r="I99" s="20" t="n">
        <f aca="false">$H99-$C99</f>
        <v>0</v>
      </c>
      <c r="J99" s="17" t="s">
        <v>252</v>
      </c>
    </row>
    <row r="100" customFormat="false" ht="15" hidden="false" customHeight="false" outlineLevel="3" collapsed="false">
      <c r="A100" s="17" t="s">
        <v>50</v>
      </c>
      <c r="B100" s="18" t="s">
        <v>253</v>
      </c>
      <c r="C100" s="19" t="n">
        <v>18</v>
      </c>
      <c r="D100" s="19" t="n">
        <v>16</v>
      </c>
      <c r="E100" s="19" t="n">
        <v>2</v>
      </c>
      <c r="F100" s="20" t="n">
        <f aca="false">SUMIFS(SeatExits,SeatDivision,$J100)+SUMIFS(SeatExits,SeatDepartment,$J100)+SUMIFS(SeatExits,SeatUnit,$J100)+SUMIFS(SeatExits,SeatSubUnit,$J100)</f>
        <v>0</v>
      </c>
      <c r="G100" s="20" t="n">
        <f aca="false">SUMIFS(AskTotal,AskDivision,$J100)+SUMIFS(AskTotal,AskDepartment,$J100)+SUMIFS(AskTotal,AskUnit,$J100)+SUMIFS(AskTotal,AskSubUnit,$J100)</f>
        <v>0</v>
      </c>
      <c r="H100" s="20" t="n">
        <f aca="false">$C100-$F100+$G100</f>
        <v>18</v>
      </c>
      <c r="I100" s="20" t="n">
        <f aca="false">$H100-$C100</f>
        <v>0</v>
      </c>
      <c r="J100" s="17" t="s">
        <v>254</v>
      </c>
    </row>
    <row r="101" customFormat="false" ht="15" hidden="false" customHeight="false" outlineLevel="4" collapsed="false">
      <c r="A101" s="17" t="s">
        <v>69</v>
      </c>
      <c r="B101" s="18" t="s">
        <v>255</v>
      </c>
      <c r="C101" s="19" t="n">
        <v>10</v>
      </c>
      <c r="D101" s="19" t="n">
        <v>8</v>
      </c>
      <c r="E101" s="19" t="n">
        <v>2</v>
      </c>
      <c r="F101" s="20" t="n">
        <f aca="false">SUMIFS(SeatExits,SeatDivision,$J101)+SUMIFS(SeatExits,SeatDepartment,$J101)+SUMIFS(SeatExits,SeatUnit,$J101)+SUMIFS(SeatExits,SeatSubUnit,$J101)</f>
        <v>0</v>
      </c>
      <c r="G101" s="20" t="n">
        <f aca="false">SUMIFS(AskTotal,AskDivision,$J101)+SUMIFS(AskTotal,AskDepartment,$J101)+SUMIFS(AskTotal,AskUnit,$J101)+SUMIFS(AskTotal,AskSubUnit,$J101)</f>
        <v>0</v>
      </c>
      <c r="H101" s="20" t="n">
        <f aca="false">$C101-$F101+$G101</f>
        <v>10</v>
      </c>
      <c r="I101" s="20" t="n">
        <f aca="false">$H101-$C101</f>
        <v>0</v>
      </c>
      <c r="J101" s="17" t="s">
        <v>256</v>
      </c>
    </row>
    <row r="102" customFormat="false" ht="15" hidden="false" customHeight="false" outlineLevel="5" collapsed="false">
      <c r="A102" s="17" t="s">
        <v>72</v>
      </c>
      <c r="B102" s="18" t="s">
        <v>257</v>
      </c>
      <c r="C102" s="19" t="n">
        <v>4</v>
      </c>
      <c r="D102" s="19" t="n">
        <v>4</v>
      </c>
      <c r="E102" s="19" t="n">
        <v>0</v>
      </c>
      <c r="F102" s="20" t="n">
        <f aca="false">SUMIFS(SeatExits,SeatDivision,$J102)+SUMIFS(SeatExits,SeatDepartment,$J102)+SUMIFS(SeatExits,SeatUnit,$J102)+SUMIFS(SeatExits,SeatSubUnit,$J102)</f>
        <v>0</v>
      </c>
      <c r="G102" s="20" t="n">
        <f aca="false">SUMIFS(AskTotal,AskDivision,$J102)+SUMIFS(AskTotal,AskDepartment,$J102)+SUMIFS(AskTotal,AskUnit,$J102)+SUMIFS(AskTotal,AskSubUnit,$J102)</f>
        <v>0</v>
      </c>
      <c r="H102" s="20" t="n">
        <f aca="false">$C102-$F102+$G102</f>
        <v>4</v>
      </c>
      <c r="I102" s="20" t="n">
        <f aca="false">$H102-$C102</f>
        <v>0</v>
      </c>
      <c r="J102" s="17" t="s">
        <v>258</v>
      </c>
    </row>
    <row r="103" customFormat="false" ht="15" hidden="false" customHeight="false" outlineLevel="5" collapsed="false">
      <c r="A103" s="17" t="s">
        <v>72</v>
      </c>
      <c r="B103" s="18" t="s">
        <v>259</v>
      </c>
      <c r="C103" s="19" t="n">
        <v>5</v>
      </c>
      <c r="D103" s="19" t="n">
        <v>3</v>
      </c>
      <c r="E103" s="19" t="n">
        <v>2</v>
      </c>
      <c r="F103" s="20" t="n">
        <f aca="false">SUMIFS(SeatExits,SeatDivision,$J103)+SUMIFS(SeatExits,SeatDepartment,$J103)+SUMIFS(SeatExits,SeatUnit,$J103)+SUMIFS(SeatExits,SeatSubUnit,$J103)</f>
        <v>0</v>
      </c>
      <c r="G103" s="20" t="n">
        <f aca="false">SUMIFS(AskTotal,AskDivision,$J103)+SUMIFS(AskTotal,AskDepartment,$J103)+SUMIFS(AskTotal,AskUnit,$J103)+SUMIFS(AskTotal,AskSubUnit,$J103)</f>
        <v>0</v>
      </c>
      <c r="H103" s="20" t="n">
        <f aca="false">$C103-$F103+$G103</f>
        <v>5</v>
      </c>
      <c r="I103" s="20" t="n">
        <f aca="false">$H103-$C103</f>
        <v>0</v>
      </c>
      <c r="J103" s="17" t="s">
        <v>260</v>
      </c>
    </row>
    <row r="104" customFormat="false" ht="15" hidden="false" customHeight="false" outlineLevel="4" collapsed="false">
      <c r="A104" s="17" t="s">
        <v>69</v>
      </c>
      <c r="B104" s="18" t="s">
        <v>261</v>
      </c>
      <c r="C104" s="19" t="n">
        <v>7</v>
      </c>
      <c r="D104" s="19" t="n">
        <v>7</v>
      </c>
      <c r="E104" s="19" t="n">
        <v>0</v>
      </c>
      <c r="F104" s="20" t="n">
        <f aca="false">SUMIFS(SeatExits,SeatDivision,$J104)+SUMIFS(SeatExits,SeatDepartment,$J104)+SUMIFS(SeatExits,SeatUnit,$J104)+SUMIFS(SeatExits,SeatSubUnit,$J104)</f>
        <v>0</v>
      </c>
      <c r="G104" s="20" t="n">
        <f aca="false">SUMIFS(AskTotal,AskDivision,$J104)+SUMIFS(AskTotal,AskDepartment,$J104)+SUMIFS(AskTotal,AskUnit,$J104)+SUMIFS(AskTotal,AskSubUnit,$J104)</f>
        <v>0</v>
      </c>
      <c r="H104" s="20" t="n">
        <f aca="false">$C104-$F104+$G104</f>
        <v>7</v>
      </c>
      <c r="I104" s="20" t="n">
        <f aca="false">$H104-$C104</f>
        <v>0</v>
      </c>
      <c r="J104" s="17" t="s">
        <v>262</v>
      </c>
    </row>
    <row r="105" customFormat="false" ht="15" hidden="false" customHeight="false" outlineLevel="5" collapsed="false">
      <c r="A105" s="17" t="s">
        <v>72</v>
      </c>
      <c r="B105" s="18" t="s">
        <v>263</v>
      </c>
      <c r="C105" s="19" t="n">
        <v>3</v>
      </c>
      <c r="D105" s="19" t="n">
        <v>3</v>
      </c>
      <c r="E105" s="19" t="n">
        <v>0</v>
      </c>
      <c r="F105" s="20" t="n">
        <f aca="false">SUMIFS(SeatExits,SeatDivision,$J105)+SUMIFS(SeatExits,SeatDepartment,$J105)+SUMIFS(SeatExits,SeatUnit,$J105)+SUMIFS(SeatExits,SeatSubUnit,$J105)</f>
        <v>0</v>
      </c>
      <c r="G105" s="20" t="n">
        <f aca="false">SUMIFS(AskTotal,AskDivision,$J105)+SUMIFS(AskTotal,AskDepartment,$J105)+SUMIFS(AskTotal,AskUnit,$J105)+SUMIFS(AskTotal,AskSubUnit,$J105)</f>
        <v>0</v>
      </c>
      <c r="H105" s="20" t="n">
        <f aca="false">$C105-$F105+$G105</f>
        <v>3</v>
      </c>
      <c r="I105" s="20" t="n">
        <f aca="false">$H105-$C105</f>
        <v>0</v>
      </c>
      <c r="J105" s="17" t="s">
        <v>264</v>
      </c>
    </row>
    <row r="106" customFormat="false" ht="15" hidden="false" customHeight="false" outlineLevel="5" collapsed="false">
      <c r="A106" s="17" t="s">
        <v>72</v>
      </c>
      <c r="B106" s="18" t="s">
        <v>265</v>
      </c>
      <c r="C106" s="19" t="n">
        <v>3</v>
      </c>
      <c r="D106" s="19" t="n">
        <v>3</v>
      </c>
      <c r="E106" s="19" t="n">
        <v>0</v>
      </c>
      <c r="F106" s="20" t="n">
        <f aca="false">SUMIFS(SeatExits,SeatDivision,$J106)+SUMIFS(SeatExits,SeatDepartment,$J106)+SUMIFS(SeatExits,SeatUnit,$J106)+SUMIFS(SeatExits,SeatSubUnit,$J106)</f>
        <v>0</v>
      </c>
      <c r="G106" s="20" t="n">
        <f aca="false">SUMIFS(AskTotal,AskDivision,$J106)+SUMIFS(AskTotal,AskDepartment,$J106)+SUMIFS(AskTotal,AskUnit,$J106)+SUMIFS(AskTotal,AskSubUnit,$J106)</f>
        <v>0</v>
      </c>
      <c r="H106" s="20" t="n">
        <f aca="false">$C106-$F106+$G106</f>
        <v>3</v>
      </c>
      <c r="I106" s="20" t="n">
        <f aca="false">$H106-$C106</f>
        <v>0</v>
      </c>
      <c r="J106" s="17" t="s">
        <v>266</v>
      </c>
    </row>
    <row r="107" customFormat="false" ht="15" hidden="false" customHeight="false" outlineLevel="3" collapsed="false">
      <c r="A107" s="17" t="s">
        <v>50</v>
      </c>
      <c r="B107" s="18" t="s">
        <v>267</v>
      </c>
      <c r="C107" s="19" t="n">
        <v>18</v>
      </c>
      <c r="D107" s="19" t="n">
        <v>17</v>
      </c>
      <c r="E107" s="19" t="n">
        <v>1</v>
      </c>
      <c r="F107" s="20" t="n">
        <f aca="false">SUMIFS(SeatExits,SeatDivision,$J107)+SUMIFS(SeatExits,SeatDepartment,$J107)+SUMIFS(SeatExits,SeatUnit,$J107)+SUMIFS(SeatExits,SeatSubUnit,$J107)</f>
        <v>0</v>
      </c>
      <c r="G107" s="20" t="n">
        <f aca="false">SUMIFS(AskTotal,AskDivision,$J107)+SUMIFS(AskTotal,AskDepartment,$J107)+SUMIFS(AskTotal,AskUnit,$J107)+SUMIFS(AskTotal,AskSubUnit,$J107)</f>
        <v>0</v>
      </c>
      <c r="H107" s="20" t="n">
        <f aca="false">$C107-$F107+$G107</f>
        <v>18</v>
      </c>
      <c r="I107" s="20" t="n">
        <f aca="false">$H107-$C107</f>
        <v>0</v>
      </c>
      <c r="J107" s="17" t="s">
        <v>268</v>
      </c>
    </row>
    <row r="108" customFormat="false" ht="15" hidden="false" customHeight="false" outlineLevel="4" collapsed="false">
      <c r="A108" s="17" t="s">
        <v>69</v>
      </c>
      <c r="B108" s="18" t="s">
        <v>269</v>
      </c>
      <c r="C108" s="19" t="n">
        <v>9</v>
      </c>
      <c r="D108" s="19" t="n">
        <v>9</v>
      </c>
      <c r="E108" s="19" t="n">
        <v>0</v>
      </c>
      <c r="F108" s="20" t="n">
        <f aca="false">SUMIFS(SeatExits,SeatDivision,$J108)+SUMIFS(SeatExits,SeatDepartment,$J108)+SUMIFS(SeatExits,SeatUnit,$J108)+SUMIFS(SeatExits,SeatSubUnit,$J108)</f>
        <v>0</v>
      </c>
      <c r="G108" s="20" t="n">
        <f aca="false">SUMIFS(AskTotal,AskDivision,$J108)+SUMIFS(AskTotal,AskDepartment,$J108)+SUMIFS(AskTotal,AskUnit,$J108)+SUMIFS(AskTotal,AskSubUnit,$J108)</f>
        <v>0</v>
      </c>
      <c r="H108" s="20" t="n">
        <f aca="false">$C108-$F108+$G108</f>
        <v>9</v>
      </c>
      <c r="I108" s="20" t="n">
        <f aca="false">$H108-$C108</f>
        <v>0</v>
      </c>
      <c r="J108" s="17" t="s">
        <v>270</v>
      </c>
    </row>
    <row r="109" customFormat="false" ht="15" hidden="false" customHeight="false" outlineLevel="5" collapsed="false">
      <c r="A109" s="17" t="s">
        <v>72</v>
      </c>
      <c r="B109" s="18" t="s">
        <v>271</v>
      </c>
      <c r="C109" s="19" t="n">
        <v>7</v>
      </c>
      <c r="D109" s="19" t="n">
        <v>7</v>
      </c>
      <c r="E109" s="19" t="n">
        <v>0</v>
      </c>
      <c r="F109" s="20" t="n">
        <f aca="false">SUMIFS(SeatExits,SeatDivision,$J109)+SUMIFS(SeatExits,SeatDepartment,$J109)+SUMIFS(SeatExits,SeatUnit,$J109)+SUMIFS(SeatExits,SeatSubUnit,$J109)</f>
        <v>0</v>
      </c>
      <c r="G109" s="20" t="n">
        <f aca="false">SUMIFS(AskTotal,AskDivision,$J109)+SUMIFS(AskTotal,AskDepartment,$J109)+SUMIFS(AskTotal,AskUnit,$J109)+SUMIFS(AskTotal,AskSubUnit,$J109)</f>
        <v>0</v>
      </c>
      <c r="H109" s="20" t="n">
        <f aca="false">$C109-$F109+$G109</f>
        <v>7</v>
      </c>
      <c r="I109" s="20" t="n">
        <f aca="false">$H109-$C109</f>
        <v>0</v>
      </c>
      <c r="J109" s="17" t="s">
        <v>272</v>
      </c>
    </row>
    <row r="110" customFormat="false" ht="15" hidden="false" customHeight="false" outlineLevel="5" collapsed="false">
      <c r="A110" s="17" t="s">
        <v>72</v>
      </c>
      <c r="B110" s="18" t="s">
        <v>273</v>
      </c>
      <c r="C110" s="19" t="n">
        <v>1</v>
      </c>
      <c r="D110" s="19" t="n">
        <v>1</v>
      </c>
      <c r="E110" s="19" t="n">
        <v>0</v>
      </c>
      <c r="F110" s="20" t="n">
        <f aca="false">SUMIFS(SeatExits,SeatDivision,$J110)+SUMIFS(SeatExits,SeatDepartment,$J110)+SUMIFS(SeatExits,SeatUnit,$J110)+SUMIFS(SeatExits,SeatSubUnit,$J110)</f>
        <v>0</v>
      </c>
      <c r="G110" s="20" t="n">
        <f aca="false">SUMIFS(AskTotal,AskDivision,$J110)+SUMIFS(AskTotal,AskDepartment,$J110)+SUMIFS(AskTotal,AskUnit,$J110)+SUMIFS(AskTotal,AskSubUnit,$J110)</f>
        <v>0</v>
      </c>
      <c r="H110" s="20" t="n">
        <f aca="false">$C110-$F110+$G110</f>
        <v>1</v>
      </c>
      <c r="I110" s="20" t="n">
        <f aca="false">$H110-$C110</f>
        <v>0</v>
      </c>
      <c r="J110" s="17" t="s">
        <v>274</v>
      </c>
    </row>
    <row r="111" customFormat="false" ht="15" hidden="false" customHeight="false" outlineLevel="4" collapsed="false">
      <c r="A111" s="17" t="s">
        <v>69</v>
      </c>
      <c r="B111" s="18" t="s">
        <v>275</v>
      </c>
      <c r="C111" s="19" t="n">
        <v>8</v>
      </c>
      <c r="D111" s="19" t="n">
        <v>7</v>
      </c>
      <c r="E111" s="19" t="n">
        <v>1</v>
      </c>
      <c r="F111" s="20" t="n">
        <f aca="false">SUMIFS(SeatExits,SeatDivision,$J111)+SUMIFS(SeatExits,SeatDepartment,$J111)+SUMIFS(SeatExits,SeatUnit,$J111)+SUMIFS(SeatExits,SeatSubUnit,$J111)</f>
        <v>0</v>
      </c>
      <c r="G111" s="20" t="n">
        <f aca="false">SUMIFS(AskTotal,AskDivision,$J111)+SUMIFS(AskTotal,AskDepartment,$J111)+SUMIFS(AskTotal,AskUnit,$J111)+SUMIFS(AskTotal,AskSubUnit,$J111)</f>
        <v>0</v>
      </c>
      <c r="H111" s="20" t="n">
        <f aca="false">$C111-$F111+$G111</f>
        <v>8</v>
      </c>
      <c r="I111" s="20" t="n">
        <f aca="false">$H111-$C111</f>
        <v>0</v>
      </c>
      <c r="J111" s="17" t="s">
        <v>276</v>
      </c>
    </row>
    <row r="112" customFormat="false" ht="15" hidden="false" customHeight="false" outlineLevel="5" collapsed="false">
      <c r="A112" s="17" t="s">
        <v>72</v>
      </c>
      <c r="B112" s="18" t="s">
        <v>277</v>
      </c>
      <c r="C112" s="19" t="n">
        <v>1</v>
      </c>
      <c r="D112" s="19" t="n">
        <v>0</v>
      </c>
      <c r="E112" s="19" t="n">
        <v>1</v>
      </c>
      <c r="F112" s="20" t="n">
        <f aca="false">SUMIFS(SeatExits,SeatDivision,$J112)+SUMIFS(SeatExits,SeatDepartment,$J112)+SUMIFS(SeatExits,SeatUnit,$J112)+SUMIFS(SeatExits,SeatSubUnit,$J112)</f>
        <v>0</v>
      </c>
      <c r="G112" s="20" t="n">
        <f aca="false">SUMIFS(AskTotal,AskDivision,$J112)+SUMIFS(AskTotal,AskDepartment,$J112)+SUMIFS(AskTotal,AskUnit,$J112)+SUMIFS(AskTotal,AskSubUnit,$J112)</f>
        <v>0</v>
      </c>
      <c r="H112" s="20" t="n">
        <f aca="false">$C112-$F112+$G112</f>
        <v>1</v>
      </c>
      <c r="I112" s="20" t="n">
        <f aca="false">$H112-$C112</f>
        <v>0</v>
      </c>
      <c r="J112" s="17" t="s">
        <v>278</v>
      </c>
    </row>
    <row r="113" customFormat="false" ht="15" hidden="false" customHeight="false" outlineLevel="5" collapsed="false">
      <c r="A113" s="17" t="s">
        <v>72</v>
      </c>
      <c r="B113" s="18" t="s">
        <v>279</v>
      </c>
      <c r="C113" s="19" t="n">
        <v>6</v>
      </c>
      <c r="D113" s="19" t="n">
        <v>6</v>
      </c>
      <c r="E113" s="19" t="n">
        <v>0</v>
      </c>
      <c r="F113" s="20" t="n">
        <f aca="false">SUMIFS(SeatExits,SeatDivision,$J113)+SUMIFS(SeatExits,SeatDepartment,$J113)+SUMIFS(SeatExits,SeatUnit,$J113)+SUMIFS(SeatExits,SeatSubUnit,$J113)</f>
        <v>0</v>
      </c>
      <c r="G113" s="20" t="n">
        <f aca="false">SUMIFS(AskTotal,AskDivision,$J113)+SUMIFS(AskTotal,AskDepartment,$J113)+SUMIFS(AskTotal,AskUnit,$J113)+SUMIFS(AskTotal,AskSubUnit,$J113)</f>
        <v>0</v>
      </c>
      <c r="H113" s="20" t="n">
        <f aca="false">$C113-$F113+$G113</f>
        <v>6</v>
      </c>
      <c r="I113" s="20" t="n">
        <f aca="false">$H113-$C113</f>
        <v>0</v>
      </c>
      <c r="J113" s="17" t="s">
        <v>280</v>
      </c>
    </row>
    <row r="114" customFormat="false" ht="15" hidden="false" customHeight="false" outlineLevel="2" collapsed="false">
      <c r="A114" s="17" t="s">
        <v>64</v>
      </c>
      <c r="B114" s="18" t="s">
        <v>281</v>
      </c>
      <c r="C114" s="19" t="n">
        <v>33</v>
      </c>
      <c r="D114" s="19" t="n">
        <v>29</v>
      </c>
      <c r="E114" s="19" t="n">
        <v>4</v>
      </c>
      <c r="F114" s="20" t="n">
        <f aca="false">SUMIFS(SeatExits,SeatDivision,$J114)+SUMIFS(SeatExits,SeatDepartment,$J114)+SUMIFS(SeatExits,SeatUnit,$J114)+SUMIFS(SeatExits,SeatSubUnit,$J114)</f>
        <v>0</v>
      </c>
      <c r="G114" s="20" t="n">
        <f aca="false">SUMIFS(AskTotal,AskDivision,$J114)+SUMIFS(AskTotal,AskDepartment,$J114)+SUMIFS(AskTotal,AskUnit,$J114)+SUMIFS(AskTotal,AskSubUnit,$J114)</f>
        <v>0</v>
      </c>
      <c r="H114" s="20" t="n">
        <f aca="false">$C114-$F114+$G114</f>
        <v>33</v>
      </c>
      <c r="I114" s="20" t="n">
        <f aca="false">$H114-$C114</f>
        <v>0</v>
      </c>
      <c r="J114" s="17" t="s">
        <v>282</v>
      </c>
    </row>
    <row r="115" customFormat="false" ht="15" hidden="false" customHeight="false" outlineLevel="3" collapsed="false">
      <c r="A115" s="17" t="s">
        <v>50</v>
      </c>
      <c r="B115" s="18" t="s">
        <v>283</v>
      </c>
      <c r="C115" s="19" t="n">
        <v>17</v>
      </c>
      <c r="D115" s="19" t="n">
        <v>15</v>
      </c>
      <c r="E115" s="19" t="n">
        <v>2</v>
      </c>
      <c r="F115" s="20" t="n">
        <f aca="false">SUMIFS(SeatExits,SeatDivision,$J115)+SUMIFS(SeatExits,SeatDepartment,$J115)+SUMIFS(SeatExits,SeatUnit,$J115)+SUMIFS(SeatExits,SeatSubUnit,$J115)</f>
        <v>0</v>
      </c>
      <c r="G115" s="20" t="n">
        <f aca="false">SUMIFS(AskTotal,AskDivision,$J115)+SUMIFS(AskTotal,AskDepartment,$J115)+SUMIFS(AskTotal,AskUnit,$J115)+SUMIFS(AskTotal,AskSubUnit,$J115)</f>
        <v>0</v>
      </c>
      <c r="H115" s="20" t="n">
        <f aca="false">$C115-$F115+$G115</f>
        <v>17</v>
      </c>
      <c r="I115" s="20" t="n">
        <f aca="false">$H115-$C115</f>
        <v>0</v>
      </c>
      <c r="J115" s="17" t="s">
        <v>284</v>
      </c>
    </row>
    <row r="116" customFormat="false" ht="15" hidden="false" customHeight="false" outlineLevel="4" collapsed="false">
      <c r="A116" s="17" t="s">
        <v>69</v>
      </c>
      <c r="B116" s="18" t="s">
        <v>285</v>
      </c>
      <c r="C116" s="19" t="n">
        <v>6</v>
      </c>
      <c r="D116" s="19" t="n">
        <v>5</v>
      </c>
      <c r="E116" s="19" t="n">
        <v>1</v>
      </c>
      <c r="F116" s="20" t="n">
        <f aca="false">SUMIFS(SeatExits,SeatDivision,$J116)+SUMIFS(SeatExits,SeatDepartment,$J116)+SUMIFS(SeatExits,SeatUnit,$J116)+SUMIFS(SeatExits,SeatSubUnit,$J116)</f>
        <v>0</v>
      </c>
      <c r="G116" s="20" t="n">
        <f aca="false">SUMIFS(AskTotal,AskDivision,$J116)+SUMIFS(AskTotal,AskDepartment,$J116)+SUMIFS(AskTotal,AskUnit,$J116)+SUMIFS(AskTotal,AskSubUnit,$J116)</f>
        <v>0</v>
      </c>
      <c r="H116" s="20" t="n">
        <f aca="false">$C116-$F116+$G116</f>
        <v>6</v>
      </c>
      <c r="I116" s="20" t="n">
        <f aca="false">$H116-$C116</f>
        <v>0</v>
      </c>
      <c r="J116" s="17" t="s">
        <v>286</v>
      </c>
    </row>
    <row r="117" customFormat="false" ht="15" hidden="false" customHeight="false" outlineLevel="5" collapsed="false">
      <c r="A117" s="17" t="s">
        <v>72</v>
      </c>
      <c r="B117" s="18" t="s">
        <v>287</v>
      </c>
      <c r="C117" s="19" t="n">
        <v>2</v>
      </c>
      <c r="D117" s="19" t="n">
        <v>2</v>
      </c>
      <c r="E117" s="19" t="n">
        <v>0</v>
      </c>
      <c r="F117" s="20" t="n">
        <f aca="false">SUMIFS(SeatExits,SeatDivision,$J117)+SUMIFS(SeatExits,SeatDepartment,$J117)+SUMIFS(SeatExits,SeatUnit,$J117)+SUMIFS(SeatExits,SeatSubUnit,$J117)</f>
        <v>0</v>
      </c>
      <c r="G117" s="20" t="n">
        <f aca="false">SUMIFS(AskTotal,AskDivision,$J117)+SUMIFS(AskTotal,AskDepartment,$J117)+SUMIFS(AskTotal,AskUnit,$J117)+SUMIFS(AskTotal,AskSubUnit,$J117)</f>
        <v>0</v>
      </c>
      <c r="H117" s="20" t="n">
        <f aca="false">$C117-$F117+$G117</f>
        <v>2</v>
      </c>
      <c r="I117" s="20" t="n">
        <f aca="false">$H117-$C117</f>
        <v>0</v>
      </c>
      <c r="J117" s="17" t="s">
        <v>288</v>
      </c>
    </row>
    <row r="118" customFormat="false" ht="15" hidden="false" customHeight="false" outlineLevel="5" collapsed="false">
      <c r="A118" s="17" t="s">
        <v>72</v>
      </c>
      <c r="B118" s="18" t="s">
        <v>289</v>
      </c>
      <c r="C118" s="19" t="n">
        <v>3</v>
      </c>
      <c r="D118" s="19" t="n">
        <v>2</v>
      </c>
      <c r="E118" s="19" t="n">
        <v>1</v>
      </c>
      <c r="F118" s="20" t="n">
        <f aca="false">SUMIFS(SeatExits,SeatDivision,$J118)+SUMIFS(SeatExits,SeatDepartment,$J118)+SUMIFS(SeatExits,SeatUnit,$J118)+SUMIFS(SeatExits,SeatSubUnit,$J118)</f>
        <v>0</v>
      </c>
      <c r="G118" s="20" t="n">
        <f aca="false">SUMIFS(AskTotal,AskDivision,$J118)+SUMIFS(AskTotal,AskDepartment,$J118)+SUMIFS(AskTotal,AskUnit,$J118)+SUMIFS(AskTotal,AskSubUnit,$J118)</f>
        <v>0</v>
      </c>
      <c r="H118" s="20" t="n">
        <f aca="false">$C118-$F118+$G118</f>
        <v>3</v>
      </c>
      <c r="I118" s="20" t="n">
        <f aca="false">$H118-$C118</f>
        <v>0</v>
      </c>
      <c r="J118" s="17" t="s">
        <v>290</v>
      </c>
    </row>
    <row r="119" customFormat="false" ht="15" hidden="false" customHeight="false" outlineLevel="4" collapsed="false">
      <c r="A119" s="17" t="s">
        <v>69</v>
      </c>
      <c r="B119" s="18" t="s">
        <v>291</v>
      </c>
      <c r="C119" s="19" t="n">
        <v>10</v>
      </c>
      <c r="D119" s="19" t="n">
        <v>9</v>
      </c>
      <c r="E119" s="19" t="n">
        <v>1</v>
      </c>
      <c r="F119" s="20" t="n">
        <f aca="false">SUMIFS(SeatExits,SeatDivision,$J119)+SUMIFS(SeatExits,SeatDepartment,$J119)+SUMIFS(SeatExits,SeatUnit,$J119)+SUMIFS(SeatExits,SeatSubUnit,$J119)</f>
        <v>0</v>
      </c>
      <c r="G119" s="20" t="n">
        <f aca="false">SUMIFS(AskTotal,AskDivision,$J119)+SUMIFS(AskTotal,AskDepartment,$J119)+SUMIFS(AskTotal,AskUnit,$J119)+SUMIFS(AskTotal,AskSubUnit,$J119)</f>
        <v>0</v>
      </c>
      <c r="H119" s="20" t="n">
        <f aca="false">$C119-$F119+$G119</f>
        <v>10</v>
      </c>
      <c r="I119" s="20" t="n">
        <f aca="false">$H119-$C119</f>
        <v>0</v>
      </c>
      <c r="J119" s="17" t="s">
        <v>292</v>
      </c>
    </row>
    <row r="120" customFormat="false" ht="15" hidden="false" customHeight="false" outlineLevel="5" collapsed="false">
      <c r="A120" s="17" t="s">
        <v>72</v>
      </c>
      <c r="B120" s="18" t="s">
        <v>293</v>
      </c>
      <c r="C120" s="19" t="n">
        <v>5</v>
      </c>
      <c r="D120" s="19" t="n">
        <v>5</v>
      </c>
      <c r="E120" s="19" t="n">
        <v>0</v>
      </c>
      <c r="F120" s="20" t="n">
        <f aca="false">SUMIFS(SeatExits,SeatDivision,$J120)+SUMIFS(SeatExits,SeatDepartment,$J120)+SUMIFS(SeatExits,SeatUnit,$J120)+SUMIFS(SeatExits,SeatSubUnit,$J120)</f>
        <v>0</v>
      </c>
      <c r="G120" s="20" t="n">
        <f aca="false">SUMIFS(AskTotal,AskDivision,$J120)+SUMIFS(AskTotal,AskDepartment,$J120)+SUMIFS(AskTotal,AskUnit,$J120)+SUMIFS(AskTotal,AskSubUnit,$J120)</f>
        <v>0</v>
      </c>
      <c r="H120" s="20" t="n">
        <f aca="false">$C120-$F120+$G120</f>
        <v>5</v>
      </c>
      <c r="I120" s="20" t="n">
        <f aca="false">$H120-$C120</f>
        <v>0</v>
      </c>
      <c r="J120" s="17" t="s">
        <v>294</v>
      </c>
    </row>
    <row r="121" customFormat="false" ht="15" hidden="false" customHeight="false" outlineLevel="5" collapsed="false">
      <c r="A121" s="17" t="s">
        <v>72</v>
      </c>
      <c r="B121" s="18" t="s">
        <v>295</v>
      </c>
      <c r="C121" s="19" t="n">
        <v>4</v>
      </c>
      <c r="D121" s="19" t="n">
        <v>3</v>
      </c>
      <c r="E121" s="19" t="n">
        <v>1</v>
      </c>
      <c r="F121" s="20" t="n">
        <f aca="false">SUMIFS(SeatExits,SeatDivision,$J121)+SUMIFS(SeatExits,SeatDepartment,$J121)+SUMIFS(SeatExits,SeatUnit,$J121)+SUMIFS(SeatExits,SeatSubUnit,$J121)</f>
        <v>0</v>
      </c>
      <c r="G121" s="20" t="n">
        <f aca="false">SUMIFS(AskTotal,AskDivision,$J121)+SUMIFS(AskTotal,AskDepartment,$J121)+SUMIFS(AskTotal,AskUnit,$J121)+SUMIFS(AskTotal,AskSubUnit,$J121)</f>
        <v>0</v>
      </c>
      <c r="H121" s="20" t="n">
        <f aca="false">$C121-$F121+$G121</f>
        <v>4</v>
      </c>
      <c r="I121" s="20" t="n">
        <f aca="false">$H121-$C121</f>
        <v>0</v>
      </c>
      <c r="J121" s="17" t="s">
        <v>296</v>
      </c>
    </row>
    <row r="122" customFormat="false" ht="15" hidden="false" customHeight="false" outlineLevel="3" collapsed="false">
      <c r="A122" s="17" t="s">
        <v>50</v>
      </c>
      <c r="B122" s="18" t="s">
        <v>297</v>
      </c>
      <c r="C122" s="19" t="n">
        <v>15</v>
      </c>
      <c r="D122" s="19" t="n">
        <v>13</v>
      </c>
      <c r="E122" s="19" t="n">
        <v>2</v>
      </c>
      <c r="F122" s="20" t="n">
        <f aca="false">SUMIFS(SeatExits,SeatDivision,$J122)+SUMIFS(SeatExits,SeatDepartment,$J122)+SUMIFS(SeatExits,SeatUnit,$J122)+SUMIFS(SeatExits,SeatSubUnit,$J122)</f>
        <v>0</v>
      </c>
      <c r="G122" s="20" t="n">
        <f aca="false">SUMIFS(AskTotal,AskDivision,$J122)+SUMIFS(AskTotal,AskDepartment,$J122)+SUMIFS(AskTotal,AskUnit,$J122)+SUMIFS(AskTotal,AskSubUnit,$J122)</f>
        <v>0</v>
      </c>
      <c r="H122" s="20" t="n">
        <f aca="false">$C122-$F122+$G122</f>
        <v>15</v>
      </c>
      <c r="I122" s="20" t="n">
        <f aca="false">$H122-$C122</f>
        <v>0</v>
      </c>
      <c r="J122" s="17" t="s">
        <v>298</v>
      </c>
    </row>
    <row r="123" customFormat="false" ht="15" hidden="false" customHeight="false" outlineLevel="4" collapsed="false">
      <c r="A123" s="17" t="s">
        <v>69</v>
      </c>
      <c r="B123" s="18" t="s">
        <v>299</v>
      </c>
      <c r="C123" s="19" t="n">
        <v>6</v>
      </c>
      <c r="D123" s="19" t="n">
        <v>6</v>
      </c>
      <c r="E123" s="19" t="n">
        <v>0</v>
      </c>
      <c r="F123" s="20" t="n">
        <f aca="false">SUMIFS(SeatExits,SeatDivision,$J123)+SUMIFS(SeatExits,SeatDepartment,$J123)+SUMIFS(SeatExits,SeatUnit,$J123)+SUMIFS(SeatExits,SeatSubUnit,$J123)</f>
        <v>0</v>
      </c>
      <c r="G123" s="20" t="n">
        <f aca="false">SUMIFS(AskTotal,AskDivision,$J123)+SUMIFS(AskTotal,AskDepartment,$J123)+SUMIFS(AskTotal,AskUnit,$J123)+SUMIFS(AskTotal,AskSubUnit,$J123)</f>
        <v>0</v>
      </c>
      <c r="H123" s="20" t="n">
        <f aca="false">$C123-$F123+$G123</f>
        <v>6</v>
      </c>
      <c r="I123" s="20" t="n">
        <f aca="false">$H123-$C123</f>
        <v>0</v>
      </c>
      <c r="J123" s="17" t="s">
        <v>300</v>
      </c>
    </row>
    <row r="124" customFormat="false" ht="15" hidden="false" customHeight="false" outlineLevel="5" collapsed="false">
      <c r="A124" s="17" t="s">
        <v>72</v>
      </c>
      <c r="B124" s="18" t="s">
        <v>301</v>
      </c>
      <c r="C124" s="19" t="n">
        <v>5</v>
      </c>
      <c r="D124" s="19" t="n">
        <v>5</v>
      </c>
      <c r="E124" s="19" t="n">
        <v>0</v>
      </c>
      <c r="F124" s="20" t="n">
        <f aca="false">SUMIFS(SeatExits,SeatDivision,$J124)+SUMIFS(SeatExits,SeatDepartment,$J124)+SUMIFS(SeatExits,SeatUnit,$J124)+SUMIFS(SeatExits,SeatSubUnit,$J124)</f>
        <v>0</v>
      </c>
      <c r="G124" s="20" t="n">
        <f aca="false">SUMIFS(AskTotal,AskDivision,$J124)+SUMIFS(AskTotal,AskDepartment,$J124)+SUMIFS(AskTotal,AskUnit,$J124)+SUMIFS(AskTotal,AskSubUnit,$J124)</f>
        <v>0</v>
      </c>
      <c r="H124" s="20" t="n">
        <f aca="false">$C124-$F124+$G124</f>
        <v>5</v>
      </c>
      <c r="I124" s="20" t="n">
        <f aca="false">$H124-$C124</f>
        <v>0</v>
      </c>
      <c r="J124" s="17" t="s">
        <v>302</v>
      </c>
    </row>
    <row r="125" customFormat="false" ht="15" hidden="false" customHeight="false" outlineLevel="4" collapsed="false">
      <c r="A125" s="17" t="s">
        <v>69</v>
      </c>
      <c r="B125" s="18" t="s">
        <v>303</v>
      </c>
      <c r="C125" s="19" t="n">
        <v>8</v>
      </c>
      <c r="D125" s="19" t="n">
        <v>6</v>
      </c>
      <c r="E125" s="19" t="n">
        <v>2</v>
      </c>
      <c r="F125" s="20" t="n">
        <f aca="false">SUMIFS(SeatExits,SeatDivision,$J125)+SUMIFS(SeatExits,SeatDepartment,$J125)+SUMIFS(SeatExits,SeatUnit,$J125)+SUMIFS(SeatExits,SeatSubUnit,$J125)</f>
        <v>0</v>
      </c>
      <c r="G125" s="20" t="n">
        <f aca="false">SUMIFS(AskTotal,AskDivision,$J125)+SUMIFS(AskTotal,AskDepartment,$J125)+SUMIFS(AskTotal,AskUnit,$J125)+SUMIFS(AskTotal,AskSubUnit,$J125)</f>
        <v>0</v>
      </c>
      <c r="H125" s="20" t="n">
        <f aca="false">$C125-$F125+$G125</f>
        <v>8</v>
      </c>
      <c r="I125" s="20" t="n">
        <f aca="false">$H125-$C125</f>
        <v>0</v>
      </c>
      <c r="J125" s="17" t="s">
        <v>304</v>
      </c>
    </row>
    <row r="126" customFormat="false" ht="15" hidden="false" customHeight="false" outlineLevel="5" collapsed="false">
      <c r="A126" s="17" t="s">
        <v>72</v>
      </c>
      <c r="B126" s="18" t="s">
        <v>305</v>
      </c>
      <c r="C126" s="19" t="n">
        <v>3</v>
      </c>
      <c r="D126" s="19" t="n">
        <v>3</v>
      </c>
      <c r="E126" s="19" t="n">
        <v>0</v>
      </c>
      <c r="F126" s="20" t="n">
        <f aca="false">SUMIFS(SeatExits,SeatDivision,$J126)+SUMIFS(SeatExits,SeatDepartment,$J126)+SUMIFS(SeatExits,SeatUnit,$J126)+SUMIFS(SeatExits,SeatSubUnit,$J126)</f>
        <v>0</v>
      </c>
      <c r="G126" s="20" t="n">
        <f aca="false">SUMIFS(AskTotal,AskDivision,$J126)+SUMIFS(AskTotal,AskDepartment,$J126)+SUMIFS(AskTotal,AskUnit,$J126)+SUMIFS(AskTotal,AskSubUnit,$J126)</f>
        <v>0</v>
      </c>
      <c r="H126" s="20" t="n">
        <f aca="false">$C126-$F126+$G126</f>
        <v>3</v>
      </c>
      <c r="I126" s="20" t="n">
        <f aca="false">$H126-$C126</f>
        <v>0</v>
      </c>
      <c r="J126" s="17" t="s">
        <v>306</v>
      </c>
    </row>
    <row r="127" customFormat="false" ht="15" hidden="false" customHeight="false" outlineLevel="5" collapsed="false">
      <c r="A127" s="17" t="s">
        <v>72</v>
      </c>
      <c r="B127" s="18" t="s">
        <v>307</v>
      </c>
      <c r="C127" s="19" t="n">
        <v>4</v>
      </c>
      <c r="D127" s="19" t="n">
        <v>3</v>
      </c>
      <c r="E127" s="19" t="n">
        <v>1</v>
      </c>
      <c r="F127" s="20" t="n">
        <f aca="false">SUMIFS(SeatExits,SeatDivision,$J127)+SUMIFS(SeatExits,SeatDepartment,$J127)+SUMIFS(SeatExits,SeatUnit,$J127)+SUMIFS(SeatExits,SeatSubUnit,$J127)</f>
        <v>0</v>
      </c>
      <c r="G127" s="20" t="n">
        <f aca="false">SUMIFS(AskTotal,AskDivision,$J127)+SUMIFS(AskTotal,AskDepartment,$J127)+SUMIFS(AskTotal,AskUnit,$J127)+SUMIFS(AskTotal,AskSubUnit,$J127)</f>
        <v>0</v>
      </c>
      <c r="H127" s="20" t="n">
        <f aca="false">$C127-$F127+$G127</f>
        <v>4</v>
      </c>
      <c r="I127" s="20" t="n">
        <f aca="false">$H127-$C127</f>
        <v>0</v>
      </c>
      <c r="J127" s="17" t="s">
        <v>308</v>
      </c>
    </row>
    <row r="128" customFormat="false" ht="15" hidden="false" customHeight="false" outlineLevel="1" collapsed="false">
      <c r="A128" s="13" t="s">
        <v>61</v>
      </c>
      <c r="B128" s="14" t="s">
        <v>309</v>
      </c>
      <c r="C128" s="15" t="n">
        <v>72</v>
      </c>
      <c r="D128" s="15" t="n">
        <v>66</v>
      </c>
      <c r="E128" s="15" t="n">
        <v>6</v>
      </c>
      <c r="F128" s="16" t="n">
        <f aca="false">SUMIFS(SeatExits,SeatDivision,$J128)+SUMIFS(SeatExits,SeatDepartment,$J128)+SUMIFS(SeatExits,SeatUnit,$J128)+SUMIFS(SeatExits,SeatSubUnit,$J128)</f>
        <v>0</v>
      </c>
      <c r="G128" s="16" t="n">
        <f aca="false">SUMIFS(AskTotal,AskDivision,$J128)+SUMIFS(AskTotal,AskDepartment,$J128)+SUMIFS(AskTotal,AskUnit,$J128)+SUMIFS(AskTotal,AskSubUnit,$J128)</f>
        <v>0</v>
      </c>
      <c r="H128" s="16" t="n">
        <f aca="false">$C128-$F128+$G128</f>
        <v>72</v>
      </c>
      <c r="I128" s="16" t="n">
        <f aca="false">$H128-$C128</f>
        <v>0</v>
      </c>
      <c r="J128" s="17" t="s">
        <v>310</v>
      </c>
    </row>
    <row r="129" customFormat="false" ht="15" hidden="false" customHeight="false" outlineLevel="2" collapsed="false">
      <c r="A129" s="17" t="s">
        <v>64</v>
      </c>
      <c r="B129" s="18" t="s">
        <v>311</v>
      </c>
      <c r="C129" s="19" t="n">
        <v>33</v>
      </c>
      <c r="D129" s="19" t="n">
        <v>30</v>
      </c>
      <c r="E129" s="19" t="n">
        <v>3</v>
      </c>
      <c r="F129" s="20" t="n">
        <f aca="false">SUMIFS(SeatExits,SeatDivision,$J129)+SUMIFS(SeatExits,SeatDepartment,$J129)+SUMIFS(SeatExits,SeatUnit,$J129)+SUMIFS(SeatExits,SeatSubUnit,$J129)</f>
        <v>0</v>
      </c>
      <c r="G129" s="20" t="n">
        <f aca="false">SUMIFS(AskTotal,AskDivision,$J129)+SUMIFS(AskTotal,AskDepartment,$J129)+SUMIFS(AskTotal,AskUnit,$J129)+SUMIFS(AskTotal,AskSubUnit,$J129)</f>
        <v>0</v>
      </c>
      <c r="H129" s="20" t="n">
        <f aca="false">$C129-$F129+$G129</f>
        <v>33</v>
      </c>
      <c r="I129" s="20" t="n">
        <f aca="false">$H129-$C129</f>
        <v>0</v>
      </c>
      <c r="J129" s="17" t="s">
        <v>312</v>
      </c>
    </row>
    <row r="130" customFormat="false" ht="15" hidden="false" customHeight="false" outlineLevel="3" collapsed="false">
      <c r="A130" s="17" t="s">
        <v>50</v>
      </c>
      <c r="B130" s="18" t="s">
        <v>313</v>
      </c>
      <c r="C130" s="19" t="n">
        <v>16</v>
      </c>
      <c r="D130" s="19" t="n">
        <v>15</v>
      </c>
      <c r="E130" s="19" t="n">
        <v>1</v>
      </c>
      <c r="F130" s="20" t="n">
        <f aca="false">SUMIFS(SeatExits,SeatDivision,$J130)+SUMIFS(SeatExits,SeatDepartment,$J130)+SUMIFS(SeatExits,SeatUnit,$J130)+SUMIFS(SeatExits,SeatSubUnit,$J130)</f>
        <v>0</v>
      </c>
      <c r="G130" s="20" t="n">
        <f aca="false">SUMIFS(AskTotal,AskDivision,$J130)+SUMIFS(AskTotal,AskDepartment,$J130)+SUMIFS(AskTotal,AskUnit,$J130)+SUMIFS(AskTotal,AskSubUnit,$J130)</f>
        <v>0</v>
      </c>
      <c r="H130" s="20" t="n">
        <f aca="false">$C130-$F130+$G130</f>
        <v>16</v>
      </c>
      <c r="I130" s="20" t="n">
        <f aca="false">$H130-$C130</f>
        <v>0</v>
      </c>
      <c r="J130" s="17" t="s">
        <v>314</v>
      </c>
    </row>
    <row r="131" customFormat="false" ht="15" hidden="false" customHeight="false" outlineLevel="4" collapsed="false">
      <c r="A131" s="17" t="s">
        <v>69</v>
      </c>
      <c r="B131" s="18" t="s">
        <v>315</v>
      </c>
      <c r="C131" s="19" t="n">
        <v>7</v>
      </c>
      <c r="D131" s="19" t="n">
        <v>7</v>
      </c>
      <c r="E131" s="19" t="n">
        <v>0</v>
      </c>
      <c r="F131" s="20" t="n">
        <f aca="false">SUMIFS(SeatExits,SeatDivision,$J131)+SUMIFS(SeatExits,SeatDepartment,$J131)+SUMIFS(SeatExits,SeatUnit,$J131)+SUMIFS(SeatExits,SeatSubUnit,$J131)</f>
        <v>0</v>
      </c>
      <c r="G131" s="20" t="n">
        <f aca="false">SUMIFS(AskTotal,AskDivision,$J131)+SUMIFS(AskTotal,AskDepartment,$J131)+SUMIFS(AskTotal,AskUnit,$J131)+SUMIFS(AskTotal,AskSubUnit,$J131)</f>
        <v>0</v>
      </c>
      <c r="H131" s="20" t="n">
        <f aca="false">$C131-$F131+$G131</f>
        <v>7</v>
      </c>
      <c r="I131" s="20" t="n">
        <f aca="false">$H131-$C131</f>
        <v>0</v>
      </c>
      <c r="J131" s="17" t="s">
        <v>316</v>
      </c>
    </row>
    <row r="132" customFormat="false" ht="15" hidden="false" customHeight="false" outlineLevel="5" collapsed="false">
      <c r="A132" s="17" t="s">
        <v>72</v>
      </c>
      <c r="B132" s="18" t="s">
        <v>317</v>
      </c>
      <c r="C132" s="19" t="n">
        <v>3</v>
      </c>
      <c r="D132" s="19" t="n">
        <v>3</v>
      </c>
      <c r="E132" s="19" t="n">
        <v>0</v>
      </c>
      <c r="F132" s="20" t="n">
        <f aca="false">SUMIFS(SeatExits,SeatDivision,$J132)+SUMIFS(SeatExits,SeatDepartment,$J132)+SUMIFS(SeatExits,SeatUnit,$J132)+SUMIFS(SeatExits,SeatSubUnit,$J132)</f>
        <v>0</v>
      </c>
      <c r="G132" s="20" t="n">
        <f aca="false">SUMIFS(AskTotal,AskDivision,$J132)+SUMIFS(AskTotal,AskDepartment,$J132)+SUMIFS(AskTotal,AskUnit,$J132)+SUMIFS(AskTotal,AskSubUnit,$J132)</f>
        <v>0</v>
      </c>
      <c r="H132" s="20" t="n">
        <f aca="false">$C132-$F132+$G132</f>
        <v>3</v>
      </c>
      <c r="I132" s="20" t="n">
        <f aca="false">$H132-$C132</f>
        <v>0</v>
      </c>
      <c r="J132" s="17" t="s">
        <v>318</v>
      </c>
    </row>
    <row r="133" customFormat="false" ht="15" hidden="false" customHeight="false" outlineLevel="5" collapsed="false">
      <c r="A133" s="17" t="s">
        <v>72</v>
      </c>
      <c r="B133" s="18" t="s">
        <v>319</v>
      </c>
      <c r="C133" s="19" t="n">
        <v>3</v>
      </c>
      <c r="D133" s="19" t="n">
        <v>3</v>
      </c>
      <c r="E133" s="19" t="n">
        <v>0</v>
      </c>
      <c r="F133" s="20" t="n">
        <f aca="false">SUMIFS(SeatExits,SeatDivision,$J133)+SUMIFS(SeatExits,SeatDepartment,$J133)+SUMIFS(SeatExits,SeatUnit,$J133)+SUMIFS(SeatExits,SeatSubUnit,$J133)</f>
        <v>0</v>
      </c>
      <c r="G133" s="20" t="n">
        <f aca="false">SUMIFS(AskTotal,AskDivision,$J133)+SUMIFS(AskTotal,AskDepartment,$J133)+SUMIFS(AskTotal,AskUnit,$J133)+SUMIFS(AskTotal,AskSubUnit,$J133)</f>
        <v>0</v>
      </c>
      <c r="H133" s="20" t="n">
        <f aca="false">$C133-$F133+$G133</f>
        <v>3</v>
      </c>
      <c r="I133" s="20" t="n">
        <f aca="false">$H133-$C133</f>
        <v>0</v>
      </c>
      <c r="J133" s="17" t="s">
        <v>320</v>
      </c>
    </row>
    <row r="134" customFormat="false" ht="15" hidden="false" customHeight="false" outlineLevel="4" collapsed="false">
      <c r="A134" s="17" t="s">
        <v>69</v>
      </c>
      <c r="B134" s="18" t="s">
        <v>321</v>
      </c>
      <c r="C134" s="19" t="n">
        <v>8</v>
      </c>
      <c r="D134" s="19" t="n">
        <v>7</v>
      </c>
      <c r="E134" s="19" t="n">
        <v>1</v>
      </c>
      <c r="F134" s="20" t="n">
        <f aca="false">SUMIFS(SeatExits,SeatDivision,$J134)+SUMIFS(SeatExits,SeatDepartment,$J134)+SUMIFS(SeatExits,SeatUnit,$J134)+SUMIFS(SeatExits,SeatSubUnit,$J134)</f>
        <v>0</v>
      </c>
      <c r="G134" s="20" t="n">
        <f aca="false">SUMIFS(AskTotal,AskDivision,$J134)+SUMIFS(AskTotal,AskDepartment,$J134)+SUMIFS(AskTotal,AskUnit,$J134)+SUMIFS(AskTotal,AskSubUnit,$J134)</f>
        <v>0</v>
      </c>
      <c r="H134" s="20" t="n">
        <f aca="false">$C134-$F134+$G134</f>
        <v>8</v>
      </c>
      <c r="I134" s="20" t="n">
        <f aca="false">$H134-$C134</f>
        <v>0</v>
      </c>
      <c r="J134" s="17" t="s">
        <v>322</v>
      </c>
    </row>
    <row r="135" customFormat="false" ht="15" hidden="false" customHeight="false" outlineLevel="5" collapsed="false">
      <c r="A135" s="17" t="s">
        <v>72</v>
      </c>
      <c r="B135" s="18" t="s">
        <v>323</v>
      </c>
      <c r="C135" s="19" t="n">
        <v>3</v>
      </c>
      <c r="D135" s="19" t="n">
        <v>3</v>
      </c>
      <c r="E135" s="19" t="n">
        <v>0</v>
      </c>
      <c r="F135" s="20" t="n">
        <f aca="false">SUMIFS(SeatExits,SeatDivision,$J135)+SUMIFS(SeatExits,SeatDepartment,$J135)+SUMIFS(SeatExits,SeatUnit,$J135)+SUMIFS(SeatExits,SeatSubUnit,$J135)</f>
        <v>0</v>
      </c>
      <c r="G135" s="20" t="n">
        <f aca="false">SUMIFS(AskTotal,AskDivision,$J135)+SUMIFS(AskTotal,AskDepartment,$J135)+SUMIFS(AskTotal,AskUnit,$J135)+SUMIFS(AskTotal,AskSubUnit,$J135)</f>
        <v>0</v>
      </c>
      <c r="H135" s="20" t="n">
        <f aca="false">$C135-$F135+$G135</f>
        <v>3</v>
      </c>
      <c r="I135" s="20" t="n">
        <f aca="false">$H135-$C135</f>
        <v>0</v>
      </c>
      <c r="J135" s="17" t="s">
        <v>324</v>
      </c>
    </row>
    <row r="136" customFormat="false" ht="15" hidden="false" customHeight="false" outlineLevel="5" collapsed="false">
      <c r="A136" s="17" t="s">
        <v>72</v>
      </c>
      <c r="B136" s="18" t="s">
        <v>325</v>
      </c>
      <c r="C136" s="19" t="n">
        <v>4</v>
      </c>
      <c r="D136" s="19" t="n">
        <v>4</v>
      </c>
      <c r="E136" s="19" t="n">
        <v>0</v>
      </c>
      <c r="F136" s="20" t="n">
        <f aca="false">SUMIFS(SeatExits,SeatDivision,$J136)+SUMIFS(SeatExits,SeatDepartment,$J136)+SUMIFS(SeatExits,SeatUnit,$J136)+SUMIFS(SeatExits,SeatSubUnit,$J136)</f>
        <v>0</v>
      </c>
      <c r="G136" s="20" t="n">
        <f aca="false">SUMIFS(AskTotal,AskDivision,$J136)+SUMIFS(AskTotal,AskDepartment,$J136)+SUMIFS(AskTotal,AskUnit,$J136)+SUMIFS(AskTotal,AskSubUnit,$J136)</f>
        <v>0</v>
      </c>
      <c r="H136" s="20" t="n">
        <f aca="false">$C136-$F136+$G136</f>
        <v>4</v>
      </c>
      <c r="I136" s="20" t="n">
        <f aca="false">$H136-$C136</f>
        <v>0</v>
      </c>
      <c r="J136" s="17" t="s">
        <v>326</v>
      </c>
    </row>
    <row r="137" customFormat="false" ht="15" hidden="false" customHeight="false" outlineLevel="3" collapsed="false">
      <c r="A137" s="17" t="s">
        <v>50</v>
      </c>
      <c r="B137" s="18" t="s">
        <v>327</v>
      </c>
      <c r="C137" s="19" t="n">
        <v>16</v>
      </c>
      <c r="D137" s="19" t="n">
        <v>14</v>
      </c>
      <c r="E137" s="19" t="n">
        <v>2</v>
      </c>
      <c r="F137" s="20" t="n">
        <f aca="false">SUMIFS(SeatExits,SeatDivision,$J137)+SUMIFS(SeatExits,SeatDepartment,$J137)+SUMIFS(SeatExits,SeatUnit,$J137)+SUMIFS(SeatExits,SeatSubUnit,$J137)</f>
        <v>0</v>
      </c>
      <c r="G137" s="20" t="n">
        <f aca="false">SUMIFS(AskTotal,AskDivision,$J137)+SUMIFS(AskTotal,AskDepartment,$J137)+SUMIFS(AskTotal,AskUnit,$J137)+SUMIFS(AskTotal,AskSubUnit,$J137)</f>
        <v>0</v>
      </c>
      <c r="H137" s="20" t="n">
        <f aca="false">$C137-$F137+$G137</f>
        <v>16</v>
      </c>
      <c r="I137" s="20" t="n">
        <f aca="false">$H137-$C137</f>
        <v>0</v>
      </c>
      <c r="J137" s="17" t="s">
        <v>328</v>
      </c>
    </row>
    <row r="138" customFormat="false" ht="15" hidden="false" customHeight="false" outlineLevel="4" collapsed="false">
      <c r="A138" s="17" t="s">
        <v>69</v>
      </c>
      <c r="B138" s="18" t="s">
        <v>329</v>
      </c>
      <c r="C138" s="19" t="n">
        <v>7</v>
      </c>
      <c r="D138" s="19" t="n">
        <v>7</v>
      </c>
      <c r="E138" s="19" t="n">
        <v>0</v>
      </c>
      <c r="F138" s="20" t="n">
        <f aca="false">SUMIFS(SeatExits,SeatDivision,$J138)+SUMIFS(SeatExits,SeatDepartment,$J138)+SUMIFS(SeatExits,SeatUnit,$J138)+SUMIFS(SeatExits,SeatSubUnit,$J138)</f>
        <v>0</v>
      </c>
      <c r="G138" s="20" t="n">
        <f aca="false">SUMIFS(AskTotal,AskDivision,$J138)+SUMIFS(AskTotal,AskDepartment,$J138)+SUMIFS(AskTotal,AskUnit,$J138)+SUMIFS(AskTotal,AskSubUnit,$J138)</f>
        <v>0</v>
      </c>
      <c r="H138" s="20" t="n">
        <f aca="false">$C138-$F138+$G138</f>
        <v>7</v>
      </c>
      <c r="I138" s="20" t="n">
        <f aca="false">$H138-$C138</f>
        <v>0</v>
      </c>
      <c r="J138" s="17" t="s">
        <v>330</v>
      </c>
    </row>
    <row r="139" customFormat="false" ht="15" hidden="false" customHeight="false" outlineLevel="5" collapsed="false">
      <c r="A139" s="17" t="s">
        <v>72</v>
      </c>
      <c r="B139" s="18" t="s">
        <v>331</v>
      </c>
      <c r="C139" s="19" t="n">
        <v>3</v>
      </c>
      <c r="D139" s="19" t="n">
        <v>3</v>
      </c>
      <c r="E139" s="19" t="n">
        <v>0</v>
      </c>
      <c r="F139" s="20" t="n">
        <f aca="false">SUMIFS(SeatExits,SeatDivision,$J139)+SUMIFS(SeatExits,SeatDepartment,$J139)+SUMIFS(SeatExits,SeatUnit,$J139)+SUMIFS(SeatExits,SeatSubUnit,$J139)</f>
        <v>0</v>
      </c>
      <c r="G139" s="20" t="n">
        <f aca="false">SUMIFS(AskTotal,AskDivision,$J139)+SUMIFS(AskTotal,AskDepartment,$J139)+SUMIFS(AskTotal,AskUnit,$J139)+SUMIFS(AskTotal,AskSubUnit,$J139)</f>
        <v>0</v>
      </c>
      <c r="H139" s="20" t="n">
        <f aca="false">$C139-$F139+$G139</f>
        <v>3</v>
      </c>
      <c r="I139" s="20" t="n">
        <f aca="false">$H139-$C139</f>
        <v>0</v>
      </c>
      <c r="J139" s="17" t="s">
        <v>332</v>
      </c>
    </row>
    <row r="140" customFormat="false" ht="15" hidden="false" customHeight="false" outlineLevel="5" collapsed="false">
      <c r="A140" s="17" t="s">
        <v>72</v>
      </c>
      <c r="B140" s="18" t="s">
        <v>333</v>
      </c>
      <c r="C140" s="19" t="n">
        <v>3</v>
      </c>
      <c r="D140" s="19" t="n">
        <v>3</v>
      </c>
      <c r="E140" s="19" t="n">
        <v>0</v>
      </c>
      <c r="F140" s="20" t="n">
        <f aca="false">SUMIFS(SeatExits,SeatDivision,$J140)+SUMIFS(SeatExits,SeatDepartment,$J140)+SUMIFS(SeatExits,SeatUnit,$J140)+SUMIFS(SeatExits,SeatSubUnit,$J140)</f>
        <v>0</v>
      </c>
      <c r="G140" s="20" t="n">
        <f aca="false">SUMIFS(AskTotal,AskDivision,$J140)+SUMIFS(AskTotal,AskDepartment,$J140)+SUMIFS(AskTotal,AskUnit,$J140)+SUMIFS(AskTotal,AskSubUnit,$J140)</f>
        <v>0</v>
      </c>
      <c r="H140" s="20" t="n">
        <f aca="false">$C140-$F140+$G140</f>
        <v>3</v>
      </c>
      <c r="I140" s="20" t="n">
        <f aca="false">$H140-$C140</f>
        <v>0</v>
      </c>
      <c r="J140" s="17" t="s">
        <v>334</v>
      </c>
    </row>
    <row r="141" customFormat="false" ht="15" hidden="false" customHeight="false" outlineLevel="4" collapsed="false">
      <c r="A141" s="17" t="s">
        <v>69</v>
      </c>
      <c r="B141" s="18" t="s">
        <v>335</v>
      </c>
      <c r="C141" s="19" t="n">
        <v>8</v>
      </c>
      <c r="D141" s="19" t="n">
        <v>6</v>
      </c>
      <c r="E141" s="19" t="n">
        <v>2</v>
      </c>
      <c r="F141" s="20" t="n">
        <f aca="false">SUMIFS(SeatExits,SeatDivision,$J141)+SUMIFS(SeatExits,SeatDepartment,$J141)+SUMIFS(SeatExits,SeatUnit,$J141)+SUMIFS(SeatExits,SeatSubUnit,$J141)</f>
        <v>0</v>
      </c>
      <c r="G141" s="20" t="n">
        <f aca="false">SUMIFS(AskTotal,AskDivision,$J141)+SUMIFS(AskTotal,AskDepartment,$J141)+SUMIFS(AskTotal,AskUnit,$J141)+SUMIFS(AskTotal,AskSubUnit,$J141)</f>
        <v>0</v>
      </c>
      <c r="H141" s="20" t="n">
        <f aca="false">$C141-$F141+$G141</f>
        <v>8</v>
      </c>
      <c r="I141" s="20" t="n">
        <f aca="false">$H141-$C141</f>
        <v>0</v>
      </c>
      <c r="J141" s="17" t="s">
        <v>336</v>
      </c>
    </row>
    <row r="142" customFormat="false" ht="15" hidden="false" customHeight="false" outlineLevel="5" collapsed="false">
      <c r="A142" s="17" t="s">
        <v>72</v>
      </c>
      <c r="B142" s="18" t="s">
        <v>337</v>
      </c>
      <c r="C142" s="19" t="n">
        <v>5</v>
      </c>
      <c r="D142" s="19" t="n">
        <v>4</v>
      </c>
      <c r="E142" s="19" t="n">
        <v>1</v>
      </c>
      <c r="F142" s="20" t="n">
        <f aca="false">SUMIFS(SeatExits,SeatDivision,$J142)+SUMIFS(SeatExits,SeatDepartment,$J142)+SUMIFS(SeatExits,SeatUnit,$J142)+SUMIFS(SeatExits,SeatSubUnit,$J142)</f>
        <v>0</v>
      </c>
      <c r="G142" s="20" t="n">
        <f aca="false">SUMIFS(AskTotal,AskDivision,$J142)+SUMIFS(AskTotal,AskDepartment,$J142)+SUMIFS(AskTotal,AskUnit,$J142)+SUMIFS(AskTotal,AskSubUnit,$J142)</f>
        <v>0</v>
      </c>
      <c r="H142" s="20" t="n">
        <f aca="false">$C142-$F142+$G142</f>
        <v>5</v>
      </c>
      <c r="I142" s="20" t="n">
        <f aca="false">$H142-$C142</f>
        <v>0</v>
      </c>
      <c r="J142" s="17" t="s">
        <v>338</v>
      </c>
    </row>
    <row r="143" customFormat="false" ht="15" hidden="false" customHeight="false" outlineLevel="5" collapsed="false">
      <c r="A143" s="17" t="s">
        <v>72</v>
      </c>
      <c r="B143" s="18" t="s">
        <v>339</v>
      </c>
      <c r="C143" s="19" t="n">
        <v>2</v>
      </c>
      <c r="D143" s="19" t="n">
        <v>2</v>
      </c>
      <c r="E143" s="19" t="n">
        <v>0</v>
      </c>
      <c r="F143" s="20" t="n">
        <f aca="false">SUMIFS(SeatExits,SeatDivision,$J143)+SUMIFS(SeatExits,SeatDepartment,$J143)+SUMIFS(SeatExits,SeatUnit,$J143)+SUMIFS(SeatExits,SeatSubUnit,$J143)</f>
        <v>0</v>
      </c>
      <c r="G143" s="20" t="n">
        <f aca="false">SUMIFS(AskTotal,AskDivision,$J143)+SUMIFS(AskTotal,AskDepartment,$J143)+SUMIFS(AskTotal,AskUnit,$J143)+SUMIFS(AskTotal,AskSubUnit,$J143)</f>
        <v>0</v>
      </c>
      <c r="H143" s="20" t="n">
        <f aca="false">$C143-$F143+$G143</f>
        <v>2</v>
      </c>
      <c r="I143" s="20" t="n">
        <f aca="false">$H143-$C143</f>
        <v>0</v>
      </c>
      <c r="J143" s="17" t="s">
        <v>340</v>
      </c>
    </row>
    <row r="144" customFormat="false" ht="15" hidden="false" customHeight="false" outlineLevel="2" collapsed="false">
      <c r="A144" s="17" t="s">
        <v>64</v>
      </c>
      <c r="B144" s="18" t="s">
        <v>341</v>
      </c>
      <c r="C144" s="19" t="n">
        <v>38</v>
      </c>
      <c r="D144" s="19" t="n">
        <v>35</v>
      </c>
      <c r="E144" s="19" t="n">
        <v>3</v>
      </c>
      <c r="F144" s="20" t="n">
        <f aca="false">SUMIFS(SeatExits,SeatDivision,$J144)+SUMIFS(SeatExits,SeatDepartment,$J144)+SUMIFS(SeatExits,SeatUnit,$J144)+SUMIFS(SeatExits,SeatSubUnit,$J144)</f>
        <v>0</v>
      </c>
      <c r="G144" s="20" t="n">
        <f aca="false">SUMIFS(AskTotal,AskDivision,$J144)+SUMIFS(AskTotal,AskDepartment,$J144)+SUMIFS(AskTotal,AskUnit,$J144)+SUMIFS(AskTotal,AskSubUnit,$J144)</f>
        <v>0</v>
      </c>
      <c r="H144" s="20" t="n">
        <f aca="false">$C144-$F144+$G144</f>
        <v>38</v>
      </c>
      <c r="I144" s="20" t="n">
        <f aca="false">$H144-$C144</f>
        <v>0</v>
      </c>
      <c r="J144" s="17" t="s">
        <v>342</v>
      </c>
    </row>
    <row r="145" customFormat="false" ht="15" hidden="false" customHeight="false" outlineLevel="3" collapsed="false">
      <c r="A145" s="17" t="s">
        <v>50</v>
      </c>
      <c r="B145" s="18" t="s">
        <v>343</v>
      </c>
      <c r="C145" s="19" t="n">
        <v>18</v>
      </c>
      <c r="D145" s="19" t="n">
        <v>18</v>
      </c>
      <c r="E145" s="19" t="n">
        <v>0</v>
      </c>
      <c r="F145" s="20" t="n">
        <f aca="false">SUMIFS(SeatExits,SeatDivision,$J145)+SUMIFS(SeatExits,SeatDepartment,$J145)+SUMIFS(SeatExits,SeatUnit,$J145)+SUMIFS(SeatExits,SeatSubUnit,$J145)</f>
        <v>0</v>
      </c>
      <c r="G145" s="20" t="n">
        <f aca="false">SUMIFS(AskTotal,AskDivision,$J145)+SUMIFS(AskTotal,AskDepartment,$J145)+SUMIFS(AskTotal,AskUnit,$J145)+SUMIFS(AskTotal,AskSubUnit,$J145)</f>
        <v>0</v>
      </c>
      <c r="H145" s="20" t="n">
        <f aca="false">$C145-$F145+$G145</f>
        <v>18</v>
      </c>
      <c r="I145" s="20" t="n">
        <f aca="false">$H145-$C145</f>
        <v>0</v>
      </c>
      <c r="J145" s="17" t="s">
        <v>344</v>
      </c>
    </row>
    <row r="146" customFormat="false" ht="15" hidden="false" customHeight="false" outlineLevel="4" collapsed="false">
      <c r="A146" s="17" t="s">
        <v>69</v>
      </c>
      <c r="B146" s="18" t="s">
        <v>345</v>
      </c>
      <c r="C146" s="19" t="n">
        <v>8</v>
      </c>
      <c r="D146" s="19" t="n">
        <v>8</v>
      </c>
      <c r="E146" s="19" t="n">
        <v>0</v>
      </c>
      <c r="F146" s="20" t="n">
        <f aca="false">SUMIFS(SeatExits,SeatDivision,$J146)+SUMIFS(SeatExits,SeatDepartment,$J146)+SUMIFS(SeatExits,SeatUnit,$J146)+SUMIFS(SeatExits,SeatSubUnit,$J146)</f>
        <v>0</v>
      </c>
      <c r="G146" s="20" t="n">
        <f aca="false">SUMIFS(AskTotal,AskDivision,$J146)+SUMIFS(AskTotal,AskDepartment,$J146)+SUMIFS(AskTotal,AskUnit,$J146)+SUMIFS(AskTotal,AskSubUnit,$J146)</f>
        <v>0</v>
      </c>
      <c r="H146" s="20" t="n">
        <f aca="false">$C146-$F146+$G146</f>
        <v>8</v>
      </c>
      <c r="I146" s="20" t="n">
        <f aca="false">$H146-$C146</f>
        <v>0</v>
      </c>
      <c r="J146" s="17" t="s">
        <v>346</v>
      </c>
    </row>
    <row r="147" customFormat="false" ht="15" hidden="false" customHeight="false" outlineLevel="5" collapsed="false">
      <c r="A147" s="17" t="s">
        <v>72</v>
      </c>
      <c r="B147" s="18" t="s">
        <v>347</v>
      </c>
      <c r="C147" s="19" t="n">
        <v>2</v>
      </c>
      <c r="D147" s="19" t="n">
        <v>2</v>
      </c>
      <c r="E147" s="19" t="n">
        <v>0</v>
      </c>
      <c r="F147" s="20" t="n">
        <f aca="false">SUMIFS(SeatExits,SeatDivision,$J147)+SUMIFS(SeatExits,SeatDepartment,$J147)+SUMIFS(SeatExits,SeatUnit,$J147)+SUMIFS(SeatExits,SeatSubUnit,$J147)</f>
        <v>0</v>
      </c>
      <c r="G147" s="20" t="n">
        <f aca="false">SUMIFS(AskTotal,AskDivision,$J147)+SUMIFS(AskTotal,AskDepartment,$J147)+SUMIFS(AskTotal,AskUnit,$J147)+SUMIFS(AskTotal,AskSubUnit,$J147)</f>
        <v>0</v>
      </c>
      <c r="H147" s="20" t="n">
        <f aca="false">$C147-$F147+$G147</f>
        <v>2</v>
      </c>
      <c r="I147" s="20" t="n">
        <f aca="false">$H147-$C147</f>
        <v>0</v>
      </c>
      <c r="J147" s="17" t="s">
        <v>348</v>
      </c>
    </row>
    <row r="148" customFormat="false" ht="15" hidden="false" customHeight="false" outlineLevel="5" collapsed="false">
      <c r="A148" s="17" t="s">
        <v>72</v>
      </c>
      <c r="B148" s="18" t="s">
        <v>349</v>
      </c>
      <c r="C148" s="19" t="n">
        <v>5</v>
      </c>
      <c r="D148" s="19" t="n">
        <v>5</v>
      </c>
      <c r="E148" s="19" t="n">
        <v>0</v>
      </c>
      <c r="F148" s="20" t="n">
        <f aca="false">SUMIFS(SeatExits,SeatDivision,$J148)+SUMIFS(SeatExits,SeatDepartment,$J148)+SUMIFS(SeatExits,SeatUnit,$J148)+SUMIFS(SeatExits,SeatSubUnit,$J148)</f>
        <v>0</v>
      </c>
      <c r="G148" s="20" t="n">
        <f aca="false">SUMIFS(AskTotal,AskDivision,$J148)+SUMIFS(AskTotal,AskDepartment,$J148)+SUMIFS(AskTotal,AskUnit,$J148)+SUMIFS(AskTotal,AskSubUnit,$J148)</f>
        <v>0</v>
      </c>
      <c r="H148" s="20" t="n">
        <f aca="false">$C148-$F148+$G148</f>
        <v>5</v>
      </c>
      <c r="I148" s="20" t="n">
        <f aca="false">$H148-$C148</f>
        <v>0</v>
      </c>
      <c r="J148" s="17" t="s">
        <v>350</v>
      </c>
    </row>
    <row r="149" customFormat="false" ht="15" hidden="false" customHeight="false" outlineLevel="4" collapsed="false">
      <c r="A149" s="17" t="s">
        <v>69</v>
      </c>
      <c r="B149" s="18" t="s">
        <v>351</v>
      </c>
      <c r="C149" s="19" t="n">
        <v>9</v>
      </c>
      <c r="D149" s="19" t="n">
        <v>9</v>
      </c>
      <c r="E149" s="19" t="n">
        <v>0</v>
      </c>
      <c r="F149" s="20" t="n">
        <f aca="false">SUMIFS(SeatExits,SeatDivision,$J149)+SUMIFS(SeatExits,SeatDepartment,$J149)+SUMIFS(SeatExits,SeatUnit,$J149)+SUMIFS(SeatExits,SeatSubUnit,$J149)</f>
        <v>0</v>
      </c>
      <c r="G149" s="20" t="n">
        <f aca="false">SUMIFS(AskTotal,AskDivision,$J149)+SUMIFS(AskTotal,AskDepartment,$J149)+SUMIFS(AskTotal,AskUnit,$J149)+SUMIFS(AskTotal,AskSubUnit,$J149)</f>
        <v>0</v>
      </c>
      <c r="H149" s="20" t="n">
        <f aca="false">$C149-$F149+$G149</f>
        <v>9</v>
      </c>
      <c r="I149" s="20" t="n">
        <f aca="false">$H149-$C149</f>
        <v>0</v>
      </c>
      <c r="J149" s="17" t="s">
        <v>352</v>
      </c>
    </row>
    <row r="150" customFormat="false" ht="15" hidden="false" customHeight="false" outlineLevel="5" collapsed="false">
      <c r="A150" s="17" t="s">
        <v>72</v>
      </c>
      <c r="B150" s="18" t="s">
        <v>353</v>
      </c>
      <c r="C150" s="19" t="n">
        <v>2</v>
      </c>
      <c r="D150" s="19" t="n">
        <v>2</v>
      </c>
      <c r="E150" s="19" t="n">
        <v>0</v>
      </c>
      <c r="F150" s="20" t="n">
        <f aca="false">SUMIFS(SeatExits,SeatDivision,$J150)+SUMIFS(SeatExits,SeatDepartment,$J150)+SUMIFS(SeatExits,SeatUnit,$J150)+SUMIFS(SeatExits,SeatSubUnit,$J150)</f>
        <v>0</v>
      </c>
      <c r="G150" s="20" t="n">
        <f aca="false">SUMIFS(AskTotal,AskDivision,$J150)+SUMIFS(AskTotal,AskDepartment,$J150)+SUMIFS(AskTotal,AskUnit,$J150)+SUMIFS(AskTotal,AskSubUnit,$J150)</f>
        <v>0</v>
      </c>
      <c r="H150" s="20" t="n">
        <f aca="false">$C150-$F150+$G150</f>
        <v>2</v>
      </c>
      <c r="I150" s="20" t="n">
        <f aca="false">$H150-$C150</f>
        <v>0</v>
      </c>
      <c r="J150" s="17" t="s">
        <v>354</v>
      </c>
    </row>
    <row r="151" customFormat="false" ht="15" hidden="false" customHeight="false" outlineLevel="5" collapsed="false">
      <c r="A151" s="17" t="s">
        <v>72</v>
      </c>
      <c r="B151" s="18" t="s">
        <v>355</v>
      </c>
      <c r="C151" s="19" t="n">
        <v>6</v>
      </c>
      <c r="D151" s="19" t="n">
        <v>6</v>
      </c>
      <c r="E151" s="19" t="n">
        <v>0</v>
      </c>
      <c r="F151" s="20" t="n">
        <f aca="false">SUMIFS(SeatExits,SeatDivision,$J151)+SUMIFS(SeatExits,SeatDepartment,$J151)+SUMIFS(SeatExits,SeatUnit,$J151)+SUMIFS(SeatExits,SeatSubUnit,$J151)</f>
        <v>0</v>
      </c>
      <c r="G151" s="20" t="n">
        <f aca="false">SUMIFS(AskTotal,AskDivision,$J151)+SUMIFS(AskTotal,AskDepartment,$J151)+SUMIFS(AskTotal,AskUnit,$J151)+SUMIFS(AskTotal,AskSubUnit,$J151)</f>
        <v>0</v>
      </c>
      <c r="H151" s="20" t="n">
        <f aca="false">$C151-$F151+$G151</f>
        <v>6</v>
      </c>
      <c r="I151" s="20" t="n">
        <f aca="false">$H151-$C151</f>
        <v>0</v>
      </c>
      <c r="J151" s="17" t="s">
        <v>356</v>
      </c>
    </row>
    <row r="152" customFormat="false" ht="15" hidden="false" customHeight="false" outlineLevel="3" collapsed="false">
      <c r="A152" s="17" t="s">
        <v>50</v>
      </c>
      <c r="B152" s="18" t="s">
        <v>357</v>
      </c>
      <c r="C152" s="19" t="n">
        <v>19</v>
      </c>
      <c r="D152" s="19" t="n">
        <v>16</v>
      </c>
      <c r="E152" s="19" t="n">
        <v>3</v>
      </c>
      <c r="F152" s="20" t="n">
        <f aca="false">SUMIFS(SeatExits,SeatDivision,$J152)+SUMIFS(SeatExits,SeatDepartment,$J152)+SUMIFS(SeatExits,SeatUnit,$J152)+SUMIFS(SeatExits,SeatSubUnit,$J152)</f>
        <v>0</v>
      </c>
      <c r="G152" s="20" t="n">
        <f aca="false">SUMIFS(AskTotal,AskDivision,$J152)+SUMIFS(AskTotal,AskDepartment,$J152)+SUMIFS(AskTotal,AskUnit,$J152)+SUMIFS(AskTotal,AskSubUnit,$J152)</f>
        <v>0</v>
      </c>
      <c r="H152" s="20" t="n">
        <f aca="false">$C152-$F152+$G152</f>
        <v>19</v>
      </c>
      <c r="I152" s="20" t="n">
        <f aca="false">$H152-$C152</f>
        <v>0</v>
      </c>
      <c r="J152" s="17" t="s">
        <v>358</v>
      </c>
    </row>
    <row r="153" customFormat="false" ht="15" hidden="false" customHeight="false" outlineLevel="4" collapsed="false">
      <c r="A153" s="17" t="s">
        <v>69</v>
      </c>
      <c r="B153" s="18" t="s">
        <v>359</v>
      </c>
      <c r="C153" s="19" t="n">
        <v>8</v>
      </c>
      <c r="D153" s="19" t="n">
        <v>7</v>
      </c>
      <c r="E153" s="19" t="n">
        <v>1</v>
      </c>
      <c r="F153" s="20" t="n">
        <f aca="false">SUMIFS(SeatExits,SeatDivision,$J153)+SUMIFS(SeatExits,SeatDepartment,$J153)+SUMIFS(SeatExits,SeatUnit,$J153)+SUMIFS(SeatExits,SeatSubUnit,$J153)</f>
        <v>0</v>
      </c>
      <c r="G153" s="20" t="n">
        <f aca="false">SUMIFS(AskTotal,AskDivision,$J153)+SUMIFS(AskTotal,AskDepartment,$J153)+SUMIFS(AskTotal,AskUnit,$J153)+SUMIFS(AskTotal,AskSubUnit,$J153)</f>
        <v>0</v>
      </c>
      <c r="H153" s="20" t="n">
        <f aca="false">$C153-$F153+$G153</f>
        <v>8</v>
      </c>
      <c r="I153" s="20" t="n">
        <f aca="false">$H153-$C153</f>
        <v>0</v>
      </c>
      <c r="J153" s="17" t="s">
        <v>360</v>
      </c>
    </row>
    <row r="154" customFormat="false" ht="15" hidden="false" customHeight="false" outlineLevel="5" collapsed="false">
      <c r="A154" s="17" t="s">
        <v>72</v>
      </c>
      <c r="B154" s="18" t="s">
        <v>361</v>
      </c>
      <c r="C154" s="19" t="n">
        <v>5</v>
      </c>
      <c r="D154" s="19" t="n">
        <v>4</v>
      </c>
      <c r="E154" s="19" t="n">
        <v>1</v>
      </c>
      <c r="F154" s="20" t="n">
        <f aca="false">SUMIFS(SeatExits,SeatDivision,$J154)+SUMIFS(SeatExits,SeatDepartment,$J154)+SUMIFS(SeatExits,SeatUnit,$J154)+SUMIFS(SeatExits,SeatSubUnit,$J154)</f>
        <v>0</v>
      </c>
      <c r="G154" s="20" t="n">
        <f aca="false">SUMIFS(AskTotal,AskDivision,$J154)+SUMIFS(AskTotal,AskDepartment,$J154)+SUMIFS(AskTotal,AskUnit,$J154)+SUMIFS(AskTotal,AskSubUnit,$J154)</f>
        <v>0</v>
      </c>
      <c r="H154" s="20" t="n">
        <f aca="false">$C154-$F154+$G154</f>
        <v>5</v>
      </c>
      <c r="I154" s="20" t="n">
        <f aca="false">$H154-$C154</f>
        <v>0</v>
      </c>
      <c r="J154" s="17" t="s">
        <v>362</v>
      </c>
    </row>
    <row r="155" customFormat="false" ht="15" hidden="false" customHeight="false" outlineLevel="5" collapsed="false">
      <c r="A155" s="17" t="s">
        <v>72</v>
      </c>
      <c r="B155" s="18" t="s">
        <v>363</v>
      </c>
      <c r="C155" s="19" t="n">
        <v>2</v>
      </c>
      <c r="D155" s="19" t="n">
        <v>2</v>
      </c>
      <c r="E155" s="19" t="n">
        <v>0</v>
      </c>
      <c r="F155" s="20" t="n">
        <f aca="false">SUMIFS(SeatExits,SeatDivision,$J155)+SUMIFS(SeatExits,SeatDepartment,$J155)+SUMIFS(SeatExits,SeatUnit,$J155)+SUMIFS(SeatExits,SeatSubUnit,$J155)</f>
        <v>0</v>
      </c>
      <c r="G155" s="20" t="n">
        <f aca="false">SUMIFS(AskTotal,AskDivision,$J155)+SUMIFS(AskTotal,AskDepartment,$J155)+SUMIFS(AskTotal,AskUnit,$J155)+SUMIFS(AskTotal,AskSubUnit,$J155)</f>
        <v>0</v>
      </c>
      <c r="H155" s="20" t="n">
        <f aca="false">$C155-$F155+$G155</f>
        <v>2</v>
      </c>
      <c r="I155" s="20" t="n">
        <f aca="false">$H155-$C155</f>
        <v>0</v>
      </c>
      <c r="J155" s="17" t="s">
        <v>364</v>
      </c>
    </row>
    <row r="156" customFormat="false" ht="15" hidden="false" customHeight="false" outlineLevel="4" collapsed="false">
      <c r="A156" s="17" t="s">
        <v>69</v>
      </c>
      <c r="B156" s="18" t="s">
        <v>365</v>
      </c>
      <c r="C156" s="19" t="n">
        <v>10</v>
      </c>
      <c r="D156" s="19" t="n">
        <v>8</v>
      </c>
      <c r="E156" s="19" t="n">
        <v>2</v>
      </c>
      <c r="F156" s="20" t="n">
        <f aca="false">SUMIFS(SeatExits,SeatDivision,$J156)+SUMIFS(SeatExits,SeatDepartment,$J156)+SUMIFS(SeatExits,SeatUnit,$J156)+SUMIFS(SeatExits,SeatSubUnit,$J156)</f>
        <v>0</v>
      </c>
      <c r="G156" s="20" t="n">
        <f aca="false">SUMIFS(AskTotal,AskDivision,$J156)+SUMIFS(AskTotal,AskDepartment,$J156)+SUMIFS(AskTotal,AskUnit,$J156)+SUMIFS(AskTotal,AskSubUnit,$J156)</f>
        <v>0</v>
      </c>
      <c r="H156" s="20" t="n">
        <f aca="false">$C156-$F156+$G156</f>
        <v>10</v>
      </c>
      <c r="I156" s="20" t="n">
        <f aca="false">$H156-$C156</f>
        <v>0</v>
      </c>
      <c r="J156" s="17" t="s">
        <v>366</v>
      </c>
    </row>
    <row r="157" customFormat="false" ht="15" hidden="false" customHeight="false" outlineLevel="5" collapsed="false">
      <c r="A157" s="17" t="s">
        <v>72</v>
      </c>
      <c r="B157" s="18" t="s">
        <v>367</v>
      </c>
      <c r="C157" s="19" t="n">
        <v>4</v>
      </c>
      <c r="D157" s="19" t="n">
        <v>3</v>
      </c>
      <c r="E157" s="19" t="n">
        <v>1</v>
      </c>
      <c r="F157" s="20" t="n">
        <f aca="false">SUMIFS(SeatExits,SeatDivision,$J157)+SUMIFS(SeatExits,SeatDepartment,$J157)+SUMIFS(SeatExits,SeatUnit,$J157)+SUMIFS(SeatExits,SeatSubUnit,$J157)</f>
        <v>0</v>
      </c>
      <c r="G157" s="20" t="n">
        <f aca="false">SUMIFS(AskTotal,AskDivision,$J157)+SUMIFS(AskTotal,AskDepartment,$J157)+SUMIFS(AskTotal,AskUnit,$J157)+SUMIFS(AskTotal,AskSubUnit,$J157)</f>
        <v>0</v>
      </c>
      <c r="H157" s="20" t="n">
        <f aca="false">$C157-$F157+$G157</f>
        <v>4</v>
      </c>
      <c r="I157" s="20" t="n">
        <f aca="false">$H157-$C157</f>
        <v>0</v>
      </c>
      <c r="J157" s="17" t="s">
        <v>368</v>
      </c>
    </row>
    <row r="158" customFormat="false" ht="15" hidden="false" customHeight="false" outlineLevel="5" collapsed="false">
      <c r="A158" s="17" t="s">
        <v>72</v>
      </c>
      <c r="B158" s="18" t="s">
        <v>369</v>
      </c>
      <c r="C158" s="19" t="n">
        <v>5</v>
      </c>
      <c r="D158" s="19" t="n">
        <v>4</v>
      </c>
      <c r="E158" s="19" t="n">
        <v>1</v>
      </c>
      <c r="F158" s="20" t="n">
        <f aca="false">SUMIFS(SeatExits,SeatDivision,$J158)+SUMIFS(SeatExits,SeatDepartment,$J158)+SUMIFS(SeatExits,SeatUnit,$J158)+SUMIFS(SeatExits,SeatSubUnit,$J158)</f>
        <v>0</v>
      </c>
      <c r="G158" s="20" t="n">
        <f aca="false">SUMIFS(AskTotal,AskDivision,$J158)+SUMIFS(AskTotal,AskDepartment,$J158)+SUMIFS(AskTotal,AskUnit,$J158)+SUMIFS(AskTotal,AskSubUnit,$J158)</f>
        <v>0</v>
      </c>
      <c r="H158" s="20" t="n">
        <f aca="false">$C158-$F158+$G158</f>
        <v>5</v>
      </c>
      <c r="I158" s="20" t="n">
        <f aca="false">$H158-$C158</f>
        <v>0</v>
      </c>
      <c r="J158" s="17" t="s">
        <v>370</v>
      </c>
    </row>
    <row r="160" customFormat="false" ht="25.5" hidden="false" customHeight="true" outlineLevel="0" collapsed="false">
      <c r="A160" s="11" t="s">
        <v>371</v>
      </c>
      <c r="B160" s="11"/>
      <c r="C160" s="11"/>
      <c r="D160" s="11"/>
      <c r="E160" s="11"/>
      <c r="F160" s="11"/>
      <c r="G160" s="11"/>
      <c r="H160" s="11"/>
      <c r="I160" s="11"/>
    </row>
  </sheetData>
  <mergeCells count="2">
    <mergeCell ref="A2:J2"/>
    <mergeCell ref="A160:I160"/>
  </mergeCells>
  <conditionalFormatting sqref="I5:I158">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158">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15"/>
    <col collapsed="false" customWidth="true" hidden="false" outlineLevel="0" max="16" min="16" style="0" width="13"/>
    <col collapsed="false" customWidth="true" hidden="false" outlineLevel="0" max="17" min="17" style="0" width="34"/>
  </cols>
  <sheetData>
    <row r="1" customFormat="false" ht="24" hidden="false" customHeight="true" outlineLevel="0" collapsed="false">
      <c r="A1" s="1" t="s">
        <v>372</v>
      </c>
    </row>
    <row r="2" customFormat="false" ht="15" hidden="false" customHeight="false" outlineLevel="0" collapsed="false">
      <c r="A2" s="2" t="s">
        <v>373</v>
      </c>
      <c r="B2" s="2"/>
      <c r="C2" s="2"/>
      <c r="D2" s="2"/>
      <c r="E2" s="2"/>
      <c r="F2" s="2"/>
      <c r="G2" s="2"/>
      <c r="H2" s="2"/>
      <c r="I2" s="2"/>
      <c r="J2" s="2"/>
    </row>
    <row r="5" customFormat="false" ht="30" hidden="false" customHeight="true" outlineLevel="0" collapsed="false">
      <c r="A5" s="12" t="s">
        <v>374</v>
      </c>
      <c r="B5" s="12" t="s">
        <v>61</v>
      </c>
      <c r="C5" s="12" t="s">
        <v>64</v>
      </c>
      <c r="D5" s="12" t="s">
        <v>50</v>
      </c>
      <c r="E5" s="12" t="s">
        <v>375</v>
      </c>
      <c r="F5" s="12" t="s">
        <v>376</v>
      </c>
      <c r="G5" s="12" t="s">
        <v>18</v>
      </c>
      <c r="H5" s="12" t="s">
        <v>377</v>
      </c>
      <c r="I5" s="12" t="s">
        <v>20</v>
      </c>
      <c r="J5" s="12" t="s">
        <v>378</v>
      </c>
      <c r="K5" s="12" t="s">
        <v>52</v>
      </c>
      <c r="L5" s="12" t="s">
        <v>53</v>
      </c>
      <c r="M5" s="12" t="s">
        <v>379</v>
      </c>
      <c r="N5" s="12" t="s">
        <v>22</v>
      </c>
      <c r="O5" s="12" t="s">
        <v>24</v>
      </c>
      <c r="P5" s="12" t="s">
        <v>380</v>
      </c>
      <c r="Q5" s="12" t="s">
        <v>381</v>
      </c>
    </row>
    <row r="6" customFormat="false" ht="15" hidden="false" customHeight="false" outlineLevel="0" collapsed="false">
      <c r="A6" s="21" t="s">
        <v>382</v>
      </c>
      <c r="B6" s="21"/>
      <c r="C6" s="21"/>
      <c r="D6" s="21"/>
      <c r="E6" s="21"/>
      <c r="F6" s="21" t="s">
        <v>383</v>
      </c>
      <c r="G6" s="21"/>
      <c r="H6" s="21" t="s">
        <v>384</v>
      </c>
      <c r="I6" s="21"/>
      <c r="J6" s="22" t="n">
        <v>1</v>
      </c>
      <c r="K6" s="22" t="n">
        <v>1</v>
      </c>
      <c r="L6" s="22" t="n">
        <v>0</v>
      </c>
      <c r="M6" s="21" t="s">
        <v>385</v>
      </c>
      <c r="N6" s="21"/>
      <c r="O6" s="22"/>
      <c r="P6" s="20" t="n">
        <f aca="false">IF($N6="Reduce",N($O6),0)</f>
        <v>0</v>
      </c>
      <c r="Q6" s="23" t="str">
        <f aca="false">IF($F6="","",MID(IF($G6="",", career level","")&amp;IF($I6="",", nationality mandate","")&amp;IF($N6="",", capacity direction","")&amp;IF(N($J6)&lt;=0,", approved HC","")&amp;IF(AND($G6&lt;&gt;"",COUNTIF(CareerLevels,$G6)=0),", a career level that is not on the ladder","")&amp;IF(AND($N6="Reduce",N($O6)&lt;=0),", how many seats Reduce means","")&amp;IF(AND(N($O6)&gt;0,$N6&lt;&gt;"Reduce"),", a number of seats on a row not marked Reduce","")&amp;IF(N($O6)&gt;N($J6),", more seats given up than the row has",""),3,200))</f>
        <v>career level, nationality mandate, capacity direction</v>
      </c>
    </row>
    <row r="7" customFormat="false" ht="15" hidden="false" customHeight="false" outlineLevel="0" collapsed="false">
      <c r="A7" s="21" t="s">
        <v>386</v>
      </c>
      <c r="B7" s="21" t="s">
        <v>63</v>
      </c>
      <c r="C7" s="21"/>
      <c r="D7" s="21"/>
      <c r="E7" s="21"/>
      <c r="F7" s="21" t="s">
        <v>387</v>
      </c>
      <c r="G7" s="21"/>
      <c r="H7" s="21" t="s">
        <v>388</v>
      </c>
      <c r="I7" s="21"/>
      <c r="J7" s="22" t="n">
        <v>1</v>
      </c>
      <c r="K7" s="22" t="n">
        <v>1</v>
      </c>
      <c r="L7" s="22" t="n">
        <v>0</v>
      </c>
      <c r="M7" s="21" t="s">
        <v>389</v>
      </c>
      <c r="N7" s="21"/>
      <c r="O7" s="22"/>
      <c r="P7" s="20" t="n">
        <f aca="false">IF($N7="Reduce",N($O7),0)</f>
        <v>0</v>
      </c>
      <c r="Q7" s="23" t="str">
        <f aca="false">IF($F7="","",MID(IF($G7="",", career level","")&amp;IF($I7="",", nationality mandate","")&amp;IF($N7="",", capacity direction","")&amp;IF(N($J7)&lt;=0,", approved HC","")&amp;IF(AND($G7&lt;&gt;"",COUNTIF(CareerLevels,$G7)=0),", a career level that is not on the ladder","")&amp;IF(AND($N7="Reduce",N($O7)&lt;=0),", how many seats Reduce means","")&amp;IF(AND(N($O7)&gt;0,$N7&lt;&gt;"Reduce"),", a number of seats on a row not marked Reduce","")&amp;IF(N($O7)&gt;N($J7),", more seats given up than the row has",""),3,200))</f>
        <v>career level, nationality mandate, capacity direction</v>
      </c>
    </row>
    <row r="8" customFormat="false" ht="15" hidden="false" customHeight="false" outlineLevel="0" collapsed="false">
      <c r="A8" s="21" t="s">
        <v>390</v>
      </c>
      <c r="B8" s="21" t="s">
        <v>63</v>
      </c>
      <c r="C8" s="21" t="s">
        <v>66</v>
      </c>
      <c r="D8" s="21"/>
      <c r="E8" s="21"/>
      <c r="F8" s="21" t="s">
        <v>391</v>
      </c>
      <c r="G8" s="21"/>
      <c r="H8" s="21" t="s">
        <v>388</v>
      </c>
      <c r="I8" s="21"/>
      <c r="J8" s="22" t="n">
        <v>1</v>
      </c>
      <c r="K8" s="22" t="n">
        <v>1</v>
      </c>
      <c r="L8" s="22" t="n">
        <v>0</v>
      </c>
      <c r="M8" s="21" t="s">
        <v>385</v>
      </c>
      <c r="N8" s="21"/>
      <c r="O8" s="22"/>
      <c r="P8" s="20" t="n">
        <f aca="false">IF($N8="Reduce",N($O8),0)</f>
        <v>0</v>
      </c>
      <c r="Q8" s="23" t="str">
        <f aca="false">IF($F8="","",MID(IF($G8="",", career level","")&amp;IF($I8="",", nationality mandate","")&amp;IF($N8="",", capacity direction","")&amp;IF(N($J8)&lt;=0,", approved HC","")&amp;IF(AND($G8&lt;&gt;"",COUNTIF(CareerLevels,$G8)=0),", a career level that is not on the ladder","")&amp;IF(AND($N8="Reduce",N($O8)&lt;=0),", how many seats Reduce means","")&amp;IF(AND(N($O8)&gt;0,$N8&lt;&gt;"Reduce"),", a number of seats on a row not marked Reduce","")&amp;IF(N($O8)&gt;N($J8),", more seats given up than the row has",""),3,200))</f>
        <v>career level, nationality mandate, capacity direction</v>
      </c>
    </row>
    <row r="9" customFormat="false" ht="15" hidden="false" customHeight="false" outlineLevel="0" collapsed="false">
      <c r="A9" s="21" t="s">
        <v>392</v>
      </c>
      <c r="B9" s="21" t="s">
        <v>63</v>
      </c>
      <c r="C9" s="21" t="s">
        <v>66</v>
      </c>
      <c r="D9" s="21" t="s">
        <v>68</v>
      </c>
      <c r="E9" s="21"/>
      <c r="F9" s="21" t="s">
        <v>393</v>
      </c>
      <c r="G9" s="21"/>
      <c r="H9" s="21" t="s">
        <v>394</v>
      </c>
      <c r="I9" s="21"/>
      <c r="J9" s="22" t="n">
        <v>1</v>
      </c>
      <c r="K9" s="22" t="n">
        <v>0</v>
      </c>
      <c r="L9" s="22" t="n">
        <v>1</v>
      </c>
      <c r="M9" s="21" t="s">
        <v>385</v>
      </c>
      <c r="N9" s="21"/>
      <c r="O9" s="22"/>
      <c r="P9" s="20" t="n">
        <f aca="false">IF($N9="Reduce",N($O9),0)</f>
        <v>0</v>
      </c>
      <c r="Q9" s="23" t="str">
        <f aca="false">IF($F9="","",MID(IF($G9="",", career level","")&amp;IF($I9="",", nationality mandate","")&amp;IF($N9="",", capacity direction","")&amp;IF(N($J9)&lt;=0,", approved HC","")&amp;IF(AND($G9&lt;&gt;"",COUNTIF(CareerLevels,$G9)=0),", a career level that is not on the ladder","")&amp;IF(AND($N9="Reduce",N($O9)&lt;=0),", how many seats Reduce means","")&amp;IF(AND(N($O9)&gt;0,$N9&lt;&gt;"Reduce"),", a number of seats on a row not marked Reduce","")&amp;IF(N($O9)&gt;N($J9),", more seats given up than the row has",""),3,200))</f>
        <v>career level, nationality mandate, capacity direction</v>
      </c>
    </row>
    <row r="10" customFormat="false" ht="15" hidden="false" customHeight="false" outlineLevel="0" collapsed="false">
      <c r="A10" s="21"/>
      <c r="B10" s="21" t="s">
        <v>63</v>
      </c>
      <c r="C10" s="21" t="s">
        <v>66</v>
      </c>
      <c r="D10" s="21" t="s">
        <v>68</v>
      </c>
      <c r="E10" s="21" t="s">
        <v>71</v>
      </c>
      <c r="F10" s="21" t="s">
        <v>395</v>
      </c>
      <c r="G10" s="21"/>
      <c r="H10" s="21" t="s">
        <v>396</v>
      </c>
      <c r="I10" s="21"/>
      <c r="J10" s="22" t="n">
        <v>2</v>
      </c>
      <c r="K10" s="22" t="n">
        <v>2</v>
      </c>
      <c r="L10" s="22" t="n">
        <v>0</v>
      </c>
      <c r="M10" s="21" t="s">
        <v>385</v>
      </c>
      <c r="N10" s="21"/>
      <c r="O10" s="22"/>
      <c r="P10" s="20" t="n">
        <f aca="false">IF($N10="Reduce",N($O10),0)</f>
        <v>0</v>
      </c>
      <c r="Q10" s="23" t="str">
        <f aca="false">IF($F10="","",MID(IF($G10="",", career level","")&amp;IF($I10="",", nationality mandate","")&amp;IF($N10="",", capacity direction","")&amp;IF(N($J10)&lt;=0,", approved HC","")&amp;IF(AND($G10&lt;&gt;"",COUNTIF(CareerLevels,$G10)=0),", a career level that is not on the ladder","")&amp;IF(AND($N10="Reduce",N($O10)&lt;=0),", how many seats Reduce means","")&amp;IF(AND(N($O10)&gt;0,$N10&lt;&gt;"Reduce"),", a number of seats on a row not marked Reduce","")&amp;IF(N($O10)&gt;N($J10),", more seats given up than the row has",""),3,200))</f>
        <v>career level, nationality mandate, capacity direction</v>
      </c>
    </row>
    <row r="11" customFormat="false" ht="15" hidden="false" customHeight="false" outlineLevel="0" collapsed="false">
      <c r="A11" s="21" t="s">
        <v>397</v>
      </c>
      <c r="B11" s="21" t="s">
        <v>63</v>
      </c>
      <c r="C11" s="21" t="s">
        <v>66</v>
      </c>
      <c r="D11" s="21" t="s">
        <v>68</v>
      </c>
      <c r="E11" s="21" t="s">
        <v>71</v>
      </c>
      <c r="F11" s="21" t="s">
        <v>398</v>
      </c>
      <c r="G11" s="21"/>
      <c r="H11" s="21" t="s">
        <v>396</v>
      </c>
      <c r="I11" s="21"/>
      <c r="J11" s="22" t="n">
        <v>1</v>
      </c>
      <c r="K11" s="22" t="n">
        <v>1</v>
      </c>
      <c r="L11" s="22" t="n">
        <v>0</v>
      </c>
      <c r="M11" s="21" t="s">
        <v>385</v>
      </c>
      <c r="N11" s="21"/>
      <c r="O11" s="22"/>
      <c r="P11" s="20" t="n">
        <f aca="false">IF($N11="Reduce",N($O11),0)</f>
        <v>0</v>
      </c>
      <c r="Q11" s="23" t="str">
        <f aca="false">IF($F11="","",MID(IF($G11="",", career level","")&amp;IF($I11="",", nationality mandate","")&amp;IF($N11="",", capacity direction","")&amp;IF(N($J11)&lt;=0,", approved HC","")&amp;IF(AND($G11&lt;&gt;"",COUNTIF(CareerLevels,$G11)=0),", a career level that is not on the ladder","")&amp;IF(AND($N11="Reduce",N($O11)&lt;=0),", how many seats Reduce means","")&amp;IF(AND(N($O11)&gt;0,$N11&lt;&gt;"Reduce"),", a number of seats on a row not marked Reduce","")&amp;IF(N($O11)&gt;N($J11),", more seats given up than the row has",""),3,200))</f>
        <v>career level, nationality mandate, capacity direction</v>
      </c>
    </row>
    <row r="12" customFormat="false" ht="15" hidden="false" customHeight="false" outlineLevel="0" collapsed="false">
      <c r="A12" s="21" t="s">
        <v>399</v>
      </c>
      <c r="B12" s="21" t="s">
        <v>63</v>
      </c>
      <c r="C12" s="21" t="s">
        <v>66</v>
      </c>
      <c r="D12" s="21" t="s">
        <v>68</v>
      </c>
      <c r="E12" s="21" t="s">
        <v>71</v>
      </c>
      <c r="F12" s="21" t="s">
        <v>400</v>
      </c>
      <c r="G12" s="21"/>
      <c r="H12" s="21" t="s">
        <v>396</v>
      </c>
      <c r="I12" s="21"/>
      <c r="J12" s="22" t="n">
        <v>1</v>
      </c>
      <c r="K12" s="22" t="n">
        <v>1</v>
      </c>
      <c r="L12" s="22" t="n">
        <v>0</v>
      </c>
      <c r="M12" s="21" t="s">
        <v>385</v>
      </c>
      <c r="N12" s="21"/>
      <c r="O12" s="22"/>
      <c r="P12" s="20" t="n">
        <f aca="false">IF($N12="Reduce",N($O12),0)</f>
        <v>0</v>
      </c>
      <c r="Q12" s="23" t="str">
        <f aca="false">IF($F12="","",MID(IF($G12="",", career level","")&amp;IF($I12="",", nationality mandate","")&amp;IF($N12="",", capacity direction","")&amp;IF(N($J12)&lt;=0,", approved HC","")&amp;IF(AND($G12&lt;&gt;"",COUNTIF(CareerLevels,$G12)=0),", a career level that is not on the ladder","")&amp;IF(AND($N12="Reduce",N($O12)&lt;=0),", how many seats Reduce means","")&amp;IF(AND(N($O12)&gt;0,$N12&lt;&gt;"Reduce"),", a number of seats on a row not marked Reduce","")&amp;IF(N($O12)&gt;N($J12),", more seats given up than the row has",""),3,200))</f>
        <v>career level, nationality mandate, capacity direction</v>
      </c>
    </row>
    <row r="13" customFormat="false" ht="15" hidden="false" customHeight="false" outlineLevel="0" collapsed="false">
      <c r="A13" s="21" t="s">
        <v>399</v>
      </c>
      <c r="B13" s="21" t="s">
        <v>63</v>
      </c>
      <c r="C13" s="21" t="s">
        <v>66</v>
      </c>
      <c r="D13" s="21" t="s">
        <v>68</v>
      </c>
      <c r="E13" s="21" t="s">
        <v>71</v>
      </c>
      <c r="F13" s="21" t="s">
        <v>401</v>
      </c>
      <c r="G13" s="21"/>
      <c r="H13" s="21" t="s">
        <v>396</v>
      </c>
      <c r="I13" s="21"/>
      <c r="J13" s="22" t="n">
        <v>1</v>
      </c>
      <c r="K13" s="22" t="n">
        <v>1</v>
      </c>
      <c r="L13" s="22" t="n">
        <v>0</v>
      </c>
      <c r="M13" s="21" t="s">
        <v>389</v>
      </c>
      <c r="N13" s="21"/>
      <c r="O13" s="22"/>
      <c r="P13" s="20" t="n">
        <f aca="false">IF($N13="Reduce",N($O13),0)</f>
        <v>0</v>
      </c>
      <c r="Q13" s="23" t="str">
        <f aca="false">IF($F13="","",MID(IF($G13="",", career level","")&amp;IF($I13="",", nationality mandate","")&amp;IF($N13="",", capacity direction","")&amp;IF(N($J13)&lt;=0,", approved HC","")&amp;IF(AND($G13&lt;&gt;"",COUNTIF(CareerLevels,$G13)=0),", a career level that is not on the ladder","")&amp;IF(AND($N13="Reduce",N($O13)&lt;=0),", how many seats Reduce means","")&amp;IF(AND(N($O13)&gt;0,$N13&lt;&gt;"Reduce"),", a number of seats on a row not marked Reduce","")&amp;IF(N($O13)&gt;N($J13),", more seats given up than the row has",""),3,200))</f>
        <v>career level, nationality mandate, capacity direction</v>
      </c>
    </row>
    <row r="14" customFormat="false" ht="15" hidden="false" customHeight="false" outlineLevel="0" collapsed="false">
      <c r="A14" s="21" t="s">
        <v>386</v>
      </c>
      <c r="B14" s="21" t="s">
        <v>63</v>
      </c>
      <c r="C14" s="21" t="s">
        <v>66</v>
      </c>
      <c r="D14" s="21" t="s">
        <v>68</v>
      </c>
      <c r="E14" s="21" t="s">
        <v>71</v>
      </c>
      <c r="F14" s="21" t="s">
        <v>401</v>
      </c>
      <c r="G14" s="21"/>
      <c r="H14" s="21" t="s">
        <v>396</v>
      </c>
      <c r="I14" s="21"/>
      <c r="J14" s="22" t="n">
        <v>1</v>
      </c>
      <c r="K14" s="22" t="n">
        <v>1</v>
      </c>
      <c r="L14" s="22" t="n">
        <v>0</v>
      </c>
      <c r="M14" s="21" t="s">
        <v>385</v>
      </c>
      <c r="N14" s="21"/>
      <c r="O14" s="22"/>
      <c r="P14" s="20" t="n">
        <f aca="false">IF($N14="Reduce",N($O14),0)</f>
        <v>0</v>
      </c>
      <c r="Q14" s="23" t="str">
        <f aca="false">IF($F14="","",MID(IF($G14="",", career level","")&amp;IF($I14="",", nationality mandate","")&amp;IF($N14="",", capacity direction","")&amp;IF(N($J14)&lt;=0,", approved HC","")&amp;IF(AND($G14&lt;&gt;"",COUNTIF(CareerLevels,$G14)=0),", a career level that is not on the ladder","")&amp;IF(AND($N14="Reduce",N($O14)&lt;=0),", how many seats Reduce means","")&amp;IF(AND(N($O14)&gt;0,$N14&lt;&gt;"Reduce"),", a number of seats on a row not marked Reduce","")&amp;IF(N($O14)&gt;N($J14),", more seats given up than the row has",""),3,200))</f>
        <v>career level, nationality mandate, capacity direction</v>
      </c>
    </row>
    <row r="15" customFormat="false" ht="15" hidden="false" customHeight="false" outlineLevel="0" collapsed="false">
      <c r="A15" s="21"/>
      <c r="B15" s="21" t="s">
        <v>63</v>
      </c>
      <c r="C15" s="21" t="s">
        <v>66</v>
      </c>
      <c r="D15" s="21" t="s">
        <v>68</v>
      </c>
      <c r="E15" s="21" t="s">
        <v>71</v>
      </c>
      <c r="F15" s="21" t="s">
        <v>402</v>
      </c>
      <c r="G15" s="21"/>
      <c r="H15" s="21" t="s">
        <v>396</v>
      </c>
      <c r="I15" s="21"/>
      <c r="J15" s="22" t="n">
        <v>3</v>
      </c>
      <c r="K15" s="22" t="n">
        <v>3</v>
      </c>
      <c r="L15" s="22" t="n">
        <v>0</v>
      </c>
      <c r="M15" s="21" t="s">
        <v>385</v>
      </c>
      <c r="N15" s="21"/>
      <c r="O15" s="22"/>
      <c r="P15" s="20" t="n">
        <f aca="false">IF($N15="Reduce",N($O15),0)</f>
        <v>0</v>
      </c>
      <c r="Q15" s="23" t="str">
        <f aca="false">IF($F15="","",MID(IF($G15="",", career level","")&amp;IF($I15="",", nationality mandate","")&amp;IF($N15="",", capacity direction","")&amp;IF(N($J15)&lt;=0,", approved HC","")&amp;IF(AND($G15&lt;&gt;"",COUNTIF(CareerLevels,$G15)=0),", a career level that is not on the ladder","")&amp;IF(AND($N15="Reduce",N($O15)&lt;=0),", how many seats Reduce means","")&amp;IF(AND(N($O15)&gt;0,$N15&lt;&gt;"Reduce"),", a number of seats on a row not marked Reduce","")&amp;IF(N($O15)&gt;N($J15),", more seats given up than the row has",""),3,200))</f>
        <v>career level, nationality mandate, capacity direction</v>
      </c>
    </row>
    <row r="16" customFormat="false" ht="15" hidden="false" customHeight="false" outlineLevel="0" collapsed="false">
      <c r="A16" s="21" t="s">
        <v>403</v>
      </c>
      <c r="B16" s="21" t="s">
        <v>63</v>
      </c>
      <c r="C16" s="21" t="s">
        <v>66</v>
      </c>
      <c r="D16" s="21" t="s">
        <v>68</v>
      </c>
      <c r="E16" s="21" t="s">
        <v>71</v>
      </c>
      <c r="F16" s="21" t="s">
        <v>404</v>
      </c>
      <c r="G16" s="21"/>
      <c r="H16" s="21" t="s">
        <v>394</v>
      </c>
      <c r="I16" s="21"/>
      <c r="J16" s="22" t="n">
        <v>1</v>
      </c>
      <c r="K16" s="22" t="n">
        <v>1</v>
      </c>
      <c r="L16" s="22" t="n">
        <v>0</v>
      </c>
      <c r="M16" s="21" t="s">
        <v>385</v>
      </c>
      <c r="N16" s="21"/>
      <c r="O16" s="22"/>
      <c r="P16" s="20" t="n">
        <f aca="false">IF($N16="Reduce",N($O16),0)</f>
        <v>0</v>
      </c>
      <c r="Q16" s="23" t="str">
        <f aca="false">IF($F16="","",MID(IF($G16="",", career level","")&amp;IF($I16="",", nationality mandate","")&amp;IF($N16="",", capacity direction","")&amp;IF(N($J16)&lt;=0,", approved HC","")&amp;IF(AND($G16&lt;&gt;"",COUNTIF(CareerLevels,$G16)=0),", a career level that is not on the ladder","")&amp;IF(AND($N16="Reduce",N($O16)&lt;=0),", how many seats Reduce means","")&amp;IF(AND(N($O16)&gt;0,$N16&lt;&gt;"Reduce"),", a number of seats on a row not marked Reduce","")&amp;IF(N($O16)&gt;N($J16),", more seats given up than the row has",""),3,200))</f>
        <v>career level, nationality mandate, capacity direction</v>
      </c>
    </row>
    <row r="17" customFormat="false" ht="15" hidden="false" customHeight="false" outlineLevel="0" collapsed="false">
      <c r="A17" s="21"/>
      <c r="B17" s="21" t="s">
        <v>63</v>
      </c>
      <c r="C17" s="21" t="s">
        <v>66</v>
      </c>
      <c r="D17" s="21" t="s">
        <v>68</v>
      </c>
      <c r="E17" s="21" t="s">
        <v>78</v>
      </c>
      <c r="F17" s="21" t="s">
        <v>395</v>
      </c>
      <c r="G17" s="21"/>
      <c r="H17" s="21" t="s">
        <v>396</v>
      </c>
      <c r="I17" s="21"/>
      <c r="J17" s="22" t="n">
        <v>2</v>
      </c>
      <c r="K17" s="22" t="n">
        <v>1</v>
      </c>
      <c r="L17" s="22" t="n">
        <v>1</v>
      </c>
      <c r="M17" s="21" t="s">
        <v>385</v>
      </c>
      <c r="N17" s="21"/>
      <c r="O17" s="22"/>
      <c r="P17" s="20" t="n">
        <f aca="false">IF($N17="Reduce",N($O17),0)</f>
        <v>0</v>
      </c>
      <c r="Q17" s="23" t="str">
        <f aca="false">IF($F17="","",MID(IF($G17="",", career level","")&amp;IF($I17="",", nationality mandate","")&amp;IF($N17="",", capacity direction","")&amp;IF(N($J17)&lt;=0,", approved HC","")&amp;IF(AND($G17&lt;&gt;"",COUNTIF(CareerLevels,$G17)=0),", a career level that is not on the ladder","")&amp;IF(AND($N17="Reduce",N($O17)&lt;=0),", how many seats Reduce means","")&amp;IF(AND(N($O17)&gt;0,$N17&lt;&gt;"Reduce"),", a number of seats on a row not marked Reduce","")&amp;IF(N($O17)&gt;N($J17),", more seats given up than the row has",""),3,200))</f>
        <v>career level, nationality mandate, capacity direction</v>
      </c>
    </row>
    <row r="18" customFormat="false" ht="15" hidden="false" customHeight="false" outlineLevel="0" collapsed="false">
      <c r="A18" s="21" t="s">
        <v>405</v>
      </c>
      <c r="B18" s="21" t="s">
        <v>63</v>
      </c>
      <c r="C18" s="21" t="s">
        <v>66</v>
      </c>
      <c r="D18" s="21" t="s">
        <v>68</v>
      </c>
      <c r="E18" s="21" t="s">
        <v>78</v>
      </c>
      <c r="F18" s="21" t="s">
        <v>398</v>
      </c>
      <c r="G18" s="21"/>
      <c r="H18" s="21" t="s">
        <v>396</v>
      </c>
      <c r="I18" s="21"/>
      <c r="J18" s="22" t="n">
        <v>1</v>
      </c>
      <c r="K18" s="22" t="n">
        <v>1</v>
      </c>
      <c r="L18" s="22" t="n">
        <v>0</v>
      </c>
      <c r="M18" s="21" t="s">
        <v>385</v>
      </c>
      <c r="N18" s="21"/>
      <c r="O18" s="22"/>
      <c r="P18" s="20" t="n">
        <f aca="false">IF($N18="Reduce",N($O18),0)</f>
        <v>0</v>
      </c>
      <c r="Q18" s="23" t="str">
        <f aca="false">IF($F18="","",MID(IF($G18="",", career level","")&amp;IF($I18="",", nationality mandate","")&amp;IF($N18="",", capacity direction","")&amp;IF(N($J18)&lt;=0,", approved HC","")&amp;IF(AND($G18&lt;&gt;"",COUNTIF(CareerLevels,$G18)=0),", a career level that is not on the ladder","")&amp;IF(AND($N18="Reduce",N($O18)&lt;=0),", how many seats Reduce means","")&amp;IF(AND(N($O18)&gt;0,$N18&lt;&gt;"Reduce"),", a number of seats on a row not marked Reduce","")&amp;IF(N($O18)&gt;N($J18),", more seats given up than the row has",""),3,200))</f>
        <v>career level, nationality mandate, capacity direction</v>
      </c>
    </row>
    <row r="19" customFormat="false" ht="15" hidden="false" customHeight="false" outlineLevel="0" collapsed="false">
      <c r="A19" s="21"/>
      <c r="B19" s="21" t="s">
        <v>63</v>
      </c>
      <c r="C19" s="21" t="s">
        <v>66</v>
      </c>
      <c r="D19" s="21" t="s">
        <v>68</v>
      </c>
      <c r="E19" s="21" t="s">
        <v>78</v>
      </c>
      <c r="F19" s="21" t="s">
        <v>400</v>
      </c>
      <c r="G19" s="21"/>
      <c r="H19" s="21" t="s">
        <v>396</v>
      </c>
      <c r="I19" s="21"/>
      <c r="J19" s="22" t="n">
        <v>2</v>
      </c>
      <c r="K19" s="22" t="n">
        <v>2</v>
      </c>
      <c r="L19" s="22" t="n">
        <v>0</v>
      </c>
      <c r="M19" s="21" t="s">
        <v>385</v>
      </c>
      <c r="N19" s="21"/>
      <c r="O19" s="22"/>
      <c r="P19" s="20" t="n">
        <f aca="false">IF($N19="Reduce",N($O19),0)</f>
        <v>0</v>
      </c>
      <c r="Q19" s="23" t="str">
        <f aca="false">IF($F19="","",MID(IF($G19="",", career level","")&amp;IF($I19="",", nationality mandate","")&amp;IF($N19="",", capacity direction","")&amp;IF(N($J19)&lt;=0,", approved HC","")&amp;IF(AND($G19&lt;&gt;"",COUNTIF(CareerLevels,$G19)=0),", a career level that is not on the ladder","")&amp;IF(AND($N19="Reduce",N($O19)&lt;=0),", how many seats Reduce means","")&amp;IF(AND(N($O19)&gt;0,$N19&lt;&gt;"Reduce"),", a number of seats on a row not marked Reduce","")&amp;IF(N($O19)&gt;N($J19),", more seats given up than the row has",""),3,200))</f>
        <v>career level, nationality mandate, capacity direction</v>
      </c>
    </row>
    <row r="20" customFormat="false" ht="15" hidden="false" customHeight="false" outlineLevel="0" collapsed="false">
      <c r="A20" s="21" t="s">
        <v>406</v>
      </c>
      <c r="B20" s="21" t="s">
        <v>63</v>
      </c>
      <c r="C20" s="21" t="s">
        <v>66</v>
      </c>
      <c r="D20" s="21" t="s">
        <v>68</v>
      </c>
      <c r="E20" s="21" t="s">
        <v>78</v>
      </c>
      <c r="F20" s="21" t="s">
        <v>401</v>
      </c>
      <c r="G20" s="21"/>
      <c r="H20" s="21" t="s">
        <v>396</v>
      </c>
      <c r="I20" s="21"/>
      <c r="J20" s="22" t="n">
        <v>1</v>
      </c>
      <c r="K20" s="22" t="n">
        <v>1</v>
      </c>
      <c r="L20" s="22" t="n">
        <v>0</v>
      </c>
      <c r="M20" s="21" t="s">
        <v>385</v>
      </c>
      <c r="N20" s="21"/>
      <c r="O20" s="22"/>
      <c r="P20" s="20" t="n">
        <f aca="false">IF($N20="Reduce",N($O20),0)</f>
        <v>0</v>
      </c>
      <c r="Q20" s="23" t="str">
        <f aca="false">IF($F20="","",MID(IF($G20="",", career level","")&amp;IF($I20="",", nationality mandate","")&amp;IF($N20="",", capacity direction","")&amp;IF(N($J20)&lt;=0,", approved HC","")&amp;IF(AND($G20&lt;&gt;"",COUNTIF(CareerLevels,$G20)=0),", a career level that is not on the ladder","")&amp;IF(AND($N20="Reduce",N($O20)&lt;=0),", how many seats Reduce means","")&amp;IF(AND(N($O20)&gt;0,$N20&lt;&gt;"Reduce"),", a number of seats on a row not marked Reduce","")&amp;IF(N($O20)&gt;N($J20),", more seats given up than the row has",""),3,200))</f>
        <v>career level, nationality mandate, capacity direction</v>
      </c>
    </row>
    <row r="21" customFormat="false" ht="15" hidden="false" customHeight="false" outlineLevel="0" collapsed="false">
      <c r="A21" s="21" t="s">
        <v>407</v>
      </c>
      <c r="B21" s="21" t="s">
        <v>63</v>
      </c>
      <c r="C21" s="21" t="s">
        <v>66</v>
      </c>
      <c r="D21" s="21" t="s">
        <v>68</v>
      </c>
      <c r="E21" s="21" t="s">
        <v>78</v>
      </c>
      <c r="F21" s="21" t="s">
        <v>402</v>
      </c>
      <c r="G21" s="21"/>
      <c r="H21" s="21" t="s">
        <v>396</v>
      </c>
      <c r="I21" s="21"/>
      <c r="J21" s="22" t="n">
        <v>1</v>
      </c>
      <c r="K21" s="22" t="n">
        <v>1</v>
      </c>
      <c r="L21" s="22" t="n">
        <v>0</v>
      </c>
      <c r="M21" s="21" t="s">
        <v>385</v>
      </c>
      <c r="N21" s="21"/>
      <c r="O21" s="22"/>
      <c r="P21" s="20" t="n">
        <f aca="false">IF($N21="Reduce",N($O21),0)</f>
        <v>0</v>
      </c>
      <c r="Q21" s="23" t="str">
        <f aca="false">IF($F21="","",MID(IF($G21="",", career level","")&amp;IF($I21="",", nationality mandate","")&amp;IF($N21="",", capacity direction","")&amp;IF(N($J21)&lt;=0,", approved HC","")&amp;IF(AND($G21&lt;&gt;"",COUNTIF(CareerLevels,$G21)=0),", a career level that is not on the ladder","")&amp;IF(AND($N21="Reduce",N($O21)&lt;=0),", how many seats Reduce means","")&amp;IF(AND(N($O21)&gt;0,$N21&lt;&gt;"Reduce"),", a number of seats on a row not marked Reduce","")&amp;IF(N($O21)&gt;N($J21),", more seats given up than the row has",""),3,200))</f>
        <v>career level, nationality mandate, capacity direction</v>
      </c>
    </row>
    <row r="22" customFormat="false" ht="15" hidden="false" customHeight="false" outlineLevel="0" collapsed="false">
      <c r="A22" s="21" t="s">
        <v>392</v>
      </c>
      <c r="B22" s="21" t="s">
        <v>63</v>
      </c>
      <c r="C22" s="21" t="s">
        <v>66</v>
      </c>
      <c r="D22" s="21" t="s">
        <v>68</v>
      </c>
      <c r="E22" s="21" t="s">
        <v>78</v>
      </c>
      <c r="F22" s="21" t="s">
        <v>404</v>
      </c>
      <c r="G22" s="21"/>
      <c r="H22" s="21" t="s">
        <v>394</v>
      </c>
      <c r="I22" s="21"/>
      <c r="J22" s="22" t="n">
        <v>1</v>
      </c>
      <c r="K22" s="22" t="n">
        <v>1</v>
      </c>
      <c r="L22" s="22" t="n">
        <v>0</v>
      </c>
      <c r="M22" s="21" t="s">
        <v>385</v>
      </c>
      <c r="N22" s="21"/>
      <c r="O22" s="22"/>
      <c r="P22" s="20" t="n">
        <f aca="false">IF($N22="Reduce",N($O22),0)</f>
        <v>0</v>
      </c>
      <c r="Q22" s="23" t="str">
        <f aca="false">IF($F22="","",MID(IF($G22="",", career level","")&amp;IF($I22="",", nationality mandate","")&amp;IF($N22="",", capacity direction","")&amp;IF(N($J22)&lt;=0,", approved HC","")&amp;IF(AND($G22&lt;&gt;"",COUNTIF(CareerLevels,$G22)=0),", a career level that is not on the ladder","")&amp;IF(AND($N22="Reduce",N($O22)&lt;=0),", how many seats Reduce means","")&amp;IF(AND(N($O22)&gt;0,$N22&lt;&gt;"Reduce"),", a number of seats on a row not marked Reduce","")&amp;IF(N($O22)&gt;N($J22),", more seats given up than the row has",""),3,200))</f>
        <v>career level, nationality mandate, capacity direction</v>
      </c>
    </row>
    <row r="23" customFormat="false" ht="15" hidden="false" customHeight="false" outlineLevel="0" collapsed="false">
      <c r="A23" s="21" t="s">
        <v>408</v>
      </c>
      <c r="B23" s="21" t="s">
        <v>63</v>
      </c>
      <c r="C23" s="21" t="s">
        <v>66</v>
      </c>
      <c r="D23" s="21" t="s">
        <v>84</v>
      </c>
      <c r="E23" s="21"/>
      <c r="F23" s="21" t="s">
        <v>393</v>
      </c>
      <c r="G23" s="21"/>
      <c r="H23" s="21" t="s">
        <v>394</v>
      </c>
      <c r="I23" s="21"/>
      <c r="J23" s="22" t="n">
        <v>1</v>
      </c>
      <c r="K23" s="22" t="n">
        <v>1</v>
      </c>
      <c r="L23" s="22" t="n">
        <v>0</v>
      </c>
      <c r="M23" s="21" t="s">
        <v>385</v>
      </c>
      <c r="N23" s="21"/>
      <c r="O23" s="22"/>
      <c r="P23" s="20" t="n">
        <f aca="false">IF($N23="Reduce",N($O23),0)</f>
        <v>0</v>
      </c>
      <c r="Q23" s="23" t="str">
        <f aca="false">IF($F23="","",MID(IF($G23="",", career level","")&amp;IF($I23="",", nationality mandate","")&amp;IF($N23="",", capacity direction","")&amp;IF(N($J23)&lt;=0,", approved HC","")&amp;IF(AND($G23&lt;&gt;"",COUNTIF(CareerLevels,$G23)=0),", a career level that is not on the ladder","")&amp;IF(AND($N23="Reduce",N($O23)&lt;=0),", how many seats Reduce means","")&amp;IF(AND(N($O23)&gt;0,$N23&lt;&gt;"Reduce"),", a number of seats on a row not marked Reduce","")&amp;IF(N($O23)&gt;N($J23),", more seats given up than the row has",""),3,200))</f>
        <v>career level, nationality mandate, capacity direction</v>
      </c>
    </row>
    <row r="24" customFormat="false" ht="15" hidden="false" customHeight="false" outlineLevel="0" collapsed="false">
      <c r="A24" s="21"/>
      <c r="B24" s="21" t="s">
        <v>63</v>
      </c>
      <c r="C24" s="21" t="s">
        <v>66</v>
      </c>
      <c r="D24" s="21" t="s">
        <v>84</v>
      </c>
      <c r="E24" s="21" t="s">
        <v>86</v>
      </c>
      <c r="F24" s="21" t="s">
        <v>395</v>
      </c>
      <c r="G24" s="21"/>
      <c r="H24" s="21" t="s">
        <v>396</v>
      </c>
      <c r="I24" s="21"/>
      <c r="J24" s="22" t="n">
        <v>2</v>
      </c>
      <c r="K24" s="22" t="n">
        <v>1</v>
      </c>
      <c r="L24" s="22" t="n">
        <v>1</v>
      </c>
      <c r="M24" s="21" t="s">
        <v>385</v>
      </c>
      <c r="N24" s="21"/>
      <c r="O24" s="22"/>
      <c r="P24" s="20" t="n">
        <f aca="false">IF($N24="Reduce",N($O24),0)</f>
        <v>0</v>
      </c>
      <c r="Q24" s="23" t="str">
        <f aca="false">IF($F24="","",MID(IF($G24="",", career level","")&amp;IF($I24="",", nationality mandate","")&amp;IF($N24="",", capacity direction","")&amp;IF(N($J24)&lt;=0,", approved HC","")&amp;IF(AND($G24&lt;&gt;"",COUNTIF(CareerLevels,$G24)=0),", a career level that is not on the ladder","")&amp;IF(AND($N24="Reduce",N($O24)&lt;=0),", how many seats Reduce means","")&amp;IF(AND(N($O24)&gt;0,$N24&lt;&gt;"Reduce"),", a number of seats on a row not marked Reduce","")&amp;IF(N($O24)&gt;N($J24),", more seats given up than the row has",""),3,200))</f>
        <v>career level, nationality mandate, capacity direction</v>
      </c>
    </row>
    <row r="25" customFormat="false" ht="15" hidden="false" customHeight="false" outlineLevel="0" collapsed="false">
      <c r="A25" s="21"/>
      <c r="B25" s="21" t="s">
        <v>63</v>
      </c>
      <c r="C25" s="21" t="s">
        <v>66</v>
      </c>
      <c r="D25" s="21" t="s">
        <v>84</v>
      </c>
      <c r="E25" s="21" t="s">
        <v>86</v>
      </c>
      <c r="F25" s="21" t="s">
        <v>398</v>
      </c>
      <c r="G25" s="21"/>
      <c r="H25" s="21" t="s">
        <v>396</v>
      </c>
      <c r="I25" s="21"/>
      <c r="J25" s="22" t="n">
        <v>2</v>
      </c>
      <c r="K25" s="22" t="n">
        <v>2</v>
      </c>
      <c r="L25" s="22" t="n">
        <v>0</v>
      </c>
      <c r="M25" s="21" t="s">
        <v>385</v>
      </c>
      <c r="N25" s="21"/>
      <c r="O25" s="22"/>
      <c r="P25" s="20" t="n">
        <f aca="false">IF($N25="Reduce",N($O25),0)</f>
        <v>0</v>
      </c>
      <c r="Q25" s="23" t="str">
        <f aca="false">IF($F25="","",MID(IF($G25="",", career level","")&amp;IF($I25="",", nationality mandate","")&amp;IF($N25="",", capacity direction","")&amp;IF(N($J25)&lt;=0,", approved HC","")&amp;IF(AND($G25&lt;&gt;"",COUNTIF(CareerLevels,$G25)=0),", a career level that is not on the ladder","")&amp;IF(AND($N25="Reduce",N($O25)&lt;=0),", how many seats Reduce means","")&amp;IF(AND(N($O25)&gt;0,$N25&lt;&gt;"Reduce"),", a number of seats on a row not marked Reduce","")&amp;IF(N($O25)&gt;N($J25),", more seats given up than the row has",""),3,200))</f>
        <v>career level, nationality mandate, capacity direction</v>
      </c>
    </row>
    <row r="26" customFormat="false" ht="15" hidden="false" customHeight="false" outlineLevel="0" collapsed="false">
      <c r="A26" s="21"/>
      <c r="B26" s="21" t="s">
        <v>63</v>
      </c>
      <c r="C26" s="21" t="s">
        <v>66</v>
      </c>
      <c r="D26" s="21" t="s">
        <v>84</v>
      </c>
      <c r="E26" s="21" t="s">
        <v>86</v>
      </c>
      <c r="F26" s="21" t="s">
        <v>401</v>
      </c>
      <c r="G26" s="21"/>
      <c r="H26" s="21" t="s">
        <v>396</v>
      </c>
      <c r="I26" s="21"/>
      <c r="J26" s="22" t="n">
        <v>2</v>
      </c>
      <c r="K26" s="22" t="n">
        <v>2</v>
      </c>
      <c r="L26" s="22" t="n">
        <v>0</v>
      </c>
      <c r="M26" s="21" t="s">
        <v>385</v>
      </c>
      <c r="N26" s="21"/>
      <c r="O26" s="22"/>
      <c r="P26" s="20" t="n">
        <f aca="false">IF($N26="Reduce",N($O26),0)</f>
        <v>0</v>
      </c>
      <c r="Q26" s="23" t="str">
        <f aca="false">IF($F26="","",MID(IF($G26="",", career level","")&amp;IF($I26="",", nationality mandate","")&amp;IF($N26="",", capacity direction","")&amp;IF(N($J26)&lt;=0,", approved HC","")&amp;IF(AND($G26&lt;&gt;"",COUNTIF(CareerLevels,$G26)=0),", a career level that is not on the ladder","")&amp;IF(AND($N26="Reduce",N($O26)&lt;=0),", how many seats Reduce means","")&amp;IF(AND(N($O26)&gt;0,$N26&lt;&gt;"Reduce"),", a number of seats on a row not marked Reduce","")&amp;IF(N($O26)&gt;N($J26),", more seats given up than the row has",""),3,200))</f>
        <v>career level, nationality mandate, capacity direction</v>
      </c>
    </row>
    <row r="27" customFormat="false" ht="15" hidden="false" customHeight="false" outlineLevel="0" collapsed="false">
      <c r="A27" s="21"/>
      <c r="B27" s="21" t="s">
        <v>63</v>
      </c>
      <c r="C27" s="21" t="s">
        <v>66</v>
      </c>
      <c r="D27" s="21" t="s">
        <v>84</v>
      </c>
      <c r="E27" s="21" t="s">
        <v>86</v>
      </c>
      <c r="F27" s="21" t="s">
        <v>402</v>
      </c>
      <c r="G27" s="21"/>
      <c r="H27" s="21" t="s">
        <v>396</v>
      </c>
      <c r="I27" s="21"/>
      <c r="J27" s="22" t="n">
        <v>2</v>
      </c>
      <c r="K27" s="22" t="n">
        <v>2</v>
      </c>
      <c r="L27" s="22" t="n">
        <v>0</v>
      </c>
      <c r="M27" s="21" t="s">
        <v>385</v>
      </c>
      <c r="N27" s="21"/>
      <c r="O27" s="22"/>
      <c r="P27" s="20" t="n">
        <f aca="false">IF($N27="Reduce",N($O27),0)</f>
        <v>0</v>
      </c>
      <c r="Q27" s="23" t="str">
        <f aca="false">IF($F27="","",MID(IF($G27="",", career level","")&amp;IF($I27="",", nationality mandate","")&amp;IF($N27="",", capacity direction","")&amp;IF(N($J27)&lt;=0,", approved HC","")&amp;IF(AND($G27&lt;&gt;"",COUNTIF(CareerLevels,$G27)=0),", a career level that is not on the ladder","")&amp;IF(AND($N27="Reduce",N($O27)&lt;=0),", how many seats Reduce means","")&amp;IF(AND(N($O27)&gt;0,$N27&lt;&gt;"Reduce"),", a number of seats on a row not marked Reduce","")&amp;IF(N($O27)&gt;N($J27),", more seats given up than the row has",""),3,200))</f>
        <v>career level, nationality mandate, capacity direction</v>
      </c>
    </row>
    <row r="28" customFormat="false" ht="15" hidden="false" customHeight="false" outlineLevel="0" collapsed="false">
      <c r="A28" s="21" t="s">
        <v>409</v>
      </c>
      <c r="B28" s="21" t="s">
        <v>63</v>
      </c>
      <c r="C28" s="21" t="s">
        <v>66</v>
      </c>
      <c r="D28" s="21" t="s">
        <v>84</v>
      </c>
      <c r="E28" s="21" t="s">
        <v>86</v>
      </c>
      <c r="F28" s="21" t="s">
        <v>410</v>
      </c>
      <c r="G28" s="21"/>
      <c r="H28" s="21" t="s">
        <v>396</v>
      </c>
      <c r="I28" s="21"/>
      <c r="J28" s="22" t="n">
        <v>1</v>
      </c>
      <c r="K28" s="22" t="n">
        <v>1</v>
      </c>
      <c r="L28" s="22" t="n">
        <v>0</v>
      </c>
      <c r="M28" s="21" t="s">
        <v>385</v>
      </c>
      <c r="N28" s="21"/>
      <c r="O28" s="22"/>
      <c r="P28" s="20" t="n">
        <f aca="false">IF($N28="Reduce",N($O28),0)</f>
        <v>0</v>
      </c>
      <c r="Q28" s="23" t="str">
        <f aca="false">IF($F28="","",MID(IF($G28="",", career level","")&amp;IF($I28="",", nationality mandate","")&amp;IF($N28="",", capacity direction","")&amp;IF(N($J28)&lt;=0,", approved HC","")&amp;IF(AND($G28&lt;&gt;"",COUNTIF(CareerLevels,$G28)=0),", a career level that is not on the ladder","")&amp;IF(AND($N28="Reduce",N($O28)&lt;=0),", how many seats Reduce means","")&amp;IF(AND(N($O28)&gt;0,$N28&lt;&gt;"Reduce"),", a number of seats on a row not marked Reduce","")&amp;IF(N($O28)&gt;N($J28),", more seats given up than the row has",""),3,200))</f>
        <v>career level, nationality mandate, capacity direction</v>
      </c>
    </row>
    <row r="29" customFormat="false" ht="15" hidden="false" customHeight="false" outlineLevel="0" collapsed="false">
      <c r="A29" s="21" t="s">
        <v>411</v>
      </c>
      <c r="B29" s="21" t="s">
        <v>63</v>
      </c>
      <c r="C29" s="21" t="s">
        <v>66</v>
      </c>
      <c r="D29" s="21" t="s">
        <v>84</v>
      </c>
      <c r="E29" s="21" t="s">
        <v>86</v>
      </c>
      <c r="F29" s="21" t="s">
        <v>404</v>
      </c>
      <c r="G29" s="21"/>
      <c r="H29" s="21" t="s">
        <v>394</v>
      </c>
      <c r="I29" s="21"/>
      <c r="J29" s="22" t="n">
        <v>1</v>
      </c>
      <c r="K29" s="22" t="n">
        <v>1</v>
      </c>
      <c r="L29" s="22" t="n">
        <v>0</v>
      </c>
      <c r="M29" s="21" t="s">
        <v>389</v>
      </c>
      <c r="N29" s="21"/>
      <c r="O29" s="22"/>
      <c r="P29" s="20" t="n">
        <f aca="false">IF($N29="Reduce",N($O29),0)</f>
        <v>0</v>
      </c>
      <c r="Q29" s="23" t="str">
        <f aca="false">IF($F29="","",MID(IF($G29="",", career level","")&amp;IF($I29="",", nationality mandate","")&amp;IF($N29="",", capacity direction","")&amp;IF(N($J29)&lt;=0,", approved HC","")&amp;IF(AND($G29&lt;&gt;"",COUNTIF(CareerLevels,$G29)=0),", a career level that is not on the ladder","")&amp;IF(AND($N29="Reduce",N($O29)&lt;=0),", how many seats Reduce means","")&amp;IF(AND(N($O29)&gt;0,$N29&lt;&gt;"Reduce"),", a number of seats on a row not marked Reduce","")&amp;IF(N($O29)&gt;N($J29),", more seats given up than the row has",""),3,200))</f>
        <v>career level, nationality mandate, capacity direction</v>
      </c>
    </row>
    <row r="30" customFormat="false" ht="15" hidden="false" customHeight="false" outlineLevel="0" collapsed="false">
      <c r="A30" s="21"/>
      <c r="B30" s="21" t="s">
        <v>63</v>
      </c>
      <c r="C30" s="21" t="s">
        <v>66</v>
      </c>
      <c r="D30" s="21" t="s">
        <v>84</v>
      </c>
      <c r="E30" s="21" t="s">
        <v>92</v>
      </c>
      <c r="F30" s="21" t="s">
        <v>395</v>
      </c>
      <c r="G30" s="21"/>
      <c r="H30" s="21" t="s">
        <v>396</v>
      </c>
      <c r="I30" s="21"/>
      <c r="J30" s="22" t="n">
        <v>2</v>
      </c>
      <c r="K30" s="22" t="n">
        <v>2</v>
      </c>
      <c r="L30" s="22" t="n">
        <v>0</v>
      </c>
      <c r="M30" s="21" t="s">
        <v>385</v>
      </c>
      <c r="N30" s="21"/>
      <c r="O30" s="22"/>
      <c r="P30" s="20" t="n">
        <f aca="false">IF($N30="Reduce",N($O30),0)</f>
        <v>0</v>
      </c>
      <c r="Q30" s="23" t="str">
        <f aca="false">IF($F30="","",MID(IF($G30="",", career level","")&amp;IF($I30="",", nationality mandate","")&amp;IF($N30="",", capacity direction","")&amp;IF(N($J30)&lt;=0,", approved HC","")&amp;IF(AND($G30&lt;&gt;"",COUNTIF(CareerLevels,$G30)=0),", a career level that is not on the ladder","")&amp;IF(AND($N30="Reduce",N($O30)&lt;=0),", how many seats Reduce means","")&amp;IF(AND(N($O30)&gt;0,$N30&lt;&gt;"Reduce"),", a number of seats on a row not marked Reduce","")&amp;IF(N($O30)&gt;N($J30),", more seats given up than the row has",""),3,200))</f>
        <v>career level, nationality mandate, capacity direction</v>
      </c>
    </row>
    <row r="31" customFormat="false" ht="15" hidden="false" customHeight="false" outlineLevel="0" collapsed="false">
      <c r="A31" s="21"/>
      <c r="B31" s="21" t="s">
        <v>63</v>
      </c>
      <c r="C31" s="21" t="s">
        <v>66</v>
      </c>
      <c r="D31" s="21" t="s">
        <v>84</v>
      </c>
      <c r="E31" s="21" t="s">
        <v>92</v>
      </c>
      <c r="F31" s="21" t="s">
        <v>398</v>
      </c>
      <c r="G31" s="21"/>
      <c r="H31" s="21" t="s">
        <v>396</v>
      </c>
      <c r="I31" s="21"/>
      <c r="J31" s="22" t="n">
        <v>2</v>
      </c>
      <c r="K31" s="22" t="n">
        <v>2</v>
      </c>
      <c r="L31" s="22" t="n">
        <v>0</v>
      </c>
      <c r="M31" s="21" t="s">
        <v>385</v>
      </c>
      <c r="N31" s="21"/>
      <c r="O31" s="22"/>
      <c r="P31" s="20" t="n">
        <f aca="false">IF($N31="Reduce",N($O31),0)</f>
        <v>0</v>
      </c>
      <c r="Q31" s="23" t="str">
        <f aca="false">IF($F31="","",MID(IF($G31="",", career level","")&amp;IF($I31="",", nationality mandate","")&amp;IF($N31="",", capacity direction","")&amp;IF(N($J31)&lt;=0,", approved HC","")&amp;IF(AND($G31&lt;&gt;"",COUNTIF(CareerLevels,$G31)=0),", a career level that is not on the ladder","")&amp;IF(AND($N31="Reduce",N($O31)&lt;=0),", how many seats Reduce means","")&amp;IF(AND(N($O31)&gt;0,$N31&lt;&gt;"Reduce"),", a number of seats on a row not marked Reduce","")&amp;IF(N($O31)&gt;N($J31),", more seats given up than the row has",""),3,200))</f>
        <v>career level, nationality mandate, capacity direction</v>
      </c>
    </row>
    <row r="32" customFormat="false" ht="15" hidden="false" customHeight="false" outlineLevel="0" collapsed="false">
      <c r="A32" s="21" t="s">
        <v>382</v>
      </c>
      <c r="B32" s="21" t="s">
        <v>63</v>
      </c>
      <c r="C32" s="21" t="s">
        <v>66</v>
      </c>
      <c r="D32" s="21" t="s">
        <v>84</v>
      </c>
      <c r="E32" s="21" t="s">
        <v>92</v>
      </c>
      <c r="F32" s="21" t="s">
        <v>400</v>
      </c>
      <c r="G32" s="21"/>
      <c r="H32" s="21" t="s">
        <v>396</v>
      </c>
      <c r="I32" s="21"/>
      <c r="J32" s="22" t="n">
        <v>1</v>
      </c>
      <c r="K32" s="22" t="n">
        <v>1</v>
      </c>
      <c r="L32" s="22" t="n">
        <v>0</v>
      </c>
      <c r="M32" s="21" t="s">
        <v>385</v>
      </c>
      <c r="N32" s="21"/>
      <c r="O32" s="22"/>
      <c r="P32" s="20" t="n">
        <f aca="false">IF($N32="Reduce",N($O32),0)</f>
        <v>0</v>
      </c>
      <c r="Q32" s="23" t="str">
        <f aca="false">IF($F32="","",MID(IF($G32="",", career level","")&amp;IF($I32="",", nationality mandate","")&amp;IF($N32="",", capacity direction","")&amp;IF(N($J32)&lt;=0,", approved HC","")&amp;IF(AND($G32&lt;&gt;"",COUNTIF(CareerLevels,$G32)=0),", a career level that is not on the ladder","")&amp;IF(AND($N32="Reduce",N($O32)&lt;=0),", how many seats Reduce means","")&amp;IF(AND(N($O32)&gt;0,$N32&lt;&gt;"Reduce"),", a number of seats on a row not marked Reduce","")&amp;IF(N($O32)&gt;N($J32),", more seats given up than the row has",""),3,200))</f>
        <v>career level, nationality mandate, capacity direction</v>
      </c>
    </row>
    <row r="33" customFormat="false" ht="15" hidden="false" customHeight="false" outlineLevel="0" collapsed="false">
      <c r="A33" s="21"/>
      <c r="B33" s="21" t="s">
        <v>63</v>
      </c>
      <c r="C33" s="21" t="s">
        <v>66</v>
      </c>
      <c r="D33" s="21" t="s">
        <v>84</v>
      </c>
      <c r="E33" s="21" t="s">
        <v>92</v>
      </c>
      <c r="F33" s="21" t="s">
        <v>402</v>
      </c>
      <c r="G33" s="21"/>
      <c r="H33" s="21" t="s">
        <v>396</v>
      </c>
      <c r="I33" s="21"/>
      <c r="J33" s="22" t="n">
        <v>2</v>
      </c>
      <c r="K33" s="22" t="n">
        <v>1</v>
      </c>
      <c r="L33" s="22" t="n">
        <v>1</v>
      </c>
      <c r="M33" s="21" t="s">
        <v>385</v>
      </c>
      <c r="N33" s="21"/>
      <c r="O33" s="22"/>
      <c r="P33" s="20" t="n">
        <f aca="false">IF($N33="Reduce",N($O33),0)</f>
        <v>0</v>
      </c>
      <c r="Q33" s="23" t="str">
        <f aca="false">IF($F33="","",MID(IF($G33="",", career level","")&amp;IF($I33="",", nationality mandate","")&amp;IF($N33="",", capacity direction","")&amp;IF(N($J33)&lt;=0,", approved HC","")&amp;IF(AND($G33&lt;&gt;"",COUNTIF(CareerLevels,$G33)=0),", a career level that is not on the ladder","")&amp;IF(AND($N33="Reduce",N($O33)&lt;=0),", how many seats Reduce means","")&amp;IF(AND(N($O33)&gt;0,$N33&lt;&gt;"Reduce"),", a number of seats on a row not marked Reduce","")&amp;IF(N($O33)&gt;N($J33),", more seats given up than the row has",""),3,200))</f>
        <v>career level, nationality mandate, capacity direction</v>
      </c>
    </row>
    <row r="34" customFormat="false" ht="15" hidden="false" customHeight="false" outlineLevel="0" collapsed="false">
      <c r="A34" s="21" t="s">
        <v>412</v>
      </c>
      <c r="B34" s="21" t="s">
        <v>63</v>
      </c>
      <c r="C34" s="21" t="s">
        <v>66</v>
      </c>
      <c r="D34" s="21" t="s">
        <v>84</v>
      </c>
      <c r="E34" s="21" t="s">
        <v>92</v>
      </c>
      <c r="F34" s="21" t="s">
        <v>410</v>
      </c>
      <c r="G34" s="21"/>
      <c r="H34" s="21" t="s">
        <v>396</v>
      </c>
      <c r="I34" s="21"/>
      <c r="J34" s="22" t="n">
        <v>1</v>
      </c>
      <c r="K34" s="22" t="n">
        <v>1</v>
      </c>
      <c r="L34" s="22" t="n">
        <v>0</v>
      </c>
      <c r="M34" s="21" t="s">
        <v>385</v>
      </c>
      <c r="N34" s="21"/>
      <c r="O34" s="22"/>
      <c r="P34" s="20" t="n">
        <f aca="false">IF($N34="Reduce",N($O34),0)</f>
        <v>0</v>
      </c>
      <c r="Q34" s="23" t="str">
        <f aca="false">IF($F34="","",MID(IF($G34="",", career level","")&amp;IF($I34="",", nationality mandate","")&amp;IF($N34="",", capacity direction","")&amp;IF(N($J34)&lt;=0,", approved HC","")&amp;IF(AND($G34&lt;&gt;"",COUNTIF(CareerLevels,$G34)=0),", a career level that is not on the ladder","")&amp;IF(AND($N34="Reduce",N($O34)&lt;=0),", how many seats Reduce means","")&amp;IF(AND(N($O34)&gt;0,$N34&lt;&gt;"Reduce"),", a number of seats on a row not marked Reduce","")&amp;IF(N($O34)&gt;N($J34),", more seats given up than the row has",""),3,200))</f>
        <v>career level, nationality mandate, capacity direction</v>
      </c>
    </row>
    <row r="35" customFormat="false" ht="15" hidden="false" customHeight="false" outlineLevel="0" collapsed="false">
      <c r="A35" s="21" t="s">
        <v>413</v>
      </c>
      <c r="B35" s="21" t="s">
        <v>63</v>
      </c>
      <c r="C35" s="21" t="s">
        <v>66</v>
      </c>
      <c r="D35" s="21" t="s">
        <v>84</v>
      </c>
      <c r="E35" s="21" t="s">
        <v>92</v>
      </c>
      <c r="F35" s="21" t="s">
        <v>410</v>
      </c>
      <c r="G35" s="21"/>
      <c r="H35" s="21" t="s">
        <v>396</v>
      </c>
      <c r="I35" s="21"/>
      <c r="J35" s="22" t="n">
        <v>1</v>
      </c>
      <c r="K35" s="22" t="n">
        <v>1</v>
      </c>
      <c r="L35" s="22" t="n">
        <v>0</v>
      </c>
      <c r="M35" s="21" t="s">
        <v>389</v>
      </c>
      <c r="N35" s="21"/>
      <c r="O35" s="22"/>
      <c r="P35" s="20" t="n">
        <f aca="false">IF($N35="Reduce",N($O35),0)</f>
        <v>0</v>
      </c>
      <c r="Q35" s="23" t="str">
        <f aca="false">IF($F35="","",MID(IF($G35="",", career level","")&amp;IF($I35="",", nationality mandate","")&amp;IF($N35="",", capacity direction","")&amp;IF(N($J35)&lt;=0,", approved HC","")&amp;IF(AND($G35&lt;&gt;"",COUNTIF(CareerLevels,$G35)=0),", a career level that is not on the ladder","")&amp;IF(AND($N35="Reduce",N($O35)&lt;=0),", how many seats Reduce means","")&amp;IF(AND(N($O35)&gt;0,$N35&lt;&gt;"Reduce"),", a number of seats on a row not marked Reduce","")&amp;IF(N($O35)&gt;N($J35),", more seats given up than the row has",""),3,200))</f>
        <v>career level, nationality mandate, capacity direction</v>
      </c>
    </row>
    <row r="36" customFormat="false" ht="15" hidden="false" customHeight="false" outlineLevel="0" collapsed="false">
      <c r="A36" s="21" t="s">
        <v>386</v>
      </c>
      <c r="B36" s="21" t="s">
        <v>63</v>
      </c>
      <c r="C36" s="21" t="s">
        <v>66</v>
      </c>
      <c r="D36" s="21" t="s">
        <v>84</v>
      </c>
      <c r="E36" s="21" t="s">
        <v>92</v>
      </c>
      <c r="F36" s="21" t="s">
        <v>404</v>
      </c>
      <c r="G36" s="21"/>
      <c r="H36" s="21" t="s">
        <v>394</v>
      </c>
      <c r="I36" s="21"/>
      <c r="J36" s="22" t="n">
        <v>1</v>
      </c>
      <c r="K36" s="22" t="n">
        <v>1</v>
      </c>
      <c r="L36" s="22" t="n">
        <v>0</v>
      </c>
      <c r="M36" s="21" t="s">
        <v>385</v>
      </c>
      <c r="N36" s="21"/>
      <c r="O36" s="22"/>
      <c r="P36" s="20" t="n">
        <f aca="false">IF($N36="Reduce",N($O36),0)</f>
        <v>0</v>
      </c>
      <c r="Q36" s="23" t="str">
        <f aca="false">IF($F36="","",MID(IF($G36="",", career level","")&amp;IF($I36="",", nationality mandate","")&amp;IF($N36="",", capacity direction","")&amp;IF(N($J36)&lt;=0,", approved HC","")&amp;IF(AND($G36&lt;&gt;"",COUNTIF(CareerLevels,$G36)=0),", a career level that is not on the ladder","")&amp;IF(AND($N36="Reduce",N($O36)&lt;=0),", how many seats Reduce means","")&amp;IF(AND(N($O36)&gt;0,$N36&lt;&gt;"Reduce"),", a number of seats on a row not marked Reduce","")&amp;IF(N($O36)&gt;N($J36),", more seats given up than the row has",""),3,200))</f>
        <v>career level, nationality mandate, capacity direction</v>
      </c>
    </row>
    <row r="37" customFormat="false" ht="15" hidden="false" customHeight="false" outlineLevel="0" collapsed="false">
      <c r="A37" s="21" t="s">
        <v>414</v>
      </c>
      <c r="B37" s="21" t="s">
        <v>63</v>
      </c>
      <c r="C37" s="21" t="s">
        <v>98</v>
      </c>
      <c r="D37" s="21"/>
      <c r="E37" s="21"/>
      <c r="F37" s="21" t="s">
        <v>415</v>
      </c>
      <c r="G37" s="21"/>
      <c r="H37" s="21" t="s">
        <v>388</v>
      </c>
      <c r="I37" s="21"/>
      <c r="J37" s="22" t="n">
        <v>1</v>
      </c>
      <c r="K37" s="22" t="n">
        <v>1</v>
      </c>
      <c r="L37" s="22" t="n">
        <v>0</v>
      </c>
      <c r="M37" s="21" t="s">
        <v>385</v>
      </c>
      <c r="N37" s="21"/>
      <c r="O37" s="22"/>
      <c r="P37" s="20" t="n">
        <f aca="false">IF($N37="Reduce",N($O37),0)</f>
        <v>0</v>
      </c>
      <c r="Q37" s="23" t="str">
        <f aca="false">IF($F37="","",MID(IF($G37="",", career level","")&amp;IF($I37="",", nationality mandate","")&amp;IF($N37="",", capacity direction","")&amp;IF(N($J37)&lt;=0,", approved HC","")&amp;IF(AND($G37&lt;&gt;"",COUNTIF(CareerLevels,$G37)=0),", a career level that is not on the ladder","")&amp;IF(AND($N37="Reduce",N($O37)&lt;=0),", how many seats Reduce means","")&amp;IF(AND(N($O37)&gt;0,$N37&lt;&gt;"Reduce"),", a number of seats on a row not marked Reduce","")&amp;IF(N($O37)&gt;N($J37),", more seats given up than the row has",""),3,200))</f>
        <v>career level, nationality mandate, capacity direction</v>
      </c>
    </row>
    <row r="38" customFormat="false" ht="15" hidden="false" customHeight="false" outlineLevel="0" collapsed="false">
      <c r="A38" s="21" t="s">
        <v>416</v>
      </c>
      <c r="B38" s="21" t="s">
        <v>63</v>
      </c>
      <c r="C38" s="21" t="s">
        <v>98</v>
      </c>
      <c r="D38" s="21" t="s">
        <v>100</v>
      </c>
      <c r="E38" s="21"/>
      <c r="F38" s="21" t="s">
        <v>417</v>
      </c>
      <c r="G38" s="21"/>
      <c r="H38" s="21" t="s">
        <v>394</v>
      </c>
      <c r="I38" s="21"/>
      <c r="J38" s="22" t="n">
        <v>1</v>
      </c>
      <c r="K38" s="22" t="n">
        <v>1</v>
      </c>
      <c r="L38" s="22" t="n">
        <v>0</v>
      </c>
      <c r="M38" s="21" t="s">
        <v>385</v>
      </c>
      <c r="N38" s="21"/>
      <c r="O38" s="22"/>
      <c r="P38" s="20" t="n">
        <f aca="false">IF($N38="Reduce",N($O38),0)</f>
        <v>0</v>
      </c>
      <c r="Q38" s="23" t="str">
        <f aca="false">IF($F38="","",MID(IF($G38="",", career level","")&amp;IF($I38="",", nationality mandate","")&amp;IF($N38="",", capacity direction","")&amp;IF(N($J38)&lt;=0,", approved HC","")&amp;IF(AND($G38&lt;&gt;"",COUNTIF(CareerLevels,$G38)=0),", a career level that is not on the ladder","")&amp;IF(AND($N38="Reduce",N($O38)&lt;=0),", how many seats Reduce means","")&amp;IF(AND(N($O38)&gt;0,$N38&lt;&gt;"Reduce"),", a number of seats on a row not marked Reduce","")&amp;IF(N($O38)&gt;N($J38),", more seats given up than the row has",""),3,200))</f>
        <v>career level, nationality mandate, capacity direction</v>
      </c>
    </row>
    <row r="39" customFormat="false" ht="15" hidden="false" customHeight="false" outlineLevel="0" collapsed="false">
      <c r="A39" s="21" t="s">
        <v>418</v>
      </c>
      <c r="B39" s="21" t="s">
        <v>63</v>
      </c>
      <c r="C39" s="21" t="s">
        <v>98</v>
      </c>
      <c r="D39" s="21" t="s">
        <v>100</v>
      </c>
      <c r="E39" s="21" t="s">
        <v>102</v>
      </c>
      <c r="F39" s="21" t="s">
        <v>419</v>
      </c>
      <c r="G39" s="21"/>
      <c r="H39" s="21" t="s">
        <v>396</v>
      </c>
      <c r="I39" s="21"/>
      <c r="J39" s="22" t="n">
        <v>1</v>
      </c>
      <c r="K39" s="22" t="n">
        <v>1</v>
      </c>
      <c r="L39" s="22" t="n">
        <v>0</v>
      </c>
      <c r="M39" s="21" t="s">
        <v>389</v>
      </c>
      <c r="N39" s="21"/>
      <c r="O39" s="22"/>
      <c r="P39" s="20" t="n">
        <f aca="false">IF($N39="Reduce",N($O39),0)</f>
        <v>0</v>
      </c>
      <c r="Q39" s="23" t="str">
        <f aca="false">IF($F39="","",MID(IF($G39="",", career level","")&amp;IF($I39="",", nationality mandate","")&amp;IF($N39="",", capacity direction","")&amp;IF(N($J39)&lt;=0,", approved HC","")&amp;IF(AND($G39&lt;&gt;"",COUNTIF(CareerLevels,$G39)=0),", a career level that is not on the ladder","")&amp;IF(AND($N39="Reduce",N($O39)&lt;=0),", how many seats Reduce means","")&amp;IF(AND(N($O39)&gt;0,$N39&lt;&gt;"Reduce"),", a number of seats on a row not marked Reduce","")&amp;IF(N($O39)&gt;N($J39),", more seats given up than the row has",""),3,200))</f>
        <v>career level, nationality mandate, capacity direction</v>
      </c>
    </row>
    <row r="40" customFormat="false" ht="15" hidden="false" customHeight="false" outlineLevel="0" collapsed="false">
      <c r="A40" s="21" t="s">
        <v>420</v>
      </c>
      <c r="B40" s="21" t="s">
        <v>63</v>
      </c>
      <c r="C40" s="21" t="s">
        <v>98</v>
      </c>
      <c r="D40" s="21" t="s">
        <v>100</v>
      </c>
      <c r="E40" s="21" t="s">
        <v>102</v>
      </c>
      <c r="F40" s="21" t="s">
        <v>421</v>
      </c>
      <c r="G40" s="21"/>
      <c r="H40" s="21" t="s">
        <v>396</v>
      </c>
      <c r="I40" s="21"/>
      <c r="J40" s="22" t="n">
        <v>1</v>
      </c>
      <c r="K40" s="22" t="n">
        <v>1</v>
      </c>
      <c r="L40" s="22" t="n">
        <v>0</v>
      </c>
      <c r="M40" s="21" t="s">
        <v>385</v>
      </c>
      <c r="N40" s="21"/>
      <c r="O40" s="22"/>
      <c r="P40" s="20" t="n">
        <f aca="false">IF($N40="Reduce",N($O40),0)</f>
        <v>0</v>
      </c>
      <c r="Q40" s="23" t="str">
        <f aca="false">IF($F40="","",MID(IF($G40="",", career level","")&amp;IF($I40="",", nationality mandate","")&amp;IF($N40="",", capacity direction","")&amp;IF(N($J40)&lt;=0,", approved HC","")&amp;IF(AND($G40&lt;&gt;"",COUNTIF(CareerLevels,$G40)=0),", a career level that is not on the ladder","")&amp;IF(AND($N40="Reduce",N($O40)&lt;=0),", how many seats Reduce means","")&amp;IF(AND(N($O40)&gt;0,$N40&lt;&gt;"Reduce"),", a number of seats on a row not marked Reduce","")&amp;IF(N($O40)&gt;N($J40),", more seats given up than the row has",""),3,200))</f>
        <v>career level, nationality mandate, capacity direction</v>
      </c>
    </row>
    <row r="41" customFormat="false" ht="15" hidden="false" customHeight="false" outlineLevel="0" collapsed="false">
      <c r="A41" s="21"/>
      <c r="B41" s="21" t="s">
        <v>63</v>
      </c>
      <c r="C41" s="21" t="s">
        <v>98</v>
      </c>
      <c r="D41" s="21" t="s">
        <v>100</v>
      </c>
      <c r="E41" s="21" t="s">
        <v>102</v>
      </c>
      <c r="F41" s="21" t="s">
        <v>422</v>
      </c>
      <c r="G41" s="21"/>
      <c r="H41" s="21" t="s">
        <v>396</v>
      </c>
      <c r="I41" s="21"/>
      <c r="J41" s="22" t="n">
        <v>3</v>
      </c>
      <c r="K41" s="22" t="n">
        <v>3</v>
      </c>
      <c r="L41" s="22" t="n">
        <v>0</v>
      </c>
      <c r="M41" s="21" t="s">
        <v>385</v>
      </c>
      <c r="N41" s="21"/>
      <c r="O41" s="22"/>
      <c r="P41" s="20" t="n">
        <f aca="false">IF($N41="Reduce",N($O41),0)</f>
        <v>0</v>
      </c>
      <c r="Q41" s="23" t="str">
        <f aca="false">IF($F41="","",MID(IF($G41="",", career level","")&amp;IF($I41="",", nationality mandate","")&amp;IF($N41="",", capacity direction","")&amp;IF(N($J41)&lt;=0,", approved HC","")&amp;IF(AND($G41&lt;&gt;"",COUNTIF(CareerLevels,$G41)=0),", a career level that is not on the ladder","")&amp;IF(AND($N41="Reduce",N($O41)&lt;=0),", how many seats Reduce means","")&amp;IF(AND(N($O41)&gt;0,$N41&lt;&gt;"Reduce"),", a number of seats on a row not marked Reduce","")&amp;IF(N($O41)&gt;N($J41),", more seats given up than the row has",""),3,200))</f>
        <v>career level, nationality mandate, capacity direction</v>
      </c>
    </row>
    <row r="42" customFormat="false" ht="15" hidden="false" customHeight="false" outlineLevel="0" collapsed="false">
      <c r="A42" s="21" t="s">
        <v>423</v>
      </c>
      <c r="B42" s="21" t="s">
        <v>63</v>
      </c>
      <c r="C42" s="21" t="s">
        <v>98</v>
      </c>
      <c r="D42" s="21" t="s">
        <v>100</v>
      </c>
      <c r="E42" s="21" t="s">
        <v>102</v>
      </c>
      <c r="F42" s="21" t="s">
        <v>424</v>
      </c>
      <c r="G42" s="21"/>
      <c r="H42" s="21" t="s">
        <v>394</v>
      </c>
      <c r="I42" s="21"/>
      <c r="J42" s="22" t="n">
        <v>1</v>
      </c>
      <c r="K42" s="22" t="n">
        <v>1</v>
      </c>
      <c r="L42" s="22" t="n">
        <v>0</v>
      </c>
      <c r="M42" s="21" t="s">
        <v>385</v>
      </c>
      <c r="N42" s="21"/>
      <c r="O42" s="22"/>
      <c r="P42" s="20" t="n">
        <f aca="false">IF($N42="Reduce",N($O42),0)</f>
        <v>0</v>
      </c>
      <c r="Q42" s="23" t="str">
        <f aca="false">IF($F42="","",MID(IF($G42="",", career level","")&amp;IF($I42="",", nationality mandate","")&amp;IF($N42="",", capacity direction","")&amp;IF(N($J42)&lt;=0,", approved HC","")&amp;IF(AND($G42&lt;&gt;"",COUNTIF(CareerLevels,$G42)=0),", a career level that is not on the ladder","")&amp;IF(AND($N42="Reduce",N($O42)&lt;=0),", how many seats Reduce means","")&amp;IF(AND(N($O42)&gt;0,$N42&lt;&gt;"Reduce"),", a number of seats on a row not marked Reduce","")&amp;IF(N($O42)&gt;N($J42),", more seats given up than the row has",""),3,200))</f>
        <v>career level, nationality mandate, capacity direction</v>
      </c>
    </row>
    <row r="43" customFormat="false" ht="15" hidden="false" customHeight="false" outlineLevel="0" collapsed="false">
      <c r="A43" s="21" t="s">
        <v>425</v>
      </c>
      <c r="B43" s="21" t="s">
        <v>63</v>
      </c>
      <c r="C43" s="21" t="s">
        <v>98</v>
      </c>
      <c r="D43" s="21" t="s">
        <v>100</v>
      </c>
      <c r="E43" s="21" t="s">
        <v>108</v>
      </c>
      <c r="F43" s="21" t="s">
        <v>419</v>
      </c>
      <c r="G43" s="21"/>
      <c r="H43" s="21" t="s">
        <v>396</v>
      </c>
      <c r="I43" s="21"/>
      <c r="J43" s="22" t="n">
        <v>1</v>
      </c>
      <c r="K43" s="22" t="n">
        <v>1</v>
      </c>
      <c r="L43" s="22" t="n">
        <v>0</v>
      </c>
      <c r="M43" s="21" t="s">
        <v>385</v>
      </c>
      <c r="N43" s="21"/>
      <c r="O43" s="22"/>
      <c r="P43" s="20" t="n">
        <f aca="false">IF($N43="Reduce",N($O43),0)</f>
        <v>0</v>
      </c>
      <c r="Q43" s="23" t="str">
        <f aca="false">IF($F43="","",MID(IF($G43="",", career level","")&amp;IF($I43="",", nationality mandate","")&amp;IF($N43="",", capacity direction","")&amp;IF(N($J43)&lt;=0,", approved HC","")&amp;IF(AND($G43&lt;&gt;"",COUNTIF(CareerLevels,$G43)=0),", a career level that is not on the ladder","")&amp;IF(AND($N43="Reduce",N($O43)&lt;=0),", how many seats Reduce means","")&amp;IF(AND(N($O43)&gt;0,$N43&lt;&gt;"Reduce"),", a number of seats on a row not marked Reduce","")&amp;IF(N($O43)&gt;N($J43),", more seats given up than the row has",""),3,200))</f>
        <v>career level, nationality mandate, capacity direction</v>
      </c>
    </row>
    <row r="44" customFormat="false" ht="15" hidden="false" customHeight="false" outlineLevel="0" collapsed="false">
      <c r="A44" s="21" t="s">
        <v>426</v>
      </c>
      <c r="B44" s="21" t="s">
        <v>63</v>
      </c>
      <c r="C44" s="21" t="s">
        <v>98</v>
      </c>
      <c r="D44" s="21" t="s">
        <v>100</v>
      </c>
      <c r="E44" s="21" t="s">
        <v>108</v>
      </c>
      <c r="F44" s="21" t="s">
        <v>421</v>
      </c>
      <c r="G44" s="21"/>
      <c r="H44" s="21" t="s">
        <v>396</v>
      </c>
      <c r="I44" s="21"/>
      <c r="J44" s="22" t="n">
        <v>1</v>
      </c>
      <c r="K44" s="22" t="n">
        <v>1</v>
      </c>
      <c r="L44" s="22" t="n">
        <v>0</v>
      </c>
      <c r="M44" s="21" t="s">
        <v>385</v>
      </c>
      <c r="N44" s="21"/>
      <c r="O44" s="22"/>
      <c r="P44" s="20" t="n">
        <f aca="false">IF($N44="Reduce",N($O44),0)</f>
        <v>0</v>
      </c>
      <c r="Q44" s="23" t="str">
        <f aca="false">IF($F44="","",MID(IF($G44="",", career level","")&amp;IF($I44="",", nationality mandate","")&amp;IF($N44="",", capacity direction","")&amp;IF(N($J44)&lt;=0,", approved HC","")&amp;IF(AND($G44&lt;&gt;"",COUNTIF(CareerLevels,$G44)=0),", a career level that is not on the ladder","")&amp;IF(AND($N44="Reduce",N($O44)&lt;=0),", how many seats Reduce means","")&amp;IF(AND(N($O44)&gt;0,$N44&lt;&gt;"Reduce"),", a number of seats on a row not marked Reduce","")&amp;IF(N($O44)&gt;N($J44),", more seats given up than the row has",""),3,200))</f>
        <v>career level, nationality mandate, capacity direction</v>
      </c>
    </row>
    <row r="45" customFormat="false" ht="15" hidden="false" customHeight="false" outlineLevel="0" collapsed="false">
      <c r="A45" s="21"/>
      <c r="B45" s="21" t="s">
        <v>63</v>
      </c>
      <c r="C45" s="21" t="s">
        <v>98</v>
      </c>
      <c r="D45" s="21" t="s">
        <v>100</v>
      </c>
      <c r="E45" s="21" t="s">
        <v>108</v>
      </c>
      <c r="F45" s="21" t="s">
        <v>427</v>
      </c>
      <c r="G45" s="21"/>
      <c r="H45" s="21" t="s">
        <v>396</v>
      </c>
      <c r="I45" s="21"/>
      <c r="J45" s="22" t="n">
        <v>2</v>
      </c>
      <c r="K45" s="22" t="n">
        <v>2</v>
      </c>
      <c r="L45" s="22" t="n">
        <v>0</v>
      </c>
      <c r="M45" s="21" t="s">
        <v>385</v>
      </c>
      <c r="N45" s="21"/>
      <c r="O45" s="22"/>
      <c r="P45" s="20" t="n">
        <f aca="false">IF($N45="Reduce",N($O45),0)</f>
        <v>0</v>
      </c>
      <c r="Q45" s="23" t="str">
        <f aca="false">IF($F45="","",MID(IF($G45="",", career level","")&amp;IF($I45="",", nationality mandate","")&amp;IF($N45="",", capacity direction","")&amp;IF(N($J45)&lt;=0,", approved HC","")&amp;IF(AND($G45&lt;&gt;"",COUNTIF(CareerLevels,$G45)=0),", a career level that is not on the ladder","")&amp;IF(AND($N45="Reduce",N($O45)&lt;=0),", how many seats Reduce means","")&amp;IF(AND(N($O45)&gt;0,$N45&lt;&gt;"Reduce"),", a number of seats on a row not marked Reduce","")&amp;IF(N($O45)&gt;N($J45),", more seats given up than the row has",""),3,200))</f>
        <v>career level, nationality mandate, capacity direction</v>
      </c>
    </row>
    <row r="46" customFormat="false" ht="15" hidden="false" customHeight="false" outlineLevel="0" collapsed="false">
      <c r="A46" s="21" t="s">
        <v>428</v>
      </c>
      <c r="B46" s="21" t="s">
        <v>63</v>
      </c>
      <c r="C46" s="21" t="s">
        <v>98</v>
      </c>
      <c r="D46" s="21" t="s">
        <v>100</v>
      </c>
      <c r="E46" s="21" t="s">
        <v>108</v>
      </c>
      <c r="F46" s="21" t="s">
        <v>422</v>
      </c>
      <c r="G46" s="21"/>
      <c r="H46" s="21" t="s">
        <v>396</v>
      </c>
      <c r="I46" s="21"/>
      <c r="J46" s="22" t="n">
        <v>1</v>
      </c>
      <c r="K46" s="22" t="n">
        <v>1</v>
      </c>
      <c r="L46" s="22" t="n">
        <v>0</v>
      </c>
      <c r="M46" s="21" t="s">
        <v>385</v>
      </c>
      <c r="N46" s="21"/>
      <c r="O46" s="22"/>
      <c r="P46" s="20" t="n">
        <f aca="false">IF($N46="Reduce",N($O46),0)</f>
        <v>0</v>
      </c>
      <c r="Q46" s="23" t="str">
        <f aca="false">IF($F46="","",MID(IF($G46="",", career level","")&amp;IF($I46="",", nationality mandate","")&amp;IF($N46="",", capacity direction","")&amp;IF(N($J46)&lt;=0,", approved HC","")&amp;IF(AND($G46&lt;&gt;"",COUNTIF(CareerLevels,$G46)=0),", a career level that is not on the ladder","")&amp;IF(AND($N46="Reduce",N($O46)&lt;=0),", how many seats Reduce means","")&amp;IF(AND(N($O46)&gt;0,$N46&lt;&gt;"Reduce"),", a number of seats on a row not marked Reduce","")&amp;IF(N($O46)&gt;N($J46),", more seats given up than the row has",""),3,200))</f>
        <v>career level, nationality mandate, capacity direction</v>
      </c>
    </row>
    <row r="47" customFormat="false" ht="15" hidden="false" customHeight="false" outlineLevel="0" collapsed="false">
      <c r="A47" s="21" t="s">
        <v>429</v>
      </c>
      <c r="B47" s="21" t="s">
        <v>63</v>
      </c>
      <c r="C47" s="21" t="s">
        <v>98</v>
      </c>
      <c r="D47" s="21" t="s">
        <v>100</v>
      </c>
      <c r="E47" s="21" t="s">
        <v>108</v>
      </c>
      <c r="F47" s="21" t="s">
        <v>430</v>
      </c>
      <c r="G47" s="21"/>
      <c r="H47" s="21" t="s">
        <v>396</v>
      </c>
      <c r="I47" s="21"/>
      <c r="J47" s="22" t="n">
        <v>1</v>
      </c>
      <c r="K47" s="22" t="n">
        <v>1</v>
      </c>
      <c r="L47" s="22" t="n">
        <v>0</v>
      </c>
      <c r="M47" s="21" t="s">
        <v>385</v>
      </c>
      <c r="N47" s="21"/>
      <c r="O47" s="22"/>
      <c r="P47" s="20" t="n">
        <f aca="false">IF($N47="Reduce",N($O47),0)</f>
        <v>0</v>
      </c>
      <c r="Q47" s="23" t="str">
        <f aca="false">IF($F47="","",MID(IF($G47="",", career level","")&amp;IF($I47="",", nationality mandate","")&amp;IF($N47="",", capacity direction","")&amp;IF(N($J47)&lt;=0,", approved HC","")&amp;IF(AND($G47&lt;&gt;"",COUNTIF(CareerLevels,$G47)=0),", a career level that is not on the ladder","")&amp;IF(AND($N47="Reduce",N($O47)&lt;=0),", how many seats Reduce means","")&amp;IF(AND(N($O47)&gt;0,$N47&lt;&gt;"Reduce"),", a number of seats on a row not marked Reduce","")&amp;IF(N($O47)&gt;N($J47),", more seats given up than the row has",""),3,200))</f>
        <v>career level, nationality mandate, capacity direction</v>
      </c>
    </row>
    <row r="48" customFormat="false" ht="15" hidden="false" customHeight="false" outlineLevel="0" collapsed="false">
      <c r="A48" s="21" t="s">
        <v>431</v>
      </c>
      <c r="B48" s="21" t="s">
        <v>63</v>
      </c>
      <c r="C48" s="21" t="s">
        <v>98</v>
      </c>
      <c r="D48" s="21" t="s">
        <v>100</v>
      </c>
      <c r="E48" s="21" t="s">
        <v>108</v>
      </c>
      <c r="F48" s="21" t="s">
        <v>424</v>
      </c>
      <c r="G48" s="21"/>
      <c r="H48" s="21" t="s">
        <v>394</v>
      </c>
      <c r="I48" s="21"/>
      <c r="J48" s="22" t="n">
        <v>1</v>
      </c>
      <c r="K48" s="22" t="n">
        <v>1</v>
      </c>
      <c r="L48" s="22" t="n">
        <v>0</v>
      </c>
      <c r="M48" s="21" t="s">
        <v>389</v>
      </c>
      <c r="N48" s="21"/>
      <c r="O48" s="22"/>
      <c r="P48" s="20" t="n">
        <f aca="false">IF($N48="Reduce",N($O48),0)</f>
        <v>0</v>
      </c>
      <c r="Q48" s="23" t="str">
        <f aca="false">IF($F48="","",MID(IF($G48="",", career level","")&amp;IF($I48="",", nationality mandate","")&amp;IF($N48="",", capacity direction","")&amp;IF(N($J48)&lt;=0,", approved HC","")&amp;IF(AND($G48&lt;&gt;"",COUNTIF(CareerLevels,$G48)=0),", a career level that is not on the ladder","")&amp;IF(AND($N48="Reduce",N($O48)&lt;=0),", how many seats Reduce means","")&amp;IF(AND(N($O48)&gt;0,$N48&lt;&gt;"Reduce"),", a number of seats on a row not marked Reduce","")&amp;IF(N($O48)&gt;N($J48),", more seats given up than the row has",""),3,200))</f>
        <v>career level, nationality mandate, capacity direction</v>
      </c>
    </row>
    <row r="49" customFormat="false" ht="15" hidden="false" customHeight="false" outlineLevel="0" collapsed="false">
      <c r="A49" s="21" t="s">
        <v>432</v>
      </c>
      <c r="B49" s="21" t="s">
        <v>63</v>
      </c>
      <c r="C49" s="21" t="s">
        <v>98</v>
      </c>
      <c r="D49" s="21" t="s">
        <v>114</v>
      </c>
      <c r="E49" s="21"/>
      <c r="F49" s="21" t="s">
        <v>417</v>
      </c>
      <c r="G49" s="21"/>
      <c r="H49" s="21" t="s">
        <v>394</v>
      </c>
      <c r="I49" s="21"/>
      <c r="J49" s="22" t="n">
        <v>1</v>
      </c>
      <c r="K49" s="22" t="n">
        <v>1</v>
      </c>
      <c r="L49" s="22" t="n">
        <v>0</v>
      </c>
      <c r="M49" s="21" t="s">
        <v>385</v>
      </c>
      <c r="N49" s="21"/>
      <c r="O49" s="22"/>
      <c r="P49" s="20" t="n">
        <f aca="false">IF($N49="Reduce",N($O49),0)</f>
        <v>0</v>
      </c>
      <c r="Q49" s="23" t="str">
        <f aca="false">IF($F49="","",MID(IF($G49="",", career level","")&amp;IF($I49="",", nationality mandate","")&amp;IF($N49="",", capacity direction","")&amp;IF(N($J49)&lt;=0,", approved HC","")&amp;IF(AND($G49&lt;&gt;"",COUNTIF(CareerLevels,$G49)=0),", a career level that is not on the ladder","")&amp;IF(AND($N49="Reduce",N($O49)&lt;=0),", how many seats Reduce means","")&amp;IF(AND(N($O49)&gt;0,$N49&lt;&gt;"Reduce"),", a number of seats on a row not marked Reduce","")&amp;IF(N($O49)&gt;N($J49),", more seats given up than the row has",""),3,200))</f>
        <v>career level, nationality mandate, capacity direction</v>
      </c>
    </row>
    <row r="50" customFormat="false" ht="15" hidden="false" customHeight="false" outlineLevel="0" collapsed="false">
      <c r="A50" s="21"/>
      <c r="B50" s="21" t="s">
        <v>63</v>
      </c>
      <c r="C50" s="21" t="s">
        <v>98</v>
      </c>
      <c r="D50" s="21" t="s">
        <v>114</v>
      </c>
      <c r="E50" s="21" t="s">
        <v>116</v>
      </c>
      <c r="F50" s="21" t="s">
        <v>419</v>
      </c>
      <c r="G50" s="21"/>
      <c r="H50" s="21" t="s">
        <v>396</v>
      </c>
      <c r="I50" s="21"/>
      <c r="J50" s="22" t="n">
        <v>3</v>
      </c>
      <c r="K50" s="22" t="n">
        <v>3</v>
      </c>
      <c r="L50" s="22" t="n">
        <v>0</v>
      </c>
      <c r="M50" s="21" t="s">
        <v>385</v>
      </c>
      <c r="N50" s="21"/>
      <c r="O50" s="22"/>
      <c r="P50" s="20" t="n">
        <f aca="false">IF($N50="Reduce",N($O50),0)</f>
        <v>0</v>
      </c>
      <c r="Q50" s="23" t="str">
        <f aca="false">IF($F50="","",MID(IF($G50="",", career level","")&amp;IF($I50="",", nationality mandate","")&amp;IF($N50="",", capacity direction","")&amp;IF(N($J50)&lt;=0,", approved HC","")&amp;IF(AND($G50&lt;&gt;"",COUNTIF(CareerLevels,$G50)=0),", a career level that is not on the ladder","")&amp;IF(AND($N50="Reduce",N($O50)&lt;=0),", how many seats Reduce means","")&amp;IF(AND(N($O50)&gt;0,$N50&lt;&gt;"Reduce"),", a number of seats on a row not marked Reduce","")&amp;IF(N($O50)&gt;N($J50),", more seats given up than the row has",""),3,200))</f>
        <v>career level, nationality mandate, capacity direction</v>
      </c>
    </row>
    <row r="51" customFormat="false" ht="15" hidden="false" customHeight="false" outlineLevel="0" collapsed="false">
      <c r="A51" s="21" t="s">
        <v>418</v>
      </c>
      <c r="B51" s="21" t="s">
        <v>63</v>
      </c>
      <c r="C51" s="21" t="s">
        <v>98</v>
      </c>
      <c r="D51" s="21" t="s">
        <v>114</v>
      </c>
      <c r="E51" s="21" t="s">
        <v>116</v>
      </c>
      <c r="F51" s="21" t="s">
        <v>421</v>
      </c>
      <c r="G51" s="21"/>
      <c r="H51" s="21" t="s">
        <v>396</v>
      </c>
      <c r="I51" s="21"/>
      <c r="J51" s="22" t="n">
        <v>1</v>
      </c>
      <c r="K51" s="22" t="n">
        <v>1</v>
      </c>
      <c r="L51" s="22" t="n">
        <v>0</v>
      </c>
      <c r="M51" s="21" t="s">
        <v>385</v>
      </c>
      <c r="N51" s="21"/>
      <c r="O51" s="22"/>
      <c r="P51" s="20" t="n">
        <f aca="false">IF($N51="Reduce",N($O51),0)</f>
        <v>0</v>
      </c>
      <c r="Q51" s="23" t="str">
        <f aca="false">IF($F51="","",MID(IF($G51="",", career level","")&amp;IF($I51="",", nationality mandate","")&amp;IF($N51="",", capacity direction","")&amp;IF(N($J51)&lt;=0,", approved HC","")&amp;IF(AND($G51&lt;&gt;"",COUNTIF(CareerLevels,$G51)=0),", a career level that is not on the ladder","")&amp;IF(AND($N51="Reduce",N($O51)&lt;=0),", how many seats Reduce means","")&amp;IF(AND(N($O51)&gt;0,$N51&lt;&gt;"Reduce"),", a number of seats on a row not marked Reduce","")&amp;IF(N($O51)&gt;N($J51),", more seats given up than the row has",""),3,200))</f>
        <v>career level, nationality mandate, capacity direction</v>
      </c>
    </row>
    <row r="52" customFormat="false" ht="15" hidden="false" customHeight="false" outlineLevel="0" collapsed="false">
      <c r="A52" s="21" t="s">
        <v>433</v>
      </c>
      <c r="B52" s="21" t="s">
        <v>63</v>
      </c>
      <c r="C52" s="21" t="s">
        <v>98</v>
      </c>
      <c r="D52" s="21" t="s">
        <v>114</v>
      </c>
      <c r="E52" s="21" t="s">
        <v>116</v>
      </c>
      <c r="F52" s="21" t="s">
        <v>427</v>
      </c>
      <c r="G52" s="21"/>
      <c r="H52" s="21" t="s">
        <v>396</v>
      </c>
      <c r="I52" s="21"/>
      <c r="J52" s="22" t="n">
        <v>1</v>
      </c>
      <c r="K52" s="22" t="n">
        <v>1</v>
      </c>
      <c r="L52" s="22" t="n">
        <v>0</v>
      </c>
      <c r="M52" s="21" t="s">
        <v>385</v>
      </c>
      <c r="N52" s="21"/>
      <c r="O52" s="22"/>
      <c r="P52" s="20" t="n">
        <f aca="false">IF($N52="Reduce",N($O52),0)</f>
        <v>0</v>
      </c>
      <c r="Q52" s="23" t="str">
        <f aca="false">IF($F52="","",MID(IF($G52="",", career level","")&amp;IF($I52="",", nationality mandate","")&amp;IF($N52="",", capacity direction","")&amp;IF(N($J52)&lt;=0,", approved HC","")&amp;IF(AND($G52&lt;&gt;"",COUNTIF(CareerLevels,$G52)=0),", a career level that is not on the ladder","")&amp;IF(AND($N52="Reduce",N($O52)&lt;=0),", how many seats Reduce means","")&amp;IF(AND(N($O52)&gt;0,$N52&lt;&gt;"Reduce"),", a number of seats on a row not marked Reduce","")&amp;IF(N($O52)&gt;N($J52),", more seats given up than the row has",""),3,200))</f>
        <v>career level, nationality mandate, capacity direction</v>
      </c>
    </row>
    <row r="53" customFormat="false" ht="15" hidden="false" customHeight="false" outlineLevel="0" collapsed="false">
      <c r="A53" s="21" t="s">
        <v>434</v>
      </c>
      <c r="B53" s="21" t="s">
        <v>63</v>
      </c>
      <c r="C53" s="21" t="s">
        <v>98</v>
      </c>
      <c r="D53" s="21" t="s">
        <v>114</v>
      </c>
      <c r="E53" s="21" t="s">
        <v>116</v>
      </c>
      <c r="F53" s="21" t="s">
        <v>422</v>
      </c>
      <c r="G53" s="21"/>
      <c r="H53" s="21" t="s">
        <v>396</v>
      </c>
      <c r="I53" s="21"/>
      <c r="J53" s="22" t="n">
        <v>1</v>
      </c>
      <c r="K53" s="22" t="n">
        <v>1</v>
      </c>
      <c r="L53" s="22" t="n">
        <v>0</v>
      </c>
      <c r="M53" s="21" t="s">
        <v>389</v>
      </c>
      <c r="N53" s="21"/>
      <c r="O53" s="22"/>
      <c r="P53" s="20" t="n">
        <f aca="false">IF($N53="Reduce",N($O53),0)</f>
        <v>0</v>
      </c>
      <c r="Q53" s="23" t="str">
        <f aca="false">IF($F53="","",MID(IF($G53="",", career level","")&amp;IF($I53="",", nationality mandate","")&amp;IF($N53="",", capacity direction","")&amp;IF(N($J53)&lt;=0,", approved HC","")&amp;IF(AND($G53&lt;&gt;"",COUNTIF(CareerLevels,$G53)=0),", a career level that is not on the ladder","")&amp;IF(AND($N53="Reduce",N($O53)&lt;=0),", how many seats Reduce means","")&amp;IF(AND(N($O53)&gt;0,$N53&lt;&gt;"Reduce"),", a number of seats on a row not marked Reduce","")&amp;IF(N($O53)&gt;N($J53),", more seats given up than the row has",""),3,200))</f>
        <v>career level, nationality mandate, capacity direction</v>
      </c>
    </row>
    <row r="54" customFormat="false" ht="15" hidden="false" customHeight="false" outlineLevel="0" collapsed="false">
      <c r="A54" s="21" t="s">
        <v>390</v>
      </c>
      <c r="B54" s="21" t="s">
        <v>63</v>
      </c>
      <c r="C54" s="21" t="s">
        <v>98</v>
      </c>
      <c r="D54" s="21" t="s">
        <v>114</v>
      </c>
      <c r="E54" s="21" t="s">
        <v>116</v>
      </c>
      <c r="F54" s="21" t="s">
        <v>422</v>
      </c>
      <c r="G54" s="21"/>
      <c r="H54" s="21" t="s">
        <v>396</v>
      </c>
      <c r="I54" s="21"/>
      <c r="J54" s="22" t="n">
        <v>1</v>
      </c>
      <c r="K54" s="22" t="n">
        <v>1</v>
      </c>
      <c r="L54" s="22" t="n">
        <v>0</v>
      </c>
      <c r="M54" s="21" t="s">
        <v>385</v>
      </c>
      <c r="N54" s="21"/>
      <c r="O54" s="22"/>
      <c r="P54" s="20" t="n">
        <f aca="false">IF($N54="Reduce",N($O54),0)</f>
        <v>0</v>
      </c>
      <c r="Q54" s="23" t="str">
        <f aca="false">IF($F54="","",MID(IF($G54="",", career level","")&amp;IF($I54="",", nationality mandate","")&amp;IF($N54="",", capacity direction","")&amp;IF(N($J54)&lt;=0,", approved HC","")&amp;IF(AND($G54&lt;&gt;"",COUNTIF(CareerLevels,$G54)=0),", a career level that is not on the ladder","")&amp;IF(AND($N54="Reduce",N($O54)&lt;=0),", how many seats Reduce means","")&amp;IF(AND(N($O54)&gt;0,$N54&lt;&gt;"Reduce"),", a number of seats on a row not marked Reduce","")&amp;IF(N($O54)&gt;N($J54),", more seats given up than the row has",""),3,200))</f>
        <v>career level, nationality mandate, capacity direction</v>
      </c>
    </row>
    <row r="55" customFormat="false" ht="15" hidden="false" customHeight="false" outlineLevel="0" collapsed="false">
      <c r="A55" s="21" t="s">
        <v>382</v>
      </c>
      <c r="B55" s="21" t="s">
        <v>63</v>
      </c>
      <c r="C55" s="21" t="s">
        <v>98</v>
      </c>
      <c r="D55" s="21" t="s">
        <v>114</v>
      </c>
      <c r="E55" s="21" t="s">
        <v>116</v>
      </c>
      <c r="F55" s="21" t="s">
        <v>430</v>
      </c>
      <c r="G55" s="21"/>
      <c r="H55" s="21" t="s">
        <v>396</v>
      </c>
      <c r="I55" s="21"/>
      <c r="J55" s="22" t="n">
        <v>1</v>
      </c>
      <c r="K55" s="22" t="n">
        <v>1</v>
      </c>
      <c r="L55" s="22" t="n">
        <v>0</v>
      </c>
      <c r="M55" s="21" t="s">
        <v>385</v>
      </c>
      <c r="N55" s="21"/>
      <c r="O55" s="22"/>
      <c r="P55" s="20" t="n">
        <f aca="false">IF($N55="Reduce",N($O55),0)</f>
        <v>0</v>
      </c>
      <c r="Q55" s="23" t="str">
        <f aca="false">IF($F55="","",MID(IF($G55="",", career level","")&amp;IF($I55="",", nationality mandate","")&amp;IF($N55="",", capacity direction","")&amp;IF(N($J55)&lt;=0,", approved HC","")&amp;IF(AND($G55&lt;&gt;"",COUNTIF(CareerLevels,$G55)=0),", a career level that is not on the ladder","")&amp;IF(AND($N55="Reduce",N($O55)&lt;=0),", how many seats Reduce means","")&amp;IF(AND(N($O55)&gt;0,$N55&lt;&gt;"Reduce"),", a number of seats on a row not marked Reduce","")&amp;IF(N($O55)&gt;N($J55),", more seats given up than the row has",""),3,200))</f>
        <v>career level, nationality mandate, capacity direction</v>
      </c>
    </row>
    <row r="56" customFormat="false" ht="15" hidden="false" customHeight="false" outlineLevel="0" collapsed="false">
      <c r="A56" s="21" t="s">
        <v>399</v>
      </c>
      <c r="B56" s="21" t="s">
        <v>63</v>
      </c>
      <c r="C56" s="21" t="s">
        <v>98</v>
      </c>
      <c r="D56" s="21" t="s">
        <v>114</v>
      </c>
      <c r="E56" s="21" t="s">
        <v>116</v>
      </c>
      <c r="F56" s="21" t="s">
        <v>424</v>
      </c>
      <c r="G56" s="21"/>
      <c r="H56" s="21" t="s">
        <v>394</v>
      </c>
      <c r="I56" s="21"/>
      <c r="J56" s="22" t="n">
        <v>1</v>
      </c>
      <c r="K56" s="22" t="n">
        <v>1</v>
      </c>
      <c r="L56" s="22" t="n">
        <v>0</v>
      </c>
      <c r="M56" s="21" t="s">
        <v>385</v>
      </c>
      <c r="N56" s="21"/>
      <c r="O56" s="22"/>
      <c r="P56" s="20" t="n">
        <f aca="false">IF($N56="Reduce",N($O56),0)</f>
        <v>0</v>
      </c>
      <c r="Q56" s="23" t="str">
        <f aca="false">IF($F56="","",MID(IF($G56="",", career level","")&amp;IF($I56="",", nationality mandate","")&amp;IF($N56="",", capacity direction","")&amp;IF(N($J56)&lt;=0,", approved HC","")&amp;IF(AND($G56&lt;&gt;"",COUNTIF(CareerLevels,$G56)=0),", a career level that is not on the ladder","")&amp;IF(AND($N56="Reduce",N($O56)&lt;=0),", how many seats Reduce means","")&amp;IF(AND(N($O56)&gt;0,$N56&lt;&gt;"Reduce"),", a number of seats on a row not marked Reduce","")&amp;IF(N($O56)&gt;N($J56),", more seats given up than the row has",""),3,200))</f>
        <v>career level, nationality mandate, capacity direction</v>
      </c>
    </row>
    <row r="57" customFormat="false" ht="15" hidden="false" customHeight="false" outlineLevel="0" collapsed="false">
      <c r="A57" s="21" t="s">
        <v>386</v>
      </c>
      <c r="B57" s="21" t="s">
        <v>63</v>
      </c>
      <c r="C57" s="21" t="s">
        <v>98</v>
      </c>
      <c r="D57" s="21" t="s">
        <v>114</v>
      </c>
      <c r="E57" s="21" t="s">
        <v>122</v>
      </c>
      <c r="F57" s="21" t="s">
        <v>419</v>
      </c>
      <c r="G57" s="21"/>
      <c r="H57" s="21" t="s">
        <v>396</v>
      </c>
      <c r="I57" s="21"/>
      <c r="J57" s="22" t="n">
        <v>1</v>
      </c>
      <c r="K57" s="22" t="n">
        <v>1</v>
      </c>
      <c r="L57" s="22" t="n">
        <v>0</v>
      </c>
      <c r="M57" s="21" t="s">
        <v>389</v>
      </c>
      <c r="N57" s="21"/>
      <c r="O57" s="22"/>
      <c r="P57" s="20" t="n">
        <f aca="false">IF($N57="Reduce",N($O57),0)</f>
        <v>0</v>
      </c>
      <c r="Q57" s="23" t="str">
        <f aca="false">IF($F57="","",MID(IF($G57="",", career level","")&amp;IF($I57="",", nationality mandate","")&amp;IF($N57="",", capacity direction","")&amp;IF(N($J57)&lt;=0,", approved HC","")&amp;IF(AND($G57&lt;&gt;"",COUNTIF(CareerLevels,$G57)=0),", a career level that is not on the ladder","")&amp;IF(AND($N57="Reduce",N($O57)&lt;=0),", how many seats Reduce means","")&amp;IF(AND(N($O57)&gt;0,$N57&lt;&gt;"Reduce"),", a number of seats on a row not marked Reduce","")&amp;IF(N($O57)&gt;N($J57),", more seats given up than the row has",""),3,200))</f>
        <v>career level, nationality mandate, capacity direction</v>
      </c>
    </row>
    <row r="58" customFormat="false" ht="15" hidden="false" customHeight="false" outlineLevel="0" collapsed="false">
      <c r="A58" s="21" t="s">
        <v>435</v>
      </c>
      <c r="B58" s="21" t="s">
        <v>63</v>
      </c>
      <c r="C58" s="21" t="s">
        <v>98</v>
      </c>
      <c r="D58" s="21" t="s">
        <v>114</v>
      </c>
      <c r="E58" s="21" t="s">
        <v>122</v>
      </c>
      <c r="F58" s="21" t="s">
        <v>421</v>
      </c>
      <c r="G58" s="21"/>
      <c r="H58" s="21" t="s">
        <v>396</v>
      </c>
      <c r="I58" s="21"/>
      <c r="J58" s="22" t="n">
        <v>1</v>
      </c>
      <c r="K58" s="22" t="n">
        <v>1</v>
      </c>
      <c r="L58" s="22" t="n">
        <v>0</v>
      </c>
      <c r="M58" s="21" t="s">
        <v>385</v>
      </c>
      <c r="N58" s="21"/>
      <c r="O58" s="22"/>
      <c r="P58" s="20" t="n">
        <f aca="false">IF($N58="Reduce",N($O58),0)</f>
        <v>0</v>
      </c>
      <c r="Q58" s="23" t="str">
        <f aca="false">IF($F58="","",MID(IF($G58="",", career level","")&amp;IF($I58="",", nationality mandate","")&amp;IF($N58="",", capacity direction","")&amp;IF(N($J58)&lt;=0,", approved HC","")&amp;IF(AND($G58&lt;&gt;"",COUNTIF(CareerLevels,$G58)=0),", a career level that is not on the ladder","")&amp;IF(AND($N58="Reduce",N($O58)&lt;=0),", how many seats Reduce means","")&amp;IF(AND(N($O58)&gt;0,$N58&lt;&gt;"Reduce"),", a number of seats on a row not marked Reduce","")&amp;IF(N($O58)&gt;N($J58),", more seats given up than the row has",""),3,200))</f>
        <v>career level, nationality mandate, capacity direction</v>
      </c>
    </row>
    <row r="59" customFormat="false" ht="15" hidden="false" customHeight="false" outlineLevel="0" collapsed="false">
      <c r="A59" s="21"/>
      <c r="B59" s="21" t="s">
        <v>63</v>
      </c>
      <c r="C59" s="21" t="s">
        <v>98</v>
      </c>
      <c r="D59" s="21" t="s">
        <v>114</v>
      </c>
      <c r="E59" s="21" t="s">
        <v>122</v>
      </c>
      <c r="F59" s="21" t="s">
        <v>427</v>
      </c>
      <c r="G59" s="21"/>
      <c r="H59" s="21" t="s">
        <v>396</v>
      </c>
      <c r="I59" s="21"/>
      <c r="J59" s="22" t="n">
        <v>2</v>
      </c>
      <c r="K59" s="22" t="n">
        <v>1</v>
      </c>
      <c r="L59" s="22" t="n">
        <v>1</v>
      </c>
      <c r="M59" s="21" t="s">
        <v>385</v>
      </c>
      <c r="N59" s="21"/>
      <c r="O59" s="22"/>
      <c r="P59" s="20" t="n">
        <f aca="false">IF($N59="Reduce",N($O59),0)</f>
        <v>0</v>
      </c>
      <c r="Q59" s="23" t="str">
        <f aca="false">IF($F59="","",MID(IF($G59="",", career level","")&amp;IF($I59="",", nationality mandate","")&amp;IF($N59="",", capacity direction","")&amp;IF(N($J59)&lt;=0,", approved HC","")&amp;IF(AND($G59&lt;&gt;"",COUNTIF(CareerLevels,$G59)=0),", a career level that is not on the ladder","")&amp;IF(AND($N59="Reduce",N($O59)&lt;=0),", how many seats Reduce means","")&amp;IF(AND(N($O59)&gt;0,$N59&lt;&gt;"Reduce"),", a number of seats on a row not marked Reduce","")&amp;IF(N($O59)&gt;N($J59),", more seats given up than the row has",""),3,200))</f>
        <v>career level, nationality mandate, capacity direction</v>
      </c>
    </row>
    <row r="60" customFormat="false" ht="15" hidden="false" customHeight="false" outlineLevel="0" collapsed="false">
      <c r="A60" s="21"/>
      <c r="B60" s="21" t="s">
        <v>63</v>
      </c>
      <c r="C60" s="21" t="s">
        <v>98</v>
      </c>
      <c r="D60" s="21" t="s">
        <v>114</v>
      </c>
      <c r="E60" s="21" t="s">
        <v>122</v>
      </c>
      <c r="F60" s="21" t="s">
        <v>436</v>
      </c>
      <c r="G60" s="21"/>
      <c r="H60" s="21" t="s">
        <v>396</v>
      </c>
      <c r="I60" s="21"/>
      <c r="J60" s="22" t="n">
        <v>2</v>
      </c>
      <c r="K60" s="22" t="n">
        <v>1</v>
      </c>
      <c r="L60" s="22" t="n">
        <v>1</v>
      </c>
      <c r="M60" s="21" t="s">
        <v>385</v>
      </c>
      <c r="N60" s="21"/>
      <c r="O60" s="22"/>
      <c r="P60" s="20" t="n">
        <f aca="false">IF($N60="Reduce",N($O60),0)</f>
        <v>0</v>
      </c>
      <c r="Q60" s="23" t="str">
        <f aca="false">IF($F60="","",MID(IF($G60="",", career level","")&amp;IF($I60="",", nationality mandate","")&amp;IF($N60="",", capacity direction","")&amp;IF(N($J60)&lt;=0,", approved HC","")&amp;IF(AND($G60&lt;&gt;"",COUNTIF(CareerLevels,$G60)=0),", a career level that is not on the ladder","")&amp;IF(AND($N60="Reduce",N($O60)&lt;=0),", how many seats Reduce means","")&amp;IF(AND(N($O60)&gt;0,$N60&lt;&gt;"Reduce"),", a number of seats on a row not marked Reduce","")&amp;IF(N($O60)&gt;N($J60),", more seats given up than the row has",""),3,200))</f>
        <v>career level, nationality mandate, capacity direction</v>
      </c>
    </row>
    <row r="61" customFormat="false" ht="15" hidden="false" customHeight="false" outlineLevel="0" collapsed="false">
      <c r="A61" s="21" t="s">
        <v>437</v>
      </c>
      <c r="B61" s="21" t="s">
        <v>63</v>
      </c>
      <c r="C61" s="21" t="s">
        <v>98</v>
      </c>
      <c r="D61" s="21" t="s">
        <v>114</v>
      </c>
      <c r="E61" s="21" t="s">
        <v>122</v>
      </c>
      <c r="F61" s="21" t="s">
        <v>422</v>
      </c>
      <c r="G61" s="21"/>
      <c r="H61" s="21" t="s">
        <v>396</v>
      </c>
      <c r="I61" s="21"/>
      <c r="J61" s="22" t="n">
        <v>1</v>
      </c>
      <c r="K61" s="22" t="n">
        <v>1</v>
      </c>
      <c r="L61" s="22" t="n">
        <v>0</v>
      </c>
      <c r="M61" s="21" t="s">
        <v>385</v>
      </c>
      <c r="N61" s="21"/>
      <c r="O61" s="22"/>
      <c r="P61" s="20" t="n">
        <f aca="false">IF($N61="Reduce",N($O61),0)</f>
        <v>0</v>
      </c>
      <c r="Q61" s="23" t="str">
        <f aca="false">IF($F61="","",MID(IF($G61="",", career level","")&amp;IF($I61="",", nationality mandate","")&amp;IF($N61="",", capacity direction","")&amp;IF(N($J61)&lt;=0,", approved HC","")&amp;IF(AND($G61&lt;&gt;"",COUNTIF(CareerLevels,$G61)=0),", a career level that is not on the ladder","")&amp;IF(AND($N61="Reduce",N($O61)&lt;=0),", how many seats Reduce means","")&amp;IF(AND(N($O61)&gt;0,$N61&lt;&gt;"Reduce"),", a number of seats on a row not marked Reduce","")&amp;IF(N($O61)&gt;N($J61),", more seats given up than the row has",""),3,200))</f>
        <v>career level, nationality mandate, capacity direction</v>
      </c>
    </row>
    <row r="62" customFormat="false" ht="15" hidden="false" customHeight="false" outlineLevel="0" collapsed="false">
      <c r="A62" s="21"/>
      <c r="B62" s="21" t="s">
        <v>63</v>
      </c>
      <c r="C62" s="21" t="s">
        <v>98</v>
      </c>
      <c r="D62" s="21" t="s">
        <v>114</v>
      </c>
      <c r="E62" s="21" t="s">
        <v>122</v>
      </c>
      <c r="F62" s="21" t="s">
        <v>430</v>
      </c>
      <c r="G62" s="21"/>
      <c r="H62" s="21" t="s">
        <v>396</v>
      </c>
      <c r="I62" s="21"/>
      <c r="J62" s="22" t="n">
        <v>2</v>
      </c>
      <c r="K62" s="22" t="n">
        <v>0</v>
      </c>
      <c r="L62" s="22" t="n">
        <v>2</v>
      </c>
      <c r="M62" s="21" t="s">
        <v>385</v>
      </c>
      <c r="N62" s="21"/>
      <c r="O62" s="22"/>
      <c r="P62" s="20" t="n">
        <f aca="false">IF($N62="Reduce",N($O62),0)</f>
        <v>0</v>
      </c>
      <c r="Q62" s="23" t="str">
        <f aca="false">IF($F62="","",MID(IF($G62="",", career level","")&amp;IF($I62="",", nationality mandate","")&amp;IF($N62="",", capacity direction","")&amp;IF(N($J62)&lt;=0,", approved HC","")&amp;IF(AND($G62&lt;&gt;"",COUNTIF(CareerLevels,$G62)=0),", a career level that is not on the ladder","")&amp;IF(AND($N62="Reduce",N($O62)&lt;=0),", how many seats Reduce means","")&amp;IF(AND(N($O62)&gt;0,$N62&lt;&gt;"Reduce"),", a number of seats on a row not marked Reduce","")&amp;IF(N($O62)&gt;N($J62),", more seats given up than the row has",""),3,200))</f>
        <v>career level, nationality mandate, capacity direction</v>
      </c>
    </row>
    <row r="63" customFormat="false" ht="15" hidden="false" customHeight="false" outlineLevel="0" collapsed="false">
      <c r="A63" s="21" t="s">
        <v>438</v>
      </c>
      <c r="B63" s="21" t="s">
        <v>63</v>
      </c>
      <c r="C63" s="21" t="s">
        <v>98</v>
      </c>
      <c r="D63" s="21" t="s">
        <v>114</v>
      </c>
      <c r="E63" s="21" t="s">
        <v>122</v>
      </c>
      <c r="F63" s="21" t="s">
        <v>424</v>
      </c>
      <c r="G63" s="21"/>
      <c r="H63" s="21" t="s">
        <v>394</v>
      </c>
      <c r="I63" s="21"/>
      <c r="J63" s="22" t="n">
        <v>1</v>
      </c>
      <c r="K63" s="22" t="n">
        <v>1</v>
      </c>
      <c r="L63" s="22" t="n">
        <v>0</v>
      </c>
      <c r="M63" s="21" t="s">
        <v>385</v>
      </c>
      <c r="N63" s="21"/>
      <c r="O63" s="22"/>
      <c r="P63" s="20" t="n">
        <f aca="false">IF($N63="Reduce",N($O63),0)</f>
        <v>0</v>
      </c>
      <c r="Q63" s="23" t="str">
        <f aca="false">IF($F63="","",MID(IF($G63="",", career level","")&amp;IF($I63="",", nationality mandate","")&amp;IF($N63="",", capacity direction","")&amp;IF(N($J63)&lt;=0,", approved HC","")&amp;IF(AND($G63&lt;&gt;"",COUNTIF(CareerLevels,$G63)=0),", a career level that is not on the ladder","")&amp;IF(AND($N63="Reduce",N($O63)&lt;=0),", how many seats Reduce means","")&amp;IF(AND(N($O63)&gt;0,$N63&lt;&gt;"Reduce"),", a number of seats on a row not marked Reduce","")&amp;IF(N($O63)&gt;N($J63),", more seats given up than the row has",""),3,200))</f>
        <v>career level, nationality mandate, capacity direction</v>
      </c>
    </row>
    <row r="64" customFormat="false" ht="15" hidden="false" customHeight="false" outlineLevel="0" collapsed="false">
      <c r="A64" s="21" t="s">
        <v>439</v>
      </c>
      <c r="B64" s="21" t="s">
        <v>63</v>
      </c>
      <c r="C64" s="21" t="s">
        <v>128</v>
      </c>
      <c r="D64" s="21"/>
      <c r="E64" s="21"/>
      <c r="F64" s="21" t="s">
        <v>440</v>
      </c>
      <c r="G64" s="21"/>
      <c r="H64" s="21" t="s">
        <v>388</v>
      </c>
      <c r="I64" s="21"/>
      <c r="J64" s="22" t="n">
        <v>1</v>
      </c>
      <c r="K64" s="22" t="n">
        <v>1</v>
      </c>
      <c r="L64" s="22" t="n">
        <v>0</v>
      </c>
      <c r="M64" s="21" t="s">
        <v>389</v>
      </c>
      <c r="N64" s="21"/>
      <c r="O64" s="22"/>
      <c r="P64" s="20" t="n">
        <f aca="false">IF($N64="Reduce",N($O64),0)</f>
        <v>0</v>
      </c>
      <c r="Q64" s="23" t="str">
        <f aca="false">IF($F64="","",MID(IF($G64="",", career level","")&amp;IF($I64="",", nationality mandate","")&amp;IF($N64="",", capacity direction","")&amp;IF(N($J64)&lt;=0,", approved HC","")&amp;IF(AND($G64&lt;&gt;"",COUNTIF(CareerLevels,$G64)=0),", a career level that is not on the ladder","")&amp;IF(AND($N64="Reduce",N($O64)&lt;=0),", how many seats Reduce means","")&amp;IF(AND(N($O64)&gt;0,$N64&lt;&gt;"Reduce"),", a number of seats on a row not marked Reduce","")&amp;IF(N($O64)&gt;N($J64),", more seats given up than the row has",""),3,200))</f>
        <v>career level, nationality mandate, capacity direction</v>
      </c>
    </row>
    <row r="65" customFormat="false" ht="15" hidden="false" customHeight="false" outlineLevel="0" collapsed="false">
      <c r="A65" s="21" t="s">
        <v>441</v>
      </c>
      <c r="B65" s="21" t="s">
        <v>63</v>
      </c>
      <c r="C65" s="21" t="s">
        <v>128</v>
      </c>
      <c r="D65" s="21" t="s">
        <v>130</v>
      </c>
      <c r="E65" s="21"/>
      <c r="F65" s="21" t="s">
        <v>442</v>
      </c>
      <c r="G65" s="21"/>
      <c r="H65" s="21" t="s">
        <v>394</v>
      </c>
      <c r="I65" s="21"/>
      <c r="J65" s="22" t="n">
        <v>1</v>
      </c>
      <c r="K65" s="22" t="n">
        <v>1</v>
      </c>
      <c r="L65" s="22" t="n">
        <v>0</v>
      </c>
      <c r="M65" s="21" t="s">
        <v>385</v>
      </c>
      <c r="N65" s="21"/>
      <c r="O65" s="22"/>
      <c r="P65" s="20" t="n">
        <f aca="false">IF($N65="Reduce",N($O65),0)</f>
        <v>0</v>
      </c>
      <c r="Q65" s="23" t="str">
        <f aca="false">IF($F65="","",MID(IF($G65="",", career level","")&amp;IF($I65="",", nationality mandate","")&amp;IF($N65="",", capacity direction","")&amp;IF(N($J65)&lt;=0,", approved HC","")&amp;IF(AND($G65&lt;&gt;"",COUNTIF(CareerLevels,$G65)=0),", a career level that is not on the ladder","")&amp;IF(AND($N65="Reduce",N($O65)&lt;=0),", how many seats Reduce means","")&amp;IF(AND(N($O65)&gt;0,$N65&lt;&gt;"Reduce"),", a number of seats on a row not marked Reduce","")&amp;IF(N($O65)&gt;N($J65),", more seats given up than the row has",""),3,200))</f>
        <v>career level, nationality mandate, capacity direction</v>
      </c>
    </row>
    <row r="66" customFormat="false" ht="15" hidden="false" customHeight="false" outlineLevel="0" collapsed="false">
      <c r="A66" s="21"/>
      <c r="B66" s="21" t="s">
        <v>63</v>
      </c>
      <c r="C66" s="21" t="s">
        <v>128</v>
      </c>
      <c r="D66" s="21" t="s">
        <v>130</v>
      </c>
      <c r="E66" s="21" t="s">
        <v>132</v>
      </c>
      <c r="F66" s="21" t="s">
        <v>443</v>
      </c>
      <c r="G66" s="21"/>
      <c r="H66" s="21" t="s">
        <v>396</v>
      </c>
      <c r="I66" s="21"/>
      <c r="J66" s="22" t="n">
        <v>3</v>
      </c>
      <c r="K66" s="22" t="n">
        <v>3</v>
      </c>
      <c r="L66" s="22" t="n">
        <v>0</v>
      </c>
      <c r="M66" s="21" t="s">
        <v>385</v>
      </c>
      <c r="N66" s="21"/>
      <c r="O66" s="22"/>
      <c r="P66" s="20" t="n">
        <f aca="false">IF($N66="Reduce",N($O66),0)</f>
        <v>0</v>
      </c>
      <c r="Q66" s="23" t="str">
        <f aca="false">IF($F66="","",MID(IF($G66="",", career level","")&amp;IF($I66="",", nationality mandate","")&amp;IF($N66="",", capacity direction","")&amp;IF(N($J66)&lt;=0,", approved HC","")&amp;IF(AND($G66&lt;&gt;"",COUNTIF(CareerLevels,$G66)=0),", a career level that is not on the ladder","")&amp;IF(AND($N66="Reduce",N($O66)&lt;=0),", how many seats Reduce means","")&amp;IF(AND(N($O66)&gt;0,$N66&lt;&gt;"Reduce"),", a number of seats on a row not marked Reduce","")&amp;IF(N($O66)&gt;N($J66),", more seats given up than the row has",""),3,200))</f>
        <v>career level, nationality mandate, capacity direction</v>
      </c>
    </row>
    <row r="67" customFormat="false" ht="15" hidden="false" customHeight="false" outlineLevel="0" collapsed="false">
      <c r="A67" s="21" t="s">
        <v>409</v>
      </c>
      <c r="B67" s="21" t="s">
        <v>63</v>
      </c>
      <c r="C67" s="21" t="s">
        <v>128</v>
      </c>
      <c r="D67" s="21" t="s">
        <v>130</v>
      </c>
      <c r="E67" s="21" t="s">
        <v>132</v>
      </c>
      <c r="F67" s="21" t="s">
        <v>444</v>
      </c>
      <c r="G67" s="21"/>
      <c r="H67" s="21" t="s">
        <v>396</v>
      </c>
      <c r="I67" s="21"/>
      <c r="J67" s="22" t="n">
        <v>1</v>
      </c>
      <c r="K67" s="22" t="n">
        <v>1</v>
      </c>
      <c r="L67" s="22" t="n">
        <v>0</v>
      </c>
      <c r="M67" s="21" t="s">
        <v>385</v>
      </c>
      <c r="N67" s="21"/>
      <c r="O67" s="22"/>
      <c r="P67" s="20" t="n">
        <f aca="false">IF($N67="Reduce",N($O67),0)</f>
        <v>0</v>
      </c>
      <c r="Q67" s="23" t="str">
        <f aca="false">IF($F67="","",MID(IF($G67="",", career level","")&amp;IF($I67="",", nationality mandate","")&amp;IF($N67="",", capacity direction","")&amp;IF(N($J67)&lt;=0,", approved HC","")&amp;IF(AND($G67&lt;&gt;"",COUNTIF(CareerLevels,$G67)=0),", a career level that is not on the ladder","")&amp;IF(AND($N67="Reduce",N($O67)&lt;=0),", how many seats Reduce means","")&amp;IF(AND(N($O67)&gt;0,$N67&lt;&gt;"Reduce"),", a number of seats on a row not marked Reduce","")&amp;IF(N($O67)&gt;N($J67),", more seats given up than the row has",""),3,200))</f>
        <v>career level, nationality mandate, capacity direction</v>
      </c>
    </row>
    <row r="68" customFormat="false" ht="15" hidden="false" customHeight="false" outlineLevel="0" collapsed="false">
      <c r="A68" s="21" t="s">
        <v>445</v>
      </c>
      <c r="B68" s="21" t="s">
        <v>63</v>
      </c>
      <c r="C68" s="21" t="s">
        <v>128</v>
      </c>
      <c r="D68" s="21" t="s">
        <v>130</v>
      </c>
      <c r="E68" s="21" t="s">
        <v>132</v>
      </c>
      <c r="F68" s="21" t="s">
        <v>446</v>
      </c>
      <c r="G68" s="21"/>
      <c r="H68" s="21" t="s">
        <v>396</v>
      </c>
      <c r="I68" s="21"/>
      <c r="J68" s="22" t="n">
        <v>1</v>
      </c>
      <c r="K68" s="22" t="n">
        <v>1</v>
      </c>
      <c r="L68" s="22" t="n">
        <v>0</v>
      </c>
      <c r="M68" s="21" t="s">
        <v>385</v>
      </c>
      <c r="N68" s="21"/>
      <c r="O68" s="22"/>
      <c r="P68" s="20" t="n">
        <f aca="false">IF($N68="Reduce",N($O68),0)</f>
        <v>0</v>
      </c>
      <c r="Q68" s="23" t="str">
        <f aca="false">IF($F68="","",MID(IF($G68="",", career level","")&amp;IF($I68="",", nationality mandate","")&amp;IF($N68="",", capacity direction","")&amp;IF(N($J68)&lt;=0,", approved HC","")&amp;IF(AND($G68&lt;&gt;"",COUNTIF(CareerLevels,$G68)=0),", a career level that is not on the ladder","")&amp;IF(AND($N68="Reduce",N($O68)&lt;=0),", how many seats Reduce means","")&amp;IF(AND(N($O68)&gt;0,$N68&lt;&gt;"Reduce"),", a number of seats on a row not marked Reduce","")&amp;IF(N($O68)&gt;N($J68),", more seats given up than the row has",""),3,200))</f>
        <v>career level, nationality mandate, capacity direction</v>
      </c>
    </row>
    <row r="69" customFormat="false" ht="15" hidden="false" customHeight="false" outlineLevel="0" collapsed="false">
      <c r="A69" s="21" t="s">
        <v>445</v>
      </c>
      <c r="B69" s="21" t="s">
        <v>63</v>
      </c>
      <c r="C69" s="21" t="s">
        <v>128</v>
      </c>
      <c r="D69" s="21" t="s">
        <v>130</v>
      </c>
      <c r="E69" s="21" t="s">
        <v>132</v>
      </c>
      <c r="F69" s="21" t="s">
        <v>447</v>
      </c>
      <c r="G69" s="21"/>
      <c r="H69" s="21" t="s">
        <v>396</v>
      </c>
      <c r="I69" s="21"/>
      <c r="J69" s="22" t="n">
        <v>1</v>
      </c>
      <c r="K69" s="22" t="n">
        <v>1</v>
      </c>
      <c r="L69" s="22" t="n">
        <v>0</v>
      </c>
      <c r="M69" s="21" t="s">
        <v>385</v>
      </c>
      <c r="N69" s="21"/>
      <c r="O69" s="22"/>
      <c r="P69" s="20" t="n">
        <f aca="false">IF($N69="Reduce",N($O69),0)</f>
        <v>0</v>
      </c>
      <c r="Q69" s="23" t="str">
        <f aca="false">IF($F69="","",MID(IF($G69="",", career level","")&amp;IF($I69="",", nationality mandate","")&amp;IF($N69="",", capacity direction","")&amp;IF(N($J69)&lt;=0,", approved HC","")&amp;IF(AND($G69&lt;&gt;"",COUNTIF(CareerLevels,$G69)=0),", a career level that is not on the ladder","")&amp;IF(AND($N69="Reduce",N($O69)&lt;=0),", how many seats Reduce means","")&amp;IF(AND(N($O69)&gt;0,$N69&lt;&gt;"Reduce"),", a number of seats on a row not marked Reduce","")&amp;IF(N($O69)&gt;N($J69),", more seats given up than the row has",""),3,200))</f>
        <v>career level, nationality mandate, capacity direction</v>
      </c>
    </row>
    <row r="70" customFormat="false" ht="15" hidden="false" customHeight="false" outlineLevel="0" collapsed="false">
      <c r="A70" s="21" t="s">
        <v>399</v>
      </c>
      <c r="B70" s="21" t="s">
        <v>63</v>
      </c>
      <c r="C70" s="21" t="s">
        <v>128</v>
      </c>
      <c r="D70" s="21" t="s">
        <v>130</v>
      </c>
      <c r="E70" s="21" t="s">
        <v>132</v>
      </c>
      <c r="F70" s="21" t="s">
        <v>448</v>
      </c>
      <c r="G70" s="21"/>
      <c r="H70" s="21" t="s">
        <v>394</v>
      </c>
      <c r="I70" s="21"/>
      <c r="J70" s="22" t="n">
        <v>1</v>
      </c>
      <c r="K70" s="22" t="n">
        <v>1</v>
      </c>
      <c r="L70" s="22" t="n">
        <v>0</v>
      </c>
      <c r="M70" s="21" t="s">
        <v>385</v>
      </c>
      <c r="N70" s="21"/>
      <c r="O70" s="22"/>
      <c r="P70" s="20" t="n">
        <f aca="false">IF($N70="Reduce",N($O70),0)</f>
        <v>0</v>
      </c>
      <c r="Q70" s="23" t="str">
        <f aca="false">IF($F70="","",MID(IF($G70="",", career level","")&amp;IF($I70="",", nationality mandate","")&amp;IF($N70="",", capacity direction","")&amp;IF(N($J70)&lt;=0,", approved HC","")&amp;IF(AND($G70&lt;&gt;"",COUNTIF(CareerLevels,$G70)=0),", a career level that is not on the ladder","")&amp;IF(AND($N70="Reduce",N($O70)&lt;=0),", how many seats Reduce means","")&amp;IF(AND(N($O70)&gt;0,$N70&lt;&gt;"Reduce"),", a number of seats on a row not marked Reduce","")&amp;IF(N($O70)&gt;N($J70),", more seats given up than the row has",""),3,200))</f>
        <v>career level, nationality mandate, capacity direction</v>
      </c>
    </row>
    <row r="71" customFormat="false" ht="15" hidden="false" customHeight="false" outlineLevel="0" collapsed="false">
      <c r="A71" s="21" t="s">
        <v>449</v>
      </c>
      <c r="B71" s="21" t="s">
        <v>63</v>
      </c>
      <c r="C71" s="21" t="s">
        <v>128</v>
      </c>
      <c r="D71" s="21" t="s">
        <v>130</v>
      </c>
      <c r="E71" s="21" t="s">
        <v>138</v>
      </c>
      <c r="F71" s="21" t="s">
        <v>444</v>
      </c>
      <c r="G71" s="21"/>
      <c r="H71" s="21" t="s">
        <v>396</v>
      </c>
      <c r="I71" s="21"/>
      <c r="J71" s="22" t="n">
        <v>1</v>
      </c>
      <c r="K71" s="22" t="n">
        <v>1</v>
      </c>
      <c r="L71" s="22" t="n">
        <v>0</v>
      </c>
      <c r="M71" s="21" t="s">
        <v>385</v>
      </c>
      <c r="N71" s="21"/>
      <c r="O71" s="22"/>
      <c r="P71" s="20" t="n">
        <f aca="false">IF($N71="Reduce",N($O71),0)</f>
        <v>0</v>
      </c>
      <c r="Q71" s="23" t="str">
        <f aca="false">IF($F71="","",MID(IF($G71="",", career level","")&amp;IF($I71="",", nationality mandate","")&amp;IF($N71="",", capacity direction","")&amp;IF(N($J71)&lt;=0,", approved HC","")&amp;IF(AND($G71&lt;&gt;"",COUNTIF(CareerLevels,$G71)=0),", a career level that is not on the ladder","")&amp;IF(AND($N71="Reduce",N($O71)&lt;=0),", how many seats Reduce means","")&amp;IF(AND(N($O71)&gt;0,$N71&lt;&gt;"Reduce"),", a number of seats on a row not marked Reduce","")&amp;IF(N($O71)&gt;N($J71),", more seats given up than the row has",""),3,200))</f>
        <v>career level, nationality mandate, capacity direction</v>
      </c>
    </row>
    <row r="72" customFormat="false" ht="15" hidden="false" customHeight="false" outlineLevel="0" collapsed="false">
      <c r="A72" s="21"/>
      <c r="B72" s="21" t="s">
        <v>63</v>
      </c>
      <c r="C72" s="21" t="s">
        <v>128</v>
      </c>
      <c r="D72" s="21" t="s">
        <v>130</v>
      </c>
      <c r="E72" s="21" t="s">
        <v>138</v>
      </c>
      <c r="F72" s="21" t="s">
        <v>450</v>
      </c>
      <c r="G72" s="21"/>
      <c r="H72" s="21" t="s">
        <v>396</v>
      </c>
      <c r="I72" s="21"/>
      <c r="J72" s="22" t="n">
        <v>3</v>
      </c>
      <c r="K72" s="22" t="n">
        <v>3</v>
      </c>
      <c r="L72" s="22" t="n">
        <v>0</v>
      </c>
      <c r="M72" s="21" t="s">
        <v>385</v>
      </c>
      <c r="N72" s="21"/>
      <c r="O72" s="22"/>
      <c r="P72" s="20" t="n">
        <f aca="false">IF($N72="Reduce",N($O72),0)</f>
        <v>0</v>
      </c>
      <c r="Q72" s="23" t="str">
        <f aca="false">IF($F72="","",MID(IF($G72="",", career level","")&amp;IF($I72="",", nationality mandate","")&amp;IF($N72="",", capacity direction","")&amp;IF(N($J72)&lt;=0,", approved HC","")&amp;IF(AND($G72&lt;&gt;"",COUNTIF(CareerLevels,$G72)=0),", a career level that is not on the ladder","")&amp;IF(AND($N72="Reduce",N($O72)&lt;=0),", how many seats Reduce means","")&amp;IF(AND(N($O72)&gt;0,$N72&lt;&gt;"Reduce"),", a number of seats on a row not marked Reduce","")&amp;IF(N($O72)&gt;N($J72),", more seats given up than the row has",""),3,200))</f>
        <v>career level, nationality mandate, capacity direction</v>
      </c>
    </row>
    <row r="73" customFormat="false" ht="15" hidden="false" customHeight="false" outlineLevel="0" collapsed="false">
      <c r="A73" s="21"/>
      <c r="B73" s="21" t="s">
        <v>63</v>
      </c>
      <c r="C73" s="21" t="s">
        <v>128</v>
      </c>
      <c r="D73" s="21" t="s">
        <v>130</v>
      </c>
      <c r="E73" s="21" t="s">
        <v>138</v>
      </c>
      <c r="F73" s="21" t="s">
        <v>446</v>
      </c>
      <c r="G73" s="21"/>
      <c r="H73" s="21" t="s">
        <v>396</v>
      </c>
      <c r="I73" s="21"/>
      <c r="J73" s="22" t="n">
        <v>2</v>
      </c>
      <c r="K73" s="22" t="n">
        <v>2</v>
      </c>
      <c r="L73" s="22" t="n">
        <v>0</v>
      </c>
      <c r="M73" s="21" t="s">
        <v>385</v>
      </c>
      <c r="N73" s="21"/>
      <c r="O73" s="22"/>
      <c r="P73" s="20" t="n">
        <f aca="false">IF($N73="Reduce",N($O73),0)</f>
        <v>0</v>
      </c>
      <c r="Q73" s="23" t="str">
        <f aca="false">IF($F73="","",MID(IF($G73="",", career level","")&amp;IF($I73="",", nationality mandate","")&amp;IF($N73="",", capacity direction","")&amp;IF(N($J73)&lt;=0,", approved HC","")&amp;IF(AND($G73&lt;&gt;"",COUNTIF(CareerLevels,$G73)=0),", a career level that is not on the ladder","")&amp;IF(AND($N73="Reduce",N($O73)&lt;=0),", how many seats Reduce means","")&amp;IF(AND(N($O73)&gt;0,$N73&lt;&gt;"Reduce"),", a number of seats on a row not marked Reduce","")&amp;IF(N($O73)&gt;N($J73),", more seats given up than the row has",""),3,200))</f>
        <v>career level, nationality mandate, capacity direction</v>
      </c>
    </row>
    <row r="74" customFormat="false" ht="15" hidden="false" customHeight="false" outlineLevel="0" collapsed="false">
      <c r="A74" s="21" t="s">
        <v>449</v>
      </c>
      <c r="B74" s="21" t="s">
        <v>63</v>
      </c>
      <c r="C74" s="21" t="s">
        <v>128</v>
      </c>
      <c r="D74" s="21" t="s">
        <v>130</v>
      </c>
      <c r="E74" s="21" t="s">
        <v>138</v>
      </c>
      <c r="F74" s="21" t="s">
        <v>448</v>
      </c>
      <c r="G74" s="21"/>
      <c r="H74" s="21" t="s">
        <v>394</v>
      </c>
      <c r="I74" s="21"/>
      <c r="J74" s="22" t="n">
        <v>1</v>
      </c>
      <c r="K74" s="22" t="n">
        <v>1</v>
      </c>
      <c r="L74" s="22" t="n">
        <v>0</v>
      </c>
      <c r="M74" s="21" t="s">
        <v>385</v>
      </c>
      <c r="N74" s="21"/>
      <c r="O74" s="22"/>
      <c r="P74" s="20" t="n">
        <f aca="false">IF($N74="Reduce",N($O74),0)</f>
        <v>0</v>
      </c>
      <c r="Q74" s="23" t="str">
        <f aca="false">IF($F74="","",MID(IF($G74="",", career level","")&amp;IF($I74="",", nationality mandate","")&amp;IF($N74="",", capacity direction","")&amp;IF(N($J74)&lt;=0,", approved HC","")&amp;IF(AND($G74&lt;&gt;"",COUNTIF(CareerLevels,$G74)=0),", a career level that is not on the ladder","")&amp;IF(AND($N74="Reduce",N($O74)&lt;=0),", how many seats Reduce means","")&amp;IF(AND(N($O74)&gt;0,$N74&lt;&gt;"Reduce"),", a number of seats on a row not marked Reduce","")&amp;IF(N($O74)&gt;N($J74),", more seats given up than the row has",""),3,200))</f>
        <v>career level, nationality mandate, capacity direction</v>
      </c>
    </row>
    <row r="75" customFormat="false" ht="15" hidden="false" customHeight="false" outlineLevel="0" collapsed="false">
      <c r="A75" s="21" t="s">
        <v>429</v>
      </c>
      <c r="B75" s="21" t="s">
        <v>63</v>
      </c>
      <c r="C75" s="21" t="s">
        <v>128</v>
      </c>
      <c r="D75" s="21" t="s">
        <v>144</v>
      </c>
      <c r="E75" s="21"/>
      <c r="F75" s="21" t="s">
        <v>442</v>
      </c>
      <c r="G75" s="21"/>
      <c r="H75" s="21" t="s">
        <v>394</v>
      </c>
      <c r="I75" s="21"/>
      <c r="J75" s="22" t="n">
        <v>1</v>
      </c>
      <c r="K75" s="22" t="n">
        <v>1</v>
      </c>
      <c r="L75" s="22" t="n">
        <v>0</v>
      </c>
      <c r="M75" s="21" t="s">
        <v>389</v>
      </c>
      <c r="N75" s="21"/>
      <c r="O75" s="22"/>
      <c r="P75" s="20" t="n">
        <f aca="false">IF($N75="Reduce",N($O75),0)</f>
        <v>0</v>
      </c>
      <c r="Q75" s="23" t="str">
        <f aca="false">IF($F75="","",MID(IF($G75="",", career level","")&amp;IF($I75="",", nationality mandate","")&amp;IF($N75="",", capacity direction","")&amp;IF(N($J75)&lt;=0,", approved HC","")&amp;IF(AND($G75&lt;&gt;"",COUNTIF(CareerLevels,$G75)=0),", a career level that is not on the ladder","")&amp;IF(AND($N75="Reduce",N($O75)&lt;=0),", how many seats Reduce means","")&amp;IF(AND(N($O75)&gt;0,$N75&lt;&gt;"Reduce"),", a number of seats on a row not marked Reduce","")&amp;IF(N($O75)&gt;N($J75),", more seats given up than the row has",""),3,200))</f>
        <v>career level, nationality mandate, capacity direction</v>
      </c>
    </row>
    <row r="76" customFormat="false" ht="15" hidden="false" customHeight="false" outlineLevel="0" collapsed="false">
      <c r="A76" s="21"/>
      <c r="B76" s="21" t="s">
        <v>63</v>
      </c>
      <c r="C76" s="21" t="s">
        <v>128</v>
      </c>
      <c r="D76" s="21" t="s">
        <v>144</v>
      </c>
      <c r="E76" s="21" t="s">
        <v>146</v>
      </c>
      <c r="F76" s="21" t="s">
        <v>443</v>
      </c>
      <c r="G76" s="21"/>
      <c r="H76" s="21" t="s">
        <v>396</v>
      </c>
      <c r="I76" s="21"/>
      <c r="J76" s="22" t="n">
        <v>3</v>
      </c>
      <c r="K76" s="22" t="n">
        <v>3</v>
      </c>
      <c r="L76" s="22" t="n">
        <v>0</v>
      </c>
      <c r="M76" s="21" t="s">
        <v>385</v>
      </c>
      <c r="N76" s="21"/>
      <c r="O76" s="22"/>
      <c r="P76" s="20" t="n">
        <f aca="false">IF($N76="Reduce",N($O76),0)</f>
        <v>0</v>
      </c>
      <c r="Q76" s="23" t="str">
        <f aca="false">IF($F76="","",MID(IF($G76="",", career level","")&amp;IF($I76="",", nationality mandate","")&amp;IF($N76="",", capacity direction","")&amp;IF(N($J76)&lt;=0,", approved HC","")&amp;IF(AND($G76&lt;&gt;"",COUNTIF(CareerLevels,$G76)=0),", a career level that is not on the ladder","")&amp;IF(AND($N76="Reduce",N($O76)&lt;=0),", how many seats Reduce means","")&amp;IF(AND(N($O76)&gt;0,$N76&lt;&gt;"Reduce"),", a number of seats on a row not marked Reduce","")&amp;IF(N($O76)&gt;N($J76),", more seats given up than the row has",""),3,200))</f>
        <v>career level, nationality mandate, capacity direction</v>
      </c>
    </row>
    <row r="77" customFormat="false" ht="15" hidden="false" customHeight="false" outlineLevel="0" collapsed="false">
      <c r="A77" s="21" t="s">
        <v>412</v>
      </c>
      <c r="B77" s="21" t="s">
        <v>63</v>
      </c>
      <c r="C77" s="21" t="s">
        <v>128</v>
      </c>
      <c r="D77" s="21" t="s">
        <v>144</v>
      </c>
      <c r="E77" s="21" t="s">
        <v>146</v>
      </c>
      <c r="F77" s="21" t="s">
        <v>444</v>
      </c>
      <c r="G77" s="21"/>
      <c r="H77" s="21" t="s">
        <v>396</v>
      </c>
      <c r="I77" s="21"/>
      <c r="J77" s="22" t="n">
        <v>1</v>
      </c>
      <c r="K77" s="22" t="n">
        <v>1</v>
      </c>
      <c r="L77" s="22" t="n">
        <v>0</v>
      </c>
      <c r="M77" s="21" t="s">
        <v>385</v>
      </c>
      <c r="N77" s="21"/>
      <c r="O77" s="22"/>
      <c r="P77" s="20" t="n">
        <f aca="false">IF($N77="Reduce",N($O77),0)</f>
        <v>0</v>
      </c>
      <c r="Q77" s="23" t="str">
        <f aca="false">IF($F77="","",MID(IF($G77="",", career level","")&amp;IF($I77="",", nationality mandate","")&amp;IF($N77="",", capacity direction","")&amp;IF(N($J77)&lt;=0,", approved HC","")&amp;IF(AND($G77&lt;&gt;"",COUNTIF(CareerLevels,$G77)=0),", a career level that is not on the ladder","")&amp;IF(AND($N77="Reduce",N($O77)&lt;=0),", how many seats Reduce means","")&amp;IF(AND(N($O77)&gt;0,$N77&lt;&gt;"Reduce"),", a number of seats on a row not marked Reduce","")&amp;IF(N($O77)&gt;N($J77),", more seats given up than the row has",""),3,200))</f>
        <v>career level, nationality mandate, capacity direction</v>
      </c>
    </row>
    <row r="78" customFormat="false" ht="15" hidden="false" customHeight="false" outlineLevel="0" collapsed="false">
      <c r="A78" s="21" t="s">
        <v>451</v>
      </c>
      <c r="B78" s="21" t="s">
        <v>63</v>
      </c>
      <c r="C78" s="21" t="s">
        <v>128</v>
      </c>
      <c r="D78" s="21" t="s">
        <v>144</v>
      </c>
      <c r="E78" s="21" t="s">
        <v>146</v>
      </c>
      <c r="F78" s="21" t="s">
        <v>450</v>
      </c>
      <c r="G78" s="21"/>
      <c r="H78" s="21" t="s">
        <v>396</v>
      </c>
      <c r="I78" s="21"/>
      <c r="J78" s="22" t="n">
        <v>1</v>
      </c>
      <c r="K78" s="22" t="n">
        <v>1</v>
      </c>
      <c r="L78" s="22" t="n">
        <v>0</v>
      </c>
      <c r="M78" s="21" t="s">
        <v>385</v>
      </c>
      <c r="N78" s="21"/>
      <c r="O78" s="22"/>
      <c r="P78" s="20" t="n">
        <f aca="false">IF($N78="Reduce",N($O78),0)</f>
        <v>0</v>
      </c>
      <c r="Q78" s="23" t="str">
        <f aca="false">IF($F78="","",MID(IF($G78="",", career level","")&amp;IF($I78="",", nationality mandate","")&amp;IF($N78="",", capacity direction","")&amp;IF(N($J78)&lt;=0,", approved HC","")&amp;IF(AND($G78&lt;&gt;"",COUNTIF(CareerLevels,$G78)=0),", a career level that is not on the ladder","")&amp;IF(AND($N78="Reduce",N($O78)&lt;=0),", how many seats Reduce means","")&amp;IF(AND(N($O78)&gt;0,$N78&lt;&gt;"Reduce"),", a number of seats on a row not marked Reduce","")&amp;IF(N($O78)&gt;N($J78),", more seats given up than the row has",""),3,200))</f>
        <v>career level, nationality mandate, capacity direction</v>
      </c>
    </row>
    <row r="79" customFormat="false" ht="15" hidden="false" customHeight="false" outlineLevel="0" collapsed="false">
      <c r="A79" s="21"/>
      <c r="B79" s="21" t="s">
        <v>63</v>
      </c>
      <c r="C79" s="21" t="s">
        <v>128</v>
      </c>
      <c r="D79" s="21" t="s">
        <v>144</v>
      </c>
      <c r="E79" s="21" t="s">
        <v>146</v>
      </c>
      <c r="F79" s="21" t="s">
        <v>450</v>
      </c>
      <c r="G79" s="21"/>
      <c r="H79" s="21" t="s">
        <v>396</v>
      </c>
      <c r="I79" s="21"/>
      <c r="J79" s="22" t="n">
        <v>2</v>
      </c>
      <c r="K79" s="22" t="n">
        <v>1</v>
      </c>
      <c r="L79" s="22" t="n">
        <v>1</v>
      </c>
      <c r="M79" s="21" t="s">
        <v>389</v>
      </c>
      <c r="N79" s="21"/>
      <c r="O79" s="22"/>
      <c r="P79" s="20" t="n">
        <f aca="false">IF($N79="Reduce",N($O79),0)</f>
        <v>0</v>
      </c>
      <c r="Q79" s="23" t="str">
        <f aca="false">IF($F79="","",MID(IF($G79="",", career level","")&amp;IF($I79="",", nationality mandate","")&amp;IF($N79="",", capacity direction","")&amp;IF(N($J79)&lt;=0,", approved HC","")&amp;IF(AND($G79&lt;&gt;"",COUNTIF(CareerLevels,$G79)=0),", a career level that is not on the ladder","")&amp;IF(AND($N79="Reduce",N($O79)&lt;=0),", how many seats Reduce means","")&amp;IF(AND(N($O79)&gt;0,$N79&lt;&gt;"Reduce"),", a number of seats on a row not marked Reduce","")&amp;IF(N($O79)&gt;N($J79),", more seats given up than the row has",""),3,200))</f>
        <v>career level, nationality mandate, capacity direction</v>
      </c>
    </row>
    <row r="80" customFormat="false" ht="15" hidden="false" customHeight="false" outlineLevel="0" collapsed="false">
      <c r="A80" s="21" t="s">
        <v>407</v>
      </c>
      <c r="B80" s="21" t="s">
        <v>63</v>
      </c>
      <c r="C80" s="21" t="s">
        <v>128</v>
      </c>
      <c r="D80" s="21" t="s">
        <v>144</v>
      </c>
      <c r="E80" s="21" t="s">
        <v>146</v>
      </c>
      <c r="F80" s="21" t="s">
        <v>452</v>
      </c>
      <c r="G80" s="21"/>
      <c r="H80" s="21" t="s">
        <v>396</v>
      </c>
      <c r="I80" s="21"/>
      <c r="J80" s="22" t="n">
        <v>1</v>
      </c>
      <c r="K80" s="22" t="n">
        <v>0</v>
      </c>
      <c r="L80" s="22" t="n">
        <v>1</v>
      </c>
      <c r="M80" s="21" t="s">
        <v>389</v>
      </c>
      <c r="N80" s="21"/>
      <c r="O80" s="22"/>
      <c r="P80" s="20" t="n">
        <f aca="false">IF($N80="Reduce",N($O80),0)</f>
        <v>0</v>
      </c>
      <c r="Q80" s="23" t="str">
        <f aca="false">IF($F80="","",MID(IF($G80="",", career level","")&amp;IF($I80="",", nationality mandate","")&amp;IF($N80="",", capacity direction","")&amp;IF(N($J80)&lt;=0,", approved HC","")&amp;IF(AND($G80&lt;&gt;"",COUNTIF(CareerLevels,$G80)=0),", a career level that is not on the ladder","")&amp;IF(AND($N80="Reduce",N($O80)&lt;=0),", how many seats Reduce means","")&amp;IF(AND(N($O80)&gt;0,$N80&lt;&gt;"Reduce"),", a number of seats on a row not marked Reduce","")&amp;IF(N($O80)&gt;N($J80),", more seats given up than the row has",""),3,200))</f>
        <v>career level, nationality mandate, capacity direction</v>
      </c>
    </row>
    <row r="81" customFormat="false" ht="15" hidden="false" customHeight="false" outlineLevel="0" collapsed="false">
      <c r="A81" s="21" t="s">
        <v>403</v>
      </c>
      <c r="B81" s="21" t="s">
        <v>63</v>
      </c>
      <c r="C81" s="21" t="s">
        <v>128</v>
      </c>
      <c r="D81" s="21" t="s">
        <v>144</v>
      </c>
      <c r="E81" s="21" t="s">
        <v>146</v>
      </c>
      <c r="F81" s="21" t="s">
        <v>447</v>
      </c>
      <c r="G81" s="21"/>
      <c r="H81" s="21" t="s">
        <v>396</v>
      </c>
      <c r="I81" s="21"/>
      <c r="J81" s="22" t="n">
        <v>1</v>
      </c>
      <c r="K81" s="22" t="n">
        <v>1</v>
      </c>
      <c r="L81" s="22" t="n">
        <v>0</v>
      </c>
      <c r="M81" s="21" t="s">
        <v>385</v>
      </c>
      <c r="N81" s="21"/>
      <c r="O81" s="22"/>
      <c r="P81" s="20" t="n">
        <f aca="false">IF($N81="Reduce",N($O81),0)</f>
        <v>0</v>
      </c>
      <c r="Q81" s="23" t="str">
        <f aca="false">IF($F81="","",MID(IF($G81="",", career level","")&amp;IF($I81="",", nationality mandate","")&amp;IF($N81="",", capacity direction","")&amp;IF(N($J81)&lt;=0,", approved HC","")&amp;IF(AND($G81&lt;&gt;"",COUNTIF(CareerLevels,$G81)=0),", a career level that is not on the ladder","")&amp;IF(AND($N81="Reduce",N($O81)&lt;=0),", how many seats Reduce means","")&amp;IF(AND(N($O81)&gt;0,$N81&lt;&gt;"Reduce"),", a number of seats on a row not marked Reduce","")&amp;IF(N($O81)&gt;N($J81),", more seats given up than the row has",""),3,200))</f>
        <v>career level, nationality mandate, capacity direction</v>
      </c>
    </row>
    <row r="82" customFormat="false" ht="15" hidden="false" customHeight="false" outlineLevel="0" collapsed="false">
      <c r="A82" s="21" t="s">
        <v>453</v>
      </c>
      <c r="B82" s="21" t="s">
        <v>63</v>
      </c>
      <c r="C82" s="21" t="s">
        <v>128</v>
      </c>
      <c r="D82" s="21" t="s">
        <v>144</v>
      </c>
      <c r="E82" s="21" t="s">
        <v>146</v>
      </c>
      <c r="F82" s="21" t="s">
        <v>448</v>
      </c>
      <c r="G82" s="21"/>
      <c r="H82" s="21" t="s">
        <v>394</v>
      </c>
      <c r="I82" s="21"/>
      <c r="J82" s="22" t="n">
        <v>1</v>
      </c>
      <c r="K82" s="22" t="n">
        <v>1</v>
      </c>
      <c r="L82" s="22" t="n">
        <v>0</v>
      </c>
      <c r="M82" s="21" t="s">
        <v>385</v>
      </c>
      <c r="N82" s="21"/>
      <c r="O82" s="22"/>
      <c r="P82" s="20" t="n">
        <f aca="false">IF($N82="Reduce",N($O82),0)</f>
        <v>0</v>
      </c>
      <c r="Q82" s="23" t="str">
        <f aca="false">IF($F82="","",MID(IF($G82="",", career level","")&amp;IF($I82="",", nationality mandate","")&amp;IF($N82="",", capacity direction","")&amp;IF(N($J82)&lt;=0,", approved HC","")&amp;IF(AND($G82&lt;&gt;"",COUNTIF(CareerLevels,$G82)=0),", a career level that is not on the ladder","")&amp;IF(AND($N82="Reduce",N($O82)&lt;=0),", how many seats Reduce means","")&amp;IF(AND(N($O82)&gt;0,$N82&lt;&gt;"Reduce"),", a number of seats on a row not marked Reduce","")&amp;IF(N($O82)&gt;N($J82),", more seats given up than the row has",""),3,200))</f>
        <v>career level, nationality mandate, capacity direction</v>
      </c>
    </row>
    <row r="83" customFormat="false" ht="15" hidden="false" customHeight="false" outlineLevel="0" collapsed="false">
      <c r="A83" s="21" t="s">
        <v>431</v>
      </c>
      <c r="B83" s="21" t="s">
        <v>63</v>
      </c>
      <c r="C83" s="21" t="s">
        <v>128</v>
      </c>
      <c r="D83" s="21" t="s">
        <v>144</v>
      </c>
      <c r="E83" s="21" t="s">
        <v>152</v>
      </c>
      <c r="F83" s="21" t="s">
        <v>443</v>
      </c>
      <c r="G83" s="21"/>
      <c r="H83" s="21" t="s">
        <v>396</v>
      </c>
      <c r="I83" s="21"/>
      <c r="J83" s="22" t="n">
        <v>1</v>
      </c>
      <c r="K83" s="22" t="n">
        <v>1</v>
      </c>
      <c r="L83" s="22" t="n">
        <v>0</v>
      </c>
      <c r="M83" s="21" t="s">
        <v>385</v>
      </c>
      <c r="N83" s="21"/>
      <c r="O83" s="22"/>
      <c r="P83" s="20" t="n">
        <f aca="false">IF($N83="Reduce",N($O83),0)</f>
        <v>0</v>
      </c>
      <c r="Q83" s="23" t="str">
        <f aca="false">IF($F83="","",MID(IF($G83="",", career level","")&amp;IF($I83="",", nationality mandate","")&amp;IF($N83="",", capacity direction","")&amp;IF(N($J83)&lt;=0,", approved HC","")&amp;IF(AND($G83&lt;&gt;"",COUNTIF(CareerLevels,$G83)=0),", a career level that is not on the ladder","")&amp;IF(AND($N83="Reduce",N($O83)&lt;=0),", how many seats Reduce means","")&amp;IF(AND(N($O83)&gt;0,$N83&lt;&gt;"Reduce"),", a number of seats on a row not marked Reduce","")&amp;IF(N($O83)&gt;N($J83),", more seats given up than the row has",""),3,200))</f>
        <v>career level, nationality mandate, capacity direction</v>
      </c>
    </row>
    <row r="84" customFormat="false" ht="15" hidden="false" customHeight="false" outlineLevel="0" collapsed="false">
      <c r="A84" s="21" t="s">
        <v>397</v>
      </c>
      <c r="B84" s="21" t="s">
        <v>63</v>
      </c>
      <c r="C84" s="21" t="s">
        <v>128</v>
      </c>
      <c r="D84" s="21" t="s">
        <v>144</v>
      </c>
      <c r="E84" s="21" t="s">
        <v>152</v>
      </c>
      <c r="F84" s="21" t="s">
        <v>444</v>
      </c>
      <c r="G84" s="21"/>
      <c r="H84" s="21" t="s">
        <v>396</v>
      </c>
      <c r="I84" s="21"/>
      <c r="J84" s="22" t="n">
        <v>1</v>
      </c>
      <c r="K84" s="22" t="n">
        <v>1</v>
      </c>
      <c r="L84" s="22" t="n">
        <v>0</v>
      </c>
      <c r="M84" s="21" t="s">
        <v>385</v>
      </c>
      <c r="N84" s="21"/>
      <c r="O84" s="22"/>
      <c r="P84" s="20" t="n">
        <f aca="false">IF($N84="Reduce",N($O84),0)</f>
        <v>0</v>
      </c>
      <c r="Q84" s="23" t="str">
        <f aca="false">IF($F84="","",MID(IF($G84="",", career level","")&amp;IF($I84="",", nationality mandate","")&amp;IF($N84="",", capacity direction","")&amp;IF(N($J84)&lt;=0,", approved HC","")&amp;IF(AND($G84&lt;&gt;"",COUNTIF(CareerLevels,$G84)=0),", a career level that is not on the ladder","")&amp;IF(AND($N84="Reduce",N($O84)&lt;=0),", how many seats Reduce means","")&amp;IF(AND(N($O84)&gt;0,$N84&lt;&gt;"Reduce"),", a number of seats on a row not marked Reduce","")&amp;IF(N($O84)&gt;N($J84),", more seats given up than the row has",""),3,200))</f>
        <v>career level, nationality mandate, capacity direction</v>
      </c>
    </row>
    <row r="85" customFormat="false" ht="15" hidden="false" customHeight="false" outlineLevel="0" collapsed="false">
      <c r="A85" s="21" t="s">
        <v>454</v>
      </c>
      <c r="B85" s="21" t="s">
        <v>63</v>
      </c>
      <c r="C85" s="21" t="s">
        <v>128</v>
      </c>
      <c r="D85" s="21" t="s">
        <v>144</v>
      </c>
      <c r="E85" s="21" t="s">
        <v>152</v>
      </c>
      <c r="F85" s="21" t="s">
        <v>450</v>
      </c>
      <c r="G85" s="21"/>
      <c r="H85" s="21" t="s">
        <v>396</v>
      </c>
      <c r="I85" s="21"/>
      <c r="J85" s="22" t="n">
        <v>1</v>
      </c>
      <c r="K85" s="22" t="n">
        <v>1</v>
      </c>
      <c r="L85" s="22" t="n">
        <v>0</v>
      </c>
      <c r="M85" s="21" t="s">
        <v>389</v>
      </c>
      <c r="N85" s="21"/>
      <c r="O85" s="22"/>
      <c r="P85" s="20" t="n">
        <f aca="false">IF($N85="Reduce",N($O85),0)</f>
        <v>0</v>
      </c>
      <c r="Q85" s="23" t="str">
        <f aca="false">IF($F85="","",MID(IF($G85="",", career level","")&amp;IF($I85="",", nationality mandate","")&amp;IF($N85="",", capacity direction","")&amp;IF(N($J85)&lt;=0,", approved HC","")&amp;IF(AND($G85&lt;&gt;"",COUNTIF(CareerLevels,$G85)=0),", a career level that is not on the ladder","")&amp;IF(AND($N85="Reduce",N($O85)&lt;=0),", how many seats Reduce means","")&amp;IF(AND(N($O85)&gt;0,$N85&lt;&gt;"Reduce"),", a number of seats on a row not marked Reduce","")&amp;IF(N($O85)&gt;N($J85),", more seats given up than the row has",""),3,200))</f>
        <v>career level, nationality mandate, capacity direction</v>
      </c>
    </row>
    <row r="86" customFormat="false" ht="15" hidden="false" customHeight="false" outlineLevel="0" collapsed="false">
      <c r="A86" s="21" t="s">
        <v>407</v>
      </c>
      <c r="B86" s="21" t="s">
        <v>63</v>
      </c>
      <c r="C86" s="21" t="s">
        <v>128</v>
      </c>
      <c r="D86" s="21" t="s">
        <v>144</v>
      </c>
      <c r="E86" s="21" t="s">
        <v>152</v>
      </c>
      <c r="F86" s="21" t="s">
        <v>452</v>
      </c>
      <c r="G86" s="21"/>
      <c r="H86" s="21" t="s">
        <v>396</v>
      </c>
      <c r="I86" s="21"/>
      <c r="J86" s="22" t="n">
        <v>1</v>
      </c>
      <c r="K86" s="22" t="n">
        <v>1</v>
      </c>
      <c r="L86" s="22" t="n">
        <v>0</v>
      </c>
      <c r="M86" s="21" t="s">
        <v>385</v>
      </c>
      <c r="N86" s="21"/>
      <c r="O86" s="22"/>
      <c r="P86" s="20" t="n">
        <f aca="false">IF($N86="Reduce",N($O86),0)</f>
        <v>0</v>
      </c>
      <c r="Q86" s="23" t="str">
        <f aca="false">IF($F86="","",MID(IF($G86="",", career level","")&amp;IF($I86="",", nationality mandate","")&amp;IF($N86="",", capacity direction","")&amp;IF(N($J86)&lt;=0,", approved HC","")&amp;IF(AND($G86&lt;&gt;"",COUNTIF(CareerLevels,$G86)=0),", a career level that is not on the ladder","")&amp;IF(AND($N86="Reduce",N($O86)&lt;=0),", how many seats Reduce means","")&amp;IF(AND(N($O86)&gt;0,$N86&lt;&gt;"Reduce"),", a number of seats on a row not marked Reduce","")&amp;IF(N($O86)&gt;N($J86),", more seats given up than the row has",""),3,200))</f>
        <v>career level, nationality mandate, capacity direction</v>
      </c>
    </row>
    <row r="87" customFormat="false" ht="15" hidden="false" customHeight="false" outlineLevel="0" collapsed="false">
      <c r="A87" s="21" t="s">
        <v>428</v>
      </c>
      <c r="B87" s="21" t="s">
        <v>63</v>
      </c>
      <c r="C87" s="21" t="s">
        <v>128</v>
      </c>
      <c r="D87" s="21" t="s">
        <v>144</v>
      </c>
      <c r="E87" s="21" t="s">
        <v>152</v>
      </c>
      <c r="F87" s="21" t="s">
        <v>447</v>
      </c>
      <c r="G87" s="21"/>
      <c r="H87" s="21" t="s">
        <v>396</v>
      </c>
      <c r="I87" s="21"/>
      <c r="J87" s="22" t="n">
        <v>1</v>
      </c>
      <c r="K87" s="22" t="n">
        <v>1</v>
      </c>
      <c r="L87" s="22" t="n">
        <v>0</v>
      </c>
      <c r="M87" s="21" t="s">
        <v>385</v>
      </c>
      <c r="N87" s="21"/>
      <c r="O87" s="22"/>
      <c r="P87" s="20" t="n">
        <f aca="false">IF($N87="Reduce",N($O87),0)</f>
        <v>0</v>
      </c>
      <c r="Q87" s="23" t="str">
        <f aca="false">IF($F87="","",MID(IF($G87="",", career level","")&amp;IF($I87="",", nationality mandate","")&amp;IF($N87="",", capacity direction","")&amp;IF(N($J87)&lt;=0,", approved HC","")&amp;IF(AND($G87&lt;&gt;"",COUNTIF(CareerLevels,$G87)=0),", a career level that is not on the ladder","")&amp;IF(AND($N87="Reduce",N($O87)&lt;=0),", how many seats Reduce means","")&amp;IF(AND(N($O87)&gt;0,$N87&lt;&gt;"Reduce"),", a number of seats on a row not marked Reduce","")&amp;IF(N($O87)&gt;N($J87),", more seats given up than the row has",""),3,200))</f>
        <v>career level, nationality mandate, capacity direction</v>
      </c>
    </row>
    <row r="88" customFormat="false" ht="15" hidden="false" customHeight="false" outlineLevel="0" collapsed="false">
      <c r="A88" s="21" t="s">
        <v>455</v>
      </c>
      <c r="B88" s="21" t="s">
        <v>63</v>
      </c>
      <c r="C88" s="21" t="s">
        <v>128</v>
      </c>
      <c r="D88" s="21" t="s">
        <v>144</v>
      </c>
      <c r="E88" s="21" t="s">
        <v>152</v>
      </c>
      <c r="F88" s="21" t="s">
        <v>448</v>
      </c>
      <c r="G88" s="21"/>
      <c r="H88" s="21" t="s">
        <v>394</v>
      </c>
      <c r="I88" s="21"/>
      <c r="J88" s="22" t="n">
        <v>1</v>
      </c>
      <c r="K88" s="22" t="n">
        <v>1</v>
      </c>
      <c r="L88" s="22" t="n">
        <v>0</v>
      </c>
      <c r="M88" s="21" t="s">
        <v>385</v>
      </c>
      <c r="N88" s="21"/>
      <c r="O88" s="22"/>
      <c r="P88" s="20" t="n">
        <f aca="false">IF($N88="Reduce",N($O88),0)</f>
        <v>0</v>
      </c>
      <c r="Q88" s="23" t="str">
        <f aca="false">IF($F88="","",MID(IF($G88="",", career level","")&amp;IF($I88="",", nationality mandate","")&amp;IF($N88="",", capacity direction","")&amp;IF(N($J88)&lt;=0,", approved HC","")&amp;IF(AND($G88&lt;&gt;"",COUNTIF(CareerLevels,$G88)=0),", a career level that is not on the ladder","")&amp;IF(AND($N88="Reduce",N($O88)&lt;=0),", how many seats Reduce means","")&amp;IF(AND(N($O88)&gt;0,$N88&lt;&gt;"Reduce"),", a number of seats on a row not marked Reduce","")&amp;IF(N($O88)&gt;N($J88),", more seats given up than the row has",""),3,200))</f>
        <v>career level, nationality mandate, capacity direction</v>
      </c>
    </row>
    <row r="89" customFormat="false" ht="15" hidden="false" customHeight="false" outlineLevel="0" collapsed="false">
      <c r="A89" s="21" t="s">
        <v>407</v>
      </c>
      <c r="B89" s="21" t="s">
        <v>158</v>
      </c>
      <c r="C89" s="21"/>
      <c r="D89" s="21"/>
      <c r="E89" s="21"/>
      <c r="F89" s="21" t="s">
        <v>456</v>
      </c>
      <c r="G89" s="21"/>
      <c r="H89" s="21" t="s">
        <v>388</v>
      </c>
      <c r="I89" s="21"/>
      <c r="J89" s="22" t="n">
        <v>1</v>
      </c>
      <c r="K89" s="22" t="n">
        <v>1</v>
      </c>
      <c r="L89" s="22" t="n">
        <v>0</v>
      </c>
      <c r="M89" s="21" t="s">
        <v>389</v>
      </c>
      <c r="N89" s="21"/>
      <c r="O89" s="22"/>
      <c r="P89" s="20" t="n">
        <f aca="false">IF($N89="Reduce",N($O89),0)</f>
        <v>0</v>
      </c>
      <c r="Q89" s="23" t="str">
        <f aca="false">IF($F89="","",MID(IF($G89="",", career level","")&amp;IF($I89="",", nationality mandate","")&amp;IF($N89="",", capacity direction","")&amp;IF(N($J89)&lt;=0,", approved HC","")&amp;IF(AND($G89&lt;&gt;"",COUNTIF(CareerLevels,$G89)=0),", a career level that is not on the ladder","")&amp;IF(AND($N89="Reduce",N($O89)&lt;=0),", how many seats Reduce means","")&amp;IF(AND(N($O89)&gt;0,$N89&lt;&gt;"Reduce"),", a number of seats on a row not marked Reduce","")&amp;IF(N($O89)&gt;N($J89),", more seats given up than the row has",""),3,200))</f>
        <v>career level, nationality mandate, capacity direction</v>
      </c>
    </row>
    <row r="90" customFormat="false" ht="15" hidden="false" customHeight="false" outlineLevel="0" collapsed="false">
      <c r="A90" s="21" t="s">
        <v>409</v>
      </c>
      <c r="B90" s="21" t="s">
        <v>158</v>
      </c>
      <c r="C90" s="21" t="s">
        <v>160</v>
      </c>
      <c r="D90" s="21"/>
      <c r="E90" s="21"/>
      <c r="F90" s="21" t="s">
        <v>457</v>
      </c>
      <c r="G90" s="21"/>
      <c r="H90" s="21" t="s">
        <v>388</v>
      </c>
      <c r="I90" s="21"/>
      <c r="J90" s="22" t="n">
        <v>1</v>
      </c>
      <c r="K90" s="22" t="n">
        <v>1</v>
      </c>
      <c r="L90" s="22" t="n">
        <v>0</v>
      </c>
      <c r="M90" s="21" t="s">
        <v>385</v>
      </c>
      <c r="N90" s="21"/>
      <c r="O90" s="22"/>
      <c r="P90" s="20" t="n">
        <f aca="false">IF($N90="Reduce",N($O90),0)</f>
        <v>0</v>
      </c>
      <c r="Q90" s="23" t="str">
        <f aca="false">IF($F90="","",MID(IF($G90="",", career level","")&amp;IF($I90="",", nationality mandate","")&amp;IF($N90="",", capacity direction","")&amp;IF(N($J90)&lt;=0,", approved HC","")&amp;IF(AND($G90&lt;&gt;"",COUNTIF(CareerLevels,$G90)=0),", a career level that is not on the ladder","")&amp;IF(AND($N90="Reduce",N($O90)&lt;=0),", how many seats Reduce means","")&amp;IF(AND(N($O90)&gt;0,$N90&lt;&gt;"Reduce"),", a number of seats on a row not marked Reduce","")&amp;IF(N($O90)&gt;N($J90),", more seats given up than the row has",""),3,200))</f>
        <v>career level, nationality mandate, capacity direction</v>
      </c>
    </row>
    <row r="91" customFormat="false" ht="15" hidden="false" customHeight="false" outlineLevel="0" collapsed="false">
      <c r="A91" s="21" t="s">
        <v>386</v>
      </c>
      <c r="B91" s="21" t="s">
        <v>158</v>
      </c>
      <c r="C91" s="21" t="s">
        <v>160</v>
      </c>
      <c r="D91" s="21" t="s">
        <v>162</v>
      </c>
      <c r="E91" s="21"/>
      <c r="F91" s="21" t="s">
        <v>458</v>
      </c>
      <c r="G91" s="21"/>
      <c r="H91" s="21" t="s">
        <v>394</v>
      </c>
      <c r="I91" s="21"/>
      <c r="J91" s="22" t="n">
        <v>1</v>
      </c>
      <c r="K91" s="22" t="n">
        <v>1</v>
      </c>
      <c r="L91" s="22" t="n">
        <v>0</v>
      </c>
      <c r="M91" s="21" t="s">
        <v>385</v>
      </c>
      <c r="N91" s="21"/>
      <c r="O91" s="22"/>
      <c r="P91" s="20" t="n">
        <f aca="false">IF($N91="Reduce",N($O91),0)</f>
        <v>0</v>
      </c>
      <c r="Q91" s="23" t="str">
        <f aca="false">IF($F91="","",MID(IF($G91="",", career level","")&amp;IF($I91="",", nationality mandate","")&amp;IF($N91="",", capacity direction","")&amp;IF(N($J91)&lt;=0,", approved HC","")&amp;IF(AND($G91&lt;&gt;"",COUNTIF(CareerLevels,$G91)=0),", a career level that is not on the ladder","")&amp;IF(AND($N91="Reduce",N($O91)&lt;=0),", how many seats Reduce means","")&amp;IF(AND(N($O91)&gt;0,$N91&lt;&gt;"Reduce"),", a number of seats on a row not marked Reduce","")&amp;IF(N($O91)&gt;N($J91),", more seats given up than the row has",""),3,200))</f>
        <v>career level, nationality mandate, capacity direction</v>
      </c>
    </row>
    <row r="92" customFormat="false" ht="15" hidden="false" customHeight="false" outlineLevel="0" collapsed="false">
      <c r="A92" s="21" t="s">
        <v>459</v>
      </c>
      <c r="B92" s="21" t="s">
        <v>158</v>
      </c>
      <c r="C92" s="21" t="s">
        <v>160</v>
      </c>
      <c r="D92" s="21" t="s">
        <v>162</v>
      </c>
      <c r="E92" s="21" t="s">
        <v>164</v>
      </c>
      <c r="F92" s="21" t="s">
        <v>460</v>
      </c>
      <c r="G92" s="21"/>
      <c r="H92" s="21" t="s">
        <v>396</v>
      </c>
      <c r="I92" s="21"/>
      <c r="J92" s="22" t="n">
        <v>1</v>
      </c>
      <c r="K92" s="22" t="n">
        <v>1</v>
      </c>
      <c r="L92" s="22" t="n">
        <v>0</v>
      </c>
      <c r="M92" s="21" t="s">
        <v>385</v>
      </c>
      <c r="N92" s="21"/>
      <c r="O92" s="22"/>
      <c r="P92" s="20" t="n">
        <f aca="false">IF($N92="Reduce",N($O92),0)</f>
        <v>0</v>
      </c>
      <c r="Q92" s="23" t="str">
        <f aca="false">IF($F92="","",MID(IF($G92="",", career level","")&amp;IF($I92="",", nationality mandate","")&amp;IF($N92="",", capacity direction","")&amp;IF(N($J92)&lt;=0,", approved HC","")&amp;IF(AND($G92&lt;&gt;"",COUNTIF(CareerLevels,$G92)=0),", a career level that is not on the ladder","")&amp;IF(AND($N92="Reduce",N($O92)&lt;=0),", how many seats Reduce means","")&amp;IF(AND(N($O92)&gt;0,$N92&lt;&gt;"Reduce"),", a number of seats on a row not marked Reduce","")&amp;IF(N($O92)&gt;N($J92),", more seats given up than the row has",""),3,200))</f>
        <v>career level, nationality mandate, capacity direction</v>
      </c>
    </row>
    <row r="93" customFormat="false" ht="15" hidden="false" customHeight="false" outlineLevel="0" collapsed="false">
      <c r="A93" s="21"/>
      <c r="B93" s="21" t="s">
        <v>158</v>
      </c>
      <c r="C93" s="21" t="s">
        <v>160</v>
      </c>
      <c r="D93" s="21" t="s">
        <v>162</v>
      </c>
      <c r="E93" s="21" t="s">
        <v>164</v>
      </c>
      <c r="F93" s="21" t="s">
        <v>461</v>
      </c>
      <c r="G93" s="21"/>
      <c r="H93" s="21" t="s">
        <v>396</v>
      </c>
      <c r="I93" s="21"/>
      <c r="J93" s="22" t="n">
        <v>3</v>
      </c>
      <c r="K93" s="22" t="n">
        <v>2</v>
      </c>
      <c r="L93" s="22" t="n">
        <v>1</v>
      </c>
      <c r="M93" s="21" t="s">
        <v>385</v>
      </c>
      <c r="N93" s="21"/>
      <c r="O93" s="22"/>
      <c r="P93" s="20" t="n">
        <f aca="false">IF($N93="Reduce",N($O93),0)</f>
        <v>0</v>
      </c>
      <c r="Q93" s="23" t="str">
        <f aca="false">IF($F93="","",MID(IF($G93="",", career level","")&amp;IF($I93="",", nationality mandate","")&amp;IF($N93="",", capacity direction","")&amp;IF(N($J93)&lt;=0,", approved HC","")&amp;IF(AND($G93&lt;&gt;"",COUNTIF(CareerLevels,$G93)=0),", a career level that is not on the ladder","")&amp;IF(AND($N93="Reduce",N($O93)&lt;=0),", how many seats Reduce means","")&amp;IF(AND(N($O93)&gt;0,$N93&lt;&gt;"Reduce"),", a number of seats on a row not marked Reduce","")&amp;IF(N($O93)&gt;N($J93),", more seats given up than the row has",""),3,200))</f>
        <v>career level, nationality mandate, capacity direction</v>
      </c>
    </row>
    <row r="94" customFormat="false" ht="15" hidden="false" customHeight="false" outlineLevel="0" collapsed="false">
      <c r="A94" s="21"/>
      <c r="B94" s="21" t="s">
        <v>158</v>
      </c>
      <c r="C94" s="21" t="s">
        <v>160</v>
      </c>
      <c r="D94" s="21" t="s">
        <v>162</v>
      </c>
      <c r="E94" s="21" t="s">
        <v>164</v>
      </c>
      <c r="F94" s="21" t="s">
        <v>462</v>
      </c>
      <c r="G94" s="21"/>
      <c r="H94" s="21" t="s">
        <v>396</v>
      </c>
      <c r="I94" s="21"/>
      <c r="J94" s="22" t="n">
        <v>2</v>
      </c>
      <c r="K94" s="22" t="n">
        <v>2</v>
      </c>
      <c r="L94" s="22" t="n">
        <v>0</v>
      </c>
      <c r="M94" s="21" t="s">
        <v>385</v>
      </c>
      <c r="N94" s="21"/>
      <c r="O94" s="22"/>
      <c r="P94" s="20" t="n">
        <f aca="false">IF($N94="Reduce",N($O94),0)</f>
        <v>0</v>
      </c>
      <c r="Q94" s="23" t="str">
        <f aca="false">IF($F94="","",MID(IF($G94="",", career level","")&amp;IF($I94="",", nationality mandate","")&amp;IF($N94="",", capacity direction","")&amp;IF(N($J94)&lt;=0,", approved HC","")&amp;IF(AND($G94&lt;&gt;"",COUNTIF(CareerLevels,$G94)=0),", a career level that is not on the ladder","")&amp;IF(AND($N94="Reduce",N($O94)&lt;=0),", how many seats Reduce means","")&amp;IF(AND(N($O94)&gt;0,$N94&lt;&gt;"Reduce"),", a number of seats on a row not marked Reduce","")&amp;IF(N($O94)&gt;N($J94),", more seats given up than the row has",""),3,200))</f>
        <v>career level, nationality mandate, capacity direction</v>
      </c>
    </row>
    <row r="95" customFormat="false" ht="15" hidden="false" customHeight="false" outlineLevel="0" collapsed="false">
      <c r="A95" s="21" t="s">
        <v>463</v>
      </c>
      <c r="B95" s="21" t="s">
        <v>158</v>
      </c>
      <c r="C95" s="21" t="s">
        <v>160</v>
      </c>
      <c r="D95" s="21" t="s">
        <v>162</v>
      </c>
      <c r="E95" s="21" t="s">
        <v>164</v>
      </c>
      <c r="F95" s="21" t="s">
        <v>464</v>
      </c>
      <c r="G95" s="21"/>
      <c r="H95" s="21" t="s">
        <v>394</v>
      </c>
      <c r="I95" s="21"/>
      <c r="J95" s="22" t="n">
        <v>1</v>
      </c>
      <c r="K95" s="22" t="n">
        <v>1</v>
      </c>
      <c r="L95" s="22" t="n">
        <v>0</v>
      </c>
      <c r="M95" s="21" t="s">
        <v>385</v>
      </c>
      <c r="N95" s="21"/>
      <c r="O95" s="22"/>
      <c r="P95" s="20" t="n">
        <f aca="false">IF($N95="Reduce",N($O95),0)</f>
        <v>0</v>
      </c>
      <c r="Q95" s="23" t="str">
        <f aca="false">IF($F95="","",MID(IF($G95="",", career level","")&amp;IF($I95="",", nationality mandate","")&amp;IF($N95="",", capacity direction","")&amp;IF(N($J95)&lt;=0,", approved HC","")&amp;IF(AND($G95&lt;&gt;"",COUNTIF(CareerLevels,$G95)=0),", a career level that is not on the ladder","")&amp;IF(AND($N95="Reduce",N($O95)&lt;=0),", how many seats Reduce means","")&amp;IF(AND(N($O95)&gt;0,$N95&lt;&gt;"Reduce"),", a number of seats on a row not marked Reduce","")&amp;IF(N($O95)&gt;N($J95),", more seats given up than the row has",""),3,200))</f>
        <v>career level, nationality mandate, capacity direction</v>
      </c>
    </row>
    <row r="96" customFormat="false" ht="15" hidden="false" customHeight="false" outlineLevel="0" collapsed="false">
      <c r="A96" s="21" t="s">
        <v>420</v>
      </c>
      <c r="B96" s="21" t="s">
        <v>158</v>
      </c>
      <c r="C96" s="21" t="s">
        <v>160</v>
      </c>
      <c r="D96" s="21" t="s">
        <v>162</v>
      </c>
      <c r="E96" s="21" t="s">
        <v>170</v>
      </c>
      <c r="F96" s="21" t="s">
        <v>461</v>
      </c>
      <c r="G96" s="21"/>
      <c r="H96" s="21" t="s">
        <v>396</v>
      </c>
      <c r="I96" s="21"/>
      <c r="J96" s="22" t="n">
        <v>1</v>
      </c>
      <c r="K96" s="22" t="n">
        <v>1</v>
      </c>
      <c r="L96" s="22" t="n">
        <v>0</v>
      </c>
      <c r="M96" s="21" t="s">
        <v>385</v>
      </c>
      <c r="N96" s="21"/>
      <c r="O96" s="22"/>
      <c r="P96" s="20" t="n">
        <f aca="false">IF($N96="Reduce",N($O96),0)</f>
        <v>0</v>
      </c>
      <c r="Q96" s="23" t="str">
        <f aca="false">IF($F96="","",MID(IF($G96="",", career level","")&amp;IF($I96="",", nationality mandate","")&amp;IF($N96="",", capacity direction","")&amp;IF(N($J96)&lt;=0,", approved HC","")&amp;IF(AND($G96&lt;&gt;"",COUNTIF(CareerLevels,$G96)=0),", a career level that is not on the ladder","")&amp;IF(AND($N96="Reduce",N($O96)&lt;=0),", how many seats Reduce means","")&amp;IF(AND(N($O96)&gt;0,$N96&lt;&gt;"Reduce"),", a number of seats on a row not marked Reduce","")&amp;IF(N($O96)&gt;N($J96),", more seats given up than the row has",""),3,200))</f>
        <v>career level, nationality mandate, capacity direction</v>
      </c>
    </row>
    <row r="97" customFormat="false" ht="15" hidden="false" customHeight="false" outlineLevel="0" collapsed="false">
      <c r="A97" s="21" t="s">
        <v>431</v>
      </c>
      <c r="B97" s="21" t="s">
        <v>158</v>
      </c>
      <c r="C97" s="21" t="s">
        <v>160</v>
      </c>
      <c r="D97" s="21" t="s">
        <v>162</v>
      </c>
      <c r="E97" s="21" t="s">
        <v>170</v>
      </c>
      <c r="F97" s="21" t="s">
        <v>465</v>
      </c>
      <c r="G97" s="21"/>
      <c r="H97" s="21" t="s">
        <v>396</v>
      </c>
      <c r="I97" s="21"/>
      <c r="J97" s="22" t="n">
        <v>1</v>
      </c>
      <c r="K97" s="22" t="n">
        <v>1</v>
      </c>
      <c r="L97" s="22" t="n">
        <v>0</v>
      </c>
      <c r="M97" s="21" t="s">
        <v>385</v>
      </c>
      <c r="N97" s="21"/>
      <c r="O97" s="22"/>
      <c r="P97" s="20" t="n">
        <f aca="false">IF($N97="Reduce",N($O97),0)</f>
        <v>0</v>
      </c>
      <c r="Q97" s="23" t="str">
        <f aca="false">IF($F97="","",MID(IF($G97="",", career level","")&amp;IF($I97="",", nationality mandate","")&amp;IF($N97="",", capacity direction","")&amp;IF(N($J97)&lt;=0,", approved HC","")&amp;IF(AND($G97&lt;&gt;"",COUNTIF(CareerLevels,$G97)=0),", a career level that is not on the ladder","")&amp;IF(AND($N97="Reduce",N($O97)&lt;=0),", how many seats Reduce means","")&amp;IF(AND(N($O97)&gt;0,$N97&lt;&gt;"Reduce"),", a number of seats on a row not marked Reduce","")&amp;IF(N($O97)&gt;N($J97),", more seats given up than the row has",""),3,200))</f>
        <v>career level, nationality mandate, capacity direction</v>
      </c>
    </row>
    <row r="98" customFormat="false" ht="15" hidden="false" customHeight="false" outlineLevel="0" collapsed="false">
      <c r="A98" s="21"/>
      <c r="B98" s="21" t="s">
        <v>158</v>
      </c>
      <c r="C98" s="21" t="s">
        <v>160</v>
      </c>
      <c r="D98" s="21" t="s">
        <v>162</v>
      </c>
      <c r="E98" s="21" t="s">
        <v>170</v>
      </c>
      <c r="F98" s="21" t="s">
        <v>462</v>
      </c>
      <c r="G98" s="21"/>
      <c r="H98" s="21" t="s">
        <v>396</v>
      </c>
      <c r="I98" s="21"/>
      <c r="J98" s="22" t="n">
        <v>3</v>
      </c>
      <c r="K98" s="22" t="n">
        <v>2</v>
      </c>
      <c r="L98" s="22" t="n">
        <v>1</v>
      </c>
      <c r="M98" s="21" t="s">
        <v>385</v>
      </c>
      <c r="N98" s="21"/>
      <c r="O98" s="22"/>
      <c r="P98" s="20" t="n">
        <f aca="false">IF($N98="Reduce",N($O98),0)</f>
        <v>0</v>
      </c>
      <c r="Q98" s="23" t="str">
        <f aca="false">IF($F98="","",MID(IF($G98="",", career level","")&amp;IF($I98="",", nationality mandate","")&amp;IF($N98="",", capacity direction","")&amp;IF(N($J98)&lt;=0,", approved HC","")&amp;IF(AND($G98&lt;&gt;"",COUNTIF(CareerLevels,$G98)=0),", a career level that is not on the ladder","")&amp;IF(AND($N98="Reduce",N($O98)&lt;=0),", how many seats Reduce means","")&amp;IF(AND(N($O98)&gt;0,$N98&lt;&gt;"Reduce"),", a number of seats on a row not marked Reduce","")&amp;IF(N($O98)&gt;N($J98),", more seats given up than the row has",""),3,200))</f>
        <v>career level, nationality mandate, capacity direction</v>
      </c>
    </row>
    <row r="99" customFormat="false" ht="15" hidden="false" customHeight="false" outlineLevel="0" collapsed="false">
      <c r="A99" s="21" t="s">
        <v>466</v>
      </c>
      <c r="B99" s="21" t="s">
        <v>158</v>
      </c>
      <c r="C99" s="21" t="s">
        <v>160</v>
      </c>
      <c r="D99" s="21" t="s">
        <v>162</v>
      </c>
      <c r="E99" s="21" t="s">
        <v>170</v>
      </c>
      <c r="F99" s="21" t="s">
        <v>464</v>
      </c>
      <c r="G99" s="21"/>
      <c r="H99" s="21" t="s">
        <v>394</v>
      </c>
      <c r="I99" s="21"/>
      <c r="J99" s="22" t="n">
        <v>1</v>
      </c>
      <c r="K99" s="22" t="n">
        <v>1</v>
      </c>
      <c r="L99" s="22" t="n">
        <v>0</v>
      </c>
      <c r="M99" s="21" t="s">
        <v>385</v>
      </c>
      <c r="N99" s="21"/>
      <c r="O99" s="22"/>
      <c r="P99" s="20" t="n">
        <f aca="false">IF($N99="Reduce",N($O99),0)</f>
        <v>0</v>
      </c>
      <c r="Q99" s="23" t="str">
        <f aca="false">IF($F99="","",MID(IF($G99="",", career level","")&amp;IF($I99="",", nationality mandate","")&amp;IF($N99="",", capacity direction","")&amp;IF(N($J99)&lt;=0,", approved HC","")&amp;IF(AND($G99&lt;&gt;"",COUNTIF(CareerLevels,$G99)=0),", a career level that is not on the ladder","")&amp;IF(AND($N99="Reduce",N($O99)&lt;=0),", how many seats Reduce means","")&amp;IF(AND(N($O99)&gt;0,$N99&lt;&gt;"Reduce"),", a number of seats on a row not marked Reduce","")&amp;IF(N($O99)&gt;N($J99),", more seats given up than the row has",""),3,200))</f>
        <v>career level, nationality mandate, capacity direction</v>
      </c>
    </row>
    <row r="100" customFormat="false" ht="15" hidden="false" customHeight="false" outlineLevel="0" collapsed="false">
      <c r="A100" s="21" t="s">
        <v>435</v>
      </c>
      <c r="B100" s="21" t="s">
        <v>158</v>
      </c>
      <c r="C100" s="21" t="s">
        <v>160</v>
      </c>
      <c r="D100" s="21" t="s">
        <v>176</v>
      </c>
      <c r="E100" s="21"/>
      <c r="F100" s="21" t="s">
        <v>458</v>
      </c>
      <c r="G100" s="21"/>
      <c r="H100" s="21" t="s">
        <v>394</v>
      </c>
      <c r="I100" s="21"/>
      <c r="J100" s="22" t="n">
        <v>1</v>
      </c>
      <c r="K100" s="22" t="n">
        <v>1</v>
      </c>
      <c r="L100" s="22" t="n">
        <v>0</v>
      </c>
      <c r="M100" s="21" t="s">
        <v>385</v>
      </c>
      <c r="N100" s="21"/>
      <c r="O100" s="22"/>
      <c r="P100" s="20" t="n">
        <f aca="false">IF($N100="Reduce",N($O100),0)</f>
        <v>0</v>
      </c>
      <c r="Q100" s="23" t="str">
        <f aca="false">IF($F100="","",MID(IF($G100="",", career level","")&amp;IF($I100="",", nationality mandate","")&amp;IF($N100="",", capacity direction","")&amp;IF(N($J100)&lt;=0,", approved HC","")&amp;IF(AND($G100&lt;&gt;"",COUNTIF(CareerLevels,$G100)=0),", a career level that is not on the ladder","")&amp;IF(AND($N100="Reduce",N($O100)&lt;=0),", how many seats Reduce means","")&amp;IF(AND(N($O100)&gt;0,$N100&lt;&gt;"Reduce"),", a number of seats on a row not marked Reduce","")&amp;IF(N($O100)&gt;N($J100),", more seats given up than the row has",""),3,200))</f>
        <v>career level, nationality mandate, capacity direction</v>
      </c>
    </row>
    <row r="101" customFormat="false" ht="15" hidden="false" customHeight="false" outlineLevel="0" collapsed="false">
      <c r="A101" s="21"/>
      <c r="B101" s="21" t="s">
        <v>158</v>
      </c>
      <c r="C101" s="21" t="s">
        <v>160</v>
      </c>
      <c r="D101" s="21" t="s">
        <v>176</v>
      </c>
      <c r="E101" s="21" t="s">
        <v>178</v>
      </c>
      <c r="F101" s="21" t="s">
        <v>460</v>
      </c>
      <c r="G101" s="21"/>
      <c r="H101" s="21" t="s">
        <v>396</v>
      </c>
      <c r="I101" s="21"/>
      <c r="J101" s="22" t="n">
        <v>2</v>
      </c>
      <c r="K101" s="22" t="n">
        <v>2</v>
      </c>
      <c r="L101" s="22" t="n">
        <v>0</v>
      </c>
      <c r="M101" s="21" t="s">
        <v>385</v>
      </c>
      <c r="N101" s="21"/>
      <c r="O101" s="22"/>
      <c r="P101" s="20" t="n">
        <f aca="false">IF($N101="Reduce",N($O101),0)</f>
        <v>0</v>
      </c>
      <c r="Q101" s="23" t="str">
        <f aca="false">IF($F101="","",MID(IF($G101="",", career level","")&amp;IF($I101="",", nationality mandate","")&amp;IF($N101="",", capacity direction","")&amp;IF(N($J101)&lt;=0,", approved HC","")&amp;IF(AND($G101&lt;&gt;"",COUNTIF(CareerLevels,$G101)=0),", a career level that is not on the ladder","")&amp;IF(AND($N101="Reduce",N($O101)&lt;=0),", how many seats Reduce means","")&amp;IF(AND(N($O101)&gt;0,$N101&lt;&gt;"Reduce"),", a number of seats on a row not marked Reduce","")&amp;IF(N($O101)&gt;N($J101),", more seats given up than the row has",""),3,200))</f>
        <v>career level, nationality mandate, capacity direction</v>
      </c>
    </row>
    <row r="102" customFormat="false" ht="15" hidden="false" customHeight="false" outlineLevel="0" collapsed="false">
      <c r="A102" s="21" t="s">
        <v>467</v>
      </c>
      <c r="B102" s="21" t="s">
        <v>158</v>
      </c>
      <c r="C102" s="21" t="s">
        <v>160</v>
      </c>
      <c r="D102" s="21" t="s">
        <v>176</v>
      </c>
      <c r="E102" s="21" t="s">
        <v>178</v>
      </c>
      <c r="F102" s="21" t="s">
        <v>461</v>
      </c>
      <c r="G102" s="21"/>
      <c r="H102" s="21" t="s">
        <v>396</v>
      </c>
      <c r="I102" s="21"/>
      <c r="J102" s="22" t="n">
        <v>1</v>
      </c>
      <c r="K102" s="22" t="n">
        <v>1</v>
      </c>
      <c r="L102" s="22" t="n">
        <v>0</v>
      </c>
      <c r="M102" s="21" t="s">
        <v>385</v>
      </c>
      <c r="N102" s="21"/>
      <c r="O102" s="22"/>
      <c r="P102" s="20" t="n">
        <f aca="false">IF($N102="Reduce",N($O102),0)</f>
        <v>0</v>
      </c>
      <c r="Q102" s="23" t="str">
        <f aca="false">IF($F102="","",MID(IF($G102="",", career level","")&amp;IF($I102="",", nationality mandate","")&amp;IF($N102="",", capacity direction","")&amp;IF(N($J102)&lt;=0,", approved HC","")&amp;IF(AND($G102&lt;&gt;"",COUNTIF(CareerLevels,$G102)=0),", a career level that is not on the ladder","")&amp;IF(AND($N102="Reduce",N($O102)&lt;=0),", how many seats Reduce means","")&amp;IF(AND(N($O102)&gt;0,$N102&lt;&gt;"Reduce"),", a number of seats on a row not marked Reduce","")&amp;IF(N($O102)&gt;N($J102),", more seats given up than the row has",""),3,200))</f>
        <v>career level, nationality mandate, capacity direction</v>
      </c>
    </row>
    <row r="103" customFormat="false" ht="15" hidden="false" customHeight="false" outlineLevel="0" collapsed="false">
      <c r="A103" s="21"/>
      <c r="B103" s="21" t="s">
        <v>158</v>
      </c>
      <c r="C103" s="21" t="s">
        <v>160</v>
      </c>
      <c r="D103" s="21" t="s">
        <v>176</v>
      </c>
      <c r="E103" s="21" t="s">
        <v>178</v>
      </c>
      <c r="F103" s="21" t="s">
        <v>468</v>
      </c>
      <c r="G103" s="21"/>
      <c r="H103" s="21" t="s">
        <v>396</v>
      </c>
      <c r="I103" s="21"/>
      <c r="J103" s="22" t="n">
        <v>3</v>
      </c>
      <c r="K103" s="22" t="n">
        <v>2</v>
      </c>
      <c r="L103" s="22" t="n">
        <v>1</v>
      </c>
      <c r="M103" s="21" t="s">
        <v>385</v>
      </c>
      <c r="N103" s="21"/>
      <c r="O103" s="22"/>
      <c r="P103" s="20" t="n">
        <f aca="false">IF($N103="Reduce",N($O103),0)</f>
        <v>0</v>
      </c>
      <c r="Q103" s="23" t="str">
        <f aca="false">IF($F103="","",MID(IF($G103="",", career level","")&amp;IF($I103="",", nationality mandate","")&amp;IF($N103="",", capacity direction","")&amp;IF(N($J103)&lt;=0,", approved HC","")&amp;IF(AND($G103&lt;&gt;"",COUNTIF(CareerLevels,$G103)=0),", a career level that is not on the ladder","")&amp;IF(AND($N103="Reduce",N($O103)&lt;=0),", how many seats Reduce means","")&amp;IF(AND(N($O103)&gt;0,$N103&lt;&gt;"Reduce"),", a number of seats on a row not marked Reduce","")&amp;IF(N($O103)&gt;N($J103),", more seats given up than the row has",""),3,200))</f>
        <v>career level, nationality mandate, capacity direction</v>
      </c>
    </row>
    <row r="104" customFormat="false" ht="15" hidden="false" customHeight="false" outlineLevel="0" collapsed="false">
      <c r="A104" s="21" t="s">
        <v>469</v>
      </c>
      <c r="B104" s="21" t="s">
        <v>158</v>
      </c>
      <c r="C104" s="21" t="s">
        <v>160</v>
      </c>
      <c r="D104" s="21" t="s">
        <v>176</v>
      </c>
      <c r="E104" s="21" t="s">
        <v>178</v>
      </c>
      <c r="F104" s="21" t="s">
        <v>465</v>
      </c>
      <c r="G104" s="21"/>
      <c r="H104" s="21" t="s">
        <v>396</v>
      </c>
      <c r="I104" s="21"/>
      <c r="J104" s="22" t="n">
        <v>1</v>
      </c>
      <c r="K104" s="22" t="n">
        <v>1</v>
      </c>
      <c r="L104" s="22" t="n">
        <v>0</v>
      </c>
      <c r="M104" s="21" t="s">
        <v>385</v>
      </c>
      <c r="N104" s="21"/>
      <c r="O104" s="22"/>
      <c r="P104" s="20" t="n">
        <f aca="false">IF($N104="Reduce",N($O104),0)</f>
        <v>0</v>
      </c>
      <c r="Q104" s="23" t="str">
        <f aca="false">IF($F104="","",MID(IF($G104="",", career level","")&amp;IF($I104="",", nationality mandate","")&amp;IF($N104="",", capacity direction","")&amp;IF(N($J104)&lt;=0,", approved HC","")&amp;IF(AND($G104&lt;&gt;"",COUNTIF(CareerLevels,$G104)=0),", a career level that is not on the ladder","")&amp;IF(AND($N104="Reduce",N($O104)&lt;=0),", how many seats Reduce means","")&amp;IF(AND(N($O104)&gt;0,$N104&lt;&gt;"Reduce"),", a number of seats on a row not marked Reduce","")&amp;IF(N($O104)&gt;N($J104),", more seats given up than the row has",""),3,200))</f>
        <v>career level, nationality mandate, capacity direction</v>
      </c>
    </row>
    <row r="105" customFormat="false" ht="15" hidden="false" customHeight="false" outlineLevel="0" collapsed="false">
      <c r="A105" s="21" t="s">
        <v>418</v>
      </c>
      <c r="B105" s="21" t="s">
        <v>158</v>
      </c>
      <c r="C105" s="21" t="s">
        <v>160</v>
      </c>
      <c r="D105" s="21" t="s">
        <v>176</v>
      </c>
      <c r="E105" s="21" t="s">
        <v>178</v>
      </c>
      <c r="F105" s="21" t="s">
        <v>462</v>
      </c>
      <c r="G105" s="21"/>
      <c r="H105" s="21" t="s">
        <v>396</v>
      </c>
      <c r="I105" s="21"/>
      <c r="J105" s="22" t="n">
        <v>1</v>
      </c>
      <c r="K105" s="22" t="n">
        <v>1</v>
      </c>
      <c r="L105" s="22" t="n">
        <v>0</v>
      </c>
      <c r="M105" s="21" t="s">
        <v>385</v>
      </c>
      <c r="N105" s="21"/>
      <c r="O105" s="22"/>
      <c r="P105" s="20" t="n">
        <f aca="false">IF($N105="Reduce",N($O105),0)</f>
        <v>0</v>
      </c>
      <c r="Q105" s="23" t="str">
        <f aca="false">IF($F105="","",MID(IF($G105="",", career level","")&amp;IF($I105="",", nationality mandate","")&amp;IF($N105="",", capacity direction","")&amp;IF(N($J105)&lt;=0,", approved HC","")&amp;IF(AND($G105&lt;&gt;"",COUNTIF(CareerLevels,$G105)=0),", a career level that is not on the ladder","")&amp;IF(AND($N105="Reduce",N($O105)&lt;=0),", how many seats Reduce means","")&amp;IF(AND(N($O105)&gt;0,$N105&lt;&gt;"Reduce"),", a number of seats on a row not marked Reduce","")&amp;IF(N($O105)&gt;N($J105),", more seats given up than the row has",""),3,200))</f>
        <v>career level, nationality mandate, capacity direction</v>
      </c>
    </row>
    <row r="106" customFormat="false" ht="15" hidden="false" customHeight="false" outlineLevel="0" collapsed="false">
      <c r="A106" s="21" t="s">
        <v>414</v>
      </c>
      <c r="B106" s="21" t="s">
        <v>158</v>
      </c>
      <c r="C106" s="21" t="s">
        <v>160</v>
      </c>
      <c r="D106" s="21" t="s">
        <v>176</v>
      </c>
      <c r="E106" s="21" t="s">
        <v>178</v>
      </c>
      <c r="F106" s="21" t="s">
        <v>470</v>
      </c>
      <c r="G106" s="21"/>
      <c r="H106" s="21" t="s">
        <v>396</v>
      </c>
      <c r="I106" s="21"/>
      <c r="J106" s="22" t="n">
        <v>1</v>
      </c>
      <c r="K106" s="22" t="n">
        <v>1</v>
      </c>
      <c r="L106" s="22" t="n">
        <v>0</v>
      </c>
      <c r="M106" s="21" t="s">
        <v>389</v>
      </c>
      <c r="N106" s="21"/>
      <c r="O106" s="22"/>
      <c r="P106" s="20" t="n">
        <f aca="false">IF($N106="Reduce",N($O106),0)</f>
        <v>0</v>
      </c>
      <c r="Q106" s="23" t="str">
        <f aca="false">IF($F106="","",MID(IF($G106="",", career level","")&amp;IF($I106="",", nationality mandate","")&amp;IF($N106="",", capacity direction","")&amp;IF(N($J106)&lt;=0,", approved HC","")&amp;IF(AND($G106&lt;&gt;"",COUNTIF(CareerLevels,$G106)=0),", a career level that is not on the ladder","")&amp;IF(AND($N106="Reduce",N($O106)&lt;=0),", how many seats Reduce means","")&amp;IF(AND(N($O106)&gt;0,$N106&lt;&gt;"Reduce"),", a number of seats on a row not marked Reduce","")&amp;IF(N($O106)&gt;N($J106),", more seats given up than the row has",""),3,200))</f>
        <v>career level, nationality mandate, capacity direction</v>
      </c>
    </row>
    <row r="107" customFormat="false" ht="15" hidden="false" customHeight="false" outlineLevel="0" collapsed="false">
      <c r="A107" s="21" t="s">
        <v>386</v>
      </c>
      <c r="B107" s="21" t="s">
        <v>158</v>
      </c>
      <c r="C107" s="21" t="s">
        <v>160</v>
      </c>
      <c r="D107" s="21" t="s">
        <v>176</v>
      </c>
      <c r="E107" s="21" t="s">
        <v>178</v>
      </c>
      <c r="F107" s="21" t="s">
        <v>464</v>
      </c>
      <c r="G107" s="21"/>
      <c r="H107" s="21" t="s">
        <v>394</v>
      </c>
      <c r="I107" s="21"/>
      <c r="J107" s="22" t="n">
        <v>1</v>
      </c>
      <c r="K107" s="22" t="n">
        <v>1</v>
      </c>
      <c r="L107" s="22" t="n">
        <v>0</v>
      </c>
      <c r="M107" s="21" t="s">
        <v>385</v>
      </c>
      <c r="N107" s="21"/>
      <c r="O107" s="22"/>
      <c r="P107" s="20" t="n">
        <f aca="false">IF($N107="Reduce",N($O107),0)</f>
        <v>0</v>
      </c>
      <c r="Q107" s="23" t="str">
        <f aca="false">IF($F107="","",MID(IF($G107="",", career level","")&amp;IF($I107="",", nationality mandate","")&amp;IF($N107="",", capacity direction","")&amp;IF(N($J107)&lt;=0,", approved HC","")&amp;IF(AND($G107&lt;&gt;"",COUNTIF(CareerLevels,$G107)=0),", a career level that is not on the ladder","")&amp;IF(AND($N107="Reduce",N($O107)&lt;=0),", how many seats Reduce means","")&amp;IF(AND(N($O107)&gt;0,$N107&lt;&gt;"Reduce"),", a number of seats on a row not marked Reduce","")&amp;IF(N($O107)&gt;N($J107),", more seats given up than the row has",""),3,200))</f>
        <v>career level, nationality mandate, capacity direction</v>
      </c>
    </row>
    <row r="108" customFormat="false" ht="15" hidden="false" customHeight="false" outlineLevel="0" collapsed="false">
      <c r="A108" s="21" t="s">
        <v>416</v>
      </c>
      <c r="B108" s="21" t="s">
        <v>158</v>
      </c>
      <c r="C108" s="21" t="s">
        <v>160</v>
      </c>
      <c r="D108" s="21" t="s">
        <v>176</v>
      </c>
      <c r="E108" s="21" t="s">
        <v>184</v>
      </c>
      <c r="F108" s="21" t="s">
        <v>460</v>
      </c>
      <c r="G108" s="21"/>
      <c r="H108" s="21" t="s">
        <v>396</v>
      </c>
      <c r="I108" s="21"/>
      <c r="J108" s="22" t="n">
        <v>1</v>
      </c>
      <c r="K108" s="22" t="n">
        <v>1</v>
      </c>
      <c r="L108" s="22" t="n">
        <v>0</v>
      </c>
      <c r="M108" s="21" t="s">
        <v>385</v>
      </c>
      <c r="N108" s="21"/>
      <c r="O108" s="22"/>
      <c r="P108" s="20" t="n">
        <f aca="false">IF($N108="Reduce",N($O108),0)</f>
        <v>0</v>
      </c>
      <c r="Q108" s="23" t="str">
        <f aca="false">IF($F108="","",MID(IF($G108="",", career level","")&amp;IF($I108="",", nationality mandate","")&amp;IF($N108="",", capacity direction","")&amp;IF(N($J108)&lt;=0,", approved HC","")&amp;IF(AND($G108&lt;&gt;"",COUNTIF(CareerLevels,$G108)=0),", a career level that is not on the ladder","")&amp;IF(AND($N108="Reduce",N($O108)&lt;=0),", how many seats Reduce means","")&amp;IF(AND(N($O108)&gt;0,$N108&lt;&gt;"Reduce"),", a number of seats on a row not marked Reduce","")&amp;IF(N($O108)&gt;N($J108),", more seats given up than the row has",""),3,200))</f>
        <v>career level, nationality mandate, capacity direction</v>
      </c>
    </row>
    <row r="109" customFormat="false" ht="15" hidden="false" customHeight="false" outlineLevel="0" collapsed="false">
      <c r="A109" s="21"/>
      <c r="B109" s="21" t="s">
        <v>158</v>
      </c>
      <c r="C109" s="21" t="s">
        <v>160</v>
      </c>
      <c r="D109" s="21" t="s">
        <v>176</v>
      </c>
      <c r="E109" s="21" t="s">
        <v>184</v>
      </c>
      <c r="F109" s="21" t="s">
        <v>461</v>
      </c>
      <c r="G109" s="21"/>
      <c r="H109" s="21" t="s">
        <v>396</v>
      </c>
      <c r="I109" s="21"/>
      <c r="J109" s="22" t="n">
        <v>3</v>
      </c>
      <c r="K109" s="22" t="n">
        <v>3</v>
      </c>
      <c r="L109" s="22" t="n">
        <v>0</v>
      </c>
      <c r="M109" s="21" t="s">
        <v>385</v>
      </c>
      <c r="N109" s="21"/>
      <c r="O109" s="22"/>
      <c r="P109" s="20" t="n">
        <f aca="false">IF($N109="Reduce",N($O109),0)</f>
        <v>0</v>
      </c>
      <c r="Q109" s="23" t="str">
        <f aca="false">IF($F109="","",MID(IF($G109="",", career level","")&amp;IF($I109="",", nationality mandate","")&amp;IF($N109="",", capacity direction","")&amp;IF(N($J109)&lt;=0,", approved HC","")&amp;IF(AND($G109&lt;&gt;"",COUNTIF(CareerLevels,$G109)=0),", a career level that is not on the ladder","")&amp;IF(AND($N109="Reduce",N($O109)&lt;=0),", how many seats Reduce means","")&amp;IF(AND(N($O109)&gt;0,$N109&lt;&gt;"Reduce"),", a number of seats on a row not marked Reduce","")&amp;IF(N($O109)&gt;N($J109),", more seats given up than the row has",""),3,200))</f>
        <v>career level, nationality mandate, capacity direction</v>
      </c>
    </row>
    <row r="110" customFormat="false" ht="15" hidden="false" customHeight="false" outlineLevel="0" collapsed="false">
      <c r="A110" s="21" t="s">
        <v>414</v>
      </c>
      <c r="B110" s="21" t="s">
        <v>158</v>
      </c>
      <c r="C110" s="21" t="s">
        <v>160</v>
      </c>
      <c r="D110" s="21" t="s">
        <v>176</v>
      </c>
      <c r="E110" s="21" t="s">
        <v>184</v>
      </c>
      <c r="F110" s="21" t="s">
        <v>471</v>
      </c>
      <c r="G110" s="21"/>
      <c r="H110" s="21" t="s">
        <v>396</v>
      </c>
      <c r="I110" s="21"/>
      <c r="J110" s="22" t="n">
        <v>1</v>
      </c>
      <c r="K110" s="22" t="n">
        <v>1</v>
      </c>
      <c r="L110" s="22" t="n">
        <v>0</v>
      </c>
      <c r="M110" s="21" t="s">
        <v>385</v>
      </c>
      <c r="N110" s="21"/>
      <c r="O110" s="22"/>
      <c r="P110" s="20" t="n">
        <f aca="false">IF($N110="Reduce",N($O110),0)</f>
        <v>0</v>
      </c>
      <c r="Q110" s="23" t="str">
        <f aca="false">IF($F110="","",MID(IF($G110="",", career level","")&amp;IF($I110="",", nationality mandate","")&amp;IF($N110="",", capacity direction","")&amp;IF(N($J110)&lt;=0,", approved HC","")&amp;IF(AND($G110&lt;&gt;"",COUNTIF(CareerLevels,$G110)=0),", a career level that is not on the ladder","")&amp;IF(AND($N110="Reduce",N($O110)&lt;=0),", how many seats Reduce means","")&amp;IF(AND(N($O110)&gt;0,$N110&lt;&gt;"Reduce"),", a number of seats on a row not marked Reduce","")&amp;IF(N($O110)&gt;N($J110),", more seats given up than the row has",""),3,200))</f>
        <v>career level, nationality mandate, capacity direction</v>
      </c>
    </row>
    <row r="111" customFormat="false" ht="15" hidden="false" customHeight="false" outlineLevel="0" collapsed="false">
      <c r="A111" s="21"/>
      <c r="B111" s="21" t="s">
        <v>158</v>
      </c>
      <c r="C111" s="21" t="s">
        <v>160</v>
      </c>
      <c r="D111" s="21" t="s">
        <v>176</v>
      </c>
      <c r="E111" s="21" t="s">
        <v>184</v>
      </c>
      <c r="F111" s="21" t="s">
        <v>468</v>
      </c>
      <c r="G111" s="21"/>
      <c r="H111" s="21" t="s">
        <v>396</v>
      </c>
      <c r="I111" s="21"/>
      <c r="J111" s="22" t="n">
        <v>2</v>
      </c>
      <c r="K111" s="22" t="n">
        <v>2</v>
      </c>
      <c r="L111" s="22" t="n">
        <v>0</v>
      </c>
      <c r="M111" s="21" t="s">
        <v>385</v>
      </c>
      <c r="N111" s="21"/>
      <c r="O111" s="22"/>
      <c r="P111" s="20" t="n">
        <f aca="false">IF($N111="Reduce",N($O111),0)</f>
        <v>0</v>
      </c>
      <c r="Q111" s="23" t="str">
        <f aca="false">IF($F111="","",MID(IF($G111="",", career level","")&amp;IF($I111="",", nationality mandate","")&amp;IF($N111="",", capacity direction","")&amp;IF(N($J111)&lt;=0,", approved HC","")&amp;IF(AND($G111&lt;&gt;"",COUNTIF(CareerLevels,$G111)=0),", a career level that is not on the ladder","")&amp;IF(AND($N111="Reduce",N($O111)&lt;=0),", how many seats Reduce means","")&amp;IF(AND(N($O111)&gt;0,$N111&lt;&gt;"Reduce"),", a number of seats on a row not marked Reduce","")&amp;IF(N($O111)&gt;N($J111),", more seats given up than the row has",""),3,200))</f>
        <v>career level, nationality mandate, capacity direction</v>
      </c>
    </row>
    <row r="112" customFormat="false" ht="15" hidden="false" customHeight="false" outlineLevel="0" collapsed="false">
      <c r="A112" s="21" t="s">
        <v>466</v>
      </c>
      <c r="B112" s="21" t="s">
        <v>158</v>
      </c>
      <c r="C112" s="21" t="s">
        <v>160</v>
      </c>
      <c r="D112" s="21" t="s">
        <v>176</v>
      </c>
      <c r="E112" s="21" t="s">
        <v>184</v>
      </c>
      <c r="F112" s="21" t="s">
        <v>465</v>
      </c>
      <c r="G112" s="21"/>
      <c r="H112" s="21" t="s">
        <v>396</v>
      </c>
      <c r="I112" s="21"/>
      <c r="J112" s="22" t="n">
        <v>1</v>
      </c>
      <c r="K112" s="22" t="n">
        <v>1</v>
      </c>
      <c r="L112" s="22" t="n">
        <v>0</v>
      </c>
      <c r="M112" s="21" t="s">
        <v>385</v>
      </c>
      <c r="N112" s="21"/>
      <c r="O112" s="22"/>
      <c r="P112" s="20" t="n">
        <f aca="false">IF($N112="Reduce",N($O112),0)</f>
        <v>0</v>
      </c>
      <c r="Q112" s="23" t="str">
        <f aca="false">IF($F112="","",MID(IF($G112="",", career level","")&amp;IF($I112="",", nationality mandate","")&amp;IF($N112="",", capacity direction","")&amp;IF(N($J112)&lt;=0,", approved HC","")&amp;IF(AND($G112&lt;&gt;"",COUNTIF(CareerLevels,$G112)=0),", a career level that is not on the ladder","")&amp;IF(AND($N112="Reduce",N($O112)&lt;=0),", how many seats Reduce means","")&amp;IF(AND(N($O112)&gt;0,$N112&lt;&gt;"Reduce"),", a number of seats on a row not marked Reduce","")&amp;IF(N($O112)&gt;N($J112),", more seats given up than the row has",""),3,200))</f>
        <v>career level, nationality mandate, capacity direction</v>
      </c>
    </row>
    <row r="113" customFormat="false" ht="15" hidden="false" customHeight="false" outlineLevel="0" collapsed="false">
      <c r="A113" s="21" t="s">
        <v>472</v>
      </c>
      <c r="B113" s="21" t="s">
        <v>158</v>
      </c>
      <c r="C113" s="21" t="s">
        <v>160</v>
      </c>
      <c r="D113" s="21" t="s">
        <v>176</v>
      </c>
      <c r="E113" s="21" t="s">
        <v>184</v>
      </c>
      <c r="F113" s="21" t="s">
        <v>462</v>
      </c>
      <c r="G113" s="21"/>
      <c r="H113" s="21" t="s">
        <v>396</v>
      </c>
      <c r="I113" s="21"/>
      <c r="J113" s="22" t="n">
        <v>1</v>
      </c>
      <c r="K113" s="22" t="n">
        <v>1</v>
      </c>
      <c r="L113" s="22" t="n">
        <v>0</v>
      </c>
      <c r="M113" s="21" t="s">
        <v>385</v>
      </c>
      <c r="N113" s="21"/>
      <c r="O113" s="22"/>
      <c r="P113" s="20" t="n">
        <f aca="false">IF($N113="Reduce",N($O113),0)</f>
        <v>0</v>
      </c>
      <c r="Q113" s="23" t="str">
        <f aca="false">IF($F113="","",MID(IF($G113="",", career level","")&amp;IF($I113="",", nationality mandate","")&amp;IF($N113="",", capacity direction","")&amp;IF(N($J113)&lt;=0,", approved HC","")&amp;IF(AND($G113&lt;&gt;"",COUNTIF(CareerLevels,$G113)=0),", a career level that is not on the ladder","")&amp;IF(AND($N113="Reduce",N($O113)&lt;=0),", how many seats Reduce means","")&amp;IF(AND(N($O113)&gt;0,$N113&lt;&gt;"Reduce"),", a number of seats on a row not marked Reduce","")&amp;IF(N($O113)&gt;N($J113),", more seats given up than the row has",""),3,200))</f>
        <v>career level, nationality mandate, capacity direction</v>
      </c>
    </row>
    <row r="114" customFormat="false" ht="15" hidden="false" customHeight="false" outlineLevel="0" collapsed="false">
      <c r="A114" s="21" t="s">
        <v>405</v>
      </c>
      <c r="B114" s="21" t="s">
        <v>158</v>
      </c>
      <c r="C114" s="21" t="s">
        <v>160</v>
      </c>
      <c r="D114" s="21" t="s">
        <v>176</v>
      </c>
      <c r="E114" s="21" t="s">
        <v>184</v>
      </c>
      <c r="F114" s="21" t="s">
        <v>464</v>
      </c>
      <c r="G114" s="21"/>
      <c r="H114" s="21" t="s">
        <v>394</v>
      </c>
      <c r="I114" s="21"/>
      <c r="J114" s="22" t="n">
        <v>1</v>
      </c>
      <c r="K114" s="22" t="n">
        <v>1</v>
      </c>
      <c r="L114" s="22" t="n">
        <v>0</v>
      </c>
      <c r="M114" s="21" t="s">
        <v>385</v>
      </c>
      <c r="N114" s="21"/>
      <c r="O114" s="22"/>
      <c r="P114" s="20" t="n">
        <f aca="false">IF($N114="Reduce",N($O114),0)</f>
        <v>0</v>
      </c>
      <c r="Q114" s="23" t="str">
        <f aca="false">IF($F114="","",MID(IF($G114="",", career level","")&amp;IF($I114="",", nationality mandate","")&amp;IF($N114="",", capacity direction","")&amp;IF(N($J114)&lt;=0,", approved HC","")&amp;IF(AND($G114&lt;&gt;"",COUNTIF(CareerLevels,$G114)=0),", a career level that is not on the ladder","")&amp;IF(AND($N114="Reduce",N($O114)&lt;=0),", how many seats Reduce means","")&amp;IF(AND(N($O114)&gt;0,$N114&lt;&gt;"Reduce"),", a number of seats on a row not marked Reduce","")&amp;IF(N($O114)&gt;N($J114),", more seats given up than the row has",""),3,200))</f>
        <v>career level, nationality mandate, capacity direction</v>
      </c>
    </row>
    <row r="115" customFormat="false" ht="15" hidden="false" customHeight="false" outlineLevel="0" collapsed="false">
      <c r="A115" s="21" t="s">
        <v>473</v>
      </c>
      <c r="B115" s="21" t="s">
        <v>158</v>
      </c>
      <c r="C115" s="21" t="s">
        <v>190</v>
      </c>
      <c r="D115" s="21"/>
      <c r="E115" s="21"/>
      <c r="F115" s="21" t="s">
        <v>474</v>
      </c>
      <c r="G115" s="21"/>
      <c r="H115" s="21" t="s">
        <v>388</v>
      </c>
      <c r="I115" s="21"/>
      <c r="J115" s="22" t="n">
        <v>1</v>
      </c>
      <c r="K115" s="22" t="n">
        <v>1</v>
      </c>
      <c r="L115" s="22" t="n">
        <v>0</v>
      </c>
      <c r="M115" s="21" t="s">
        <v>385</v>
      </c>
      <c r="N115" s="21"/>
      <c r="O115" s="22"/>
      <c r="P115" s="20" t="n">
        <f aca="false">IF($N115="Reduce",N($O115),0)</f>
        <v>0</v>
      </c>
      <c r="Q115" s="23" t="str">
        <f aca="false">IF($F115="","",MID(IF($G115="",", career level","")&amp;IF($I115="",", nationality mandate","")&amp;IF($N115="",", capacity direction","")&amp;IF(N($J115)&lt;=0,", approved HC","")&amp;IF(AND($G115&lt;&gt;"",COUNTIF(CareerLevels,$G115)=0),", a career level that is not on the ladder","")&amp;IF(AND($N115="Reduce",N($O115)&lt;=0),", how many seats Reduce means","")&amp;IF(AND(N($O115)&gt;0,$N115&lt;&gt;"Reduce"),", a number of seats on a row not marked Reduce","")&amp;IF(N($O115)&gt;N($J115),", more seats given up than the row has",""),3,200))</f>
        <v>career level, nationality mandate, capacity direction</v>
      </c>
    </row>
    <row r="116" customFormat="false" ht="15" hidden="false" customHeight="false" outlineLevel="0" collapsed="false">
      <c r="A116" s="21" t="s">
        <v>449</v>
      </c>
      <c r="B116" s="21" t="s">
        <v>158</v>
      </c>
      <c r="C116" s="21" t="s">
        <v>190</v>
      </c>
      <c r="D116" s="21" t="s">
        <v>192</v>
      </c>
      <c r="E116" s="21"/>
      <c r="F116" s="21" t="s">
        <v>475</v>
      </c>
      <c r="G116" s="21"/>
      <c r="H116" s="21" t="s">
        <v>394</v>
      </c>
      <c r="I116" s="21"/>
      <c r="J116" s="22" t="n">
        <v>1</v>
      </c>
      <c r="K116" s="22" t="n">
        <v>1</v>
      </c>
      <c r="L116" s="22" t="n">
        <v>0</v>
      </c>
      <c r="M116" s="21" t="s">
        <v>385</v>
      </c>
      <c r="N116" s="21"/>
      <c r="O116" s="22"/>
      <c r="P116" s="20" t="n">
        <f aca="false">IF($N116="Reduce",N($O116),0)</f>
        <v>0</v>
      </c>
      <c r="Q116" s="23" t="str">
        <f aca="false">IF($F116="","",MID(IF($G116="",", career level","")&amp;IF($I116="",", nationality mandate","")&amp;IF($N116="",", capacity direction","")&amp;IF(N($J116)&lt;=0,", approved HC","")&amp;IF(AND($G116&lt;&gt;"",COUNTIF(CareerLevels,$G116)=0),", a career level that is not on the ladder","")&amp;IF(AND($N116="Reduce",N($O116)&lt;=0),", how many seats Reduce means","")&amp;IF(AND(N($O116)&gt;0,$N116&lt;&gt;"Reduce"),", a number of seats on a row not marked Reduce","")&amp;IF(N($O116)&gt;N($J116),", more seats given up than the row has",""),3,200))</f>
        <v>career level, nationality mandate, capacity direction</v>
      </c>
    </row>
    <row r="117" customFormat="false" ht="15" hidden="false" customHeight="false" outlineLevel="0" collapsed="false">
      <c r="A117" s="21"/>
      <c r="B117" s="21" t="s">
        <v>158</v>
      </c>
      <c r="C117" s="21" t="s">
        <v>190</v>
      </c>
      <c r="D117" s="21" t="s">
        <v>192</v>
      </c>
      <c r="E117" s="21" t="s">
        <v>194</v>
      </c>
      <c r="F117" s="21" t="s">
        <v>476</v>
      </c>
      <c r="G117" s="21"/>
      <c r="H117" s="21" t="s">
        <v>396</v>
      </c>
      <c r="I117" s="21"/>
      <c r="J117" s="22" t="n">
        <v>3</v>
      </c>
      <c r="K117" s="22" t="n">
        <v>3</v>
      </c>
      <c r="L117" s="22" t="n">
        <v>0</v>
      </c>
      <c r="M117" s="21" t="s">
        <v>385</v>
      </c>
      <c r="N117" s="21"/>
      <c r="O117" s="22"/>
      <c r="P117" s="20" t="n">
        <f aca="false">IF($N117="Reduce",N($O117),0)</f>
        <v>0</v>
      </c>
      <c r="Q117" s="23" t="str">
        <f aca="false">IF($F117="","",MID(IF($G117="",", career level","")&amp;IF($I117="",", nationality mandate","")&amp;IF($N117="",", capacity direction","")&amp;IF(N($J117)&lt;=0,", approved HC","")&amp;IF(AND($G117&lt;&gt;"",COUNTIF(CareerLevels,$G117)=0),", a career level that is not on the ladder","")&amp;IF(AND($N117="Reduce",N($O117)&lt;=0),", how many seats Reduce means","")&amp;IF(AND(N($O117)&gt;0,$N117&lt;&gt;"Reduce"),", a number of seats on a row not marked Reduce","")&amp;IF(N($O117)&gt;N($J117),", more seats given up than the row has",""),3,200))</f>
        <v>career level, nationality mandate, capacity direction</v>
      </c>
    </row>
    <row r="118" customFormat="false" ht="15" hidden="false" customHeight="false" outlineLevel="0" collapsed="false">
      <c r="A118" s="21" t="s">
        <v>477</v>
      </c>
      <c r="B118" s="21" t="s">
        <v>158</v>
      </c>
      <c r="C118" s="21" t="s">
        <v>190</v>
      </c>
      <c r="D118" s="21" t="s">
        <v>192</v>
      </c>
      <c r="E118" s="21" t="s">
        <v>194</v>
      </c>
      <c r="F118" s="21" t="s">
        <v>478</v>
      </c>
      <c r="G118" s="21"/>
      <c r="H118" s="21" t="s">
        <v>396</v>
      </c>
      <c r="I118" s="21"/>
      <c r="J118" s="22" t="n">
        <v>1</v>
      </c>
      <c r="K118" s="22" t="n">
        <v>0</v>
      </c>
      <c r="L118" s="22" t="n">
        <v>1</v>
      </c>
      <c r="M118" s="21" t="s">
        <v>385</v>
      </c>
      <c r="N118" s="21"/>
      <c r="O118" s="22"/>
      <c r="P118" s="20" t="n">
        <f aca="false">IF($N118="Reduce",N($O118),0)</f>
        <v>0</v>
      </c>
      <c r="Q118" s="23" t="str">
        <f aca="false">IF($F118="","",MID(IF($G118="",", career level","")&amp;IF($I118="",", nationality mandate","")&amp;IF($N118="",", capacity direction","")&amp;IF(N($J118)&lt;=0,", approved HC","")&amp;IF(AND($G118&lt;&gt;"",COUNTIF(CareerLevels,$G118)=0),", a career level that is not on the ladder","")&amp;IF(AND($N118="Reduce",N($O118)&lt;=0),", how many seats Reduce means","")&amp;IF(AND(N($O118)&gt;0,$N118&lt;&gt;"Reduce"),", a number of seats on a row not marked Reduce","")&amp;IF(N($O118)&gt;N($J118),", more seats given up than the row has",""),3,200))</f>
        <v>career level, nationality mandate, capacity direction</v>
      </c>
    </row>
    <row r="119" customFormat="false" ht="15" hidden="false" customHeight="false" outlineLevel="0" collapsed="false">
      <c r="A119" s="21" t="s">
        <v>409</v>
      </c>
      <c r="B119" s="21" t="s">
        <v>158</v>
      </c>
      <c r="C119" s="21" t="s">
        <v>190</v>
      </c>
      <c r="D119" s="21" t="s">
        <v>192</v>
      </c>
      <c r="E119" s="21" t="s">
        <v>194</v>
      </c>
      <c r="F119" s="21" t="s">
        <v>479</v>
      </c>
      <c r="G119" s="21"/>
      <c r="H119" s="21" t="s">
        <v>396</v>
      </c>
      <c r="I119" s="21"/>
      <c r="J119" s="22" t="n">
        <v>1</v>
      </c>
      <c r="K119" s="22" t="n">
        <v>1</v>
      </c>
      <c r="L119" s="22" t="n">
        <v>0</v>
      </c>
      <c r="M119" s="21" t="s">
        <v>385</v>
      </c>
      <c r="N119" s="21"/>
      <c r="O119" s="22"/>
      <c r="P119" s="20" t="n">
        <f aca="false">IF($N119="Reduce",N($O119),0)</f>
        <v>0</v>
      </c>
      <c r="Q119" s="23" t="str">
        <f aca="false">IF($F119="","",MID(IF($G119="",", career level","")&amp;IF($I119="",", nationality mandate","")&amp;IF($N119="",", capacity direction","")&amp;IF(N($J119)&lt;=0,", approved HC","")&amp;IF(AND($G119&lt;&gt;"",COUNTIF(CareerLevels,$G119)=0),", a career level that is not on the ladder","")&amp;IF(AND($N119="Reduce",N($O119)&lt;=0),", how many seats Reduce means","")&amp;IF(AND(N($O119)&gt;0,$N119&lt;&gt;"Reduce"),", a number of seats on a row not marked Reduce","")&amp;IF(N($O119)&gt;N($J119),", more seats given up than the row has",""),3,200))</f>
        <v>career level, nationality mandate, capacity direction</v>
      </c>
    </row>
    <row r="120" customFormat="false" ht="15" hidden="false" customHeight="false" outlineLevel="0" collapsed="false">
      <c r="A120" s="21"/>
      <c r="B120" s="21" t="s">
        <v>158</v>
      </c>
      <c r="C120" s="21" t="s">
        <v>190</v>
      </c>
      <c r="D120" s="21" t="s">
        <v>192</v>
      </c>
      <c r="E120" s="21" t="s">
        <v>194</v>
      </c>
      <c r="F120" s="21" t="s">
        <v>480</v>
      </c>
      <c r="G120" s="21"/>
      <c r="H120" s="21" t="s">
        <v>396</v>
      </c>
      <c r="I120" s="21"/>
      <c r="J120" s="22" t="n">
        <v>2</v>
      </c>
      <c r="K120" s="22" t="n">
        <v>2</v>
      </c>
      <c r="L120" s="22" t="n">
        <v>0</v>
      </c>
      <c r="M120" s="21" t="s">
        <v>385</v>
      </c>
      <c r="N120" s="21"/>
      <c r="O120" s="22"/>
      <c r="P120" s="20" t="n">
        <f aca="false">IF($N120="Reduce",N($O120),0)</f>
        <v>0</v>
      </c>
      <c r="Q120" s="23" t="str">
        <f aca="false">IF($F120="","",MID(IF($G120="",", career level","")&amp;IF($I120="",", nationality mandate","")&amp;IF($N120="",", capacity direction","")&amp;IF(N($J120)&lt;=0,", approved HC","")&amp;IF(AND($G120&lt;&gt;"",COUNTIF(CareerLevels,$G120)=0),", a career level that is not on the ladder","")&amp;IF(AND($N120="Reduce",N($O120)&lt;=0),", how many seats Reduce means","")&amp;IF(AND(N($O120)&gt;0,$N120&lt;&gt;"Reduce"),", a number of seats on a row not marked Reduce","")&amp;IF(N($O120)&gt;N($J120),", more seats given up than the row has",""),3,200))</f>
        <v>career level, nationality mandate, capacity direction</v>
      </c>
    </row>
    <row r="121" customFormat="false" ht="15" hidden="false" customHeight="false" outlineLevel="0" collapsed="false">
      <c r="A121" s="21" t="s">
        <v>426</v>
      </c>
      <c r="B121" s="21" t="s">
        <v>158</v>
      </c>
      <c r="C121" s="21" t="s">
        <v>190</v>
      </c>
      <c r="D121" s="21" t="s">
        <v>192</v>
      </c>
      <c r="E121" s="21" t="s">
        <v>194</v>
      </c>
      <c r="F121" s="21" t="s">
        <v>481</v>
      </c>
      <c r="G121" s="21"/>
      <c r="H121" s="21" t="s">
        <v>394</v>
      </c>
      <c r="I121" s="21"/>
      <c r="J121" s="22" t="n">
        <v>1</v>
      </c>
      <c r="K121" s="22" t="n">
        <v>1</v>
      </c>
      <c r="L121" s="22" t="n">
        <v>0</v>
      </c>
      <c r="M121" s="21" t="s">
        <v>385</v>
      </c>
      <c r="N121" s="21"/>
      <c r="O121" s="22"/>
      <c r="P121" s="20" t="n">
        <f aca="false">IF($N121="Reduce",N($O121),0)</f>
        <v>0</v>
      </c>
      <c r="Q121" s="23" t="str">
        <f aca="false">IF($F121="","",MID(IF($G121="",", career level","")&amp;IF($I121="",", nationality mandate","")&amp;IF($N121="",", capacity direction","")&amp;IF(N($J121)&lt;=0,", approved HC","")&amp;IF(AND($G121&lt;&gt;"",COUNTIF(CareerLevels,$G121)=0),", a career level that is not on the ladder","")&amp;IF(AND($N121="Reduce",N($O121)&lt;=0),", how many seats Reduce means","")&amp;IF(AND(N($O121)&gt;0,$N121&lt;&gt;"Reduce"),", a number of seats on a row not marked Reduce","")&amp;IF(N($O121)&gt;N($J121),", more seats given up than the row has",""),3,200))</f>
        <v>career level, nationality mandate, capacity direction</v>
      </c>
    </row>
    <row r="122" customFormat="false" ht="15" hidden="false" customHeight="false" outlineLevel="0" collapsed="false">
      <c r="A122" s="21"/>
      <c r="B122" s="21" t="s">
        <v>158</v>
      </c>
      <c r="C122" s="21" t="s">
        <v>190</v>
      </c>
      <c r="D122" s="21" t="s">
        <v>192</v>
      </c>
      <c r="E122" s="21" t="s">
        <v>200</v>
      </c>
      <c r="F122" s="21" t="s">
        <v>476</v>
      </c>
      <c r="G122" s="21"/>
      <c r="H122" s="21" t="s">
        <v>396</v>
      </c>
      <c r="I122" s="21"/>
      <c r="J122" s="22" t="n">
        <v>2</v>
      </c>
      <c r="K122" s="22" t="n">
        <v>2</v>
      </c>
      <c r="L122" s="22" t="n">
        <v>0</v>
      </c>
      <c r="M122" s="21" t="s">
        <v>385</v>
      </c>
      <c r="N122" s="21"/>
      <c r="O122" s="22"/>
      <c r="P122" s="20" t="n">
        <f aca="false">IF($N122="Reduce",N($O122),0)</f>
        <v>0</v>
      </c>
      <c r="Q122" s="23" t="str">
        <f aca="false">IF($F122="","",MID(IF($G122="",", career level","")&amp;IF($I122="",", nationality mandate","")&amp;IF($N122="",", capacity direction","")&amp;IF(N($J122)&lt;=0,", approved HC","")&amp;IF(AND($G122&lt;&gt;"",COUNTIF(CareerLevels,$G122)=0),", a career level that is not on the ladder","")&amp;IF(AND($N122="Reduce",N($O122)&lt;=0),", how many seats Reduce means","")&amp;IF(AND(N($O122)&gt;0,$N122&lt;&gt;"Reduce"),", a number of seats on a row not marked Reduce","")&amp;IF(N($O122)&gt;N($J122),", more seats given up than the row has",""),3,200))</f>
        <v>career level, nationality mandate, capacity direction</v>
      </c>
    </row>
    <row r="123" customFormat="false" ht="15" hidden="false" customHeight="false" outlineLevel="0" collapsed="false">
      <c r="A123" s="21"/>
      <c r="B123" s="21" t="s">
        <v>158</v>
      </c>
      <c r="C123" s="21" t="s">
        <v>190</v>
      </c>
      <c r="D123" s="21" t="s">
        <v>192</v>
      </c>
      <c r="E123" s="21" t="s">
        <v>200</v>
      </c>
      <c r="F123" s="21" t="s">
        <v>479</v>
      </c>
      <c r="G123" s="21"/>
      <c r="H123" s="21" t="s">
        <v>396</v>
      </c>
      <c r="I123" s="21"/>
      <c r="J123" s="22" t="n">
        <v>2</v>
      </c>
      <c r="K123" s="22" t="n">
        <v>1</v>
      </c>
      <c r="L123" s="22" t="n">
        <v>1</v>
      </c>
      <c r="M123" s="21" t="s">
        <v>385</v>
      </c>
      <c r="N123" s="21"/>
      <c r="O123" s="22"/>
      <c r="P123" s="20" t="n">
        <f aca="false">IF($N123="Reduce",N($O123),0)</f>
        <v>0</v>
      </c>
      <c r="Q123" s="23" t="str">
        <f aca="false">IF($F123="","",MID(IF($G123="",", career level","")&amp;IF($I123="",", nationality mandate","")&amp;IF($N123="",", capacity direction","")&amp;IF(N($J123)&lt;=0,", approved HC","")&amp;IF(AND($G123&lt;&gt;"",COUNTIF(CareerLevels,$G123)=0),", a career level that is not on the ladder","")&amp;IF(AND($N123="Reduce",N($O123)&lt;=0),", how many seats Reduce means","")&amp;IF(AND(N($O123)&gt;0,$N123&lt;&gt;"Reduce"),", a number of seats on a row not marked Reduce","")&amp;IF(N($O123)&gt;N($J123),", more seats given up than the row has",""),3,200))</f>
        <v>career level, nationality mandate, capacity direction</v>
      </c>
    </row>
    <row r="124" customFormat="false" ht="15" hidden="false" customHeight="false" outlineLevel="0" collapsed="false">
      <c r="A124" s="21"/>
      <c r="B124" s="21" t="s">
        <v>158</v>
      </c>
      <c r="C124" s="21" t="s">
        <v>190</v>
      </c>
      <c r="D124" s="21" t="s">
        <v>192</v>
      </c>
      <c r="E124" s="21" t="s">
        <v>200</v>
      </c>
      <c r="F124" s="21" t="s">
        <v>482</v>
      </c>
      <c r="G124" s="21"/>
      <c r="H124" s="21" t="s">
        <v>396</v>
      </c>
      <c r="I124" s="21"/>
      <c r="J124" s="22" t="n">
        <v>3</v>
      </c>
      <c r="K124" s="22" t="n">
        <v>3</v>
      </c>
      <c r="L124" s="22" t="n">
        <v>0</v>
      </c>
      <c r="M124" s="21" t="s">
        <v>385</v>
      </c>
      <c r="N124" s="21"/>
      <c r="O124" s="22"/>
      <c r="P124" s="20" t="n">
        <f aca="false">IF($N124="Reduce",N($O124),0)</f>
        <v>0</v>
      </c>
      <c r="Q124" s="23" t="str">
        <f aca="false">IF($F124="","",MID(IF($G124="",", career level","")&amp;IF($I124="",", nationality mandate","")&amp;IF($N124="",", capacity direction","")&amp;IF(N($J124)&lt;=0,", approved HC","")&amp;IF(AND($G124&lt;&gt;"",COUNTIF(CareerLevels,$G124)=0),", a career level that is not on the ladder","")&amp;IF(AND($N124="Reduce",N($O124)&lt;=0),", how many seats Reduce means","")&amp;IF(AND(N($O124)&gt;0,$N124&lt;&gt;"Reduce"),", a number of seats on a row not marked Reduce","")&amp;IF(N($O124)&gt;N($J124),", more seats given up than the row has",""),3,200))</f>
        <v>career level, nationality mandate, capacity direction</v>
      </c>
    </row>
    <row r="125" customFormat="false" ht="15" hidden="false" customHeight="false" outlineLevel="0" collapsed="false">
      <c r="A125" s="21"/>
      <c r="B125" s="21" t="s">
        <v>158</v>
      </c>
      <c r="C125" s="21" t="s">
        <v>190</v>
      </c>
      <c r="D125" s="21" t="s">
        <v>192</v>
      </c>
      <c r="E125" s="21" t="s">
        <v>200</v>
      </c>
      <c r="F125" s="21" t="s">
        <v>483</v>
      </c>
      <c r="G125" s="21"/>
      <c r="H125" s="21" t="s">
        <v>396</v>
      </c>
      <c r="I125" s="21"/>
      <c r="J125" s="22" t="n">
        <v>2</v>
      </c>
      <c r="K125" s="22" t="n">
        <v>2</v>
      </c>
      <c r="L125" s="22" t="n">
        <v>0</v>
      </c>
      <c r="M125" s="21" t="s">
        <v>385</v>
      </c>
      <c r="N125" s="21"/>
      <c r="O125" s="22"/>
      <c r="P125" s="20" t="n">
        <f aca="false">IF($N125="Reduce",N($O125),0)</f>
        <v>0</v>
      </c>
      <c r="Q125" s="23" t="str">
        <f aca="false">IF($F125="","",MID(IF($G125="",", career level","")&amp;IF($I125="",", nationality mandate","")&amp;IF($N125="",", capacity direction","")&amp;IF(N($J125)&lt;=0,", approved HC","")&amp;IF(AND($G125&lt;&gt;"",COUNTIF(CareerLevels,$G125)=0),", a career level that is not on the ladder","")&amp;IF(AND($N125="Reduce",N($O125)&lt;=0),", how many seats Reduce means","")&amp;IF(AND(N($O125)&gt;0,$N125&lt;&gt;"Reduce"),", a number of seats on a row not marked Reduce","")&amp;IF(N($O125)&gt;N($J125),", more seats given up than the row has",""),3,200))</f>
        <v>career level, nationality mandate, capacity direction</v>
      </c>
    </row>
    <row r="126" customFormat="false" ht="15" hidden="false" customHeight="false" outlineLevel="0" collapsed="false">
      <c r="A126" s="21" t="s">
        <v>408</v>
      </c>
      <c r="B126" s="21" t="s">
        <v>158</v>
      </c>
      <c r="C126" s="21" t="s">
        <v>190</v>
      </c>
      <c r="D126" s="21" t="s">
        <v>192</v>
      </c>
      <c r="E126" s="21" t="s">
        <v>200</v>
      </c>
      <c r="F126" s="21" t="s">
        <v>481</v>
      </c>
      <c r="G126" s="21"/>
      <c r="H126" s="21" t="s">
        <v>394</v>
      </c>
      <c r="I126" s="21"/>
      <c r="J126" s="22" t="n">
        <v>1</v>
      </c>
      <c r="K126" s="22" t="n">
        <v>1</v>
      </c>
      <c r="L126" s="22" t="n">
        <v>0</v>
      </c>
      <c r="M126" s="21" t="s">
        <v>389</v>
      </c>
      <c r="N126" s="21"/>
      <c r="O126" s="22"/>
      <c r="P126" s="20" t="n">
        <f aca="false">IF($N126="Reduce",N($O126),0)</f>
        <v>0</v>
      </c>
      <c r="Q126" s="23" t="str">
        <f aca="false">IF($F126="","",MID(IF($G126="",", career level","")&amp;IF($I126="",", nationality mandate","")&amp;IF($N126="",", capacity direction","")&amp;IF(N($J126)&lt;=0,", approved HC","")&amp;IF(AND($G126&lt;&gt;"",COUNTIF(CareerLevels,$G126)=0),", a career level that is not on the ladder","")&amp;IF(AND($N126="Reduce",N($O126)&lt;=0),", how many seats Reduce means","")&amp;IF(AND(N($O126)&gt;0,$N126&lt;&gt;"Reduce"),", a number of seats on a row not marked Reduce","")&amp;IF(N($O126)&gt;N($J126),", more seats given up than the row has",""),3,200))</f>
        <v>career level, nationality mandate, capacity direction</v>
      </c>
    </row>
    <row r="127" customFormat="false" ht="15" hidden="false" customHeight="false" outlineLevel="0" collapsed="false">
      <c r="A127" s="21" t="s">
        <v>408</v>
      </c>
      <c r="B127" s="21" t="s">
        <v>158</v>
      </c>
      <c r="C127" s="21" t="s">
        <v>190</v>
      </c>
      <c r="D127" s="21" t="s">
        <v>206</v>
      </c>
      <c r="E127" s="21"/>
      <c r="F127" s="21" t="s">
        <v>475</v>
      </c>
      <c r="G127" s="21"/>
      <c r="H127" s="21" t="s">
        <v>394</v>
      </c>
      <c r="I127" s="21"/>
      <c r="J127" s="22" t="n">
        <v>1</v>
      </c>
      <c r="K127" s="22" t="n">
        <v>1</v>
      </c>
      <c r="L127" s="22" t="n">
        <v>0</v>
      </c>
      <c r="M127" s="21" t="s">
        <v>385</v>
      </c>
      <c r="N127" s="21"/>
      <c r="O127" s="22"/>
      <c r="P127" s="20" t="n">
        <f aca="false">IF($N127="Reduce",N($O127),0)</f>
        <v>0</v>
      </c>
      <c r="Q127" s="23" t="str">
        <f aca="false">IF($F127="","",MID(IF($G127="",", career level","")&amp;IF($I127="",", nationality mandate","")&amp;IF($N127="",", capacity direction","")&amp;IF(N($J127)&lt;=0,", approved HC","")&amp;IF(AND($G127&lt;&gt;"",COUNTIF(CareerLevels,$G127)=0),", a career level that is not on the ladder","")&amp;IF(AND($N127="Reduce",N($O127)&lt;=0),", how many seats Reduce means","")&amp;IF(AND(N($O127)&gt;0,$N127&lt;&gt;"Reduce"),", a number of seats on a row not marked Reduce","")&amp;IF(N($O127)&gt;N($J127),", more seats given up than the row has",""),3,200))</f>
        <v>career level, nationality mandate, capacity direction</v>
      </c>
    </row>
    <row r="128" customFormat="false" ht="15" hidden="false" customHeight="false" outlineLevel="0" collapsed="false">
      <c r="A128" s="21" t="s">
        <v>406</v>
      </c>
      <c r="B128" s="21" t="s">
        <v>158</v>
      </c>
      <c r="C128" s="21" t="s">
        <v>190</v>
      </c>
      <c r="D128" s="21" t="s">
        <v>206</v>
      </c>
      <c r="E128" s="21" t="s">
        <v>208</v>
      </c>
      <c r="F128" s="21" t="s">
        <v>476</v>
      </c>
      <c r="G128" s="21"/>
      <c r="H128" s="21" t="s">
        <v>396</v>
      </c>
      <c r="I128" s="21"/>
      <c r="J128" s="22" t="n">
        <v>1</v>
      </c>
      <c r="K128" s="22" t="n">
        <v>1</v>
      </c>
      <c r="L128" s="22" t="n">
        <v>0</v>
      </c>
      <c r="M128" s="21" t="s">
        <v>385</v>
      </c>
      <c r="N128" s="21"/>
      <c r="O128" s="22"/>
      <c r="P128" s="20" t="n">
        <f aca="false">IF($N128="Reduce",N($O128),0)</f>
        <v>0</v>
      </c>
      <c r="Q128" s="23" t="str">
        <f aca="false">IF($F128="","",MID(IF($G128="",", career level","")&amp;IF($I128="",", nationality mandate","")&amp;IF($N128="",", capacity direction","")&amp;IF(N($J128)&lt;=0,", approved HC","")&amp;IF(AND($G128&lt;&gt;"",COUNTIF(CareerLevels,$G128)=0),", a career level that is not on the ladder","")&amp;IF(AND($N128="Reduce",N($O128)&lt;=0),", how many seats Reduce means","")&amp;IF(AND(N($O128)&gt;0,$N128&lt;&gt;"Reduce"),", a number of seats on a row not marked Reduce","")&amp;IF(N($O128)&gt;N($J128),", more seats given up than the row has",""),3,200))</f>
        <v>career level, nationality mandate, capacity direction</v>
      </c>
    </row>
    <row r="129" customFormat="false" ht="15" hidden="false" customHeight="false" outlineLevel="0" collapsed="false">
      <c r="A129" s="21"/>
      <c r="B129" s="21" t="s">
        <v>158</v>
      </c>
      <c r="C129" s="21" t="s">
        <v>190</v>
      </c>
      <c r="D129" s="21" t="s">
        <v>206</v>
      </c>
      <c r="E129" s="21" t="s">
        <v>208</v>
      </c>
      <c r="F129" s="21" t="s">
        <v>478</v>
      </c>
      <c r="G129" s="21"/>
      <c r="H129" s="21" t="s">
        <v>396</v>
      </c>
      <c r="I129" s="21"/>
      <c r="J129" s="22" t="n">
        <v>2</v>
      </c>
      <c r="K129" s="22" t="n">
        <v>2</v>
      </c>
      <c r="L129" s="22" t="n">
        <v>0</v>
      </c>
      <c r="M129" s="21" t="s">
        <v>385</v>
      </c>
      <c r="N129" s="21"/>
      <c r="O129" s="22"/>
      <c r="P129" s="20" t="n">
        <f aca="false">IF($N129="Reduce",N($O129),0)</f>
        <v>0</v>
      </c>
      <c r="Q129" s="23" t="str">
        <f aca="false">IF($F129="","",MID(IF($G129="",", career level","")&amp;IF($I129="",", nationality mandate","")&amp;IF($N129="",", capacity direction","")&amp;IF(N($J129)&lt;=0,", approved HC","")&amp;IF(AND($G129&lt;&gt;"",COUNTIF(CareerLevels,$G129)=0),", a career level that is not on the ladder","")&amp;IF(AND($N129="Reduce",N($O129)&lt;=0),", how many seats Reduce means","")&amp;IF(AND(N($O129)&gt;0,$N129&lt;&gt;"Reduce"),", a number of seats on a row not marked Reduce","")&amp;IF(N($O129)&gt;N($J129),", more seats given up than the row has",""),3,200))</f>
        <v>career level, nationality mandate, capacity direction</v>
      </c>
    </row>
    <row r="130" customFormat="false" ht="15" hidden="false" customHeight="false" outlineLevel="0" collapsed="false">
      <c r="A130" s="21"/>
      <c r="B130" s="21" t="s">
        <v>158</v>
      </c>
      <c r="C130" s="21" t="s">
        <v>190</v>
      </c>
      <c r="D130" s="21" t="s">
        <v>206</v>
      </c>
      <c r="E130" s="21" t="s">
        <v>208</v>
      </c>
      <c r="F130" s="21" t="s">
        <v>479</v>
      </c>
      <c r="G130" s="21"/>
      <c r="H130" s="21" t="s">
        <v>396</v>
      </c>
      <c r="I130" s="21"/>
      <c r="J130" s="22" t="n">
        <v>3</v>
      </c>
      <c r="K130" s="22" t="n">
        <v>3</v>
      </c>
      <c r="L130" s="22" t="n">
        <v>0</v>
      </c>
      <c r="M130" s="21" t="s">
        <v>385</v>
      </c>
      <c r="N130" s="21"/>
      <c r="O130" s="22"/>
      <c r="P130" s="20" t="n">
        <f aca="false">IF($N130="Reduce",N($O130),0)</f>
        <v>0</v>
      </c>
      <c r="Q130" s="23" t="str">
        <f aca="false">IF($F130="","",MID(IF($G130="",", career level","")&amp;IF($I130="",", nationality mandate","")&amp;IF($N130="",", capacity direction","")&amp;IF(N($J130)&lt;=0,", approved HC","")&amp;IF(AND($G130&lt;&gt;"",COUNTIF(CareerLevels,$G130)=0),", a career level that is not on the ladder","")&amp;IF(AND($N130="Reduce",N($O130)&lt;=0),", how many seats Reduce means","")&amp;IF(AND(N($O130)&gt;0,$N130&lt;&gt;"Reduce"),", a number of seats on a row not marked Reduce","")&amp;IF(N($O130)&gt;N($J130),", more seats given up than the row has",""),3,200))</f>
        <v>career level, nationality mandate, capacity direction</v>
      </c>
    </row>
    <row r="131" customFormat="false" ht="15" hidden="false" customHeight="false" outlineLevel="0" collapsed="false">
      <c r="A131" s="21" t="s">
        <v>412</v>
      </c>
      <c r="B131" s="21" t="s">
        <v>158</v>
      </c>
      <c r="C131" s="21" t="s">
        <v>190</v>
      </c>
      <c r="D131" s="21" t="s">
        <v>206</v>
      </c>
      <c r="E131" s="21" t="s">
        <v>208</v>
      </c>
      <c r="F131" s="21" t="s">
        <v>481</v>
      </c>
      <c r="G131" s="21"/>
      <c r="H131" s="21" t="s">
        <v>394</v>
      </c>
      <c r="I131" s="21"/>
      <c r="J131" s="22" t="n">
        <v>1</v>
      </c>
      <c r="K131" s="22" t="n">
        <v>1</v>
      </c>
      <c r="L131" s="22" t="n">
        <v>0</v>
      </c>
      <c r="M131" s="21" t="s">
        <v>385</v>
      </c>
      <c r="N131" s="21"/>
      <c r="O131" s="22"/>
      <c r="P131" s="20" t="n">
        <f aca="false">IF($N131="Reduce",N($O131),0)</f>
        <v>0</v>
      </c>
      <c r="Q131" s="23" t="str">
        <f aca="false">IF($F131="","",MID(IF($G131="",", career level","")&amp;IF($I131="",", nationality mandate","")&amp;IF($N131="",", capacity direction","")&amp;IF(N($J131)&lt;=0,", approved HC","")&amp;IF(AND($G131&lt;&gt;"",COUNTIF(CareerLevels,$G131)=0),", a career level that is not on the ladder","")&amp;IF(AND($N131="Reduce",N($O131)&lt;=0),", how many seats Reduce means","")&amp;IF(AND(N($O131)&gt;0,$N131&lt;&gt;"Reduce"),", a number of seats on a row not marked Reduce","")&amp;IF(N($O131)&gt;N($J131),", more seats given up than the row has",""),3,200))</f>
        <v>career level, nationality mandate, capacity direction</v>
      </c>
    </row>
    <row r="132" customFormat="false" ht="15" hidden="false" customHeight="false" outlineLevel="0" collapsed="false">
      <c r="A132" s="21"/>
      <c r="B132" s="21" t="s">
        <v>158</v>
      </c>
      <c r="C132" s="21" t="s">
        <v>190</v>
      </c>
      <c r="D132" s="21" t="s">
        <v>206</v>
      </c>
      <c r="E132" s="21" t="s">
        <v>214</v>
      </c>
      <c r="F132" s="21" t="s">
        <v>476</v>
      </c>
      <c r="G132" s="21"/>
      <c r="H132" s="21" t="s">
        <v>396</v>
      </c>
      <c r="I132" s="21"/>
      <c r="J132" s="22" t="n">
        <v>3</v>
      </c>
      <c r="K132" s="22" t="n">
        <v>2</v>
      </c>
      <c r="L132" s="22" t="n">
        <v>1</v>
      </c>
      <c r="M132" s="21" t="s">
        <v>385</v>
      </c>
      <c r="N132" s="21"/>
      <c r="O132" s="22"/>
      <c r="P132" s="20" t="n">
        <f aca="false">IF($N132="Reduce",N($O132),0)</f>
        <v>0</v>
      </c>
      <c r="Q132" s="23" t="str">
        <f aca="false">IF($F132="","",MID(IF($G132="",", career level","")&amp;IF($I132="",", nationality mandate","")&amp;IF($N132="",", capacity direction","")&amp;IF(N($J132)&lt;=0,", approved HC","")&amp;IF(AND($G132&lt;&gt;"",COUNTIF(CareerLevels,$G132)=0),", a career level that is not on the ladder","")&amp;IF(AND($N132="Reduce",N($O132)&lt;=0),", how many seats Reduce means","")&amp;IF(AND(N($O132)&gt;0,$N132&lt;&gt;"Reduce"),", a number of seats on a row not marked Reduce","")&amp;IF(N($O132)&gt;N($J132),", more seats given up than the row has",""),3,200))</f>
        <v>career level, nationality mandate, capacity direction</v>
      </c>
    </row>
    <row r="133" customFormat="false" ht="15" hidden="false" customHeight="false" outlineLevel="0" collapsed="false">
      <c r="A133" s="21" t="s">
        <v>434</v>
      </c>
      <c r="B133" s="21" t="s">
        <v>158</v>
      </c>
      <c r="C133" s="21" t="s">
        <v>190</v>
      </c>
      <c r="D133" s="21" t="s">
        <v>206</v>
      </c>
      <c r="E133" s="21" t="s">
        <v>214</v>
      </c>
      <c r="F133" s="21" t="s">
        <v>479</v>
      </c>
      <c r="G133" s="21"/>
      <c r="H133" s="21" t="s">
        <v>396</v>
      </c>
      <c r="I133" s="21"/>
      <c r="J133" s="22" t="n">
        <v>1</v>
      </c>
      <c r="K133" s="22" t="n">
        <v>1</v>
      </c>
      <c r="L133" s="22" t="n">
        <v>0</v>
      </c>
      <c r="M133" s="21" t="s">
        <v>385</v>
      </c>
      <c r="N133" s="21"/>
      <c r="O133" s="22"/>
      <c r="P133" s="20" t="n">
        <f aca="false">IF($N133="Reduce",N($O133),0)</f>
        <v>0</v>
      </c>
      <c r="Q133" s="23" t="str">
        <f aca="false">IF($F133="","",MID(IF($G133="",", career level","")&amp;IF($I133="",", nationality mandate","")&amp;IF($N133="",", capacity direction","")&amp;IF(N($J133)&lt;=0,", approved HC","")&amp;IF(AND($G133&lt;&gt;"",COUNTIF(CareerLevels,$G133)=0),", a career level that is not on the ladder","")&amp;IF(AND($N133="Reduce",N($O133)&lt;=0),", how many seats Reduce means","")&amp;IF(AND(N($O133)&gt;0,$N133&lt;&gt;"Reduce"),", a number of seats on a row not marked Reduce","")&amp;IF(N($O133)&gt;N($J133),", more seats given up than the row has",""),3,200))</f>
        <v>career level, nationality mandate, capacity direction</v>
      </c>
    </row>
    <row r="134" customFormat="false" ht="15" hidden="false" customHeight="false" outlineLevel="0" collapsed="false">
      <c r="A134" s="21" t="s">
        <v>472</v>
      </c>
      <c r="B134" s="21" t="s">
        <v>158</v>
      </c>
      <c r="C134" s="21" t="s">
        <v>190</v>
      </c>
      <c r="D134" s="21" t="s">
        <v>206</v>
      </c>
      <c r="E134" s="21" t="s">
        <v>214</v>
      </c>
      <c r="F134" s="21" t="s">
        <v>480</v>
      </c>
      <c r="G134" s="21"/>
      <c r="H134" s="21" t="s">
        <v>396</v>
      </c>
      <c r="I134" s="21"/>
      <c r="J134" s="22" t="n">
        <v>1</v>
      </c>
      <c r="K134" s="22" t="n">
        <v>1</v>
      </c>
      <c r="L134" s="22" t="n">
        <v>0</v>
      </c>
      <c r="M134" s="21" t="s">
        <v>385</v>
      </c>
      <c r="N134" s="21"/>
      <c r="O134" s="22"/>
      <c r="P134" s="20" t="n">
        <f aca="false">IF($N134="Reduce",N($O134),0)</f>
        <v>0</v>
      </c>
      <c r="Q134" s="23" t="str">
        <f aca="false">IF($F134="","",MID(IF($G134="",", career level","")&amp;IF($I134="",", nationality mandate","")&amp;IF($N134="",", capacity direction","")&amp;IF(N($J134)&lt;=0,", approved HC","")&amp;IF(AND($G134&lt;&gt;"",COUNTIF(CareerLevels,$G134)=0),", a career level that is not on the ladder","")&amp;IF(AND($N134="Reduce",N($O134)&lt;=0),", how many seats Reduce means","")&amp;IF(AND(N($O134)&gt;0,$N134&lt;&gt;"Reduce"),", a number of seats on a row not marked Reduce","")&amp;IF(N($O134)&gt;N($J134),", more seats given up than the row has",""),3,200))</f>
        <v>career level, nationality mandate, capacity direction</v>
      </c>
    </row>
    <row r="135" customFormat="false" ht="15" hidden="false" customHeight="false" outlineLevel="0" collapsed="false">
      <c r="A135" s="21" t="s">
        <v>433</v>
      </c>
      <c r="B135" s="21" t="s">
        <v>158</v>
      </c>
      <c r="C135" s="21" t="s">
        <v>190</v>
      </c>
      <c r="D135" s="21" t="s">
        <v>206</v>
      </c>
      <c r="E135" s="21" t="s">
        <v>214</v>
      </c>
      <c r="F135" s="21" t="s">
        <v>480</v>
      </c>
      <c r="G135" s="21"/>
      <c r="H135" s="21" t="s">
        <v>396</v>
      </c>
      <c r="I135" s="21"/>
      <c r="J135" s="22" t="n">
        <v>1</v>
      </c>
      <c r="K135" s="22" t="n">
        <v>1</v>
      </c>
      <c r="L135" s="22" t="n">
        <v>0</v>
      </c>
      <c r="M135" s="21" t="s">
        <v>389</v>
      </c>
      <c r="N135" s="21"/>
      <c r="O135" s="22"/>
      <c r="P135" s="20" t="n">
        <f aca="false">IF($N135="Reduce",N($O135),0)</f>
        <v>0</v>
      </c>
      <c r="Q135" s="23" t="str">
        <f aca="false">IF($F135="","",MID(IF($G135="",", career level","")&amp;IF($I135="",", nationality mandate","")&amp;IF($N135="",", capacity direction","")&amp;IF(N($J135)&lt;=0,", approved HC","")&amp;IF(AND($G135&lt;&gt;"",COUNTIF(CareerLevels,$G135)=0),", a career level that is not on the ladder","")&amp;IF(AND($N135="Reduce",N($O135)&lt;=0),", how many seats Reduce means","")&amp;IF(AND(N($O135)&gt;0,$N135&lt;&gt;"Reduce"),", a number of seats on a row not marked Reduce","")&amp;IF(N($O135)&gt;N($J135),", more seats given up than the row has",""),3,200))</f>
        <v>career level, nationality mandate, capacity direction</v>
      </c>
    </row>
    <row r="136" customFormat="false" ht="15" hidden="false" customHeight="false" outlineLevel="0" collapsed="false">
      <c r="A136" s="21" t="s">
        <v>484</v>
      </c>
      <c r="B136" s="21" t="s">
        <v>158</v>
      </c>
      <c r="C136" s="21" t="s">
        <v>190</v>
      </c>
      <c r="D136" s="21" t="s">
        <v>206</v>
      </c>
      <c r="E136" s="21" t="s">
        <v>214</v>
      </c>
      <c r="F136" s="21" t="s">
        <v>481</v>
      </c>
      <c r="G136" s="21"/>
      <c r="H136" s="21" t="s">
        <v>394</v>
      </c>
      <c r="I136" s="21"/>
      <c r="J136" s="22" t="n">
        <v>1</v>
      </c>
      <c r="K136" s="22" t="n">
        <v>1</v>
      </c>
      <c r="L136" s="22" t="n">
        <v>0</v>
      </c>
      <c r="M136" s="21" t="s">
        <v>385</v>
      </c>
      <c r="N136" s="21"/>
      <c r="O136" s="22"/>
      <c r="P136" s="20" t="n">
        <f aca="false">IF($N136="Reduce",N($O136),0)</f>
        <v>0</v>
      </c>
      <c r="Q136" s="23" t="str">
        <f aca="false">IF($F136="","",MID(IF($G136="",", career level","")&amp;IF($I136="",", nationality mandate","")&amp;IF($N136="",", capacity direction","")&amp;IF(N($J136)&lt;=0,", approved HC","")&amp;IF(AND($G136&lt;&gt;"",COUNTIF(CareerLevels,$G136)=0),", a career level that is not on the ladder","")&amp;IF(AND($N136="Reduce",N($O136)&lt;=0),", how many seats Reduce means","")&amp;IF(AND(N($O136)&gt;0,$N136&lt;&gt;"Reduce"),", a number of seats on a row not marked Reduce","")&amp;IF(N($O136)&gt;N($J136),", more seats given up than the row has",""),3,200))</f>
        <v>career level, nationality mandate, capacity direction</v>
      </c>
    </row>
    <row r="137" customFormat="false" ht="15" hidden="false" customHeight="false" outlineLevel="0" collapsed="false">
      <c r="A137" s="21" t="s">
        <v>432</v>
      </c>
      <c r="B137" s="21" t="s">
        <v>220</v>
      </c>
      <c r="C137" s="21"/>
      <c r="D137" s="21"/>
      <c r="E137" s="21"/>
      <c r="F137" s="21" t="s">
        <v>485</v>
      </c>
      <c r="G137" s="21"/>
      <c r="H137" s="21" t="s">
        <v>388</v>
      </c>
      <c r="I137" s="21"/>
      <c r="J137" s="22" t="n">
        <v>1</v>
      </c>
      <c r="K137" s="22" t="n">
        <v>1</v>
      </c>
      <c r="L137" s="22" t="n">
        <v>0</v>
      </c>
      <c r="M137" s="21" t="s">
        <v>385</v>
      </c>
      <c r="N137" s="21"/>
      <c r="O137" s="22"/>
      <c r="P137" s="20" t="n">
        <f aca="false">IF($N137="Reduce",N($O137),0)</f>
        <v>0</v>
      </c>
      <c r="Q137" s="23" t="str">
        <f aca="false">IF($F137="","",MID(IF($G137="",", career level","")&amp;IF($I137="",", nationality mandate","")&amp;IF($N137="",", capacity direction","")&amp;IF(N($J137)&lt;=0,", approved HC","")&amp;IF(AND($G137&lt;&gt;"",COUNTIF(CareerLevels,$G137)=0),", a career level that is not on the ladder","")&amp;IF(AND($N137="Reduce",N($O137)&lt;=0),", how many seats Reduce means","")&amp;IF(AND(N($O137)&gt;0,$N137&lt;&gt;"Reduce"),", a number of seats on a row not marked Reduce","")&amp;IF(N($O137)&gt;N($J137),", more seats given up than the row has",""),3,200))</f>
        <v>career level, nationality mandate, capacity direction</v>
      </c>
    </row>
    <row r="138" customFormat="false" ht="15" hidden="false" customHeight="false" outlineLevel="0" collapsed="false">
      <c r="A138" s="21" t="s">
        <v>441</v>
      </c>
      <c r="B138" s="21" t="s">
        <v>220</v>
      </c>
      <c r="C138" s="21" t="s">
        <v>222</v>
      </c>
      <c r="D138" s="21"/>
      <c r="E138" s="21"/>
      <c r="F138" s="21" t="s">
        <v>486</v>
      </c>
      <c r="G138" s="21"/>
      <c r="H138" s="21" t="s">
        <v>388</v>
      </c>
      <c r="I138" s="21"/>
      <c r="J138" s="22" t="n">
        <v>1</v>
      </c>
      <c r="K138" s="22" t="n">
        <v>1</v>
      </c>
      <c r="L138" s="22" t="n">
        <v>0</v>
      </c>
      <c r="M138" s="21" t="s">
        <v>385</v>
      </c>
      <c r="N138" s="21"/>
      <c r="O138" s="22"/>
      <c r="P138" s="20" t="n">
        <f aca="false">IF($N138="Reduce",N($O138),0)</f>
        <v>0</v>
      </c>
      <c r="Q138" s="23" t="str">
        <f aca="false">IF($F138="","",MID(IF($G138="",", career level","")&amp;IF($I138="",", nationality mandate","")&amp;IF($N138="",", capacity direction","")&amp;IF(N($J138)&lt;=0,", approved HC","")&amp;IF(AND($G138&lt;&gt;"",COUNTIF(CareerLevels,$G138)=0),", a career level that is not on the ladder","")&amp;IF(AND($N138="Reduce",N($O138)&lt;=0),", how many seats Reduce means","")&amp;IF(AND(N($O138)&gt;0,$N138&lt;&gt;"Reduce"),", a number of seats on a row not marked Reduce","")&amp;IF(N($O138)&gt;N($J138),", more seats given up than the row has",""),3,200))</f>
        <v>career level, nationality mandate, capacity direction</v>
      </c>
    </row>
    <row r="139" customFormat="false" ht="15" hidden="false" customHeight="false" outlineLevel="0" collapsed="false">
      <c r="A139" s="21" t="s">
        <v>386</v>
      </c>
      <c r="B139" s="21" t="s">
        <v>220</v>
      </c>
      <c r="C139" s="21" t="s">
        <v>222</v>
      </c>
      <c r="D139" s="21" t="s">
        <v>224</v>
      </c>
      <c r="E139" s="21"/>
      <c r="F139" s="21" t="s">
        <v>487</v>
      </c>
      <c r="G139" s="21"/>
      <c r="H139" s="21" t="s">
        <v>394</v>
      </c>
      <c r="I139" s="21"/>
      <c r="J139" s="22" t="n">
        <v>1</v>
      </c>
      <c r="K139" s="22" t="n">
        <v>1</v>
      </c>
      <c r="L139" s="22" t="n">
        <v>0</v>
      </c>
      <c r="M139" s="21" t="s">
        <v>385</v>
      </c>
      <c r="N139" s="21"/>
      <c r="O139" s="22"/>
      <c r="P139" s="20" t="n">
        <f aca="false">IF($N139="Reduce",N($O139),0)</f>
        <v>0</v>
      </c>
      <c r="Q139" s="23" t="str">
        <f aca="false">IF($F139="","",MID(IF($G139="",", career level","")&amp;IF($I139="",", nationality mandate","")&amp;IF($N139="",", capacity direction","")&amp;IF(N($J139)&lt;=0,", approved HC","")&amp;IF(AND($G139&lt;&gt;"",COUNTIF(CareerLevels,$G139)=0),", a career level that is not on the ladder","")&amp;IF(AND($N139="Reduce",N($O139)&lt;=0),", how many seats Reduce means","")&amp;IF(AND(N($O139)&gt;0,$N139&lt;&gt;"Reduce"),", a number of seats on a row not marked Reduce","")&amp;IF(N($O139)&gt;N($J139),", more seats given up than the row has",""),3,200))</f>
        <v>career level, nationality mandate, capacity direction</v>
      </c>
    </row>
    <row r="140" customFormat="false" ht="15" hidden="false" customHeight="false" outlineLevel="0" collapsed="false">
      <c r="A140" s="21" t="s">
        <v>488</v>
      </c>
      <c r="B140" s="21" t="s">
        <v>220</v>
      </c>
      <c r="C140" s="21" t="s">
        <v>222</v>
      </c>
      <c r="D140" s="21" t="s">
        <v>224</v>
      </c>
      <c r="E140" s="21" t="s">
        <v>226</v>
      </c>
      <c r="F140" s="21" t="s">
        <v>489</v>
      </c>
      <c r="G140" s="21"/>
      <c r="H140" s="21" t="s">
        <v>396</v>
      </c>
      <c r="I140" s="21"/>
      <c r="J140" s="22" t="n">
        <v>1</v>
      </c>
      <c r="K140" s="22" t="n">
        <v>1</v>
      </c>
      <c r="L140" s="22" t="n">
        <v>0</v>
      </c>
      <c r="M140" s="21" t="s">
        <v>385</v>
      </c>
      <c r="N140" s="21"/>
      <c r="O140" s="22"/>
      <c r="P140" s="20" t="n">
        <f aca="false">IF($N140="Reduce",N($O140),0)</f>
        <v>0</v>
      </c>
      <c r="Q140" s="23" t="str">
        <f aca="false">IF($F140="","",MID(IF($G140="",", career level","")&amp;IF($I140="",", nationality mandate","")&amp;IF($N140="",", capacity direction","")&amp;IF(N($J140)&lt;=0,", approved HC","")&amp;IF(AND($G140&lt;&gt;"",COUNTIF(CareerLevels,$G140)=0),", a career level that is not on the ladder","")&amp;IF(AND($N140="Reduce",N($O140)&lt;=0),", how many seats Reduce means","")&amp;IF(AND(N($O140)&gt;0,$N140&lt;&gt;"Reduce"),", a number of seats on a row not marked Reduce","")&amp;IF(N($O140)&gt;N($J140),", more seats given up than the row has",""),3,200))</f>
        <v>career level, nationality mandate, capacity direction</v>
      </c>
    </row>
    <row r="141" customFormat="false" ht="15" hidden="false" customHeight="false" outlineLevel="0" collapsed="false">
      <c r="A141" s="21" t="s">
        <v>477</v>
      </c>
      <c r="B141" s="21" t="s">
        <v>220</v>
      </c>
      <c r="C141" s="21" t="s">
        <v>222</v>
      </c>
      <c r="D141" s="21" t="s">
        <v>224</v>
      </c>
      <c r="E141" s="21" t="s">
        <v>226</v>
      </c>
      <c r="F141" s="21" t="s">
        <v>490</v>
      </c>
      <c r="G141" s="21"/>
      <c r="H141" s="21" t="s">
        <v>396</v>
      </c>
      <c r="I141" s="21"/>
      <c r="J141" s="22" t="n">
        <v>1</v>
      </c>
      <c r="K141" s="22" t="n">
        <v>0</v>
      </c>
      <c r="L141" s="22" t="n">
        <v>1</v>
      </c>
      <c r="M141" s="21" t="s">
        <v>385</v>
      </c>
      <c r="N141" s="21"/>
      <c r="O141" s="22"/>
      <c r="P141" s="20" t="n">
        <f aca="false">IF($N141="Reduce",N($O141),0)</f>
        <v>0</v>
      </c>
      <c r="Q141" s="23" t="str">
        <f aca="false">IF($F141="","",MID(IF($G141="",", career level","")&amp;IF($I141="",", nationality mandate","")&amp;IF($N141="",", capacity direction","")&amp;IF(N($J141)&lt;=0,", approved HC","")&amp;IF(AND($G141&lt;&gt;"",COUNTIF(CareerLevels,$G141)=0),", a career level that is not on the ladder","")&amp;IF(AND($N141="Reduce",N($O141)&lt;=0),", how many seats Reduce means","")&amp;IF(AND(N($O141)&gt;0,$N141&lt;&gt;"Reduce"),", a number of seats on a row not marked Reduce","")&amp;IF(N($O141)&gt;N($J141),", more seats given up than the row has",""),3,200))</f>
        <v>career level, nationality mandate, capacity direction</v>
      </c>
    </row>
    <row r="142" customFormat="false" ht="15" hidden="false" customHeight="false" outlineLevel="0" collapsed="false">
      <c r="A142" s="21" t="s">
        <v>453</v>
      </c>
      <c r="B142" s="21" t="s">
        <v>220</v>
      </c>
      <c r="C142" s="21" t="s">
        <v>222</v>
      </c>
      <c r="D142" s="21" t="s">
        <v>224</v>
      </c>
      <c r="E142" s="21" t="s">
        <v>226</v>
      </c>
      <c r="F142" s="21" t="s">
        <v>491</v>
      </c>
      <c r="G142" s="21"/>
      <c r="H142" s="21" t="s">
        <v>396</v>
      </c>
      <c r="I142" s="21"/>
      <c r="J142" s="22" t="n">
        <v>1</v>
      </c>
      <c r="K142" s="22" t="n">
        <v>1</v>
      </c>
      <c r="L142" s="22" t="n">
        <v>0</v>
      </c>
      <c r="M142" s="21" t="s">
        <v>385</v>
      </c>
      <c r="N142" s="21"/>
      <c r="O142" s="22"/>
      <c r="P142" s="20" t="n">
        <f aca="false">IF($N142="Reduce",N($O142),0)</f>
        <v>0</v>
      </c>
      <c r="Q142" s="23" t="str">
        <f aca="false">IF($F142="","",MID(IF($G142="",", career level","")&amp;IF($I142="",", nationality mandate","")&amp;IF($N142="",", capacity direction","")&amp;IF(N($J142)&lt;=0,", approved HC","")&amp;IF(AND($G142&lt;&gt;"",COUNTIF(CareerLevels,$G142)=0),", a career level that is not on the ladder","")&amp;IF(AND($N142="Reduce",N($O142)&lt;=0),", how many seats Reduce means","")&amp;IF(AND(N($O142)&gt;0,$N142&lt;&gt;"Reduce"),", a number of seats on a row not marked Reduce","")&amp;IF(N($O142)&gt;N($J142),", more seats given up than the row has",""),3,200))</f>
        <v>career level, nationality mandate, capacity direction</v>
      </c>
    </row>
    <row r="143" customFormat="false" ht="15" hidden="false" customHeight="false" outlineLevel="0" collapsed="false">
      <c r="A143" s="21"/>
      <c r="B143" s="21" t="s">
        <v>220</v>
      </c>
      <c r="C143" s="21" t="s">
        <v>222</v>
      </c>
      <c r="D143" s="21" t="s">
        <v>224</v>
      </c>
      <c r="E143" s="21" t="s">
        <v>226</v>
      </c>
      <c r="F143" s="21" t="s">
        <v>492</v>
      </c>
      <c r="G143" s="21"/>
      <c r="H143" s="21" t="s">
        <v>396</v>
      </c>
      <c r="I143" s="21"/>
      <c r="J143" s="22" t="n">
        <v>2</v>
      </c>
      <c r="K143" s="22" t="n">
        <v>2</v>
      </c>
      <c r="L143" s="22" t="n">
        <v>0</v>
      </c>
      <c r="M143" s="21" t="s">
        <v>385</v>
      </c>
      <c r="N143" s="21"/>
      <c r="O143" s="22"/>
      <c r="P143" s="20" t="n">
        <f aca="false">IF($N143="Reduce",N($O143),0)</f>
        <v>0</v>
      </c>
      <c r="Q143" s="23" t="str">
        <f aca="false">IF($F143="","",MID(IF($G143="",", career level","")&amp;IF($I143="",", nationality mandate","")&amp;IF($N143="",", capacity direction","")&amp;IF(N($J143)&lt;=0,", approved HC","")&amp;IF(AND($G143&lt;&gt;"",COUNTIF(CareerLevels,$G143)=0),", a career level that is not on the ladder","")&amp;IF(AND($N143="Reduce",N($O143)&lt;=0),", how many seats Reduce means","")&amp;IF(AND(N($O143)&gt;0,$N143&lt;&gt;"Reduce"),", a number of seats on a row not marked Reduce","")&amp;IF(N($O143)&gt;N($J143),", more seats given up than the row has",""),3,200))</f>
        <v>career level, nationality mandate, capacity direction</v>
      </c>
    </row>
    <row r="144" customFormat="false" ht="15" hidden="false" customHeight="false" outlineLevel="0" collapsed="false">
      <c r="A144" s="21" t="s">
        <v>455</v>
      </c>
      <c r="B144" s="21" t="s">
        <v>220</v>
      </c>
      <c r="C144" s="21" t="s">
        <v>222</v>
      </c>
      <c r="D144" s="21" t="s">
        <v>224</v>
      </c>
      <c r="E144" s="21" t="s">
        <v>226</v>
      </c>
      <c r="F144" s="21" t="s">
        <v>493</v>
      </c>
      <c r="G144" s="21"/>
      <c r="H144" s="21" t="s">
        <v>396</v>
      </c>
      <c r="I144" s="21"/>
      <c r="J144" s="22" t="n">
        <v>1</v>
      </c>
      <c r="K144" s="22" t="n">
        <v>1</v>
      </c>
      <c r="L144" s="22" t="n">
        <v>0</v>
      </c>
      <c r="M144" s="21" t="s">
        <v>385</v>
      </c>
      <c r="N144" s="21"/>
      <c r="O144" s="22"/>
      <c r="P144" s="20" t="n">
        <f aca="false">IF($N144="Reduce",N($O144),0)</f>
        <v>0</v>
      </c>
      <c r="Q144" s="23" t="str">
        <f aca="false">IF($F144="","",MID(IF($G144="",", career level","")&amp;IF($I144="",", nationality mandate","")&amp;IF($N144="",", capacity direction","")&amp;IF(N($J144)&lt;=0,", approved HC","")&amp;IF(AND($G144&lt;&gt;"",COUNTIF(CareerLevels,$G144)=0),", a career level that is not on the ladder","")&amp;IF(AND($N144="Reduce",N($O144)&lt;=0),", how many seats Reduce means","")&amp;IF(AND(N($O144)&gt;0,$N144&lt;&gt;"Reduce"),", a number of seats on a row not marked Reduce","")&amp;IF(N($O144)&gt;N($J144),", more seats given up than the row has",""),3,200))</f>
        <v>career level, nationality mandate, capacity direction</v>
      </c>
    </row>
    <row r="145" customFormat="false" ht="15" hidden="false" customHeight="false" outlineLevel="0" collapsed="false">
      <c r="A145" s="21" t="s">
        <v>431</v>
      </c>
      <c r="B145" s="21" t="s">
        <v>220</v>
      </c>
      <c r="C145" s="21" t="s">
        <v>222</v>
      </c>
      <c r="D145" s="21" t="s">
        <v>224</v>
      </c>
      <c r="E145" s="21" t="s">
        <v>226</v>
      </c>
      <c r="F145" s="21" t="s">
        <v>494</v>
      </c>
      <c r="G145" s="21"/>
      <c r="H145" s="21" t="s">
        <v>394</v>
      </c>
      <c r="I145" s="21"/>
      <c r="J145" s="22" t="n">
        <v>1</v>
      </c>
      <c r="K145" s="22" t="n">
        <v>1</v>
      </c>
      <c r="L145" s="22" t="n">
        <v>0</v>
      </c>
      <c r="M145" s="21" t="s">
        <v>385</v>
      </c>
      <c r="N145" s="21"/>
      <c r="O145" s="22"/>
      <c r="P145" s="20" t="n">
        <f aca="false">IF($N145="Reduce",N($O145),0)</f>
        <v>0</v>
      </c>
      <c r="Q145" s="23" t="str">
        <f aca="false">IF($F145="","",MID(IF($G145="",", career level","")&amp;IF($I145="",", nationality mandate","")&amp;IF($N145="",", capacity direction","")&amp;IF(N($J145)&lt;=0,", approved HC","")&amp;IF(AND($G145&lt;&gt;"",COUNTIF(CareerLevels,$G145)=0),", a career level that is not on the ladder","")&amp;IF(AND($N145="Reduce",N($O145)&lt;=0),", how many seats Reduce means","")&amp;IF(AND(N($O145)&gt;0,$N145&lt;&gt;"Reduce"),", a number of seats on a row not marked Reduce","")&amp;IF(N($O145)&gt;N($J145),", more seats given up than the row has",""),3,200))</f>
        <v>career level, nationality mandate, capacity direction</v>
      </c>
    </row>
    <row r="146" customFormat="false" ht="15" hidden="false" customHeight="false" outlineLevel="0" collapsed="false">
      <c r="A146" s="21" t="s">
        <v>412</v>
      </c>
      <c r="B146" s="21" t="s">
        <v>220</v>
      </c>
      <c r="C146" s="21" t="s">
        <v>222</v>
      </c>
      <c r="D146" s="21" t="s">
        <v>224</v>
      </c>
      <c r="E146" s="21" t="s">
        <v>232</v>
      </c>
      <c r="F146" s="21" t="s">
        <v>495</v>
      </c>
      <c r="G146" s="21"/>
      <c r="H146" s="21" t="s">
        <v>396</v>
      </c>
      <c r="I146" s="21"/>
      <c r="J146" s="22" t="n">
        <v>1</v>
      </c>
      <c r="K146" s="22" t="n">
        <v>1</v>
      </c>
      <c r="L146" s="22" t="n">
        <v>0</v>
      </c>
      <c r="M146" s="21" t="s">
        <v>385</v>
      </c>
      <c r="N146" s="21"/>
      <c r="O146" s="22"/>
      <c r="P146" s="20" t="n">
        <f aca="false">IF($N146="Reduce",N($O146),0)</f>
        <v>0</v>
      </c>
      <c r="Q146" s="23" t="str">
        <f aca="false">IF($F146="","",MID(IF($G146="",", career level","")&amp;IF($I146="",", nationality mandate","")&amp;IF($N146="",", capacity direction","")&amp;IF(N($J146)&lt;=0,", approved HC","")&amp;IF(AND($G146&lt;&gt;"",COUNTIF(CareerLevels,$G146)=0),", a career level that is not on the ladder","")&amp;IF(AND($N146="Reduce",N($O146)&lt;=0),", how many seats Reduce means","")&amp;IF(AND(N($O146)&gt;0,$N146&lt;&gt;"Reduce"),", a number of seats on a row not marked Reduce","")&amp;IF(N($O146)&gt;N($J146),", more seats given up than the row has",""),3,200))</f>
        <v>career level, nationality mandate, capacity direction</v>
      </c>
    </row>
    <row r="147" customFormat="false" ht="15" hidden="false" customHeight="false" outlineLevel="0" collapsed="false">
      <c r="A147" s="21" t="s">
        <v>423</v>
      </c>
      <c r="B147" s="21" t="s">
        <v>220</v>
      </c>
      <c r="C147" s="21" t="s">
        <v>222</v>
      </c>
      <c r="D147" s="21" t="s">
        <v>224</v>
      </c>
      <c r="E147" s="21" t="s">
        <v>232</v>
      </c>
      <c r="F147" s="21" t="s">
        <v>490</v>
      </c>
      <c r="G147" s="21"/>
      <c r="H147" s="21" t="s">
        <v>396</v>
      </c>
      <c r="I147" s="21"/>
      <c r="J147" s="22" t="n">
        <v>1</v>
      </c>
      <c r="K147" s="22" t="n">
        <v>1</v>
      </c>
      <c r="L147" s="22" t="n">
        <v>0</v>
      </c>
      <c r="M147" s="21" t="s">
        <v>385</v>
      </c>
      <c r="N147" s="21"/>
      <c r="O147" s="22"/>
      <c r="P147" s="20" t="n">
        <f aca="false">IF($N147="Reduce",N($O147),0)</f>
        <v>0</v>
      </c>
      <c r="Q147" s="23" t="str">
        <f aca="false">IF($F147="","",MID(IF($G147="",", career level","")&amp;IF($I147="",", nationality mandate","")&amp;IF($N147="",", capacity direction","")&amp;IF(N($J147)&lt;=0,", approved HC","")&amp;IF(AND($G147&lt;&gt;"",COUNTIF(CareerLevels,$G147)=0),", a career level that is not on the ladder","")&amp;IF(AND($N147="Reduce",N($O147)&lt;=0),", how many seats Reduce means","")&amp;IF(AND(N($O147)&gt;0,$N147&lt;&gt;"Reduce"),", a number of seats on a row not marked Reduce","")&amp;IF(N($O147)&gt;N($J147),", more seats given up than the row has",""),3,200))</f>
        <v>career level, nationality mandate, capacity direction</v>
      </c>
    </row>
    <row r="148" customFormat="false" ht="15" hidden="false" customHeight="false" outlineLevel="0" collapsed="false">
      <c r="A148" s="21" t="s">
        <v>433</v>
      </c>
      <c r="B148" s="21" t="s">
        <v>220</v>
      </c>
      <c r="C148" s="21" t="s">
        <v>222</v>
      </c>
      <c r="D148" s="21" t="s">
        <v>224</v>
      </c>
      <c r="E148" s="21" t="s">
        <v>232</v>
      </c>
      <c r="F148" s="21" t="s">
        <v>492</v>
      </c>
      <c r="G148" s="21"/>
      <c r="H148" s="21" t="s">
        <v>396</v>
      </c>
      <c r="I148" s="21"/>
      <c r="J148" s="22" t="n">
        <v>1</v>
      </c>
      <c r="K148" s="22" t="n">
        <v>1</v>
      </c>
      <c r="L148" s="22" t="n">
        <v>0</v>
      </c>
      <c r="M148" s="21" t="s">
        <v>385</v>
      </c>
      <c r="N148" s="21"/>
      <c r="O148" s="22"/>
      <c r="P148" s="20" t="n">
        <f aca="false">IF($N148="Reduce",N($O148),0)</f>
        <v>0</v>
      </c>
      <c r="Q148" s="23" t="str">
        <f aca="false">IF($F148="","",MID(IF($G148="",", career level","")&amp;IF($I148="",", nationality mandate","")&amp;IF($N148="",", capacity direction","")&amp;IF(N($J148)&lt;=0,", approved HC","")&amp;IF(AND($G148&lt;&gt;"",COUNTIF(CareerLevels,$G148)=0),", a career level that is not on the ladder","")&amp;IF(AND($N148="Reduce",N($O148)&lt;=0),", how many seats Reduce means","")&amp;IF(AND(N($O148)&gt;0,$N148&lt;&gt;"Reduce"),", a number of seats on a row not marked Reduce","")&amp;IF(N($O148)&gt;N($J148),", more seats given up than the row has",""),3,200))</f>
        <v>career level, nationality mandate, capacity direction</v>
      </c>
    </row>
    <row r="149" customFormat="false" ht="15" hidden="false" customHeight="false" outlineLevel="0" collapsed="false">
      <c r="A149" s="21"/>
      <c r="B149" s="21" t="s">
        <v>220</v>
      </c>
      <c r="C149" s="21" t="s">
        <v>222</v>
      </c>
      <c r="D149" s="21" t="s">
        <v>224</v>
      </c>
      <c r="E149" s="21" t="s">
        <v>232</v>
      </c>
      <c r="F149" s="21" t="s">
        <v>493</v>
      </c>
      <c r="G149" s="21"/>
      <c r="H149" s="21" t="s">
        <v>396</v>
      </c>
      <c r="I149" s="21"/>
      <c r="J149" s="22" t="n">
        <v>2</v>
      </c>
      <c r="K149" s="22" t="n">
        <v>2</v>
      </c>
      <c r="L149" s="22" t="n">
        <v>0</v>
      </c>
      <c r="M149" s="21" t="s">
        <v>385</v>
      </c>
      <c r="N149" s="21"/>
      <c r="O149" s="22"/>
      <c r="P149" s="20" t="n">
        <f aca="false">IF($N149="Reduce",N($O149),0)</f>
        <v>0</v>
      </c>
      <c r="Q149" s="23" t="str">
        <f aca="false">IF($F149="","",MID(IF($G149="",", career level","")&amp;IF($I149="",", nationality mandate","")&amp;IF($N149="",", capacity direction","")&amp;IF(N($J149)&lt;=0,", approved HC","")&amp;IF(AND($G149&lt;&gt;"",COUNTIF(CareerLevels,$G149)=0),", a career level that is not on the ladder","")&amp;IF(AND($N149="Reduce",N($O149)&lt;=0),", how many seats Reduce means","")&amp;IF(AND(N($O149)&gt;0,$N149&lt;&gt;"Reduce"),", a number of seats on a row not marked Reduce","")&amp;IF(N($O149)&gt;N($J149),", more seats given up than the row has",""),3,200))</f>
        <v>career level, nationality mandate, capacity direction</v>
      </c>
    </row>
    <row r="150" customFormat="false" ht="15" hidden="false" customHeight="false" outlineLevel="0" collapsed="false">
      <c r="A150" s="21" t="s">
        <v>439</v>
      </c>
      <c r="B150" s="21" t="s">
        <v>220</v>
      </c>
      <c r="C150" s="21" t="s">
        <v>222</v>
      </c>
      <c r="D150" s="21" t="s">
        <v>224</v>
      </c>
      <c r="E150" s="21" t="s">
        <v>232</v>
      </c>
      <c r="F150" s="21" t="s">
        <v>494</v>
      </c>
      <c r="G150" s="21"/>
      <c r="H150" s="21" t="s">
        <v>394</v>
      </c>
      <c r="I150" s="21"/>
      <c r="J150" s="22" t="n">
        <v>1</v>
      </c>
      <c r="K150" s="22" t="n">
        <v>1</v>
      </c>
      <c r="L150" s="22" t="n">
        <v>0</v>
      </c>
      <c r="M150" s="21" t="s">
        <v>385</v>
      </c>
      <c r="N150" s="21"/>
      <c r="O150" s="22"/>
      <c r="P150" s="20" t="n">
        <f aca="false">IF($N150="Reduce",N($O150),0)</f>
        <v>0</v>
      </c>
      <c r="Q150" s="23" t="str">
        <f aca="false">IF($F150="","",MID(IF($G150="",", career level","")&amp;IF($I150="",", nationality mandate","")&amp;IF($N150="",", capacity direction","")&amp;IF(N($J150)&lt;=0,", approved HC","")&amp;IF(AND($G150&lt;&gt;"",COUNTIF(CareerLevels,$G150)=0),", a career level that is not on the ladder","")&amp;IF(AND($N150="Reduce",N($O150)&lt;=0),", how many seats Reduce means","")&amp;IF(AND(N($O150)&gt;0,$N150&lt;&gt;"Reduce"),", a number of seats on a row not marked Reduce","")&amp;IF(N($O150)&gt;N($J150),", more seats given up than the row has",""),3,200))</f>
        <v>career level, nationality mandate, capacity direction</v>
      </c>
    </row>
    <row r="151" customFormat="false" ht="15" hidden="false" customHeight="false" outlineLevel="0" collapsed="false">
      <c r="A151" s="21" t="s">
        <v>438</v>
      </c>
      <c r="B151" s="21" t="s">
        <v>220</v>
      </c>
      <c r="C151" s="21" t="s">
        <v>222</v>
      </c>
      <c r="D151" s="21" t="s">
        <v>238</v>
      </c>
      <c r="E151" s="21"/>
      <c r="F151" s="21" t="s">
        <v>487</v>
      </c>
      <c r="G151" s="21"/>
      <c r="H151" s="21" t="s">
        <v>394</v>
      </c>
      <c r="I151" s="21"/>
      <c r="J151" s="22" t="n">
        <v>1</v>
      </c>
      <c r="K151" s="22" t="n">
        <v>1</v>
      </c>
      <c r="L151" s="22" t="n">
        <v>0</v>
      </c>
      <c r="M151" s="21" t="s">
        <v>385</v>
      </c>
      <c r="N151" s="21"/>
      <c r="O151" s="22"/>
      <c r="P151" s="20" t="n">
        <f aca="false">IF($N151="Reduce",N($O151),0)</f>
        <v>0</v>
      </c>
      <c r="Q151" s="23" t="str">
        <f aca="false">IF($F151="","",MID(IF($G151="",", career level","")&amp;IF($I151="",", nationality mandate","")&amp;IF($N151="",", capacity direction","")&amp;IF(N($J151)&lt;=0,", approved HC","")&amp;IF(AND($G151&lt;&gt;"",COUNTIF(CareerLevels,$G151)=0),", a career level that is not on the ladder","")&amp;IF(AND($N151="Reduce",N($O151)&lt;=0),", how many seats Reduce means","")&amp;IF(AND(N($O151)&gt;0,$N151&lt;&gt;"Reduce"),", a number of seats on a row not marked Reduce","")&amp;IF(N($O151)&gt;N($J151),", more seats given up than the row has",""),3,200))</f>
        <v>career level, nationality mandate, capacity direction</v>
      </c>
    </row>
    <row r="152" customFormat="false" ht="15" hidden="false" customHeight="false" outlineLevel="0" collapsed="false">
      <c r="A152" s="21" t="s">
        <v>477</v>
      </c>
      <c r="B152" s="21" t="s">
        <v>220</v>
      </c>
      <c r="C152" s="21" t="s">
        <v>222</v>
      </c>
      <c r="D152" s="21" t="s">
        <v>238</v>
      </c>
      <c r="E152" s="21" t="s">
        <v>240</v>
      </c>
      <c r="F152" s="21" t="s">
        <v>495</v>
      </c>
      <c r="G152" s="21"/>
      <c r="H152" s="21" t="s">
        <v>396</v>
      </c>
      <c r="I152" s="21"/>
      <c r="J152" s="22" t="n">
        <v>1</v>
      </c>
      <c r="K152" s="22" t="n">
        <v>1</v>
      </c>
      <c r="L152" s="22" t="n">
        <v>0</v>
      </c>
      <c r="M152" s="21" t="s">
        <v>389</v>
      </c>
      <c r="N152" s="21"/>
      <c r="O152" s="22"/>
      <c r="P152" s="20" t="n">
        <f aca="false">IF($N152="Reduce",N($O152),0)</f>
        <v>0</v>
      </c>
      <c r="Q152" s="23" t="str">
        <f aca="false">IF($F152="","",MID(IF($G152="",", career level","")&amp;IF($I152="",", nationality mandate","")&amp;IF($N152="",", capacity direction","")&amp;IF(N($J152)&lt;=0,", approved HC","")&amp;IF(AND($G152&lt;&gt;"",COUNTIF(CareerLevels,$G152)=0),", a career level that is not on the ladder","")&amp;IF(AND($N152="Reduce",N($O152)&lt;=0),", how many seats Reduce means","")&amp;IF(AND(N($O152)&gt;0,$N152&lt;&gt;"Reduce"),", a number of seats on a row not marked Reduce","")&amp;IF(N($O152)&gt;N($J152),", more seats given up than the row has",""),3,200))</f>
        <v>career level, nationality mandate, capacity direction</v>
      </c>
    </row>
    <row r="153" customFormat="false" ht="15" hidden="false" customHeight="false" outlineLevel="0" collapsed="false">
      <c r="A153" s="21" t="s">
        <v>434</v>
      </c>
      <c r="B153" s="21" t="s">
        <v>220</v>
      </c>
      <c r="C153" s="21" t="s">
        <v>222</v>
      </c>
      <c r="D153" s="21" t="s">
        <v>238</v>
      </c>
      <c r="E153" s="21" t="s">
        <v>240</v>
      </c>
      <c r="F153" s="21" t="s">
        <v>495</v>
      </c>
      <c r="G153" s="21"/>
      <c r="H153" s="21" t="s">
        <v>396</v>
      </c>
      <c r="I153" s="21"/>
      <c r="J153" s="22" t="n">
        <v>1</v>
      </c>
      <c r="K153" s="22" t="n">
        <v>1</v>
      </c>
      <c r="L153" s="22" t="n">
        <v>0</v>
      </c>
      <c r="M153" s="21" t="s">
        <v>385</v>
      </c>
      <c r="N153" s="21"/>
      <c r="O153" s="22"/>
      <c r="P153" s="20" t="n">
        <f aca="false">IF($N153="Reduce",N($O153),0)</f>
        <v>0</v>
      </c>
      <c r="Q153" s="23" t="str">
        <f aca="false">IF($F153="","",MID(IF($G153="",", career level","")&amp;IF($I153="",", nationality mandate","")&amp;IF($N153="",", capacity direction","")&amp;IF(N($J153)&lt;=0,", approved HC","")&amp;IF(AND($G153&lt;&gt;"",COUNTIF(CareerLevels,$G153)=0),", a career level that is not on the ladder","")&amp;IF(AND($N153="Reduce",N($O153)&lt;=0),", how many seats Reduce means","")&amp;IF(AND(N($O153)&gt;0,$N153&lt;&gt;"Reduce"),", a number of seats on a row not marked Reduce","")&amp;IF(N($O153)&gt;N($J153),", more seats given up than the row has",""),3,200))</f>
        <v>career level, nationality mandate, capacity direction</v>
      </c>
    </row>
    <row r="154" customFormat="false" ht="15" hidden="false" customHeight="false" outlineLevel="0" collapsed="false">
      <c r="A154" s="21"/>
      <c r="B154" s="21" t="s">
        <v>220</v>
      </c>
      <c r="C154" s="21" t="s">
        <v>222</v>
      </c>
      <c r="D154" s="21" t="s">
        <v>238</v>
      </c>
      <c r="E154" s="21" t="s">
        <v>240</v>
      </c>
      <c r="F154" s="21" t="s">
        <v>489</v>
      </c>
      <c r="G154" s="21"/>
      <c r="H154" s="21" t="s">
        <v>396</v>
      </c>
      <c r="I154" s="21"/>
      <c r="J154" s="22" t="n">
        <v>2</v>
      </c>
      <c r="K154" s="22" t="n">
        <v>1</v>
      </c>
      <c r="L154" s="22" t="n">
        <v>1</v>
      </c>
      <c r="M154" s="21" t="s">
        <v>385</v>
      </c>
      <c r="N154" s="21"/>
      <c r="O154" s="22"/>
      <c r="P154" s="20" t="n">
        <f aca="false">IF($N154="Reduce",N($O154),0)</f>
        <v>0</v>
      </c>
      <c r="Q154" s="23" t="str">
        <f aca="false">IF($F154="","",MID(IF($G154="",", career level","")&amp;IF($I154="",", nationality mandate","")&amp;IF($N154="",", capacity direction","")&amp;IF(N($J154)&lt;=0,", approved HC","")&amp;IF(AND($G154&lt;&gt;"",COUNTIF(CareerLevels,$G154)=0),", a career level that is not on the ladder","")&amp;IF(AND($N154="Reduce",N($O154)&lt;=0),", how many seats Reduce means","")&amp;IF(AND(N($O154)&gt;0,$N154&lt;&gt;"Reduce"),", a number of seats on a row not marked Reduce","")&amp;IF(N($O154)&gt;N($J154),", more seats given up than the row has",""),3,200))</f>
        <v>career level, nationality mandate, capacity direction</v>
      </c>
    </row>
    <row r="155" customFormat="false" ht="15" hidden="false" customHeight="false" outlineLevel="0" collapsed="false">
      <c r="A155" s="21"/>
      <c r="B155" s="21" t="s">
        <v>220</v>
      </c>
      <c r="C155" s="21" t="s">
        <v>222</v>
      </c>
      <c r="D155" s="21" t="s">
        <v>238</v>
      </c>
      <c r="E155" s="21" t="s">
        <v>240</v>
      </c>
      <c r="F155" s="21" t="s">
        <v>491</v>
      </c>
      <c r="G155" s="21"/>
      <c r="H155" s="21" t="s">
        <v>396</v>
      </c>
      <c r="I155" s="21"/>
      <c r="J155" s="22" t="n">
        <v>2</v>
      </c>
      <c r="K155" s="22" t="n">
        <v>1</v>
      </c>
      <c r="L155" s="22" t="n">
        <v>1</v>
      </c>
      <c r="M155" s="21" t="s">
        <v>385</v>
      </c>
      <c r="N155" s="21"/>
      <c r="O155" s="22"/>
      <c r="P155" s="20" t="n">
        <f aca="false">IF($N155="Reduce",N($O155),0)</f>
        <v>0</v>
      </c>
      <c r="Q155" s="23" t="str">
        <f aca="false">IF($F155="","",MID(IF($G155="",", career level","")&amp;IF($I155="",", nationality mandate","")&amp;IF($N155="",", capacity direction","")&amp;IF(N($J155)&lt;=0,", approved HC","")&amp;IF(AND($G155&lt;&gt;"",COUNTIF(CareerLevels,$G155)=0),", a career level that is not on the ladder","")&amp;IF(AND($N155="Reduce",N($O155)&lt;=0),", how many seats Reduce means","")&amp;IF(AND(N($O155)&gt;0,$N155&lt;&gt;"Reduce"),", a number of seats on a row not marked Reduce","")&amp;IF(N($O155)&gt;N($J155),", more seats given up than the row has",""),3,200))</f>
        <v>career level, nationality mandate, capacity direction</v>
      </c>
    </row>
    <row r="156" customFormat="false" ht="15" hidden="false" customHeight="false" outlineLevel="0" collapsed="false">
      <c r="A156" s="21"/>
      <c r="B156" s="21" t="s">
        <v>220</v>
      </c>
      <c r="C156" s="21" t="s">
        <v>222</v>
      </c>
      <c r="D156" s="21" t="s">
        <v>238</v>
      </c>
      <c r="E156" s="21" t="s">
        <v>240</v>
      </c>
      <c r="F156" s="21" t="s">
        <v>493</v>
      </c>
      <c r="G156" s="21"/>
      <c r="H156" s="21" t="s">
        <v>396</v>
      </c>
      <c r="I156" s="21"/>
      <c r="J156" s="22" t="n">
        <v>3</v>
      </c>
      <c r="K156" s="22" t="n">
        <v>3</v>
      </c>
      <c r="L156" s="22" t="n">
        <v>0</v>
      </c>
      <c r="M156" s="21" t="s">
        <v>385</v>
      </c>
      <c r="N156" s="21"/>
      <c r="O156" s="22"/>
      <c r="P156" s="20" t="n">
        <f aca="false">IF($N156="Reduce",N($O156),0)</f>
        <v>0</v>
      </c>
      <c r="Q156" s="23" t="str">
        <f aca="false">IF($F156="","",MID(IF($G156="",", career level","")&amp;IF($I156="",", nationality mandate","")&amp;IF($N156="",", capacity direction","")&amp;IF(N($J156)&lt;=0,", approved HC","")&amp;IF(AND($G156&lt;&gt;"",COUNTIF(CareerLevels,$G156)=0),", a career level that is not on the ladder","")&amp;IF(AND($N156="Reduce",N($O156)&lt;=0),", how many seats Reduce means","")&amp;IF(AND(N($O156)&gt;0,$N156&lt;&gt;"Reduce"),", a number of seats on a row not marked Reduce","")&amp;IF(N($O156)&gt;N($J156),", more seats given up than the row has",""),3,200))</f>
        <v>career level, nationality mandate, capacity direction</v>
      </c>
    </row>
    <row r="157" customFormat="false" ht="15" hidden="false" customHeight="false" outlineLevel="0" collapsed="false">
      <c r="A157" s="21" t="s">
        <v>459</v>
      </c>
      <c r="B157" s="21" t="s">
        <v>220</v>
      </c>
      <c r="C157" s="21" t="s">
        <v>222</v>
      </c>
      <c r="D157" s="21" t="s">
        <v>238</v>
      </c>
      <c r="E157" s="21" t="s">
        <v>240</v>
      </c>
      <c r="F157" s="21" t="s">
        <v>494</v>
      </c>
      <c r="G157" s="21"/>
      <c r="H157" s="21" t="s">
        <v>394</v>
      </c>
      <c r="I157" s="21"/>
      <c r="J157" s="22" t="n">
        <v>1</v>
      </c>
      <c r="K157" s="22" t="n">
        <v>1</v>
      </c>
      <c r="L157" s="22" t="n">
        <v>0</v>
      </c>
      <c r="M157" s="21" t="s">
        <v>385</v>
      </c>
      <c r="N157" s="21"/>
      <c r="O157" s="22"/>
      <c r="P157" s="20" t="n">
        <f aca="false">IF($N157="Reduce",N($O157),0)</f>
        <v>0</v>
      </c>
      <c r="Q157" s="23" t="str">
        <f aca="false">IF($F157="","",MID(IF($G157="",", career level","")&amp;IF($I157="",", nationality mandate","")&amp;IF($N157="",", capacity direction","")&amp;IF(N($J157)&lt;=0,", approved HC","")&amp;IF(AND($G157&lt;&gt;"",COUNTIF(CareerLevels,$G157)=0),", a career level that is not on the ladder","")&amp;IF(AND($N157="Reduce",N($O157)&lt;=0),", how many seats Reduce means","")&amp;IF(AND(N($O157)&gt;0,$N157&lt;&gt;"Reduce"),", a number of seats on a row not marked Reduce","")&amp;IF(N($O157)&gt;N($J157),", more seats given up than the row has",""),3,200))</f>
        <v>career level, nationality mandate, capacity direction</v>
      </c>
    </row>
    <row r="158" customFormat="false" ht="15" hidden="false" customHeight="false" outlineLevel="0" collapsed="false">
      <c r="A158" s="21" t="s">
        <v>409</v>
      </c>
      <c r="B158" s="21" t="s">
        <v>220</v>
      </c>
      <c r="C158" s="21" t="s">
        <v>222</v>
      </c>
      <c r="D158" s="21" t="s">
        <v>238</v>
      </c>
      <c r="E158" s="21" t="s">
        <v>246</v>
      </c>
      <c r="F158" s="21" t="s">
        <v>495</v>
      </c>
      <c r="G158" s="21"/>
      <c r="H158" s="21" t="s">
        <v>396</v>
      </c>
      <c r="I158" s="21"/>
      <c r="J158" s="22" t="n">
        <v>1</v>
      </c>
      <c r="K158" s="22" t="n">
        <v>1</v>
      </c>
      <c r="L158" s="22" t="n">
        <v>0</v>
      </c>
      <c r="M158" s="21" t="s">
        <v>385</v>
      </c>
      <c r="N158" s="21"/>
      <c r="O158" s="22"/>
      <c r="P158" s="20" t="n">
        <f aca="false">IF($N158="Reduce",N($O158),0)</f>
        <v>0</v>
      </c>
      <c r="Q158" s="23" t="str">
        <f aca="false">IF($F158="","",MID(IF($G158="",", career level","")&amp;IF($I158="",", nationality mandate","")&amp;IF($N158="",", capacity direction","")&amp;IF(N($J158)&lt;=0,", approved HC","")&amp;IF(AND($G158&lt;&gt;"",COUNTIF(CareerLevels,$G158)=0),", a career level that is not on the ladder","")&amp;IF(AND($N158="Reduce",N($O158)&lt;=0),", how many seats Reduce means","")&amp;IF(AND(N($O158)&gt;0,$N158&lt;&gt;"Reduce"),", a number of seats on a row not marked Reduce","")&amp;IF(N($O158)&gt;N($J158),", more seats given up than the row has",""),3,200))</f>
        <v>career level, nationality mandate, capacity direction</v>
      </c>
    </row>
    <row r="159" customFormat="false" ht="15" hidden="false" customHeight="false" outlineLevel="0" collapsed="false">
      <c r="A159" s="21"/>
      <c r="B159" s="21" t="s">
        <v>220</v>
      </c>
      <c r="C159" s="21" t="s">
        <v>222</v>
      </c>
      <c r="D159" s="21" t="s">
        <v>238</v>
      </c>
      <c r="E159" s="21" t="s">
        <v>246</v>
      </c>
      <c r="F159" s="21" t="s">
        <v>489</v>
      </c>
      <c r="G159" s="21"/>
      <c r="H159" s="21" t="s">
        <v>396</v>
      </c>
      <c r="I159" s="21"/>
      <c r="J159" s="22" t="n">
        <v>2</v>
      </c>
      <c r="K159" s="22" t="n">
        <v>2</v>
      </c>
      <c r="L159" s="22" t="n">
        <v>0</v>
      </c>
      <c r="M159" s="21" t="s">
        <v>385</v>
      </c>
      <c r="N159" s="21"/>
      <c r="O159" s="22"/>
      <c r="P159" s="20" t="n">
        <f aca="false">IF($N159="Reduce",N($O159),0)</f>
        <v>0</v>
      </c>
      <c r="Q159" s="23" t="str">
        <f aca="false">IF($F159="","",MID(IF($G159="",", career level","")&amp;IF($I159="",", nationality mandate","")&amp;IF($N159="",", capacity direction","")&amp;IF(N($J159)&lt;=0,", approved HC","")&amp;IF(AND($G159&lt;&gt;"",COUNTIF(CareerLevels,$G159)=0),", a career level that is not on the ladder","")&amp;IF(AND($N159="Reduce",N($O159)&lt;=0),", how many seats Reduce means","")&amp;IF(AND(N($O159)&gt;0,$N159&lt;&gt;"Reduce"),", a number of seats on a row not marked Reduce","")&amp;IF(N($O159)&gt;N($J159),", more seats given up than the row has",""),3,200))</f>
        <v>career level, nationality mandate, capacity direction</v>
      </c>
    </row>
    <row r="160" customFormat="false" ht="15" hidden="false" customHeight="false" outlineLevel="0" collapsed="false">
      <c r="A160" s="21" t="s">
        <v>408</v>
      </c>
      <c r="B160" s="21" t="s">
        <v>220</v>
      </c>
      <c r="C160" s="21" t="s">
        <v>222</v>
      </c>
      <c r="D160" s="21" t="s">
        <v>238</v>
      </c>
      <c r="E160" s="21" t="s">
        <v>246</v>
      </c>
      <c r="F160" s="21" t="s">
        <v>491</v>
      </c>
      <c r="G160" s="21"/>
      <c r="H160" s="21" t="s">
        <v>396</v>
      </c>
      <c r="I160" s="21"/>
      <c r="J160" s="22" t="n">
        <v>1</v>
      </c>
      <c r="K160" s="22" t="n">
        <v>1</v>
      </c>
      <c r="L160" s="22" t="n">
        <v>0</v>
      </c>
      <c r="M160" s="21" t="s">
        <v>385</v>
      </c>
      <c r="N160" s="21"/>
      <c r="O160" s="22"/>
      <c r="P160" s="20" t="n">
        <f aca="false">IF($N160="Reduce",N($O160),0)</f>
        <v>0</v>
      </c>
      <c r="Q160" s="23" t="str">
        <f aca="false">IF($F160="","",MID(IF($G160="",", career level","")&amp;IF($I160="",", nationality mandate","")&amp;IF($N160="",", capacity direction","")&amp;IF(N($J160)&lt;=0,", approved HC","")&amp;IF(AND($G160&lt;&gt;"",COUNTIF(CareerLevels,$G160)=0),", a career level that is not on the ladder","")&amp;IF(AND($N160="Reduce",N($O160)&lt;=0),", how many seats Reduce means","")&amp;IF(AND(N($O160)&gt;0,$N160&lt;&gt;"Reduce"),", a number of seats on a row not marked Reduce","")&amp;IF(N($O160)&gt;N($J160),", more seats given up than the row has",""),3,200))</f>
        <v>career level, nationality mandate, capacity direction</v>
      </c>
    </row>
    <row r="161" customFormat="false" ht="15" hidden="false" customHeight="false" outlineLevel="0" collapsed="false">
      <c r="A161" s="21"/>
      <c r="B161" s="21" t="s">
        <v>220</v>
      </c>
      <c r="C161" s="21" t="s">
        <v>222</v>
      </c>
      <c r="D161" s="21" t="s">
        <v>238</v>
      </c>
      <c r="E161" s="21" t="s">
        <v>246</v>
      </c>
      <c r="F161" s="21" t="s">
        <v>492</v>
      </c>
      <c r="G161" s="21"/>
      <c r="H161" s="21" t="s">
        <v>396</v>
      </c>
      <c r="I161" s="21"/>
      <c r="J161" s="22" t="n">
        <v>3</v>
      </c>
      <c r="K161" s="22" t="n">
        <v>3</v>
      </c>
      <c r="L161" s="22" t="n">
        <v>0</v>
      </c>
      <c r="M161" s="21" t="s">
        <v>385</v>
      </c>
      <c r="N161" s="21"/>
      <c r="O161" s="22"/>
      <c r="P161" s="20" t="n">
        <f aca="false">IF($N161="Reduce",N($O161),0)</f>
        <v>0</v>
      </c>
      <c r="Q161" s="23" t="str">
        <f aca="false">IF($F161="","",MID(IF($G161="",", career level","")&amp;IF($I161="",", nationality mandate","")&amp;IF($N161="",", capacity direction","")&amp;IF(N($J161)&lt;=0,", approved HC","")&amp;IF(AND($G161&lt;&gt;"",COUNTIF(CareerLevels,$G161)=0),", a career level that is not on the ladder","")&amp;IF(AND($N161="Reduce",N($O161)&lt;=0),", how many seats Reduce means","")&amp;IF(AND(N($O161)&gt;0,$N161&lt;&gt;"Reduce"),", a number of seats on a row not marked Reduce","")&amp;IF(N($O161)&gt;N($J161),", more seats given up than the row has",""),3,200))</f>
        <v>career level, nationality mandate, capacity direction</v>
      </c>
    </row>
    <row r="162" customFormat="false" ht="15" hidden="false" customHeight="false" outlineLevel="0" collapsed="false">
      <c r="A162" s="21" t="s">
        <v>496</v>
      </c>
      <c r="B162" s="21" t="s">
        <v>220</v>
      </c>
      <c r="C162" s="21" t="s">
        <v>222</v>
      </c>
      <c r="D162" s="21" t="s">
        <v>238</v>
      </c>
      <c r="E162" s="21" t="s">
        <v>246</v>
      </c>
      <c r="F162" s="21" t="s">
        <v>494</v>
      </c>
      <c r="G162" s="21"/>
      <c r="H162" s="21" t="s">
        <v>394</v>
      </c>
      <c r="I162" s="21"/>
      <c r="J162" s="22" t="n">
        <v>1</v>
      </c>
      <c r="K162" s="22" t="n">
        <v>1</v>
      </c>
      <c r="L162" s="22" t="n">
        <v>0</v>
      </c>
      <c r="M162" s="21" t="s">
        <v>385</v>
      </c>
      <c r="N162" s="21"/>
      <c r="O162" s="22"/>
      <c r="P162" s="20" t="n">
        <f aca="false">IF($N162="Reduce",N($O162),0)</f>
        <v>0</v>
      </c>
      <c r="Q162" s="23" t="str">
        <f aca="false">IF($F162="","",MID(IF($G162="",", career level","")&amp;IF($I162="",", nationality mandate","")&amp;IF($N162="",", capacity direction","")&amp;IF(N($J162)&lt;=0,", approved HC","")&amp;IF(AND($G162&lt;&gt;"",COUNTIF(CareerLevels,$G162)=0),", a career level that is not on the ladder","")&amp;IF(AND($N162="Reduce",N($O162)&lt;=0),", how many seats Reduce means","")&amp;IF(AND(N($O162)&gt;0,$N162&lt;&gt;"Reduce"),", a number of seats on a row not marked Reduce","")&amp;IF(N($O162)&gt;N($J162),", more seats given up than the row has",""),3,200))</f>
        <v>career level, nationality mandate, capacity direction</v>
      </c>
    </row>
    <row r="163" customFormat="false" ht="15" hidden="false" customHeight="false" outlineLevel="0" collapsed="false">
      <c r="A163" s="21" t="s">
        <v>392</v>
      </c>
      <c r="B163" s="21" t="s">
        <v>220</v>
      </c>
      <c r="C163" s="21" t="s">
        <v>252</v>
      </c>
      <c r="D163" s="21"/>
      <c r="E163" s="21"/>
      <c r="F163" s="21" t="s">
        <v>497</v>
      </c>
      <c r="G163" s="21"/>
      <c r="H163" s="21" t="s">
        <v>388</v>
      </c>
      <c r="I163" s="21"/>
      <c r="J163" s="22" t="n">
        <v>1</v>
      </c>
      <c r="K163" s="22" t="n">
        <v>1</v>
      </c>
      <c r="L163" s="22" t="n">
        <v>0</v>
      </c>
      <c r="M163" s="21" t="s">
        <v>385</v>
      </c>
      <c r="N163" s="21"/>
      <c r="O163" s="22"/>
      <c r="P163" s="20" t="n">
        <f aca="false">IF($N163="Reduce",N($O163),0)</f>
        <v>0</v>
      </c>
      <c r="Q163" s="23" t="str">
        <f aca="false">IF($F163="","",MID(IF($G163="",", career level","")&amp;IF($I163="",", nationality mandate","")&amp;IF($N163="",", capacity direction","")&amp;IF(N($J163)&lt;=0,", approved HC","")&amp;IF(AND($G163&lt;&gt;"",COUNTIF(CareerLevels,$G163)=0),", a career level that is not on the ladder","")&amp;IF(AND($N163="Reduce",N($O163)&lt;=0),", how many seats Reduce means","")&amp;IF(AND(N($O163)&gt;0,$N163&lt;&gt;"Reduce"),", a number of seats on a row not marked Reduce","")&amp;IF(N($O163)&gt;N($J163),", more seats given up than the row has",""),3,200))</f>
        <v>career level, nationality mandate, capacity direction</v>
      </c>
    </row>
    <row r="164" customFormat="false" ht="15" hidden="false" customHeight="false" outlineLevel="0" collapsed="false">
      <c r="A164" s="21" t="s">
        <v>382</v>
      </c>
      <c r="B164" s="21" t="s">
        <v>220</v>
      </c>
      <c r="C164" s="21" t="s">
        <v>252</v>
      </c>
      <c r="D164" s="21" t="s">
        <v>254</v>
      </c>
      <c r="E164" s="21"/>
      <c r="F164" s="21" t="s">
        <v>498</v>
      </c>
      <c r="G164" s="21"/>
      <c r="H164" s="21" t="s">
        <v>394</v>
      </c>
      <c r="I164" s="21"/>
      <c r="J164" s="22" t="n">
        <v>1</v>
      </c>
      <c r="K164" s="22" t="n">
        <v>1</v>
      </c>
      <c r="L164" s="22" t="n">
        <v>0</v>
      </c>
      <c r="M164" s="21" t="s">
        <v>385</v>
      </c>
      <c r="N164" s="21"/>
      <c r="O164" s="22"/>
      <c r="P164" s="20" t="n">
        <f aca="false">IF($N164="Reduce",N($O164),0)</f>
        <v>0</v>
      </c>
      <c r="Q164" s="23" t="str">
        <f aca="false">IF($F164="","",MID(IF($G164="",", career level","")&amp;IF($I164="",", nationality mandate","")&amp;IF($N164="",", capacity direction","")&amp;IF(N($J164)&lt;=0,", approved HC","")&amp;IF(AND($G164&lt;&gt;"",COUNTIF(CareerLevels,$G164)=0),", a career level that is not on the ladder","")&amp;IF(AND($N164="Reduce",N($O164)&lt;=0),", how many seats Reduce means","")&amp;IF(AND(N($O164)&gt;0,$N164&lt;&gt;"Reduce"),", a number of seats on a row not marked Reduce","")&amp;IF(N($O164)&gt;N($J164),", more seats given up than the row has",""),3,200))</f>
        <v>career level, nationality mandate, capacity direction</v>
      </c>
    </row>
    <row r="165" customFormat="false" ht="15" hidden="false" customHeight="false" outlineLevel="0" collapsed="false">
      <c r="A165" s="21" t="s">
        <v>437</v>
      </c>
      <c r="B165" s="21" t="s">
        <v>220</v>
      </c>
      <c r="C165" s="21" t="s">
        <v>252</v>
      </c>
      <c r="D165" s="21" t="s">
        <v>254</v>
      </c>
      <c r="E165" s="21" t="s">
        <v>256</v>
      </c>
      <c r="F165" s="21" t="s">
        <v>499</v>
      </c>
      <c r="G165" s="21"/>
      <c r="H165" s="21" t="s">
        <v>396</v>
      </c>
      <c r="I165" s="21"/>
      <c r="J165" s="22" t="n">
        <v>1</v>
      </c>
      <c r="K165" s="22" t="n">
        <v>1</v>
      </c>
      <c r="L165" s="22" t="n">
        <v>0</v>
      </c>
      <c r="M165" s="21" t="s">
        <v>385</v>
      </c>
      <c r="N165" s="21"/>
      <c r="O165" s="22"/>
      <c r="P165" s="20" t="n">
        <f aca="false">IF($N165="Reduce",N($O165),0)</f>
        <v>0</v>
      </c>
      <c r="Q165" s="23" t="str">
        <f aca="false">IF($F165="","",MID(IF($G165="",", career level","")&amp;IF($I165="",", nationality mandate","")&amp;IF($N165="",", capacity direction","")&amp;IF(N($J165)&lt;=0,", approved HC","")&amp;IF(AND($G165&lt;&gt;"",COUNTIF(CareerLevels,$G165)=0),", a career level that is not on the ladder","")&amp;IF(AND($N165="Reduce",N($O165)&lt;=0),", how many seats Reduce means","")&amp;IF(AND(N($O165)&gt;0,$N165&lt;&gt;"Reduce"),", a number of seats on a row not marked Reduce","")&amp;IF(N($O165)&gt;N($J165),", more seats given up than the row has",""),3,200))</f>
        <v>career level, nationality mandate, capacity direction</v>
      </c>
    </row>
    <row r="166" customFormat="false" ht="15" hidden="false" customHeight="false" outlineLevel="0" collapsed="false">
      <c r="A166" s="21"/>
      <c r="B166" s="21" t="s">
        <v>220</v>
      </c>
      <c r="C166" s="21" t="s">
        <v>252</v>
      </c>
      <c r="D166" s="21" t="s">
        <v>254</v>
      </c>
      <c r="E166" s="21" t="s">
        <v>256</v>
      </c>
      <c r="F166" s="21" t="s">
        <v>500</v>
      </c>
      <c r="G166" s="21"/>
      <c r="H166" s="21" t="s">
        <v>396</v>
      </c>
      <c r="I166" s="21"/>
      <c r="J166" s="22" t="n">
        <v>2</v>
      </c>
      <c r="K166" s="22" t="n">
        <v>2</v>
      </c>
      <c r="L166" s="22" t="n">
        <v>0</v>
      </c>
      <c r="M166" s="21" t="s">
        <v>389</v>
      </c>
      <c r="N166" s="21"/>
      <c r="O166" s="22"/>
      <c r="P166" s="20" t="n">
        <f aca="false">IF($N166="Reduce",N($O166),0)</f>
        <v>0</v>
      </c>
      <c r="Q166" s="23" t="str">
        <f aca="false">IF($F166="","",MID(IF($G166="",", career level","")&amp;IF($I166="",", nationality mandate","")&amp;IF($N166="",", capacity direction","")&amp;IF(N($J166)&lt;=0,", approved HC","")&amp;IF(AND($G166&lt;&gt;"",COUNTIF(CareerLevels,$G166)=0),", a career level that is not on the ladder","")&amp;IF(AND($N166="Reduce",N($O166)&lt;=0),", how many seats Reduce means","")&amp;IF(AND(N($O166)&gt;0,$N166&lt;&gt;"Reduce"),", a number of seats on a row not marked Reduce","")&amp;IF(N($O166)&gt;N($J166),", more seats given up than the row has",""),3,200))</f>
        <v>career level, nationality mandate, capacity direction</v>
      </c>
    </row>
    <row r="167" customFormat="false" ht="15" hidden="false" customHeight="false" outlineLevel="0" collapsed="false">
      <c r="A167" s="21"/>
      <c r="B167" s="21" t="s">
        <v>220</v>
      </c>
      <c r="C167" s="21" t="s">
        <v>252</v>
      </c>
      <c r="D167" s="21" t="s">
        <v>254</v>
      </c>
      <c r="E167" s="21" t="s">
        <v>256</v>
      </c>
      <c r="F167" s="21" t="s">
        <v>500</v>
      </c>
      <c r="G167" s="21"/>
      <c r="H167" s="21" t="s">
        <v>396</v>
      </c>
      <c r="I167" s="21"/>
      <c r="J167" s="22" t="n">
        <v>2</v>
      </c>
      <c r="K167" s="22" t="n">
        <v>2</v>
      </c>
      <c r="L167" s="22" t="n">
        <v>0</v>
      </c>
      <c r="M167" s="21" t="s">
        <v>385</v>
      </c>
      <c r="N167" s="21"/>
      <c r="O167" s="22"/>
      <c r="P167" s="20" t="n">
        <f aca="false">IF($N167="Reduce",N($O167),0)</f>
        <v>0</v>
      </c>
      <c r="Q167" s="23" t="str">
        <f aca="false">IF($F167="","",MID(IF($G167="",", career level","")&amp;IF($I167="",", nationality mandate","")&amp;IF($N167="",", capacity direction","")&amp;IF(N($J167)&lt;=0,", approved HC","")&amp;IF(AND($G167&lt;&gt;"",COUNTIF(CareerLevels,$G167)=0),", a career level that is not on the ladder","")&amp;IF(AND($N167="Reduce",N($O167)&lt;=0),", how many seats Reduce means","")&amp;IF(AND(N($O167)&gt;0,$N167&lt;&gt;"Reduce"),", a number of seats on a row not marked Reduce","")&amp;IF(N($O167)&gt;N($J167),", more seats given up than the row has",""),3,200))</f>
        <v>career level, nationality mandate, capacity direction</v>
      </c>
    </row>
    <row r="168" customFormat="false" ht="15" hidden="false" customHeight="false" outlineLevel="0" collapsed="false">
      <c r="A168" s="21" t="s">
        <v>409</v>
      </c>
      <c r="B168" s="21" t="s">
        <v>220</v>
      </c>
      <c r="C168" s="21" t="s">
        <v>252</v>
      </c>
      <c r="D168" s="21" t="s">
        <v>254</v>
      </c>
      <c r="E168" s="21" t="s">
        <v>256</v>
      </c>
      <c r="F168" s="21" t="s">
        <v>501</v>
      </c>
      <c r="G168" s="21"/>
      <c r="H168" s="21" t="s">
        <v>396</v>
      </c>
      <c r="I168" s="21"/>
      <c r="J168" s="22" t="n">
        <v>1</v>
      </c>
      <c r="K168" s="22" t="n">
        <v>0</v>
      </c>
      <c r="L168" s="22" t="n">
        <v>1</v>
      </c>
      <c r="M168" s="21" t="s">
        <v>385</v>
      </c>
      <c r="N168" s="21"/>
      <c r="O168" s="22"/>
      <c r="P168" s="20" t="n">
        <f aca="false">IF($N168="Reduce",N($O168),0)</f>
        <v>0</v>
      </c>
      <c r="Q168" s="23" t="str">
        <f aca="false">IF($F168="","",MID(IF($G168="",", career level","")&amp;IF($I168="",", nationality mandate","")&amp;IF($N168="",", capacity direction","")&amp;IF(N($J168)&lt;=0,", approved HC","")&amp;IF(AND($G168&lt;&gt;"",COUNTIF(CareerLevels,$G168)=0),", a career level that is not on the ladder","")&amp;IF(AND($N168="Reduce",N($O168)&lt;=0),", how many seats Reduce means","")&amp;IF(AND(N($O168)&gt;0,$N168&lt;&gt;"Reduce"),", a number of seats on a row not marked Reduce","")&amp;IF(N($O168)&gt;N($J168),", more seats given up than the row has",""),3,200))</f>
        <v>career level, nationality mandate, capacity direction</v>
      </c>
    </row>
    <row r="169" customFormat="false" ht="15" hidden="false" customHeight="false" outlineLevel="0" collapsed="false">
      <c r="A169" s="21"/>
      <c r="B169" s="21" t="s">
        <v>220</v>
      </c>
      <c r="C169" s="21" t="s">
        <v>252</v>
      </c>
      <c r="D169" s="21" t="s">
        <v>254</v>
      </c>
      <c r="E169" s="21" t="s">
        <v>256</v>
      </c>
      <c r="F169" s="21" t="s">
        <v>502</v>
      </c>
      <c r="G169" s="21"/>
      <c r="H169" s="21" t="s">
        <v>396</v>
      </c>
      <c r="I169" s="21"/>
      <c r="J169" s="22" t="n">
        <v>2</v>
      </c>
      <c r="K169" s="22" t="n">
        <v>1</v>
      </c>
      <c r="L169" s="22" t="n">
        <v>1</v>
      </c>
      <c r="M169" s="21" t="s">
        <v>385</v>
      </c>
      <c r="N169" s="21"/>
      <c r="O169" s="22"/>
      <c r="P169" s="20" t="n">
        <f aca="false">IF($N169="Reduce",N($O169),0)</f>
        <v>0</v>
      </c>
      <c r="Q169" s="23" t="str">
        <f aca="false">IF($F169="","",MID(IF($G169="",", career level","")&amp;IF($I169="",", nationality mandate","")&amp;IF($N169="",", capacity direction","")&amp;IF(N($J169)&lt;=0,", approved HC","")&amp;IF(AND($G169&lt;&gt;"",COUNTIF(CareerLevels,$G169)=0),", a career level that is not on the ladder","")&amp;IF(AND($N169="Reduce",N($O169)&lt;=0),", how many seats Reduce means","")&amp;IF(AND(N($O169)&gt;0,$N169&lt;&gt;"Reduce"),", a number of seats on a row not marked Reduce","")&amp;IF(N($O169)&gt;N($J169),", more seats given up than the row has",""),3,200))</f>
        <v>career level, nationality mandate, capacity direction</v>
      </c>
    </row>
    <row r="170" customFormat="false" ht="15" hidden="false" customHeight="false" outlineLevel="0" collapsed="false">
      <c r="A170" s="21" t="s">
        <v>472</v>
      </c>
      <c r="B170" s="21" t="s">
        <v>220</v>
      </c>
      <c r="C170" s="21" t="s">
        <v>252</v>
      </c>
      <c r="D170" s="21" t="s">
        <v>254</v>
      </c>
      <c r="E170" s="21" t="s">
        <v>256</v>
      </c>
      <c r="F170" s="21" t="s">
        <v>503</v>
      </c>
      <c r="G170" s="21"/>
      <c r="H170" s="21" t="s">
        <v>396</v>
      </c>
      <c r="I170" s="21"/>
      <c r="J170" s="22" t="n">
        <v>1</v>
      </c>
      <c r="K170" s="22" t="n">
        <v>1</v>
      </c>
      <c r="L170" s="22" t="n">
        <v>0</v>
      </c>
      <c r="M170" s="21" t="s">
        <v>385</v>
      </c>
      <c r="N170" s="21"/>
      <c r="O170" s="22"/>
      <c r="P170" s="20" t="n">
        <f aca="false">IF($N170="Reduce",N($O170),0)</f>
        <v>0</v>
      </c>
      <c r="Q170" s="23" t="str">
        <f aca="false">IF($F170="","",MID(IF($G170="",", career level","")&amp;IF($I170="",", nationality mandate","")&amp;IF($N170="",", capacity direction","")&amp;IF(N($J170)&lt;=0,", approved HC","")&amp;IF(AND($G170&lt;&gt;"",COUNTIF(CareerLevels,$G170)=0),", a career level that is not on the ladder","")&amp;IF(AND($N170="Reduce",N($O170)&lt;=0),", how many seats Reduce means","")&amp;IF(AND(N($O170)&gt;0,$N170&lt;&gt;"Reduce"),", a number of seats on a row not marked Reduce","")&amp;IF(N($O170)&gt;N($J170),", more seats given up than the row has",""),3,200))</f>
        <v>career level, nationality mandate, capacity direction</v>
      </c>
    </row>
    <row r="171" customFormat="false" ht="15" hidden="false" customHeight="false" outlineLevel="0" collapsed="false">
      <c r="A171" s="21" t="s">
        <v>403</v>
      </c>
      <c r="B171" s="21" t="s">
        <v>220</v>
      </c>
      <c r="C171" s="21" t="s">
        <v>252</v>
      </c>
      <c r="D171" s="21" t="s">
        <v>254</v>
      </c>
      <c r="E171" s="21" t="s">
        <v>256</v>
      </c>
      <c r="F171" s="21" t="s">
        <v>504</v>
      </c>
      <c r="G171" s="21"/>
      <c r="H171" s="21" t="s">
        <v>394</v>
      </c>
      <c r="I171" s="21"/>
      <c r="J171" s="22" t="n">
        <v>1</v>
      </c>
      <c r="K171" s="22" t="n">
        <v>1</v>
      </c>
      <c r="L171" s="22" t="n">
        <v>0</v>
      </c>
      <c r="M171" s="21" t="s">
        <v>385</v>
      </c>
      <c r="N171" s="21"/>
      <c r="O171" s="22"/>
      <c r="P171" s="20" t="n">
        <f aca="false">IF($N171="Reduce",N($O171),0)</f>
        <v>0</v>
      </c>
      <c r="Q171" s="23" t="str">
        <f aca="false">IF($F171="","",MID(IF($G171="",", career level","")&amp;IF($I171="",", nationality mandate","")&amp;IF($N171="",", capacity direction","")&amp;IF(N($J171)&lt;=0,", approved HC","")&amp;IF(AND($G171&lt;&gt;"",COUNTIF(CareerLevels,$G171)=0),", a career level that is not on the ladder","")&amp;IF(AND($N171="Reduce",N($O171)&lt;=0),", how many seats Reduce means","")&amp;IF(AND(N($O171)&gt;0,$N171&lt;&gt;"Reduce"),", a number of seats on a row not marked Reduce","")&amp;IF(N($O171)&gt;N($J171),", more seats given up than the row has",""),3,200))</f>
        <v>career level, nationality mandate, capacity direction</v>
      </c>
    </row>
    <row r="172" customFormat="false" ht="15" hidden="false" customHeight="false" outlineLevel="0" collapsed="false">
      <c r="A172" s="21" t="s">
        <v>414</v>
      </c>
      <c r="B172" s="21" t="s">
        <v>220</v>
      </c>
      <c r="C172" s="21" t="s">
        <v>252</v>
      </c>
      <c r="D172" s="21" t="s">
        <v>254</v>
      </c>
      <c r="E172" s="21" t="s">
        <v>262</v>
      </c>
      <c r="F172" s="21" t="s">
        <v>499</v>
      </c>
      <c r="G172" s="21"/>
      <c r="H172" s="21" t="s">
        <v>396</v>
      </c>
      <c r="I172" s="21"/>
      <c r="J172" s="22" t="n">
        <v>1</v>
      </c>
      <c r="K172" s="22" t="n">
        <v>1</v>
      </c>
      <c r="L172" s="22" t="n">
        <v>0</v>
      </c>
      <c r="M172" s="21" t="s">
        <v>385</v>
      </c>
      <c r="N172" s="21"/>
      <c r="O172" s="22"/>
      <c r="P172" s="20" t="n">
        <f aca="false">IF($N172="Reduce",N($O172),0)</f>
        <v>0</v>
      </c>
      <c r="Q172" s="23" t="str">
        <f aca="false">IF($F172="","",MID(IF($G172="",", career level","")&amp;IF($I172="",", nationality mandate","")&amp;IF($N172="",", capacity direction","")&amp;IF(N($J172)&lt;=0,", approved HC","")&amp;IF(AND($G172&lt;&gt;"",COUNTIF(CareerLevels,$G172)=0),", a career level that is not on the ladder","")&amp;IF(AND($N172="Reduce",N($O172)&lt;=0),", how many seats Reduce means","")&amp;IF(AND(N($O172)&gt;0,$N172&lt;&gt;"Reduce"),", a number of seats on a row not marked Reduce","")&amp;IF(N($O172)&gt;N($J172),", more seats given up than the row has",""),3,200))</f>
        <v>career level, nationality mandate, capacity direction</v>
      </c>
    </row>
    <row r="173" customFormat="false" ht="15" hidden="false" customHeight="false" outlineLevel="0" collapsed="false">
      <c r="A173" s="21" t="s">
        <v>403</v>
      </c>
      <c r="B173" s="21" t="s">
        <v>220</v>
      </c>
      <c r="C173" s="21" t="s">
        <v>252</v>
      </c>
      <c r="D173" s="21" t="s">
        <v>254</v>
      </c>
      <c r="E173" s="21" t="s">
        <v>262</v>
      </c>
      <c r="F173" s="21" t="s">
        <v>500</v>
      </c>
      <c r="G173" s="21"/>
      <c r="H173" s="21" t="s">
        <v>396</v>
      </c>
      <c r="I173" s="21"/>
      <c r="J173" s="22" t="n">
        <v>1</v>
      </c>
      <c r="K173" s="22" t="n">
        <v>1</v>
      </c>
      <c r="L173" s="22" t="n">
        <v>0</v>
      </c>
      <c r="M173" s="21" t="s">
        <v>385</v>
      </c>
      <c r="N173" s="21"/>
      <c r="O173" s="22"/>
      <c r="P173" s="20" t="n">
        <f aca="false">IF($N173="Reduce",N($O173),0)</f>
        <v>0</v>
      </c>
      <c r="Q173" s="23" t="str">
        <f aca="false">IF($F173="","",MID(IF($G173="",", career level","")&amp;IF($I173="",", nationality mandate","")&amp;IF($N173="",", capacity direction","")&amp;IF(N($J173)&lt;=0,", approved HC","")&amp;IF(AND($G173&lt;&gt;"",COUNTIF(CareerLevels,$G173)=0),", a career level that is not on the ladder","")&amp;IF(AND($N173="Reduce",N($O173)&lt;=0),", how many seats Reduce means","")&amp;IF(AND(N($O173)&gt;0,$N173&lt;&gt;"Reduce"),", a number of seats on a row not marked Reduce","")&amp;IF(N($O173)&gt;N($J173),", more seats given up than the row has",""),3,200))</f>
        <v>career level, nationality mandate, capacity direction</v>
      </c>
    </row>
    <row r="174" customFormat="false" ht="15" hidden="false" customHeight="false" outlineLevel="0" collapsed="false">
      <c r="A174" s="21"/>
      <c r="B174" s="21" t="s">
        <v>220</v>
      </c>
      <c r="C174" s="21" t="s">
        <v>252</v>
      </c>
      <c r="D174" s="21" t="s">
        <v>254</v>
      </c>
      <c r="E174" s="21" t="s">
        <v>262</v>
      </c>
      <c r="F174" s="21" t="s">
        <v>501</v>
      </c>
      <c r="G174" s="21"/>
      <c r="H174" s="21" t="s">
        <v>396</v>
      </c>
      <c r="I174" s="21"/>
      <c r="J174" s="22" t="n">
        <v>2</v>
      </c>
      <c r="K174" s="22" t="n">
        <v>2</v>
      </c>
      <c r="L174" s="22" t="n">
        <v>0</v>
      </c>
      <c r="M174" s="21" t="s">
        <v>385</v>
      </c>
      <c r="N174" s="21"/>
      <c r="O174" s="22"/>
      <c r="P174" s="20" t="n">
        <f aca="false">IF($N174="Reduce",N($O174),0)</f>
        <v>0</v>
      </c>
      <c r="Q174" s="23" t="str">
        <f aca="false">IF($F174="","",MID(IF($G174="",", career level","")&amp;IF($I174="",", nationality mandate","")&amp;IF($N174="",", capacity direction","")&amp;IF(N($J174)&lt;=0,", approved HC","")&amp;IF(AND($G174&lt;&gt;"",COUNTIF(CareerLevels,$G174)=0),", a career level that is not on the ladder","")&amp;IF(AND($N174="Reduce",N($O174)&lt;=0),", how many seats Reduce means","")&amp;IF(AND(N($O174)&gt;0,$N174&lt;&gt;"Reduce"),", a number of seats on a row not marked Reduce","")&amp;IF(N($O174)&gt;N($J174),", more seats given up than the row has",""),3,200))</f>
        <v>career level, nationality mandate, capacity direction</v>
      </c>
    </row>
    <row r="175" customFormat="false" ht="15" hidden="false" customHeight="false" outlineLevel="0" collapsed="false">
      <c r="A175" s="21"/>
      <c r="B175" s="21" t="s">
        <v>220</v>
      </c>
      <c r="C175" s="21" t="s">
        <v>252</v>
      </c>
      <c r="D175" s="21" t="s">
        <v>254</v>
      </c>
      <c r="E175" s="21" t="s">
        <v>262</v>
      </c>
      <c r="F175" s="21" t="s">
        <v>503</v>
      </c>
      <c r="G175" s="21"/>
      <c r="H175" s="21" t="s">
        <v>396</v>
      </c>
      <c r="I175" s="21"/>
      <c r="J175" s="22" t="n">
        <v>2</v>
      </c>
      <c r="K175" s="22" t="n">
        <v>2</v>
      </c>
      <c r="L175" s="22" t="n">
        <v>0</v>
      </c>
      <c r="M175" s="21" t="s">
        <v>385</v>
      </c>
      <c r="N175" s="21"/>
      <c r="O175" s="22"/>
      <c r="P175" s="20" t="n">
        <f aca="false">IF($N175="Reduce",N($O175),0)</f>
        <v>0</v>
      </c>
      <c r="Q175" s="23" t="str">
        <f aca="false">IF($F175="","",MID(IF($G175="",", career level","")&amp;IF($I175="",", nationality mandate","")&amp;IF($N175="",", capacity direction","")&amp;IF(N($J175)&lt;=0,", approved HC","")&amp;IF(AND($G175&lt;&gt;"",COUNTIF(CareerLevels,$G175)=0),", a career level that is not on the ladder","")&amp;IF(AND($N175="Reduce",N($O175)&lt;=0),", how many seats Reduce means","")&amp;IF(AND(N($O175)&gt;0,$N175&lt;&gt;"Reduce"),", a number of seats on a row not marked Reduce","")&amp;IF(N($O175)&gt;N($J175),", more seats given up than the row has",""),3,200))</f>
        <v>career level, nationality mandate, capacity direction</v>
      </c>
    </row>
    <row r="176" customFormat="false" ht="15" hidden="false" customHeight="false" outlineLevel="0" collapsed="false">
      <c r="A176" s="21" t="s">
        <v>505</v>
      </c>
      <c r="B176" s="21" t="s">
        <v>220</v>
      </c>
      <c r="C176" s="21" t="s">
        <v>252</v>
      </c>
      <c r="D176" s="21" t="s">
        <v>254</v>
      </c>
      <c r="E176" s="21" t="s">
        <v>262</v>
      </c>
      <c r="F176" s="21" t="s">
        <v>504</v>
      </c>
      <c r="G176" s="21"/>
      <c r="H176" s="21" t="s">
        <v>394</v>
      </c>
      <c r="I176" s="21"/>
      <c r="J176" s="22" t="n">
        <v>1</v>
      </c>
      <c r="K176" s="22" t="n">
        <v>1</v>
      </c>
      <c r="L176" s="22" t="n">
        <v>0</v>
      </c>
      <c r="M176" s="21" t="s">
        <v>385</v>
      </c>
      <c r="N176" s="21"/>
      <c r="O176" s="22"/>
      <c r="P176" s="20" t="n">
        <f aca="false">IF($N176="Reduce",N($O176),0)</f>
        <v>0</v>
      </c>
      <c r="Q176" s="23" t="str">
        <f aca="false">IF($F176="","",MID(IF($G176="",", career level","")&amp;IF($I176="",", nationality mandate","")&amp;IF($N176="",", capacity direction","")&amp;IF(N($J176)&lt;=0,", approved HC","")&amp;IF(AND($G176&lt;&gt;"",COUNTIF(CareerLevels,$G176)=0),", a career level that is not on the ladder","")&amp;IF(AND($N176="Reduce",N($O176)&lt;=0),", how many seats Reduce means","")&amp;IF(AND(N($O176)&gt;0,$N176&lt;&gt;"Reduce"),", a number of seats on a row not marked Reduce","")&amp;IF(N($O176)&gt;N($J176),", more seats given up than the row has",""),3,200))</f>
        <v>career level, nationality mandate, capacity direction</v>
      </c>
    </row>
    <row r="177" customFormat="false" ht="15" hidden="false" customHeight="false" outlineLevel="0" collapsed="false">
      <c r="A177" s="21" t="s">
        <v>429</v>
      </c>
      <c r="B177" s="21" t="s">
        <v>220</v>
      </c>
      <c r="C177" s="21" t="s">
        <v>252</v>
      </c>
      <c r="D177" s="21" t="s">
        <v>268</v>
      </c>
      <c r="E177" s="21"/>
      <c r="F177" s="21" t="s">
        <v>498</v>
      </c>
      <c r="G177" s="21"/>
      <c r="H177" s="21" t="s">
        <v>394</v>
      </c>
      <c r="I177" s="21"/>
      <c r="J177" s="22" t="n">
        <v>1</v>
      </c>
      <c r="K177" s="22" t="n">
        <v>1</v>
      </c>
      <c r="L177" s="22" t="n">
        <v>0</v>
      </c>
      <c r="M177" s="21" t="s">
        <v>385</v>
      </c>
      <c r="N177" s="21"/>
      <c r="O177" s="22"/>
      <c r="P177" s="20" t="n">
        <f aca="false">IF($N177="Reduce",N($O177),0)</f>
        <v>0</v>
      </c>
      <c r="Q177" s="23" t="str">
        <f aca="false">IF($F177="","",MID(IF($G177="",", career level","")&amp;IF($I177="",", nationality mandate","")&amp;IF($N177="",", capacity direction","")&amp;IF(N($J177)&lt;=0,", approved HC","")&amp;IF(AND($G177&lt;&gt;"",COUNTIF(CareerLevels,$G177)=0),", a career level that is not on the ladder","")&amp;IF(AND($N177="Reduce",N($O177)&lt;=0),", how many seats Reduce means","")&amp;IF(AND(N($O177)&gt;0,$N177&lt;&gt;"Reduce"),", a number of seats on a row not marked Reduce","")&amp;IF(N($O177)&gt;N($J177),", more seats given up than the row has",""),3,200))</f>
        <v>career level, nationality mandate, capacity direction</v>
      </c>
    </row>
    <row r="178" customFormat="false" ht="15" hidden="false" customHeight="false" outlineLevel="0" collapsed="false">
      <c r="A178" s="21" t="s">
        <v>403</v>
      </c>
      <c r="B178" s="21" t="s">
        <v>220</v>
      </c>
      <c r="C178" s="21" t="s">
        <v>252</v>
      </c>
      <c r="D178" s="21" t="s">
        <v>268</v>
      </c>
      <c r="E178" s="21" t="s">
        <v>270</v>
      </c>
      <c r="F178" s="21" t="s">
        <v>500</v>
      </c>
      <c r="G178" s="21"/>
      <c r="H178" s="21" t="s">
        <v>396</v>
      </c>
      <c r="I178" s="21"/>
      <c r="J178" s="22" t="n">
        <v>1</v>
      </c>
      <c r="K178" s="22" t="n">
        <v>1</v>
      </c>
      <c r="L178" s="22" t="n">
        <v>0</v>
      </c>
      <c r="M178" s="21" t="s">
        <v>389</v>
      </c>
      <c r="N178" s="21"/>
      <c r="O178" s="22"/>
      <c r="P178" s="20" t="n">
        <f aca="false">IF($N178="Reduce",N($O178),0)</f>
        <v>0</v>
      </c>
      <c r="Q178" s="23" t="str">
        <f aca="false">IF($F178="","",MID(IF($G178="",", career level","")&amp;IF($I178="",", nationality mandate","")&amp;IF($N178="",", capacity direction","")&amp;IF(N($J178)&lt;=0,", approved HC","")&amp;IF(AND($G178&lt;&gt;"",COUNTIF(CareerLevels,$G178)=0),", a career level that is not on the ladder","")&amp;IF(AND($N178="Reduce",N($O178)&lt;=0),", how many seats Reduce means","")&amp;IF(AND(N($O178)&gt;0,$N178&lt;&gt;"Reduce"),", a number of seats on a row not marked Reduce","")&amp;IF(N($O178)&gt;N($J178),", more seats given up than the row has",""),3,200))</f>
        <v>career level, nationality mandate, capacity direction</v>
      </c>
    </row>
    <row r="179" customFormat="false" ht="15" hidden="false" customHeight="false" outlineLevel="0" collapsed="false">
      <c r="A179" s="21"/>
      <c r="B179" s="21" t="s">
        <v>220</v>
      </c>
      <c r="C179" s="21" t="s">
        <v>252</v>
      </c>
      <c r="D179" s="21" t="s">
        <v>268</v>
      </c>
      <c r="E179" s="21" t="s">
        <v>270</v>
      </c>
      <c r="F179" s="21" t="s">
        <v>501</v>
      </c>
      <c r="G179" s="21"/>
      <c r="H179" s="21" t="s">
        <v>396</v>
      </c>
      <c r="I179" s="21"/>
      <c r="J179" s="22" t="n">
        <v>3</v>
      </c>
      <c r="K179" s="22" t="n">
        <v>3</v>
      </c>
      <c r="L179" s="22" t="n">
        <v>0</v>
      </c>
      <c r="M179" s="21" t="s">
        <v>385</v>
      </c>
      <c r="N179" s="21"/>
      <c r="O179" s="22"/>
      <c r="P179" s="20" t="n">
        <f aca="false">IF($N179="Reduce",N($O179),0)</f>
        <v>0</v>
      </c>
      <c r="Q179" s="23" t="str">
        <f aca="false">IF($F179="","",MID(IF($G179="",", career level","")&amp;IF($I179="",", nationality mandate","")&amp;IF($N179="",", capacity direction","")&amp;IF(N($J179)&lt;=0,", approved HC","")&amp;IF(AND($G179&lt;&gt;"",COUNTIF(CareerLevels,$G179)=0),", a career level that is not on the ladder","")&amp;IF(AND($N179="Reduce",N($O179)&lt;=0),", how many seats Reduce means","")&amp;IF(AND(N($O179)&gt;0,$N179&lt;&gt;"Reduce"),", a number of seats on a row not marked Reduce","")&amp;IF(N($O179)&gt;N($J179),", more seats given up than the row has",""),3,200))</f>
        <v>career level, nationality mandate, capacity direction</v>
      </c>
    </row>
    <row r="180" customFormat="false" ht="15" hidden="false" customHeight="false" outlineLevel="0" collapsed="false">
      <c r="A180" s="21"/>
      <c r="B180" s="21" t="s">
        <v>220</v>
      </c>
      <c r="C180" s="21" t="s">
        <v>252</v>
      </c>
      <c r="D180" s="21" t="s">
        <v>268</v>
      </c>
      <c r="E180" s="21" t="s">
        <v>270</v>
      </c>
      <c r="F180" s="21" t="s">
        <v>502</v>
      </c>
      <c r="G180" s="21"/>
      <c r="H180" s="21" t="s">
        <v>396</v>
      </c>
      <c r="I180" s="21"/>
      <c r="J180" s="22" t="n">
        <v>2</v>
      </c>
      <c r="K180" s="22" t="n">
        <v>2</v>
      </c>
      <c r="L180" s="22" t="n">
        <v>0</v>
      </c>
      <c r="M180" s="21" t="s">
        <v>385</v>
      </c>
      <c r="N180" s="21"/>
      <c r="O180" s="22"/>
      <c r="P180" s="20" t="n">
        <f aca="false">IF($N180="Reduce",N($O180),0)</f>
        <v>0</v>
      </c>
      <c r="Q180" s="23" t="str">
        <f aca="false">IF($F180="","",MID(IF($G180="",", career level","")&amp;IF($I180="",", nationality mandate","")&amp;IF($N180="",", capacity direction","")&amp;IF(N($J180)&lt;=0,", approved HC","")&amp;IF(AND($G180&lt;&gt;"",COUNTIF(CareerLevels,$G180)=0),", a career level that is not on the ladder","")&amp;IF(AND($N180="Reduce",N($O180)&lt;=0),", how many seats Reduce means","")&amp;IF(AND(N($O180)&gt;0,$N180&lt;&gt;"Reduce"),", a number of seats on a row not marked Reduce","")&amp;IF(N($O180)&gt;N($J180),", more seats given up than the row has",""),3,200))</f>
        <v>career level, nationality mandate, capacity direction</v>
      </c>
    </row>
    <row r="181" customFormat="false" ht="15" hidden="false" customHeight="false" outlineLevel="0" collapsed="false">
      <c r="A181" s="21" t="s">
        <v>469</v>
      </c>
      <c r="B181" s="21" t="s">
        <v>220</v>
      </c>
      <c r="C181" s="21" t="s">
        <v>252</v>
      </c>
      <c r="D181" s="21" t="s">
        <v>268</v>
      </c>
      <c r="E181" s="21" t="s">
        <v>270</v>
      </c>
      <c r="F181" s="21" t="s">
        <v>503</v>
      </c>
      <c r="G181" s="21"/>
      <c r="H181" s="21" t="s">
        <v>396</v>
      </c>
      <c r="I181" s="21"/>
      <c r="J181" s="22" t="n">
        <v>1</v>
      </c>
      <c r="K181" s="22" t="n">
        <v>1</v>
      </c>
      <c r="L181" s="22" t="n">
        <v>0</v>
      </c>
      <c r="M181" s="21" t="s">
        <v>385</v>
      </c>
      <c r="N181" s="21"/>
      <c r="O181" s="22"/>
      <c r="P181" s="20" t="n">
        <f aca="false">IF($N181="Reduce",N($O181),0)</f>
        <v>0</v>
      </c>
      <c r="Q181" s="23" t="str">
        <f aca="false">IF($F181="","",MID(IF($G181="",", career level","")&amp;IF($I181="",", nationality mandate","")&amp;IF($N181="",", capacity direction","")&amp;IF(N($J181)&lt;=0,", approved HC","")&amp;IF(AND($G181&lt;&gt;"",COUNTIF(CareerLevels,$G181)=0),", a career level that is not on the ladder","")&amp;IF(AND($N181="Reduce",N($O181)&lt;=0),", how many seats Reduce means","")&amp;IF(AND(N($O181)&gt;0,$N181&lt;&gt;"Reduce"),", a number of seats on a row not marked Reduce","")&amp;IF(N($O181)&gt;N($J181),", more seats given up than the row has",""),3,200))</f>
        <v>career level, nationality mandate, capacity direction</v>
      </c>
    </row>
    <row r="182" customFormat="false" ht="15" hidden="false" customHeight="false" outlineLevel="0" collapsed="false">
      <c r="A182" s="21" t="s">
        <v>403</v>
      </c>
      <c r="B182" s="21" t="s">
        <v>220</v>
      </c>
      <c r="C182" s="21" t="s">
        <v>252</v>
      </c>
      <c r="D182" s="21" t="s">
        <v>268</v>
      </c>
      <c r="E182" s="21" t="s">
        <v>270</v>
      </c>
      <c r="F182" s="21" t="s">
        <v>506</v>
      </c>
      <c r="G182" s="21"/>
      <c r="H182" s="21" t="s">
        <v>396</v>
      </c>
      <c r="I182" s="21"/>
      <c r="J182" s="22" t="n">
        <v>1</v>
      </c>
      <c r="K182" s="22" t="n">
        <v>1</v>
      </c>
      <c r="L182" s="22" t="n">
        <v>0</v>
      </c>
      <c r="M182" s="21" t="s">
        <v>385</v>
      </c>
      <c r="N182" s="21"/>
      <c r="O182" s="22"/>
      <c r="P182" s="20" t="n">
        <f aca="false">IF($N182="Reduce",N($O182),0)</f>
        <v>0</v>
      </c>
      <c r="Q182" s="23" t="str">
        <f aca="false">IF($F182="","",MID(IF($G182="",", career level","")&amp;IF($I182="",", nationality mandate","")&amp;IF($N182="",", capacity direction","")&amp;IF(N($J182)&lt;=0,", approved HC","")&amp;IF(AND($G182&lt;&gt;"",COUNTIF(CareerLevels,$G182)=0),", a career level that is not on the ladder","")&amp;IF(AND($N182="Reduce",N($O182)&lt;=0),", how many seats Reduce means","")&amp;IF(AND(N($O182)&gt;0,$N182&lt;&gt;"Reduce"),", a number of seats on a row not marked Reduce","")&amp;IF(N($O182)&gt;N($J182),", more seats given up than the row has",""),3,200))</f>
        <v>career level, nationality mandate, capacity direction</v>
      </c>
    </row>
    <row r="183" customFormat="false" ht="15" hidden="false" customHeight="false" outlineLevel="0" collapsed="false">
      <c r="A183" s="21" t="s">
        <v>445</v>
      </c>
      <c r="B183" s="21" t="s">
        <v>220</v>
      </c>
      <c r="C183" s="21" t="s">
        <v>252</v>
      </c>
      <c r="D183" s="21" t="s">
        <v>268</v>
      </c>
      <c r="E183" s="21" t="s">
        <v>270</v>
      </c>
      <c r="F183" s="21" t="s">
        <v>504</v>
      </c>
      <c r="G183" s="21"/>
      <c r="H183" s="21" t="s">
        <v>394</v>
      </c>
      <c r="I183" s="21"/>
      <c r="J183" s="22" t="n">
        <v>1</v>
      </c>
      <c r="K183" s="22" t="n">
        <v>1</v>
      </c>
      <c r="L183" s="22" t="n">
        <v>0</v>
      </c>
      <c r="M183" s="21" t="s">
        <v>385</v>
      </c>
      <c r="N183" s="21"/>
      <c r="O183" s="22"/>
      <c r="P183" s="20" t="n">
        <f aca="false">IF($N183="Reduce",N($O183),0)</f>
        <v>0</v>
      </c>
      <c r="Q183" s="23" t="str">
        <f aca="false">IF($F183="","",MID(IF($G183="",", career level","")&amp;IF($I183="",", nationality mandate","")&amp;IF($N183="",", capacity direction","")&amp;IF(N($J183)&lt;=0,", approved HC","")&amp;IF(AND($G183&lt;&gt;"",COUNTIF(CareerLevels,$G183)=0),", a career level that is not on the ladder","")&amp;IF(AND($N183="Reduce",N($O183)&lt;=0),", how many seats Reduce means","")&amp;IF(AND(N($O183)&gt;0,$N183&lt;&gt;"Reduce"),", a number of seats on a row not marked Reduce","")&amp;IF(N($O183)&gt;N($J183),", more seats given up than the row has",""),3,200))</f>
        <v>career level, nationality mandate, capacity direction</v>
      </c>
    </row>
    <row r="184" customFormat="false" ht="15" hidden="false" customHeight="false" outlineLevel="0" collapsed="false">
      <c r="A184" s="21"/>
      <c r="B184" s="21" t="s">
        <v>220</v>
      </c>
      <c r="C184" s="21" t="s">
        <v>252</v>
      </c>
      <c r="D184" s="21" t="s">
        <v>268</v>
      </c>
      <c r="E184" s="21" t="s">
        <v>276</v>
      </c>
      <c r="F184" s="21" t="s">
        <v>499</v>
      </c>
      <c r="G184" s="21"/>
      <c r="H184" s="21" t="s">
        <v>396</v>
      </c>
      <c r="I184" s="21"/>
      <c r="J184" s="22" t="n">
        <v>2</v>
      </c>
      <c r="K184" s="22" t="n">
        <v>1</v>
      </c>
      <c r="L184" s="22" t="n">
        <v>1</v>
      </c>
      <c r="M184" s="21" t="s">
        <v>385</v>
      </c>
      <c r="N184" s="21"/>
      <c r="O184" s="22"/>
      <c r="P184" s="20" t="n">
        <f aca="false">IF($N184="Reduce",N($O184),0)</f>
        <v>0</v>
      </c>
      <c r="Q184" s="23" t="str">
        <f aca="false">IF($F184="","",MID(IF($G184="",", career level","")&amp;IF($I184="",", nationality mandate","")&amp;IF($N184="",", capacity direction","")&amp;IF(N($J184)&lt;=0,", approved HC","")&amp;IF(AND($G184&lt;&gt;"",COUNTIF(CareerLevels,$G184)=0),", a career level that is not on the ladder","")&amp;IF(AND($N184="Reduce",N($O184)&lt;=0),", how many seats Reduce means","")&amp;IF(AND(N($O184)&gt;0,$N184&lt;&gt;"Reduce"),", a number of seats on a row not marked Reduce","")&amp;IF(N($O184)&gt;N($J184),", more seats given up than the row has",""),3,200))</f>
        <v>career level, nationality mandate, capacity direction</v>
      </c>
    </row>
    <row r="185" customFormat="false" ht="15" hidden="false" customHeight="false" outlineLevel="0" collapsed="false">
      <c r="A185" s="21" t="s">
        <v>507</v>
      </c>
      <c r="B185" s="21" t="s">
        <v>220</v>
      </c>
      <c r="C185" s="21" t="s">
        <v>252</v>
      </c>
      <c r="D185" s="21" t="s">
        <v>268</v>
      </c>
      <c r="E185" s="21" t="s">
        <v>276</v>
      </c>
      <c r="F185" s="21" t="s">
        <v>500</v>
      </c>
      <c r="G185" s="21"/>
      <c r="H185" s="21" t="s">
        <v>396</v>
      </c>
      <c r="I185" s="21"/>
      <c r="J185" s="22" t="n">
        <v>1</v>
      </c>
      <c r="K185" s="22" t="n">
        <v>1</v>
      </c>
      <c r="L185" s="22" t="n">
        <v>0</v>
      </c>
      <c r="M185" s="21" t="s">
        <v>385</v>
      </c>
      <c r="N185" s="21"/>
      <c r="O185" s="22"/>
      <c r="P185" s="20" t="n">
        <f aca="false">IF($N185="Reduce",N($O185),0)</f>
        <v>0</v>
      </c>
      <c r="Q185" s="23" t="str">
        <f aca="false">IF($F185="","",MID(IF($G185="",", career level","")&amp;IF($I185="",", nationality mandate","")&amp;IF($N185="",", capacity direction","")&amp;IF(N($J185)&lt;=0,", approved HC","")&amp;IF(AND($G185&lt;&gt;"",COUNTIF(CareerLevels,$G185)=0),", a career level that is not on the ladder","")&amp;IF(AND($N185="Reduce",N($O185)&lt;=0),", how many seats Reduce means","")&amp;IF(AND(N($O185)&gt;0,$N185&lt;&gt;"Reduce"),", a number of seats on a row not marked Reduce","")&amp;IF(N($O185)&gt;N($J185),", more seats given up than the row has",""),3,200))</f>
        <v>career level, nationality mandate, capacity direction</v>
      </c>
    </row>
    <row r="186" customFormat="false" ht="15" hidden="false" customHeight="false" outlineLevel="0" collapsed="false">
      <c r="A186" s="21"/>
      <c r="B186" s="21" t="s">
        <v>220</v>
      </c>
      <c r="C186" s="21" t="s">
        <v>252</v>
      </c>
      <c r="D186" s="21" t="s">
        <v>268</v>
      </c>
      <c r="E186" s="21" t="s">
        <v>276</v>
      </c>
      <c r="F186" s="21" t="s">
        <v>501</v>
      </c>
      <c r="G186" s="21"/>
      <c r="H186" s="21" t="s">
        <v>396</v>
      </c>
      <c r="I186" s="21"/>
      <c r="J186" s="22" t="n">
        <v>2</v>
      </c>
      <c r="K186" s="22" t="n">
        <v>2</v>
      </c>
      <c r="L186" s="22" t="n">
        <v>0</v>
      </c>
      <c r="M186" s="21" t="s">
        <v>385</v>
      </c>
      <c r="N186" s="21"/>
      <c r="O186" s="22"/>
      <c r="P186" s="20" t="n">
        <f aca="false">IF($N186="Reduce",N($O186),0)</f>
        <v>0</v>
      </c>
      <c r="Q186" s="23" t="str">
        <f aca="false">IF($F186="","",MID(IF($G186="",", career level","")&amp;IF($I186="",", nationality mandate","")&amp;IF($N186="",", capacity direction","")&amp;IF(N($J186)&lt;=0,", approved HC","")&amp;IF(AND($G186&lt;&gt;"",COUNTIF(CareerLevels,$G186)=0),", a career level that is not on the ladder","")&amp;IF(AND($N186="Reduce",N($O186)&lt;=0),", how many seats Reduce means","")&amp;IF(AND(N($O186)&gt;0,$N186&lt;&gt;"Reduce"),", a number of seats on a row not marked Reduce","")&amp;IF(N($O186)&gt;N($J186),", more seats given up than the row has",""),3,200))</f>
        <v>career level, nationality mandate, capacity direction</v>
      </c>
    </row>
    <row r="187" customFormat="false" ht="15" hidden="false" customHeight="false" outlineLevel="0" collapsed="false">
      <c r="A187" s="21" t="s">
        <v>488</v>
      </c>
      <c r="B187" s="21" t="s">
        <v>220</v>
      </c>
      <c r="C187" s="21" t="s">
        <v>252</v>
      </c>
      <c r="D187" s="21" t="s">
        <v>268</v>
      </c>
      <c r="E187" s="21" t="s">
        <v>276</v>
      </c>
      <c r="F187" s="21" t="s">
        <v>503</v>
      </c>
      <c r="G187" s="21"/>
      <c r="H187" s="21" t="s">
        <v>396</v>
      </c>
      <c r="I187" s="21"/>
      <c r="J187" s="22" t="n">
        <v>1</v>
      </c>
      <c r="K187" s="22" t="n">
        <v>1</v>
      </c>
      <c r="L187" s="22" t="n">
        <v>0</v>
      </c>
      <c r="M187" s="21" t="s">
        <v>385</v>
      </c>
      <c r="N187" s="21"/>
      <c r="O187" s="22"/>
      <c r="P187" s="20" t="n">
        <f aca="false">IF($N187="Reduce",N($O187),0)</f>
        <v>0</v>
      </c>
      <c r="Q187" s="23" t="str">
        <f aca="false">IF($F187="","",MID(IF($G187="",", career level","")&amp;IF($I187="",", nationality mandate","")&amp;IF($N187="",", capacity direction","")&amp;IF(N($J187)&lt;=0,", approved HC","")&amp;IF(AND($G187&lt;&gt;"",COUNTIF(CareerLevels,$G187)=0),", a career level that is not on the ladder","")&amp;IF(AND($N187="Reduce",N($O187)&lt;=0),", how many seats Reduce means","")&amp;IF(AND(N($O187)&gt;0,$N187&lt;&gt;"Reduce"),", a number of seats on a row not marked Reduce","")&amp;IF(N($O187)&gt;N($J187),", more seats given up than the row has",""),3,200))</f>
        <v>career level, nationality mandate, capacity direction</v>
      </c>
    </row>
    <row r="188" customFormat="false" ht="15" hidden="false" customHeight="false" outlineLevel="0" collapsed="false">
      <c r="A188" s="21" t="s">
        <v>455</v>
      </c>
      <c r="B188" s="21" t="s">
        <v>220</v>
      </c>
      <c r="C188" s="21" t="s">
        <v>252</v>
      </c>
      <c r="D188" s="21" t="s">
        <v>268</v>
      </c>
      <c r="E188" s="21" t="s">
        <v>276</v>
      </c>
      <c r="F188" s="21" t="s">
        <v>506</v>
      </c>
      <c r="G188" s="21"/>
      <c r="H188" s="21" t="s">
        <v>396</v>
      </c>
      <c r="I188" s="21"/>
      <c r="J188" s="22" t="n">
        <v>1</v>
      </c>
      <c r="K188" s="22" t="n">
        <v>1</v>
      </c>
      <c r="L188" s="22" t="n">
        <v>0</v>
      </c>
      <c r="M188" s="21" t="s">
        <v>385</v>
      </c>
      <c r="N188" s="21"/>
      <c r="O188" s="22"/>
      <c r="P188" s="20" t="n">
        <f aca="false">IF($N188="Reduce",N($O188),0)</f>
        <v>0</v>
      </c>
      <c r="Q188" s="23" t="str">
        <f aca="false">IF($F188="","",MID(IF($G188="",", career level","")&amp;IF($I188="",", nationality mandate","")&amp;IF($N188="",", capacity direction","")&amp;IF(N($J188)&lt;=0,", approved HC","")&amp;IF(AND($G188&lt;&gt;"",COUNTIF(CareerLevels,$G188)=0),", a career level that is not on the ladder","")&amp;IF(AND($N188="Reduce",N($O188)&lt;=0),", how many seats Reduce means","")&amp;IF(AND(N($O188)&gt;0,$N188&lt;&gt;"Reduce"),", a number of seats on a row not marked Reduce","")&amp;IF(N($O188)&gt;N($J188),", more seats given up than the row has",""),3,200))</f>
        <v>career level, nationality mandate, capacity direction</v>
      </c>
    </row>
    <row r="189" customFormat="false" ht="15" hidden="false" customHeight="false" outlineLevel="0" collapsed="false">
      <c r="A189" s="21" t="s">
        <v>463</v>
      </c>
      <c r="B189" s="21" t="s">
        <v>220</v>
      </c>
      <c r="C189" s="21" t="s">
        <v>252</v>
      </c>
      <c r="D189" s="21" t="s">
        <v>268</v>
      </c>
      <c r="E189" s="21" t="s">
        <v>276</v>
      </c>
      <c r="F189" s="21" t="s">
        <v>504</v>
      </c>
      <c r="G189" s="21"/>
      <c r="H189" s="21" t="s">
        <v>394</v>
      </c>
      <c r="I189" s="21"/>
      <c r="J189" s="22" t="n">
        <v>1</v>
      </c>
      <c r="K189" s="22" t="n">
        <v>1</v>
      </c>
      <c r="L189" s="22" t="n">
        <v>0</v>
      </c>
      <c r="M189" s="21" t="s">
        <v>385</v>
      </c>
      <c r="N189" s="21"/>
      <c r="O189" s="22"/>
      <c r="P189" s="20" t="n">
        <f aca="false">IF($N189="Reduce",N($O189),0)</f>
        <v>0</v>
      </c>
      <c r="Q189" s="23" t="str">
        <f aca="false">IF($F189="","",MID(IF($G189="",", career level","")&amp;IF($I189="",", nationality mandate","")&amp;IF($N189="",", capacity direction","")&amp;IF(N($J189)&lt;=0,", approved HC","")&amp;IF(AND($G189&lt;&gt;"",COUNTIF(CareerLevels,$G189)=0),", a career level that is not on the ladder","")&amp;IF(AND($N189="Reduce",N($O189)&lt;=0),", how many seats Reduce means","")&amp;IF(AND(N($O189)&gt;0,$N189&lt;&gt;"Reduce"),", a number of seats on a row not marked Reduce","")&amp;IF(N($O189)&gt;N($J189),", more seats given up than the row has",""),3,200))</f>
        <v>career level, nationality mandate, capacity direction</v>
      </c>
    </row>
    <row r="190" customFormat="false" ht="15" hidden="false" customHeight="false" outlineLevel="0" collapsed="false">
      <c r="A190" s="21" t="s">
        <v>508</v>
      </c>
      <c r="B190" s="21" t="s">
        <v>220</v>
      </c>
      <c r="C190" s="21" t="s">
        <v>282</v>
      </c>
      <c r="D190" s="21"/>
      <c r="E190" s="21"/>
      <c r="F190" s="21" t="s">
        <v>509</v>
      </c>
      <c r="G190" s="21"/>
      <c r="H190" s="21" t="s">
        <v>388</v>
      </c>
      <c r="I190" s="21"/>
      <c r="J190" s="22" t="n">
        <v>1</v>
      </c>
      <c r="K190" s="22" t="n">
        <v>1</v>
      </c>
      <c r="L190" s="22" t="n">
        <v>0</v>
      </c>
      <c r="M190" s="21" t="s">
        <v>385</v>
      </c>
      <c r="N190" s="21"/>
      <c r="O190" s="22"/>
      <c r="P190" s="20" t="n">
        <f aca="false">IF($N190="Reduce",N($O190),0)</f>
        <v>0</v>
      </c>
      <c r="Q190" s="23" t="str">
        <f aca="false">IF($F190="","",MID(IF($G190="",", career level","")&amp;IF($I190="",", nationality mandate","")&amp;IF($N190="",", capacity direction","")&amp;IF(N($J190)&lt;=0,", approved HC","")&amp;IF(AND($G190&lt;&gt;"",COUNTIF(CareerLevels,$G190)=0),", a career level that is not on the ladder","")&amp;IF(AND($N190="Reduce",N($O190)&lt;=0),", how many seats Reduce means","")&amp;IF(AND(N($O190)&gt;0,$N190&lt;&gt;"Reduce"),", a number of seats on a row not marked Reduce","")&amp;IF(N($O190)&gt;N($J190),", more seats given up than the row has",""),3,200))</f>
        <v>career level, nationality mandate, capacity direction</v>
      </c>
    </row>
    <row r="191" customFormat="false" ht="15" hidden="false" customHeight="false" outlineLevel="0" collapsed="false">
      <c r="A191" s="21" t="s">
        <v>420</v>
      </c>
      <c r="B191" s="21" t="s">
        <v>220</v>
      </c>
      <c r="C191" s="21" t="s">
        <v>282</v>
      </c>
      <c r="D191" s="21" t="s">
        <v>284</v>
      </c>
      <c r="E191" s="21"/>
      <c r="F191" s="21" t="s">
        <v>510</v>
      </c>
      <c r="G191" s="21"/>
      <c r="H191" s="21" t="s">
        <v>394</v>
      </c>
      <c r="I191" s="21"/>
      <c r="J191" s="22" t="n">
        <v>1</v>
      </c>
      <c r="K191" s="22" t="n">
        <v>1</v>
      </c>
      <c r="L191" s="22" t="n">
        <v>0</v>
      </c>
      <c r="M191" s="21" t="s">
        <v>385</v>
      </c>
      <c r="N191" s="21"/>
      <c r="O191" s="22"/>
      <c r="P191" s="20" t="n">
        <f aca="false">IF($N191="Reduce",N($O191),0)</f>
        <v>0</v>
      </c>
      <c r="Q191" s="23" t="str">
        <f aca="false">IF($F191="","",MID(IF($G191="",", career level","")&amp;IF($I191="",", nationality mandate","")&amp;IF($N191="",", capacity direction","")&amp;IF(N($J191)&lt;=0,", approved HC","")&amp;IF(AND($G191&lt;&gt;"",COUNTIF(CareerLevels,$G191)=0),", a career level that is not on the ladder","")&amp;IF(AND($N191="Reduce",N($O191)&lt;=0),", how many seats Reduce means","")&amp;IF(AND(N($O191)&gt;0,$N191&lt;&gt;"Reduce"),", a number of seats on a row not marked Reduce","")&amp;IF(N($O191)&gt;N($J191),", more seats given up than the row has",""),3,200))</f>
        <v>career level, nationality mandate, capacity direction</v>
      </c>
    </row>
    <row r="192" customFormat="false" ht="15" hidden="false" customHeight="false" outlineLevel="0" collapsed="false">
      <c r="A192" s="21"/>
      <c r="B192" s="21" t="s">
        <v>220</v>
      </c>
      <c r="C192" s="21" t="s">
        <v>282</v>
      </c>
      <c r="D192" s="21" t="s">
        <v>284</v>
      </c>
      <c r="E192" s="21" t="s">
        <v>286</v>
      </c>
      <c r="F192" s="21" t="s">
        <v>511</v>
      </c>
      <c r="G192" s="21"/>
      <c r="H192" s="21" t="s">
        <v>396</v>
      </c>
      <c r="I192" s="21"/>
      <c r="J192" s="22" t="n">
        <v>3</v>
      </c>
      <c r="K192" s="22" t="n">
        <v>3</v>
      </c>
      <c r="L192" s="22" t="n">
        <v>0</v>
      </c>
      <c r="M192" s="21" t="s">
        <v>385</v>
      </c>
      <c r="N192" s="21"/>
      <c r="O192" s="22"/>
      <c r="P192" s="20" t="n">
        <f aca="false">IF($N192="Reduce",N($O192),0)</f>
        <v>0</v>
      </c>
      <c r="Q192" s="23" t="str">
        <f aca="false">IF($F192="","",MID(IF($G192="",", career level","")&amp;IF($I192="",", nationality mandate","")&amp;IF($N192="",", capacity direction","")&amp;IF(N($J192)&lt;=0,", approved HC","")&amp;IF(AND($G192&lt;&gt;"",COUNTIF(CareerLevels,$G192)=0),", a career level that is not on the ladder","")&amp;IF(AND($N192="Reduce",N($O192)&lt;=0),", how many seats Reduce means","")&amp;IF(AND(N($O192)&gt;0,$N192&lt;&gt;"Reduce"),", a number of seats on a row not marked Reduce","")&amp;IF(N($O192)&gt;N($J192),", more seats given up than the row has",""),3,200))</f>
        <v>career level, nationality mandate, capacity direction</v>
      </c>
    </row>
    <row r="193" customFormat="false" ht="15" hidden="false" customHeight="false" outlineLevel="0" collapsed="false">
      <c r="A193" s="21"/>
      <c r="B193" s="21" t="s">
        <v>220</v>
      </c>
      <c r="C193" s="21" t="s">
        <v>282</v>
      </c>
      <c r="D193" s="21" t="s">
        <v>284</v>
      </c>
      <c r="E193" s="21" t="s">
        <v>286</v>
      </c>
      <c r="F193" s="21" t="s">
        <v>512</v>
      </c>
      <c r="G193" s="21"/>
      <c r="H193" s="21" t="s">
        <v>396</v>
      </c>
      <c r="I193" s="21"/>
      <c r="J193" s="22" t="n">
        <v>2</v>
      </c>
      <c r="K193" s="22" t="n">
        <v>1</v>
      </c>
      <c r="L193" s="22" t="n">
        <v>1</v>
      </c>
      <c r="M193" s="21" t="s">
        <v>385</v>
      </c>
      <c r="N193" s="21"/>
      <c r="O193" s="22"/>
      <c r="P193" s="20" t="n">
        <f aca="false">IF($N193="Reduce",N($O193),0)</f>
        <v>0</v>
      </c>
      <c r="Q193" s="23" t="str">
        <f aca="false">IF($F193="","",MID(IF($G193="",", career level","")&amp;IF($I193="",", nationality mandate","")&amp;IF($N193="",", capacity direction","")&amp;IF(N($J193)&lt;=0,", approved HC","")&amp;IF(AND($G193&lt;&gt;"",COUNTIF(CareerLevels,$G193)=0),", a career level that is not on the ladder","")&amp;IF(AND($N193="Reduce",N($O193)&lt;=0),", how many seats Reduce means","")&amp;IF(AND(N($O193)&gt;0,$N193&lt;&gt;"Reduce"),", a number of seats on a row not marked Reduce","")&amp;IF(N($O193)&gt;N($J193),", more seats given up than the row has",""),3,200))</f>
        <v>career level, nationality mandate, capacity direction</v>
      </c>
    </row>
    <row r="194" customFormat="false" ht="15" hidden="false" customHeight="false" outlineLevel="0" collapsed="false">
      <c r="A194" s="21" t="s">
        <v>507</v>
      </c>
      <c r="B194" s="21" t="s">
        <v>220</v>
      </c>
      <c r="C194" s="21" t="s">
        <v>282</v>
      </c>
      <c r="D194" s="21" t="s">
        <v>284</v>
      </c>
      <c r="E194" s="21" t="s">
        <v>286</v>
      </c>
      <c r="F194" s="21" t="s">
        <v>513</v>
      </c>
      <c r="G194" s="21"/>
      <c r="H194" s="21" t="s">
        <v>394</v>
      </c>
      <c r="I194" s="21"/>
      <c r="J194" s="22" t="n">
        <v>1</v>
      </c>
      <c r="K194" s="22" t="n">
        <v>1</v>
      </c>
      <c r="L194" s="22" t="n">
        <v>0</v>
      </c>
      <c r="M194" s="21" t="s">
        <v>385</v>
      </c>
      <c r="N194" s="21"/>
      <c r="O194" s="22"/>
      <c r="P194" s="20" t="n">
        <f aca="false">IF($N194="Reduce",N($O194),0)</f>
        <v>0</v>
      </c>
      <c r="Q194" s="23" t="str">
        <f aca="false">IF($F194="","",MID(IF($G194="",", career level","")&amp;IF($I194="",", nationality mandate","")&amp;IF($N194="",", capacity direction","")&amp;IF(N($J194)&lt;=0,", approved HC","")&amp;IF(AND($G194&lt;&gt;"",COUNTIF(CareerLevels,$G194)=0),", a career level that is not on the ladder","")&amp;IF(AND($N194="Reduce",N($O194)&lt;=0),", how many seats Reduce means","")&amp;IF(AND(N($O194)&gt;0,$N194&lt;&gt;"Reduce"),", a number of seats on a row not marked Reduce","")&amp;IF(N($O194)&gt;N($J194),", more seats given up than the row has",""),3,200))</f>
        <v>career level, nationality mandate, capacity direction</v>
      </c>
    </row>
    <row r="195" customFormat="false" ht="15" hidden="false" customHeight="false" outlineLevel="0" collapsed="false">
      <c r="A195" s="21"/>
      <c r="B195" s="21" t="s">
        <v>220</v>
      </c>
      <c r="C195" s="21" t="s">
        <v>282</v>
      </c>
      <c r="D195" s="21" t="s">
        <v>284</v>
      </c>
      <c r="E195" s="21" t="s">
        <v>292</v>
      </c>
      <c r="F195" s="21" t="s">
        <v>511</v>
      </c>
      <c r="G195" s="21"/>
      <c r="H195" s="21" t="s">
        <v>396</v>
      </c>
      <c r="I195" s="21"/>
      <c r="J195" s="22" t="n">
        <v>2</v>
      </c>
      <c r="K195" s="22" t="n">
        <v>2</v>
      </c>
      <c r="L195" s="22" t="n">
        <v>0</v>
      </c>
      <c r="M195" s="21" t="s">
        <v>385</v>
      </c>
      <c r="N195" s="21"/>
      <c r="O195" s="22"/>
      <c r="P195" s="20" t="n">
        <f aca="false">IF($N195="Reduce",N($O195),0)</f>
        <v>0</v>
      </c>
      <c r="Q195" s="23" t="str">
        <f aca="false">IF($F195="","",MID(IF($G195="",", career level","")&amp;IF($I195="",", nationality mandate","")&amp;IF($N195="",", capacity direction","")&amp;IF(N($J195)&lt;=0,", approved HC","")&amp;IF(AND($G195&lt;&gt;"",COUNTIF(CareerLevels,$G195)=0),", a career level that is not on the ladder","")&amp;IF(AND($N195="Reduce",N($O195)&lt;=0),", how many seats Reduce means","")&amp;IF(AND(N($O195)&gt;0,$N195&lt;&gt;"Reduce"),", a number of seats on a row not marked Reduce","")&amp;IF(N($O195)&gt;N($J195),", more seats given up than the row has",""),3,200))</f>
        <v>career level, nationality mandate, capacity direction</v>
      </c>
    </row>
    <row r="196" customFormat="false" ht="15" hidden="false" customHeight="false" outlineLevel="0" collapsed="false">
      <c r="A196" s="21" t="s">
        <v>411</v>
      </c>
      <c r="B196" s="21" t="s">
        <v>220</v>
      </c>
      <c r="C196" s="21" t="s">
        <v>282</v>
      </c>
      <c r="D196" s="21" t="s">
        <v>284</v>
      </c>
      <c r="E196" s="21" t="s">
        <v>292</v>
      </c>
      <c r="F196" s="21" t="s">
        <v>514</v>
      </c>
      <c r="G196" s="21"/>
      <c r="H196" s="21" t="s">
        <v>396</v>
      </c>
      <c r="I196" s="21"/>
      <c r="J196" s="22" t="n">
        <v>1</v>
      </c>
      <c r="K196" s="22" t="n">
        <v>1</v>
      </c>
      <c r="L196" s="22" t="n">
        <v>0</v>
      </c>
      <c r="M196" s="21" t="s">
        <v>389</v>
      </c>
      <c r="N196" s="21"/>
      <c r="O196" s="22"/>
      <c r="P196" s="20" t="n">
        <f aca="false">IF($N196="Reduce",N($O196),0)</f>
        <v>0</v>
      </c>
      <c r="Q196" s="23" t="str">
        <f aca="false">IF($F196="","",MID(IF($G196="",", career level","")&amp;IF($I196="",", nationality mandate","")&amp;IF($N196="",", capacity direction","")&amp;IF(N($J196)&lt;=0,", approved HC","")&amp;IF(AND($G196&lt;&gt;"",COUNTIF(CareerLevels,$G196)=0),", a career level that is not on the ladder","")&amp;IF(AND($N196="Reduce",N($O196)&lt;=0),", how many seats Reduce means","")&amp;IF(AND(N($O196)&gt;0,$N196&lt;&gt;"Reduce"),", a number of seats on a row not marked Reduce","")&amp;IF(N($O196)&gt;N($J196),", more seats given up than the row has",""),3,200))</f>
        <v>career level, nationality mandate, capacity direction</v>
      </c>
    </row>
    <row r="197" customFormat="false" ht="15" hidden="false" customHeight="false" outlineLevel="0" collapsed="false">
      <c r="A197" s="21" t="s">
        <v>406</v>
      </c>
      <c r="B197" s="21" t="s">
        <v>220</v>
      </c>
      <c r="C197" s="21" t="s">
        <v>282</v>
      </c>
      <c r="D197" s="21" t="s">
        <v>284</v>
      </c>
      <c r="E197" s="21" t="s">
        <v>292</v>
      </c>
      <c r="F197" s="21" t="s">
        <v>514</v>
      </c>
      <c r="G197" s="21"/>
      <c r="H197" s="21" t="s">
        <v>396</v>
      </c>
      <c r="I197" s="21"/>
      <c r="J197" s="22" t="n">
        <v>1</v>
      </c>
      <c r="K197" s="22" t="n">
        <v>1</v>
      </c>
      <c r="L197" s="22" t="n">
        <v>0</v>
      </c>
      <c r="M197" s="21" t="s">
        <v>385</v>
      </c>
      <c r="N197" s="21"/>
      <c r="O197" s="22"/>
      <c r="P197" s="20" t="n">
        <f aca="false">IF($N197="Reduce",N($O197),0)</f>
        <v>0</v>
      </c>
      <c r="Q197" s="23" t="str">
        <f aca="false">IF($F197="","",MID(IF($G197="",", career level","")&amp;IF($I197="",", nationality mandate","")&amp;IF($N197="",", capacity direction","")&amp;IF(N($J197)&lt;=0,", approved HC","")&amp;IF(AND($G197&lt;&gt;"",COUNTIF(CareerLevels,$G197)=0),", a career level that is not on the ladder","")&amp;IF(AND($N197="Reduce",N($O197)&lt;=0),", how many seats Reduce means","")&amp;IF(AND(N($O197)&gt;0,$N197&lt;&gt;"Reduce"),", a number of seats on a row not marked Reduce","")&amp;IF(N($O197)&gt;N($J197),", more seats given up than the row has",""),3,200))</f>
        <v>career level, nationality mandate, capacity direction</v>
      </c>
    </row>
    <row r="198" customFormat="false" ht="15" hidden="false" customHeight="false" outlineLevel="0" collapsed="false">
      <c r="A198" s="21"/>
      <c r="B198" s="21" t="s">
        <v>220</v>
      </c>
      <c r="C198" s="21" t="s">
        <v>282</v>
      </c>
      <c r="D198" s="21" t="s">
        <v>284</v>
      </c>
      <c r="E198" s="21" t="s">
        <v>292</v>
      </c>
      <c r="F198" s="21" t="s">
        <v>515</v>
      </c>
      <c r="G198" s="21"/>
      <c r="H198" s="21" t="s">
        <v>396</v>
      </c>
      <c r="I198" s="21"/>
      <c r="J198" s="22" t="n">
        <v>2</v>
      </c>
      <c r="K198" s="22" t="n">
        <v>1</v>
      </c>
      <c r="L198" s="22" t="n">
        <v>1</v>
      </c>
      <c r="M198" s="21" t="s">
        <v>385</v>
      </c>
      <c r="N198" s="21"/>
      <c r="O198" s="22"/>
      <c r="P198" s="20" t="n">
        <f aca="false">IF($N198="Reduce",N($O198),0)</f>
        <v>0</v>
      </c>
      <c r="Q198" s="23" t="str">
        <f aca="false">IF($F198="","",MID(IF($G198="",", career level","")&amp;IF($I198="",", nationality mandate","")&amp;IF($N198="",", capacity direction","")&amp;IF(N($J198)&lt;=0,", approved HC","")&amp;IF(AND($G198&lt;&gt;"",COUNTIF(CareerLevels,$G198)=0),", a career level that is not on the ladder","")&amp;IF(AND($N198="Reduce",N($O198)&lt;=0),", how many seats Reduce means","")&amp;IF(AND(N($O198)&gt;0,$N198&lt;&gt;"Reduce"),", a number of seats on a row not marked Reduce","")&amp;IF(N($O198)&gt;N($J198),", more seats given up than the row has",""),3,200))</f>
        <v>career level, nationality mandate, capacity direction</v>
      </c>
    </row>
    <row r="199" customFormat="false" ht="15" hidden="false" customHeight="false" outlineLevel="0" collapsed="false">
      <c r="A199" s="21" t="s">
        <v>425</v>
      </c>
      <c r="B199" s="21" t="s">
        <v>220</v>
      </c>
      <c r="C199" s="21" t="s">
        <v>282</v>
      </c>
      <c r="D199" s="21" t="s">
        <v>284</v>
      </c>
      <c r="E199" s="21" t="s">
        <v>292</v>
      </c>
      <c r="F199" s="21" t="s">
        <v>512</v>
      </c>
      <c r="G199" s="21"/>
      <c r="H199" s="21" t="s">
        <v>396</v>
      </c>
      <c r="I199" s="21"/>
      <c r="J199" s="22" t="n">
        <v>1</v>
      </c>
      <c r="K199" s="22" t="n">
        <v>1</v>
      </c>
      <c r="L199" s="22" t="n">
        <v>0</v>
      </c>
      <c r="M199" s="21" t="s">
        <v>389</v>
      </c>
      <c r="N199" s="21"/>
      <c r="O199" s="22"/>
      <c r="P199" s="20" t="n">
        <f aca="false">IF($N199="Reduce",N($O199),0)</f>
        <v>0</v>
      </c>
      <c r="Q199" s="23" t="str">
        <f aca="false">IF($F199="","",MID(IF($G199="",", career level","")&amp;IF($I199="",", nationality mandate","")&amp;IF($N199="",", capacity direction","")&amp;IF(N($J199)&lt;=0,", approved HC","")&amp;IF(AND($G199&lt;&gt;"",COUNTIF(CareerLevels,$G199)=0),", a career level that is not on the ladder","")&amp;IF(AND($N199="Reduce",N($O199)&lt;=0),", how many seats Reduce means","")&amp;IF(AND(N($O199)&gt;0,$N199&lt;&gt;"Reduce"),", a number of seats on a row not marked Reduce","")&amp;IF(N($O199)&gt;N($J199),", more seats given up than the row has",""),3,200))</f>
        <v>career level, nationality mandate, capacity direction</v>
      </c>
    </row>
    <row r="200" customFormat="false" ht="15" hidden="false" customHeight="false" outlineLevel="0" collapsed="false">
      <c r="A200" s="21"/>
      <c r="B200" s="21" t="s">
        <v>220</v>
      </c>
      <c r="C200" s="21" t="s">
        <v>282</v>
      </c>
      <c r="D200" s="21" t="s">
        <v>284</v>
      </c>
      <c r="E200" s="21" t="s">
        <v>292</v>
      </c>
      <c r="F200" s="21" t="s">
        <v>516</v>
      </c>
      <c r="G200" s="21"/>
      <c r="H200" s="21" t="s">
        <v>396</v>
      </c>
      <c r="I200" s="21"/>
      <c r="J200" s="22" t="n">
        <v>2</v>
      </c>
      <c r="K200" s="22" t="n">
        <v>2</v>
      </c>
      <c r="L200" s="22" t="n">
        <v>0</v>
      </c>
      <c r="M200" s="21" t="s">
        <v>385</v>
      </c>
      <c r="N200" s="21"/>
      <c r="O200" s="22"/>
      <c r="P200" s="20" t="n">
        <f aca="false">IF($N200="Reduce",N($O200),0)</f>
        <v>0</v>
      </c>
      <c r="Q200" s="23" t="str">
        <f aca="false">IF($F200="","",MID(IF($G200="",", career level","")&amp;IF($I200="",", nationality mandate","")&amp;IF($N200="",", capacity direction","")&amp;IF(N($J200)&lt;=0,", approved HC","")&amp;IF(AND($G200&lt;&gt;"",COUNTIF(CareerLevels,$G200)=0),", a career level that is not on the ladder","")&amp;IF(AND($N200="Reduce",N($O200)&lt;=0),", how many seats Reduce means","")&amp;IF(AND(N($O200)&gt;0,$N200&lt;&gt;"Reduce"),", a number of seats on a row not marked Reduce","")&amp;IF(N($O200)&gt;N($J200),", more seats given up than the row has",""),3,200))</f>
        <v>career level, nationality mandate, capacity direction</v>
      </c>
    </row>
    <row r="201" customFormat="false" ht="15" hidden="false" customHeight="false" outlineLevel="0" collapsed="false">
      <c r="A201" s="21" t="s">
        <v>517</v>
      </c>
      <c r="B201" s="21" t="s">
        <v>220</v>
      </c>
      <c r="C201" s="21" t="s">
        <v>282</v>
      </c>
      <c r="D201" s="21" t="s">
        <v>284</v>
      </c>
      <c r="E201" s="21" t="s">
        <v>292</v>
      </c>
      <c r="F201" s="21" t="s">
        <v>513</v>
      </c>
      <c r="G201" s="21"/>
      <c r="H201" s="21" t="s">
        <v>394</v>
      </c>
      <c r="I201" s="21"/>
      <c r="J201" s="22" t="n">
        <v>1</v>
      </c>
      <c r="K201" s="22" t="n">
        <v>1</v>
      </c>
      <c r="L201" s="22" t="n">
        <v>0</v>
      </c>
      <c r="M201" s="21" t="s">
        <v>385</v>
      </c>
      <c r="N201" s="21"/>
      <c r="O201" s="22"/>
      <c r="P201" s="20" t="n">
        <f aca="false">IF($N201="Reduce",N($O201),0)</f>
        <v>0</v>
      </c>
      <c r="Q201" s="23" t="str">
        <f aca="false">IF($F201="","",MID(IF($G201="",", career level","")&amp;IF($I201="",", nationality mandate","")&amp;IF($N201="",", capacity direction","")&amp;IF(N($J201)&lt;=0,", approved HC","")&amp;IF(AND($G201&lt;&gt;"",COUNTIF(CareerLevels,$G201)=0),", a career level that is not on the ladder","")&amp;IF(AND($N201="Reduce",N($O201)&lt;=0),", how many seats Reduce means","")&amp;IF(AND(N($O201)&gt;0,$N201&lt;&gt;"Reduce"),", a number of seats on a row not marked Reduce","")&amp;IF(N($O201)&gt;N($J201),", more seats given up than the row has",""),3,200))</f>
        <v>career level, nationality mandate, capacity direction</v>
      </c>
    </row>
    <row r="202" customFormat="false" ht="15" hidden="false" customHeight="false" outlineLevel="0" collapsed="false">
      <c r="A202" s="21" t="s">
        <v>409</v>
      </c>
      <c r="B202" s="21" t="s">
        <v>220</v>
      </c>
      <c r="C202" s="21" t="s">
        <v>282</v>
      </c>
      <c r="D202" s="21" t="s">
        <v>298</v>
      </c>
      <c r="E202" s="21"/>
      <c r="F202" s="21" t="s">
        <v>510</v>
      </c>
      <c r="G202" s="21"/>
      <c r="H202" s="21" t="s">
        <v>394</v>
      </c>
      <c r="I202" s="21"/>
      <c r="J202" s="22" t="n">
        <v>1</v>
      </c>
      <c r="K202" s="22" t="n">
        <v>1</v>
      </c>
      <c r="L202" s="22" t="n">
        <v>0</v>
      </c>
      <c r="M202" s="21" t="s">
        <v>385</v>
      </c>
      <c r="N202" s="21"/>
      <c r="O202" s="22"/>
      <c r="P202" s="20" t="n">
        <f aca="false">IF($N202="Reduce",N($O202),0)</f>
        <v>0</v>
      </c>
      <c r="Q202" s="23" t="str">
        <f aca="false">IF($F202="","",MID(IF($G202="",", career level","")&amp;IF($I202="",", nationality mandate","")&amp;IF($N202="",", capacity direction","")&amp;IF(N($J202)&lt;=0,", approved HC","")&amp;IF(AND($G202&lt;&gt;"",COUNTIF(CareerLevels,$G202)=0),", a career level that is not on the ladder","")&amp;IF(AND($N202="Reduce",N($O202)&lt;=0),", how many seats Reduce means","")&amp;IF(AND(N($O202)&gt;0,$N202&lt;&gt;"Reduce"),", a number of seats on a row not marked Reduce","")&amp;IF(N($O202)&gt;N($J202),", more seats given up than the row has",""),3,200))</f>
        <v>career level, nationality mandate, capacity direction</v>
      </c>
    </row>
    <row r="203" customFormat="false" ht="15" hidden="false" customHeight="false" outlineLevel="0" collapsed="false">
      <c r="A203" s="21"/>
      <c r="B203" s="21" t="s">
        <v>220</v>
      </c>
      <c r="C203" s="21" t="s">
        <v>282</v>
      </c>
      <c r="D203" s="21" t="s">
        <v>298</v>
      </c>
      <c r="E203" s="21" t="s">
        <v>300</v>
      </c>
      <c r="F203" s="21" t="s">
        <v>515</v>
      </c>
      <c r="G203" s="21"/>
      <c r="H203" s="21" t="s">
        <v>396</v>
      </c>
      <c r="I203" s="21"/>
      <c r="J203" s="22" t="n">
        <v>2</v>
      </c>
      <c r="K203" s="22" t="n">
        <v>2</v>
      </c>
      <c r="L203" s="22" t="n">
        <v>0</v>
      </c>
      <c r="M203" s="21" t="s">
        <v>385</v>
      </c>
      <c r="N203" s="21"/>
      <c r="O203" s="22"/>
      <c r="P203" s="20" t="n">
        <f aca="false">IF($N203="Reduce",N($O203),0)</f>
        <v>0</v>
      </c>
      <c r="Q203" s="23" t="str">
        <f aca="false">IF($F203="","",MID(IF($G203="",", career level","")&amp;IF($I203="",", nationality mandate","")&amp;IF($N203="",", capacity direction","")&amp;IF(N($J203)&lt;=0,", approved HC","")&amp;IF(AND($G203&lt;&gt;"",COUNTIF(CareerLevels,$G203)=0),", a career level that is not on the ladder","")&amp;IF(AND($N203="Reduce",N($O203)&lt;=0),", how many seats Reduce means","")&amp;IF(AND(N($O203)&gt;0,$N203&lt;&gt;"Reduce"),", a number of seats on a row not marked Reduce","")&amp;IF(N($O203)&gt;N($J203),", more seats given up than the row has",""),3,200))</f>
        <v>career level, nationality mandate, capacity direction</v>
      </c>
    </row>
    <row r="204" customFormat="false" ht="15" hidden="false" customHeight="false" outlineLevel="0" collapsed="false">
      <c r="A204" s="21" t="s">
        <v>425</v>
      </c>
      <c r="B204" s="21" t="s">
        <v>220</v>
      </c>
      <c r="C204" s="21" t="s">
        <v>282</v>
      </c>
      <c r="D204" s="21" t="s">
        <v>298</v>
      </c>
      <c r="E204" s="21" t="s">
        <v>300</v>
      </c>
      <c r="F204" s="21" t="s">
        <v>516</v>
      </c>
      <c r="G204" s="21"/>
      <c r="H204" s="21" t="s">
        <v>396</v>
      </c>
      <c r="I204" s="21"/>
      <c r="J204" s="22" t="n">
        <v>1</v>
      </c>
      <c r="K204" s="22" t="n">
        <v>1</v>
      </c>
      <c r="L204" s="22" t="n">
        <v>0</v>
      </c>
      <c r="M204" s="21" t="s">
        <v>385</v>
      </c>
      <c r="N204" s="21"/>
      <c r="O204" s="22"/>
      <c r="P204" s="20" t="n">
        <f aca="false">IF($N204="Reduce",N($O204),0)</f>
        <v>0</v>
      </c>
      <c r="Q204" s="23" t="str">
        <f aca="false">IF($F204="","",MID(IF($G204="",", career level","")&amp;IF($I204="",", nationality mandate","")&amp;IF($N204="",", capacity direction","")&amp;IF(N($J204)&lt;=0,", approved HC","")&amp;IF(AND($G204&lt;&gt;"",COUNTIF(CareerLevels,$G204)=0),", a career level that is not on the ladder","")&amp;IF(AND($N204="Reduce",N($O204)&lt;=0),", how many seats Reduce means","")&amp;IF(AND(N($O204)&gt;0,$N204&lt;&gt;"Reduce"),", a number of seats on a row not marked Reduce","")&amp;IF(N($O204)&gt;N($J204),", more seats given up than the row has",""),3,200))</f>
        <v>career level, nationality mandate, capacity direction</v>
      </c>
    </row>
    <row r="205" customFormat="false" ht="15" hidden="false" customHeight="false" outlineLevel="0" collapsed="false">
      <c r="A205" s="21"/>
      <c r="B205" s="21" t="s">
        <v>220</v>
      </c>
      <c r="C205" s="21" t="s">
        <v>282</v>
      </c>
      <c r="D205" s="21" t="s">
        <v>298</v>
      </c>
      <c r="E205" s="21" t="s">
        <v>300</v>
      </c>
      <c r="F205" s="21" t="s">
        <v>518</v>
      </c>
      <c r="G205" s="21"/>
      <c r="H205" s="21" t="s">
        <v>396</v>
      </c>
      <c r="I205" s="21"/>
      <c r="J205" s="22" t="n">
        <v>2</v>
      </c>
      <c r="K205" s="22" t="n">
        <v>2</v>
      </c>
      <c r="L205" s="22" t="n">
        <v>0</v>
      </c>
      <c r="M205" s="21" t="s">
        <v>385</v>
      </c>
      <c r="N205" s="21"/>
      <c r="O205" s="22"/>
      <c r="P205" s="20" t="n">
        <f aca="false">IF($N205="Reduce",N($O205),0)</f>
        <v>0</v>
      </c>
      <c r="Q205" s="23" t="str">
        <f aca="false">IF($F205="","",MID(IF($G205="",", career level","")&amp;IF($I205="",", nationality mandate","")&amp;IF($N205="",", capacity direction","")&amp;IF(N($J205)&lt;=0,", approved HC","")&amp;IF(AND($G205&lt;&gt;"",COUNTIF(CareerLevels,$G205)=0),", a career level that is not on the ladder","")&amp;IF(AND($N205="Reduce",N($O205)&lt;=0),", how many seats Reduce means","")&amp;IF(AND(N($O205)&gt;0,$N205&lt;&gt;"Reduce"),", a number of seats on a row not marked Reduce","")&amp;IF(N($O205)&gt;N($J205),", more seats given up than the row has",""),3,200))</f>
        <v>career level, nationality mandate, capacity direction</v>
      </c>
    </row>
    <row r="206" customFormat="false" ht="15" hidden="false" customHeight="false" outlineLevel="0" collapsed="false">
      <c r="A206" s="21" t="s">
        <v>420</v>
      </c>
      <c r="B206" s="21" t="s">
        <v>220</v>
      </c>
      <c r="C206" s="21" t="s">
        <v>282</v>
      </c>
      <c r="D206" s="21" t="s">
        <v>298</v>
      </c>
      <c r="E206" s="21" t="s">
        <v>300</v>
      </c>
      <c r="F206" s="21" t="s">
        <v>513</v>
      </c>
      <c r="G206" s="21"/>
      <c r="H206" s="21" t="s">
        <v>394</v>
      </c>
      <c r="I206" s="21"/>
      <c r="J206" s="22" t="n">
        <v>1</v>
      </c>
      <c r="K206" s="22" t="n">
        <v>1</v>
      </c>
      <c r="L206" s="22" t="n">
        <v>0</v>
      </c>
      <c r="M206" s="21" t="s">
        <v>385</v>
      </c>
      <c r="N206" s="21"/>
      <c r="O206" s="22"/>
      <c r="P206" s="20" t="n">
        <f aca="false">IF($N206="Reduce",N($O206),0)</f>
        <v>0</v>
      </c>
      <c r="Q206" s="23" t="str">
        <f aca="false">IF($F206="","",MID(IF($G206="",", career level","")&amp;IF($I206="",", nationality mandate","")&amp;IF($N206="",", capacity direction","")&amp;IF(N($J206)&lt;=0,", approved HC","")&amp;IF(AND($G206&lt;&gt;"",COUNTIF(CareerLevels,$G206)=0),", a career level that is not on the ladder","")&amp;IF(AND($N206="Reduce",N($O206)&lt;=0),", how many seats Reduce means","")&amp;IF(AND(N($O206)&gt;0,$N206&lt;&gt;"Reduce"),", a number of seats on a row not marked Reduce","")&amp;IF(N($O206)&gt;N($J206),", more seats given up than the row has",""),3,200))</f>
        <v>career level, nationality mandate, capacity direction</v>
      </c>
    </row>
    <row r="207" customFormat="false" ht="15" hidden="false" customHeight="false" outlineLevel="0" collapsed="false">
      <c r="A207" s="21"/>
      <c r="B207" s="21" t="s">
        <v>220</v>
      </c>
      <c r="C207" s="21" t="s">
        <v>282</v>
      </c>
      <c r="D207" s="21" t="s">
        <v>298</v>
      </c>
      <c r="E207" s="21" t="s">
        <v>304</v>
      </c>
      <c r="F207" s="21" t="s">
        <v>511</v>
      </c>
      <c r="G207" s="21"/>
      <c r="H207" s="21" t="s">
        <v>396</v>
      </c>
      <c r="I207" s="21"/>
      <c r="J207" s="22" t="n">
        <v>3</v>
      </c>
      <c r="K207" s="22" t="n">
        <v>2</v>
      </c>
      <c r="L207" s="22" t="n">
        <v>1</v>
      </c>
      <c r="M207" s="21" t="s">
        <v>385</v>
      </c>
      <c r="N207" s="21"/>
      <c r="O207" s="22"/>
      <c r="P207" s="20" t="n">
        <f aca="false">IF($N207="Reduce",N($O207),0)</f>
        <v>0</v>
      </c>
      <c r="Q207" s="23" t="str">
        <f aca="false">IF($F207="","",MID(IF($G207="",", career level","")&amp;IF($I207="",", nationality mandate","")&amp;IF($N207="",", capacity direction","")&amp;IF(N($J207)&lt;=0,", approved HC","")&amp;IF(AND($G207&lt;&gt;"",COUNTIF(CareerLevels,$G207)=0),", a career level that is not on the ladder","")&amp;IF(AND($N207="Reduce",N($O207)&lt;=0),", how many seats Reduce means","")&amp;IF(AND(N($O207)&gt;0,$N207&lt;&gt;"Reduce"),", a number of seats on a row not marked Reduce","")&amp;IF(N($O207)&gt;N($J207),", more seats given up than the row has",""),3,200))</f>
        <v>career level, nationality mandate, capacity direction</v>
      </c>
    </row>
    <row r="208" customFormat="false" ht="15" hidden="false" customHeight="false" outlineLevel="0" collapsed="false">
      <c r="A208" s="21" t="s">
        <v>445</v>
      </c>
      <c r="B208" s="21" t="s">
        <v>220</v>
      </c>
      <c r="C208" s="21" t="s">
        <v>282</v>
      </c>
      <c r="D208" s="21" t="s">
        <v>298</v>
      </c>
      <c r="E208" s="21" t="s">
        <v>304</v>
      </c>
      <c r="F208" s="21" t="s">
        <v>514</v>
      </c>
      <c r="G208" s="21"/>
      <c r="H208" s="21" t="s">
        <v>396</v>
      </c>
      <c r="I208" s="21"/>
      <c r="J208" s="22" t="n">
        <v>1</v>
      </c>
      <c r="K208" s="22" t="n">
        <v>1</v>
      </c>
      <c r="L208" s="22" t="n">
        <v>0</v>
      </c>
      <c r="M208" s="21" t="s">
        <v>389</v>
      </c>
      <c r="N208" s="21"/>
      <c r="O208" s="22"/>
      <c r="P208" s="20" t="n">
        <f aca="false">IF($N208="Reduce",N($O208),0)</f>
        <v>0</v>
      </c>
      <c r="Q208" s="23" t="str">
        <f aca="false">IF($F208="","",MID(IF($G208="",", career level","")&amp;IF($I208="",", nationality mandate","")&amp;IF($N208="",", capacity direction","")&amp;IF(N($J208)&lt;=0,", approved HC","")&amp;IF(AND($G208&lt;&gt;"",COUNTIF(CareerLevels,$G208)=0),", a career level that is not on the ladder","")&amp;IF(AND($N208="Reduce",N($O208)&lt;=0),", how many seats Reduce means","")&amp;IF(AND(N($O208)&gt;0,$N208&lt;&gt;"Reduce"),", a number of seats on a row not marked Reduce","")&amp;IF(N($O208)&gt;N($J208),", more seats given up than the row has",""),3,200))</f>
        <v>career level, nationality mandate, capacity direction</v>
      </c>
    </row>
    <row r="209" customFormat="false" ht="15" hidden="false" customHeight="false" outlineLevel="0" collapsed="false">
      <c r="A209" s="21" t="s">
        <v>407</v>
      </c>
      <c r="B209" s="21" t="s">
        <v>220</v>
      </c>
      <c r="C209" s="21" t="s">
        <v>282</v>
      </c>
      <c r="D209" s="21" t="s">
        <v>298</v>
      </c>
      <c r="E209" s="21" t="s">
        <v>304</v>
      </c>
      <c r="F209" s="21" t="s">
        <v>514</v>
      </c>
      <c r="G209" s="21"/>
      <c r="H209" s="21" t="s">
        <v>396</v>
      </c>
      <c r="I209" s="21"/>
      <c r="J209" s="22" t="n">
        <v>1</v>
      </c>
      <c r="K209" s="22" t="n">
        <v>1</v>
      </c>
      <c r="L209" s="22" t="n">
        <v>0</v>
      </c>
      <c r="M209" s="21" t="s">
        <v>385</v>
      </c>
      <c r="N209" s="21"/>
      <c r="O209" s="22"/>
      <c r="P209" s="20" t="n">
        <f aca="false">IF($N209="Reduce",N($O209),0)</f>
        <v>0</v>
      </c>
      <c r="Q209" s="23" t="str">
        <f aca="false">IF($F209="","",MID(IF($G209="",", career level","")&amp;IF($I209="",", nationality mandate","")&amp;IF($N209="",", capacity direction","")&amp;IF(N($J209)&lt;=0,", approved HC","")&amp;IF(AND($G209&lt;&gt;"",COUNTIF(CareerLevels,$G209)=0),", a career level that is not on the ladder","")&amp;IF(AND($N209="Reduce",N($O209)&lt;=0),", how many seats Reduce means","")&amp;IF(AND(N($O209)&gt;0,$N209&lt;&gt;"Reduce"),", a number of seats on a row not marked Reduce","")&amp;IF(N($O209)&gt;N($J209),", more seats given up than the row has",""),3,200))</f>
        <v>career level, nationality mandate, capacity direction</v>
      </c>
    </row>
    <row r="210" customFormat="false" ht="15" hidden="false" customHeight="false" outlineLevel="0" collapsed="false">
      <c r="A210" s="21" t="s">
        <v>399</v>
      </c>
      <c r="B210" s="21" t="s">
        <v>220</v>
      </c>
      <c r="C210" s="21" t="s">
        <v>282</v>
      </c>
      <c r="D210" s="21" t="s">
        <v>298</v>
      </c>
      <c r="E210" s="21" t="s">
        <v>304</v>
      </c>
      <c r="F210" s="21" t="s">
        <v>515</v>
      </c>
      <c r="G210" s="21"/>
      <c r="H210" s="21" t="s">
        <v>396</v>
      </c>
      <c r="I210" s="21"/>
      <c r="J210" s="22" t="n">
        <v>1</v>
      </c>
      <c r="K210" s="22" t="n">
        <v>1</v>
      </c>
      <c r="L210" s="22" t="n">
        <v>0</v>
      </c>
      <c r="M210" s="21" t="s">
        <v>389</v>
      </c>
      <c r="N210" s="21"/>
      <c r="O210" s="22"/>
      <c r="P210" s="20" t="n">
        <f aca="false">IF($N210="Reduce",N($O210),0)</f>
        <v>0</v>
      </c>
      <c r="Q210" s="23" t="str">
        <f aca="false">IF($F210="","",MID(IF($G210="",", career level","")&amp;IF($I210="",", nationality mandate","")&amp;IF($N210="",", capacity direction","")&amp;IF(N($J210)&lt;=0,", approved HC","")&amp;IF(AND($G210&lt;&gt;"",COUNTIF(CareerLevels,$G210)=0),", a career level that is not on the ladder","")&amp;IF(AND($N210="Reduce",N($O210)&lt;=0),", how many seats Reduce means","")&amp;IF(AND(N($O210)&gt;0,$N210&lt;&gt;"Reduce"),", a number of seats on a row not marked Reduce","")&amp;IF(N($O210)&gt;N($J210),", more seats given up than the row has",""),3,200))</f>
        <v>career level, nationality mandate, capacity direction</v>
      </c>
    </row>
    <row r="211" customFormat="false" ht="15" hidden="false" customHeight="false" outlineLevel="0" collapsed="false">
      <c r="A211" s="21" t="s">
        <v>409</v>
      </c>
      <c r="B211" s="21" t="s">
        <v>220</v>
      </c>
      <c r="C211" s="21" t="s">
        <v>282</v>
      </c>
      <c r="D211" s="21" t="s">
        <v>298</v>
      </c>
      <c r="E211" s="21" t="s">
        <v>304</v>
      </c>
      <c r="F211" s="21" t="s">
        <v>518</v>
      </c>
      <c r="G211" s="21"/>
      <c r="H211" s="21" t="s">
        <v>396</v>
      </c>
      <c r="I211" s="21"/>
      <c r="J211" s="22" t="n">
        <v>1</v>
      </c>
      <c r="K211" s="22" t="n">
        <v>1</v>
      </c>
      <c r="L211" s="22" t="n">
        <v>0</v>
      </c>
      <c r="M211" s="21" t="s">
        <v>385</v>
      </c>
      <c r="N211" s="21"/>
      <c r="O211" s="22"/>
      <c r="P211" s="20" t="n">
        <f aca="false">IF($N211="Reduce",N($O211),0)</f>
        <v>0</v>
      </c>
      <c r="Q211" s="23" t="str">
        <f aca="false">IF($F211="","",MID(IF($G211="",", career level","")&amp;IF($I211="",", nationality mandate","")&amp;IF($N211="",", capacity direction","")&amp;IF(N($J211)&lt;=0,", approved HC","")&amp;IF(AND($G211&lt;&gt;"",COUNTIF(CareerLevels,$G211)=0),", a career level that is not on the ladder","")&amp;IF(AND($N211="Reduce",N($O211)&lt;=0),", how many seats Reduce means","")&amp;IF(AND(N($O211)&gt;0,$N211&lt;&gt;"Reduce"),", a number of seats on a row not marked Reduce","")&amp;IF(N($O211)&gt;N($J211),", more seats given up than the row has",""),3,200))</f>
        <v>career level, nationality mandate, capacity direction</v>
      </c>
    </row>
    <row r="212" customFormat="false" ht="15" hidden="false" customHeight="false" outlineLevel="0" collapsed="false">
      <c r="A212" s="21" t="s">
        <v>459</v>
      </c>
      <c r="B212" s="21" t="s">
        <v>220</v>
      </c>
      <c r="C212" s="21" t="s">
        <v>282</v>
      </c>
      <c r="D212" s="21" t="s">
        <v>298</v>
      </c>
      <c r="E212" s="21" t="s">
        <v>304</v>
      </c>
      <c r="F212" s="21" t="s">
        <v>513</v>
      </c>
      <c r="G212" s="21"/>
      <c r="H212" s="21" t="s">
        <v>394</v>
      </c>
      <c r="I212" s="21"/>
      <c r="J212" s="22" t="n">
        <v>1</v>
      </c>
      <c r="K212" s="22" t="n">
        <v>0</v>
      </c>
      <c r="L212" s="22" t="n">
        <v>1</v>
      </c>
      <c r="M212" s="21" t="s">
        <v>385</v>
      </c>
      <c r="N212" s="21"/>
      <c r="O212" s="22"/>
      <c r="P212" s="20" t="n">
        <f aca="false">IF($N212="Reduce",N($O212),0)</f>
        <v>0</v>
      </c>
      <c r="Q212" s="23" t="str">
        <f aca="false">IF($F212="","",MID(IF($G212="",", career level","")&amp;IF($I212="",", nationality mandate","")&amp;IF($N212="",", capacity direction","")&amp;IF(N($J212)&lt;=0,", approved HC","")&amp;IF(AND($G212&lt;&gt;"",COUNTIF(CareerLevels,$G212)=0),", a career level that is not on the ladder","")&amp;IF(AND($N212="Reduce",N($O212)&lt;=0),", how many seats Reduce means","")&amp;IF(AND(N($O212)&gt;0,$N212&lt;&gt;"Reduce"),", a number of seats on a row not marked Reduce","")&amp;IF(N($O212)&gt;N($J212),", more seats given up than the row has",""),3,200))</f>
        <v>career level, nationality mandate, capacity direction</v>
      </c>
    </row>
    <row r="213" customFormat="false" ht="15" hidden="false" customHeight="false" outlineLevel="0" collapsed="false">
      <c r="A213" s="21" t="s">
        <v>423</v>
      </c>
      <c r="B213" s="21" t="s">
        <v>310</v>
      </c>
      <c r="C213" s="21"/>
      <c r="D213" s="21"/>
      <c r="E213" s="21"/>
      <c r="F213" s="21" t="s">
        <v>519</v>
      </c>
      <c r="G213" s="21"/>
      <c r="H213" s="21" t="s">
        <v>388</v>
      </c>
      <c r="I213" s="21"/>
      <c r="J213" s="22" t="n">
        <v>1</v>
      </c>
      <c r="K213" s="22" t="n">
        <v>1</v>
      </c>
      <c r="L213" s="22" t="n">
        <v>0</v>
      </c>
      <c r="M213" s="21" t="s">
        <v>385</v>
      </c>
      <c r="N213" s="21"/>
      <c r="O213" s="22"/>
      <c r="P213" s="20" t="n">
        <f aca="false">IF($N213="Reduce",N($O213),0)</f>
        <v>0</v>
      </c>
      <c r="Q213" s="23" t="str">
        <f aca="false">IF($F213="","",MID(IF($G213="",", career level","")&amp;IF($I213="",", nationality mandate","")&amp;IF($N213="",", capacity direction","")&amp;IF(N($J213)&lt;=0,", approved HC","")&amp;IF(AND($G213&lt;&gt;"",COUNTIF(CareerLevels,$G213)=0),", a career level that is not on the ladder","")&amp;IF(AND($N213="Reduce",N($O213)&lt;=0),", how many seats Reduce means","")&amp;IF(AND(N($O213)&gt;0,$N213&lt;&gt;"Reduce"),", a number of seats on a row not marked Reduce","")&amp;IF(N($O213)&gt;N($J213),", more seats given up than the row has",""),3,200))</f>
        <v>career level, nationality mandate, capacity direction</v>
      </c>
    </row>
    <row r="214" customFormat="false" ht="15" hidden="false" customHeight="false" outlineLevel="0" collapsed="false">
      <c r="A214" s="21" t="s">
        <v>520</v>
      </c>
      <c r="B214" s="21" t="s">
        <v>310</v>
      </c>
      <c r="C214" s="21" t="s">
        <v>312</v>
      </c>
      <c r="D214" s="21"/>
      <c r="E214" s="21"/>
      <c r="F214" s="21" t="s">
        <v>521</v>
      </c>
      <c r="G214" s="21"/>
      <c r="H214" s="21" t="s">
        <v>388</v>
      </c>
      <c r="I214" s="21"/>
      <c r="J214" s="22" t="n">
        <v>1</v>
      </c>
      <c r="K214" s="22" t="n">
        <v>1</v>
      </c>
      <c r="L214" s="22" t="n">
        <v>0</v>
      </c>
      <c r="M214" s="21" t="s">
        <v>385</v>
      </c>
      <c r="N214" s="21"/>
      <c r="O214" s="22"/>
      <c r="P214" s="20" t="n">
        <f aca="false">IF($N214="Reduce",N($O214),0)</f>
        <v>0</v>
      </c>
      <c r="Q214" s="23" t="str">
        <f aca="false">IF($F214="","",MID(IF($G214="",", career level","")&amp;IF($I214="",", nationality mandate","")&amp;IF($N214="",", capacity direction","")&amp;IF(N($J214)&lt;=0,", approved HC","")&amp;IF(AND($G214&lt;&gt;"",COUNTIF(CareerLevels,$G214)=0),", a career level that is not on the ladder","")&amp;IF(AND($N214="Reduce",N($O214)&lt;=0),", how many seats Reduce means","")&amp;IF(AND(N($O214)&gt;0,$N214&lt;&gt;"Reduce"),", a number of seats on a row not marked Reduce","")&amp;IF(N($O214)&gt;N($J214),", more seats given up than the row has",""),3,200))</f>
        <v>career level, nationality mandate, capacity direction</v>
      </c>
    </row>
    <row r="215" customFormat="false" ht="15" hidden="false" customHeight="false" outlineLevel="0" collapsed="false">
      <c r="A215" s="21" t="s">
        <v>522</v>
      </c>
      <c r="B215" s="21" t="s">
        <v>310</v>
      </c>
      <c r="C215" s="21" t="s">
        <v>312</v>
      </c>
      <c r="D215" s="21" t="s">
        <v>314</v>
      </c>
      <c r="E215" s="21"/>
      <c r="F215" s="21" t="s">
        <v>523</v>
      </c>
      <c r="G215" s="21"/>
      <c r="H215" s="21" t="s">
        <v>394</v>
      </c>
      <c r="I215" s="21"/>
      <c r="J215" s="22" t="n">
        <v>1</v>
      </c>
      <c r="K215" s="22" t="n">
        <v>1</v>
      </c>
      <c r="L215" s="22" t="n">
        <v>0</v>
      </c>
      <c r="M215" s="21" t="s">
        <v>385</v>
      </c>
      <c r="N215" s="21"/>
      <c r="O215" s="22"/>
      <c r="P215" s="20" t="n">
        <f aca="false">IF($N215="Reduce",N($O215),0)</f>
        <v>0</v>
      </c>
      <c r="Q215" s="23" t="str">
        <f aca="false">IF($F215="","",MID(IF($G215="",", career level","")&amp;IF($I215="",", nationality mandate","")&amp;IF($N215="",", capacity direction","")&amp;IF(N($J215)&lt;=0,", approved HC","")&amp;IF(AND($G215&lt;&gt;"",COUNTIF(CareerLevels,$G215)=0),", a career level that is not on the ladder","")&amp;IF(AND($N215="Reduce",N($O215)&lt;=0),", how many seats Reduce means","")&amp;IF(AND(N($O215)&gt;0,$N215&lt;&gt;"Reduce"),", a number of seats on a row not marked Reduce","")&amp;IF(N($O215)&gt;N($J215),", more seats given up than the row has",""),3,200))</f>
        <v>career level, nationality mandate, capacity direction</v>
      </c>
    </row>
    <row r="216" customFormat="false" ht="15" hidden="false" customHeight="false" outlineLevel="0" collapsed="false">
      <c r="A216" s="21" t="s">
        <v>524</v>
      </c>
      <c r="B216" s="21" t="s">
        <v>310</v>
      </c>
      <c r="C216" s="21" t="s">
        <v>312</v>
      </c>
      <c r="D216" s="21" t="s">
        <v>314</v>
      </c>
      <c r="E216" s="21" t="s">
        <v>316</v>
      </c>
      <c r="F216" s="21" t="s">
        <v>525</v>
      </c>
      <c r="G216" s="21"/>
      <c r="H216" s="21" t="s">
        <v>396</v>
      </c>
      <c r="I216" s="21"/>
      <c r="J216" s="22" t="n">
        <v>1</v>
      </c>
      <c r="K216" s="22" t="n">
        <v>1</v>
      </c>
      <c r="L216" s="22" t="n">
        <v>0</v>
      </c>
      <c r="M216" s="21" t="s">
        <v>385</v>
      </c>
      <c r="N216" s="21"/>
      <c r="O216" s="22"/>
      <c r="P216" s="20" t="n">
        <f aca="false">IF($N216="Reduce",N($O216),0)</f>
        <v>0</v>
      </c>
      <c r="Q216" s="23" t="str">
        <f aca="false">IF($F216="","",MID(IF($G216="",", career level","")&amp;IF($I216="",", nationality mandate","")&amp;IF($N216="",", capacity direction","")&amp;IF(N($J216)&lt;=0,", approved HC","")&amp;IF(AND($G216&lt;&gt;"",COUNTIF(CareerLevels,$G216)=0),", a career level that is not on the ladder","")&amp;IF(AND($N216="Reduce",N($O216)&lt;=0),", how many seats Reduce means","")&amp;IF(AND(N($O216)&gt;0,$N216&lt;&gt;"Reduce"),", a number of seats on a row not marked Reduce","")&amp;IF(N($O216)&gt;N($J216),", more seats given up than the row has",""),3,200))</f>
        <v>career level, nationality mandate, capacity direction</v>
      </c>
    </row>
    <row r="217" customFormat="false" ht="15" hidden="false" customHeight="false" outlineLevel="0" collapsed="false">
      <c r="A217" s="21" t="s">
        <v>496</v>
      </c>
      <c r="B217" s="21" t="s">
        <v>310</v>
      </c>
      <c r="C217" s="21" t="s">
        <v>312</v>
      </c>
      <c r="D217" s="21" t="s">
        <v>314</v>
      </c>
      <c r="E217" s="21" t="s">
        <v>316</v>
      </c>
      <c r="F217" s="21" t="s">
        <v>526</v>
      </c>
      <c r="G217" s="21"/>
      <c r="H217" s="21" t="s">
        <v>396</v>
      </c>
      <c r="I217" s="21"/>
      <c r="J217" s="22" t="n">
        <v>1</v>
      </c>
      <c r="K217" s="22" t="n">
        <v>1</v>
      </c>
      <c r="L217" s="22" t="n">
        <v>0</v>
      </c>
      <c r="M217" s="21" t="s">
        <v>385</v>
      </c>
      <c r="N217" s="21"/>
      <c r="O217" s="22"/>
      <c r="P217" s="20" t="n">
        <f aca="false">IF($N217="Reduce",N($O217),0)</f>
        <v>0</v>
      </c>
      <c r="Q217" s="23" t="str">
        <f aca="false">IF($F217="","",MID(IF($G217="",", career level","")&amp;IF($I217="",", nationality mandate","")&amp;IF($N217="",", capacity direction","")&amp;IF(N($J217)&lt;=0,", approved HC","")&amp;IF(AND($G217&lt;&gt;"",COUNTIF(CareerLevels,$G217)=0),", a career level that is not on the ladder","")&amp;IF(AND($N217="Reduce",N($O217)&lt;=0),", how many seats Reduce means","")&amp;IF(AND(N($O217)&gt;0,$N217&lt;&gt;"Reduce"),", a number of seats on a row not marked Reduce","")&amp;IF(N($O217)&gt;N($J217),", more seats given up than the row has",""),3,200))</f>
        <v>career level, nationality mandate, capacity direction</v>
      </c>
    </row>
    <row r="218" customFormat="false" ht="15" hidden="false" customHeight="false" outlineLevel="0" collapsed="false">
      <c r="A218" s="21" t="s">
        <v>505</v>
      </c>
      <c r="B218" s="21" t="s">
        <v>310</v>
      </c>
      <c r="C218" s="21" t="s">
        <v>312</v>
      </c>
      <c r="D218" s="21" t="s">
        <v>314</v>
      </c>
      <c r="E218" s="21" t="s">
        <v>316</v>
      </c>
      <c r="F218" s="21" t="s">
        <v>527</v>
      </c>
      <c r="G218" s="21"/>
      <c r="H218" s="21" t="s">
        <v>396</v>
      </c>
      <c r="I218" s="21"/>
      <c r="J218" s="22" t="n">
        <v>1</v>
      </c>
      <c r="K218" s="22" t="n">
        <v>1</v>
      </c>
      <c r="L218" s="22" t="n">
        <v>0</v>
      </c>
      <c r="M218" s="21" t="s">
        <v>385</v>
      </c>
      <c r="N218" s="21"/>
      <c r="O218" s="22"/>
      <c r="P218" s="20" t="n">
        <f aca="false">IF($N218="Reduce",N($O218),0)</f>
        <v>0</v>
      </c>
      <c r="Q218" s="23" t="str">
        <f aca="false">IF($F218="","",MID(IF($G218="",", career level","")&amp;IF($I218="",", nationality mandate","")&amp;IF($N218="",", capacity direction","")&amp;IF(N($J218)&lt;=0,", approved HC","")&amp;IF(AND($G218&lt;&gt;"",COUNTIF(CareerLevels,$G218)=0),", a career level that is not on the ladder","")&amp;IF(AND($N218="Reduce",N($O218)&lt;=0),", how many seats Reduce means","")&amp;IF(AND(N($O218)&gt;0,$N218&lt;&gt;"Reduce"),", a number of seats on a row not marked Reduce","")&amp;IF(N($O218)&gt;N($J218),", more seats given up than the row has",""),3,200))</f>
        <v>career level, nationality mandate, capacity direction</v>
      </c>
    </row>
    <row r="219" customFormat="false" ht="15" hidden="false" customHeight="false" outlineLevel="0" collapsed="false">
      <c r="A219" s="21" t="s">
        <v>473</v>
      </c>
      <c r="B219" s="21" t="s">
        <v>310</v>
      </c>
      <c r="C219" s="21" t="s">
        <v>312</v>
      </c>
      <c r="D219" s="21" t="s">
        <v>314</v>
      </c>
      <c r="E219" s="21" t="s">
        <v>316</v>
      </c>
      <c r="F219" s="21" t="s">
        <v>528</v>
      </c>
      <c r="G219" s="21"/>
      <c r="H219" s="21" t="s">
        <v>396</v>
      </c>
      <c r="I219" s="21"/>
      <c r="J219" s="22" t="n">
        <v>1</v>
      </c>
      <c r="K219" s="22" t="n">
        <v>1</v>
      </c>
      <c r="L219" s="22" t="n">
        <v>0</v>
      </c>
      <c r="M219" s="21" t="s">
        <v>385</v>
      </c>
      <c r="N219" s="21"/>
      <c r="O219" s="22"/>
      <c r="P219" s="20" t="n">
        <f aca="false">IF($N219="Reduce",N($O219),0)</f>
        <v>0</v>
      </c>
      <c r="Q219" s="23" t="str">
        <f aca="false">IF($F219="","",MID(IF($G219="",", career level","")&amp;IF($I219="",", nationality mandate","")&amp;IF($N219="",", capacity direction","")&amp;IF(N($J219)&lt;=0,", approved HC","")&amp;IF(AND($G219&lt;&gt;"",COUNTIF(CareerLevels,$G219)=0),", a career level that is not on the ladder","")&amp;IF(AND($N219="Reduce",N($O219)&lt;=0),", how many seats Reduce means","")&amp;IF(AND(N($O219)&gt;0,$N219&lt;&gt;"Reduce"),", a number of seats on a row not marked Reduce","")&amp;IF(N($O219)&gt;N($J219),", more seats given up than the row has",""),3,200))</f>
        <v>career level, nationality mandate, capacity direction</v>
      </c>
    </row>
    <row r="220" customFormat="false" ht="15" hidden="false" customHeight="false" outlineLevel="0" collapsed="false">
      <c r="A220" s="21" t="s">
        <v>439</v>
      </c>
      <c r="B220" s="21" t="s">
        <v>310</v>
      </c>
      <c r="C220" s="21" t="s">
        <v>312</v>
      </c>
      <c r="D220" s="21" t="s">
        <v>314</v>
      </c>
      <c r="E220" s="21" t="s">
        <v>316</v>
      </c>
      <c r="F220" s="21" t="s">
        <v>529</v>
      </c>
      <c r="G220" s="21"/>
      <c r="H220" s="21" t="s">
        <v>396</v>
      </c>
      <c r="I220" s="21"/>
      <c r="J220" s="22" t="n">
        <v>1</v>
      </c>
      <c r="K220" s="22" t="n">
        <v>1</v>
      </c>
      <c r="L220" s="22" t="n">
        <v>0</v>
      </c>
      <c r="M220" s="21" t="s">
        <v>385</v>
      </c>
      <c r="N220" s="21"/>
      <c r="O220" s="22"/>
      <c r="P220" s="20" t="n">
        <f aca="false">IF($N220="Reduce",N($O220),0)</f>
        <v>0</v>
      </c>
      <c r="Q220" s="23" t="str">
        <f aca="false">IF($F220="","",MID(IF($G220="",", career level","")&amp;IF($I220="",", nationality mandate","")&amp;IF($N220="",", capacity direction","")&amp;IF(N($J220)&lt;=0,", approved HC","")&amp;IF(AND($G220&lt;&gt;"",COUNTIF(CareerLevels,$G220)=0),", a career level that is not on the ladder","")&amp;IF(AND($N220="Reduce",N($O220)&lt;=0),", how many seats Reduce means","")&amp;IF(AND(N($O220)&gt;0,$N220&lt;&gt;"Reduce"),", a number of seats on a row not marked Reduce","")&amp;IF(N($O220)&gt;N($J220),", more seats given up than the row has",""),3,200))</f>
        <v>career level, nationality mandate, capacity direction</v>
      </c>
    </row>
    <row r="221" customFormat="false" ht="15" hidden="false" customHeight="false" outlineLevel="0" collapsed="false">
      <c r="A221" s="21" t="s">
        <v>520</v>
      </c>
      <c r="B221" s="21" t="s">
        <v>310</v>
      </c>
      <c r="C221" s="21" t="s">
        <v>312</v>
      </c>
      <c r="D221" s="21" t="s">
        <v>314</v>
      </c>
      <c r="E221" s="21" t="s">
        <v>316</v>
      </c>
      <c r="F221" s="21" t="s">
        <v>530</v>
      </c>
      <c r="G221" s="21"/>
      <c r="H221" s="21" t="s">
        <v>396</v>
      </c>
      <c r="I221" s="21"/>
      <c r="J221" s="22" t="n">
        <v>1</v>
      </c>
      <c r="K221" s="22" t="n">
        <v>1</v>
      </c>
      <c r="L221" s="22" t="n">
        <v>0</v>
      </c>
      <c r="M221" s="21" t="s">
        <v>385</v>
      </c>
      <c r="N221" s="21"/>
      <c r="O221" s="22"/>
      <c r="P221" s="20" t="n">
        <f aca="false">IF($N221="Reduce",N($O221),0)</f>
        <v>0</v>
      </c>
      <c r="Q221" s="23" t="str">
        <f aca="false">IF($F221="","",MID(IF($G221="",", career level","")&amp;IF($I221="",", nationality mandate","")&amp;IF($N221="",", capacity direction","")&amp;IF(N($J221)&lt;=0,", approved HC","")&amp;IF(AND($G221&lt;&gt;"",COUNTIF(CareerLevels,$G221)=0),", a career level that is not on the ladder","")&amp;IF(AND($N221="Reduce",N($O221)&lt;=0),", how many seats Reduce means","")&amp;IF(AND(N($O221)&gt;0,$N221&lt;&gt;"Reduce"),", a number of seats on a row not marked Reduce","")&amp;IF(N($O221)&gt;N($J221),", more seats given up than the row has",""),3,200))</f>
        <v>career level, nationality mandate, capacity direction</v>
      </c>
    </row>
    <row r="222" customFormat="false" ht="15" hidden="false" customHeight="false" outlineLevel="0" collapsed="false">
      <c r="A222" s="21" t="s">
        <v>426</v>
      </c>
      <c r="B222" s="21" t="s">
        <v>310</v>
      </c>
      <c r="C222" s="21" t="s">
        <v>312</v>
      </c>
      <c r="D222" s="21" t="s">
        <v>314</v>
      </c>
      <c r="E222" s="21" t="s">
        <v>316</v>
      </c>
      <c r="F222" s="21" t="s">
        <v>531</v>
      </c>
      <c r="G222" s="21"/>
      <c r="H222" s="21" t="s">
        <v>394</v>
      </c>
      <c r="I222" s="21"/>
      <c r="J222" s="22" t="n">
        <v>1</v>
      </c>
      <c r="K222" s="22" t="n">
        <v>1</v>
      </c>
      <c r="L222" s="22" t="n">
        <v>0</v>
      </c>
      <c r="M222" s="21" t="s">
        <v>385</v>
      </c>
      <c r="N222" s="21"/>
      <c r="O222" s="22"/>
      <c r="P222" s="20" t="n">
        <f aca="false">IF($N222="Reduce",N($O222),0)</f>
        <v>0</v>
      </c>
      <c r="Q222" s="23" t="str">
        <f aca="false">IF($F222="","",MID(IF($G222="",", career level","")&amp;IF($I222="",", nationality mandate","")&amp;IF($N222="",", capacity direction","")&amp;IF(N($J222)&lt;=0,", approved HC","")&amp;IF(AND($G222&lt;&gt;"",COUNTIF(CareerLevels,$G222)=0),", a career level that is not on the ladder","")&amp;IF(AND($N222="Reduce",N($O222)&lt;=0),", how many seats Reduce means","")&amp;IF(AND(N($O222)&gt;0,$N222&lt;&gt;"Reduce"),", a number of seats on a row not marked Reduce","")&amp;IF(N($O222)&gt;N($J222),", more seats given up than the row has",""),3,200))</f>
        <v>career level, nationality mandate, capacity direction</v>
      </c>
    </row>
    <row r="223" customFormat="false" ht="15" hidden="false" customHeight="false" outlineLevel="0" collapsed="false">
      <c r="A223" s="21" t="s">
        <v>505</v>
      </c>
      <c r="B223" s="21" t="s">
        <v>310</v>
      </c>
      <c r="C223" s="21" t="s">
        <v>312</v>
      </c>
      <c r="D223" s="21" t="s">
        <v>314</v>
      </c>
      <c r="E223" s="21" t="s">
        <v>322</v>
      </c>
      <c r="F223" s="21" t="s">
        <v>525</v>
      </c>
      <c r="G223" s="21"/>
      <c r="H223" s="21" t="s">
        <v>396</v>
      </c>
      <c r="I223" s="21"/>
      <c r="J223" s="22" t="n">
        <v>1</v>
      </c>
      <c r="K223" s="22" t="n">
        <v>1</v>
      </c>
      <c r="L223" s="22" t="n">
        <v>0</v>
      </c>
      <c r="M223" s="21" t="s">
        <v>385</v>
      </c>
      <c r="N223" s="21"/>
      <c r="O223" s="22"/>
      <c r="P223" s="20" t="n">
        <f aca="false">IF($N223="Reduce",N($O223),0)</f>
        <v>0</v>
      </c>
      <c r="Q223" s="23" t="str">
        <f aca="false">IF($F223="","",MID(IF($G223="",", career level","")&amp;IF($I223="",", nationality mandate","")&amp;IF($N223="",", capacity direction","")&amp;IF(N($J223)&lt;=0,", approved HC","")&amp;IF(AND($G223&lt;&gt;"",COUNTIF(CareerLevels,$G223)=0),", a career level that is not on the ladder","")&amp;IF(AND($N223="Reduce",N($O223)&lt;=0),", how many seats Reduce means","")&amp;IF(AND(N($O223)&gt;0,$N223&lt;&gt;"Reduce"),", a number of seats on a row not marked Reduce","")&amp;IF(N($O223)&gt;N($J223),", more seats given up than the row has",""),3,200))</f>
        <v>career level, nationality mandate, capacity direction</v>
      </c>
    </row>
    <row r="224" customFormat="false" ht="15" hidden="false" customHeight="false" outlineLevel="0" collapsed="false">
      <c r="A224" s="21" t="s">
        <v>428</v>
      </c>
      <c r="B224" s="21" t="s">
        <v>310</v>
      </c>
      <c r="C224" s="21" t="s">
        <v>312</v>
      </c>
      <c r="D224" s="21" t="s">
        <v>314</v>
      </c>
      <c r="E224" s="21" t="s">
        <v>322</v>
      </c>
      <c r="F224" s="21" t="s">
        <v>526</v>
      </c>
      <c r="G224" s="21"/>
      <c r="H224" s="21" t="s">
        <v>396</v>
      </c>
      <c r="I224" s="21"/>
      <c r="J224" s="22" t="n">
        <v>1</v>
      </c>
      <c r="K224" s="22" t="n">
        <v>1</v>
      </c>
      <c r="L224" s="22" t="n">
        <v>0</v>
      </c>
      <c r="M224" s="21" t="s">
        <v>385</v>
      </c>
      <c r="N224" s="21"/>
      <c r="O224" s="22"/>
      <c r="P224" s="20" t="n">
        <f aca="false">IF($N224="Reduce",N($O224),0)</f>
        <v>0</v>
      </c>
      <c r="Q224" s="23" t="str">
        <f aca="false">IF($F224="","",MID(IF($G224="",", career level","")&amp;IF($I224="",", nationality mandate","")&amp;IF($N224="",", capacity direction","")&amp;IF(N($J224)&lt;=0,", approved HC","")&amp;IF(AND($G224&lt;&gt;"",COUNTIF(CareerLevels,$G224)=0),", a career level that is not on the ladder","")&amp;IF(AND($N224="Reduce",N($O224)&lt;=0),", how many seats Reduce means","")&amp;IF(AND(N($O224)&gt;0,$N224&lt;&gt;"Reduce"),", a number of seats on a row not marked Reduce","")&amp;IF(N($O224)&gt;N($J224),", more seats given up than the row has",""),3,200))</f>
        <v>career level, nationality mandate, capacity direction</v>
      </c>
    </row>
    <row r="225" customFormat="false" ht="15" hidden="false" customHeight="false" outlineLevel="0" collapsed="false">
      <c r="A225" s="21" t="s">
        <v>411</v>
      </c>
      <c r="B225" s="21" t="s">
        <v>310</v>
      </c>
      <c r="C225" s="21" t="s">
        <v>312</v>
      </c>
      <c r="D225" s="21" t="s">
        <v>314</v>
      </c>
      <c r="E225" s="21" t="s">
        <v>322</v>
      </c>
      <c r="F225" s="21" t="s">
        <v>527</v>
      </c>
      <c r="G225" s="21"/>
      <c r="H225" s="21" t="s">
        <v>396</v>
      </c>
      <c r="I225" s="21"/>
      <c r="J225" s="22" t="n">
        <v>1</v>
      </c>
      <c r="K225" s="22" t="n">
        <v>1</v>
      </c>
      <c r="L225" s="22" t="n">
        <v>0</v>
      </c>
      <c r="M225" s="21" t="s">
        <v>385</v>
      </c>
      <c r="N225" s="21"/>
      <c r="O225" s="22"/>
      <c r="P225" s="20" t="n">
        <f aca="false">IF($N225="Reduce",N($O225),0)</f>
        <v>0</v>
      </c>
      <c r="Q225" s="23" t="str">
        <f aca="false">IF($F225="","",MID(IF($G225="",", career level","")&amp;IF($I225="",", nationality mandate","")&amp;IF($N225="",", capacity direction","")&amp;IF(N($J225)&lt;=0,", approved HC","")&amp;IF(AND($G225&lt;&gt;"",COUNTIF(CareerLevels,$G225)=0),", a career level that is not on the ladder","")&amp;IF(AND($N225="Reduce",N($O225)&lt;=0),", how many seats Reduce means","")&amp;IF(AND(N($O225)&gt;0,$N225&lt;&gt;"Reduce"),", a number of seats on a row not marked Reduce","")&amp;IF(N($O225)&gt;N($J225),", more seats given up than the row has",""),3,200))</f>
        <v>career level, nationality mandate, capacity direction</v>
      </c>
    </row>
    <row r="226" customFormat="false" ht="15" hidden="false" customHeight="false" outlineLevel="0" collapsed="false">
      <c r="A226" s="21" t="s">
        <v>507</v>
      </c>
      <c r="B226" s="21" t="s">
        <v>310</v>
      </c>
      <c r="C226" s="21" t="s">
        <v>312</v>
      </c>
      <c r="D226" s="21" t="s">
        <v>314</v>
      </c>
      <c r="E226" s="21" t="s">
        <v>322</v>
      </c>
      <c r="F226" s="21" t="s">
        <v>528</v>
      </c>
      <c r="G226" s="21"/>
      <c r="H226" s="21" t="s">
        <v>396</v>
      </c>
      <c r="I226" s="21"/>
      <c r="J226" s="22" t="n">
        <v>1</v>
      </c>
      <c r="K226" s="22" t="n">
        <v>1</v>
      </c>
      <c r="L226" s="22" t="n">
        <v>0</v>
      </c>
      <c r="M226" s="21" t="s">
        <v>385</v>
      </c>
      <c r="N226" s="21"/>
      <c r="O226" s="22"/>
      <c r="P226" s="20" t="n">
        <f aca="false">IF($N226="Reduce",N($O226),0)</f>
        <v>0</v>
      </c>
      <c r="Q226" s="23" t="str">
        <f aca="false">IF($F226="","",MID(IF($G226="",", career level","")&amp;IF($I226="",", nationality mandate","")&amp;IF($N226="",", capacity direction","")&amp;IF(N($J226)&lt;=0,", approved HC","")&amp;IF(AND($G226&lt;&gt;"",COUNTIF(CareerLevels,$G226)=0),", a career level that is not on the ladder","")&amp;IF(AND($N226="Reduce",N($O226)&lt;=0),", how many seats Reduce means","")&amp;IF(AND(N($O226)&gt;0,$N226&lt;&gt;"Reduce"),", a number of seats on a row not marked Reduce","")&amp;IF(N($O226)&gt;N($J226),", more seats given up than the row has",""),3,200))</f>
        <v>career level, nationality mandate, capacity direction</v>
      </c>
    </row>
    <row r="227" customFormat="false" ht="15" hidden="false" customHeight="false" outlineLevel="0" collapsed="false">
      <c r="A227" s="21" t="s">
        <v>441</v>
      </c>
      <c r="B227" s="21" t="s">
        <v>310</v>
      </c>
      <c r="C227" s="21" t="s">
        <v>312</v>
      </c>
      <c r="D227" s="21" t="s">
        <v>314</v>
      </c>
      <c r="E227" s="21" t="s">
        <v>322</v>
      </c>
      <c r="F227" s="21" t="s">
        <v>529</v>
      </c>
      <c r="G227" s="21"/>
      <c r="H227" s="21" t="s">
        <v>396</v>
      </c>
      <c r="I227" s="21"/>
      <c r="J227" s="22" t="n">
        <v>1</v>
      </c>
      <c r="K227" s="22" t="n">
        <v>1</v>
      </c>
      <c r="L227" s="22" t="n">
        <v>0</v>
      </c>
      <c r="M227" s="21" t="s">
        <v>385</v>
      </c>
      <c r="N227" s="21"/>
      <c r="O227" s="22"/>
      <c r="P227" s="20" t="n">
        <f aca="false">IF($N227="Reduce",N($O227),0)</f>
        <v>0</v>
      </c>
      <c r="Q227" s="23" t="str">
        <f aca="false">IF($F227="","",MID(IF($G227="",", career level","")&amp;IF($I227="",", nationality mandate","")&amp;IF($N227="",", capacity direction","")&amp;IF(N($J227)&lt;=0,", approved HC","")&amp;IF(AND($G227&lt;&gt;"",COUNTIF(CareerLevels,$G227)=0),", a career level that is not on the ladder","")&amp;IF(AND($N227="Reduce",N($O227)&lt;=0),", how many seats Reduce means","")&amp;IF(AND(N($O227)&gt;0,$N227&lt;&gt;"Reduce"),", a number of seats on a row not marked Reduce","")&amp;IF(N($O227)&gt;N($J227),", more seats given up than the row has",""),3,200))</f>
        <v>career level, nationality mandate, capacity direction</v>
      </c>
    </row>
    <row r="228" customFormat="false" ht="15" hidden="false" customHeight="false" outlineLevel="0" collapsed="false">
      <c r="A228" s="21"/>
      <c r="B228" s="21" t="s">
        <v>310</v>
      </c>
      <c r="C228" s="21" t="s">
        <v>312</v>
      </c>
      <c r="D228" s="21" t="s">
        <v>314</v>
      </c>
      <c r="E228" s="21" t="s">
        <v>322</v>
      </c>
      <c r="F228" s="21" t="s">
        <v>530</v>
      </c>
      <c r="G228" s="21"/>
      <c r="H228" s="21" t="s">
        <v>396</v>
      </c>
      <c r="I228" s="21"/>
      <c r="J228" s="22" t="n">
        <v>2</v>
      </c>
      <c r="K228" s="22" t="n">
        <v>2</v>
      </c>
      <c r="L228" s="22" t="n">
        <v>0</v>
      </c>
      <c r="M228" s="21" t="s">
        <v>385</v>
      </c>
      <c r="N228" s="21"/>
      <c r="O228" s="22"/>
      <c r="P228" s="20" t="n">
        <f aca="false">IF($N228="Reduce",N($O228),0)</f>
        <v>0</v>
      </c>
      <c r="Q228" s="23" t="str">
        <f aca="false">IF($F228="","",MID(IF($G228="",", career level","")&amp;IF($I228="",", nationality mandate","")&amp;IF($N228="",", capacity direction","")&amp;IF(N($J228)&lt;=0,", approved HC","")&amp;IF(AND($G228&lt;&gt;"",COUNTIF(CareerLevels,$G228)=0),", a career level that is not on the ladder","")&amp;IF(AND($N228="Reduce",N($O228)&lt;=0),", how many seats Reduce means","")&amp;IF(AND(N($O228)&gt;0,$N228&lt;&gt;"Reduce"),", a number of seats on a row not marked Reduce","")&amp;IF(N($O228)&gt;N($J228),", more seats given up than the row has",""),3,200))</f>
        <v>career level, nationality mandate, capacity direction</v>
      </c>
    </row>
    <row r="229" customFormat="false" ht="15" hidden="false" customHeight="false" outlineLevel="0" collapsed="false">
      <c r="A229" s="21" t="s">
        <v>508</v>
      </c>
      <c r="B229" s="21" t="s">
        <v>310</v>
      </c>
      <c r="C229" s="21" t="s">
        <v>312</v>
      </c>
      <c r="D229" s="21" t="s">
        <v>314</v>
      </c>
      <c r="E229" s="21" t="s">
        <v>322</v>
      </c>
      <c r="F229" s="21" t="s">
        <v>531</v>
      </c>
      <c r="G229" s="21"/>
      <c r="H229" s="21" t="s">
        <v>394</v>
      </c>
      <c r="I229" s="21"/>
      <c r="J229" s="22" t="n">
        <v>1</v>
      </c>
      <c r="K229" s="22" t="n">
        <v>0</v>
      </c>
      <c r="L229" s="22" t="n">
        <v>1</v>
      </c>
      <c r="M229" s="21" t="s">
        <v>385</v>
      </c>
      <c r="N229" s="21"/>
      <c r="O229" s="22"/>
      <c r="P229" s="20" t="n">
        <f aca="false">IF($N229="Reduce",N($O229),0)</f>
        <v>0</v>
      </c>
      <c r="Q229" s="23" t="str">
        <f aca="false">IF($F229="","",MID(IF($G229="",", career level","")&amp;IF($I229="",", nationality mandate","")&amp;IF($N229="",", capacity direction","")&amp;IF(N($J229)&lt;=0,", approved HC","")&amp;IF(AND($G229&lt;&gt;"",COUNTIF(CareerLevels,$G229)=0),", a career level that is not on the ladder","")&amp;IF(AND($N229="Reduce",N($O229)&lt;=0),", how many seats Reduce means","")&amp;IF(AND(N($O229)&gt;0,$N229&lt;&gt;"Reduce"),", a number of seats on a row not marked Reduce","")&amp;IF(N($O229)&gt;N($J229),", more seats given up than the row has",""),3,200))</f>
        <v>career level, nationality mandate, capacity direction</v>
      </c>
    </row>
    <row r="230" customFormat="false" ht="15" hidden="false" customHeight="false" outlineLevel="0" collapsed="false">
      <c r="A230" s="21" t="s">
        <v>434</v>
      </c>
      <c r="B230" s="21" t="s">
        <v>310</v>
      </c>
      <c r="C230" s="21" t="s">
        <v>312</v>
      </c>
      <c r="D230" s="21" t="s">
        <v>328</v>
      </c>
      <c r="E230" s="21"/>
      <c r="F230" s="21" t="s">
        <v>523</v>
      </c>
      <c r="G230" s="21"/>
      <c r="H230" s="21" t="s">
        <v>394</v>
      </c>
      <c r="I230" s="21"/>
      <c r="J230" s="22" t="n">
        <v>1</v>
      </c>
      <c r="K230" s="22" t="n">
        <v>1</v>
      </c>
      <c r="L230" s="22" t="n">
        <v>0</v>
      </c>
      <c r="M230" s="21" t="s">
        <v>385</v>
      </c>
      <c r="N230" s="21"/>
      <c r="O230" s="22"/>
      <c r="P230" s="20" t="n">
        <f aca="false">IF($N230="Reduce",N($O230),0)</f>
        <v>0</v>
      </c>
      <c r="Q230" s="23" t="str">
        <f aca="false">IF($F230="","",MID(IF($G230="",", career level","")&amp;IF($I230="",", nationality mandate","")&amp;IF($N230="",", capacity direction","")&amp;IF(N($J230)&lt;=0,", approved HC","")&amp;IF(AND($G230&lt;&gt;"",COUNTIF(CareerLevels,$G230)=0),", a career level that is not on the ladder","")&amp;IF(AND($N230="Reduce",N($O230)&lt;=0),", how many seats Reduce means","")&amp;IF(AND(N($O230)&gt;0,$N230&lt;&gt;"Reduce"),", a number of seats on a row not marked Reduce","")&amp;IF(N($O230)&gt;N($J230),", more seats given up than the row has",""),3,200))</f>
        <v>career level, nationality mandate, capacity direction</v>
      </c>
    </row>
    <row r="231" customFormat="false" ht="15" hidden="false" customHeight="false" outlineLevel="0" collapsed="false">
      <c r="A231" s="21" t="s">
        <v>435</v>
      </c>
      <c r="B231" s="21" t="s">
        <v>310</v>
      </c>
      <c r="C231" s="21" t="s">
        <v>312</v>
      </c>
      <c r="D231" s="21" t="s">
        <v>328</v>
      </c>
      <c r="E231" s="21" t="s">
        <v>330</v>
      </c>
      <c r="F231" s="21" t="s">
        <v>526</v>
      </c>
      <c r="G231" s="21"/>
      <c r="H231" s="21" t="s">
        <v>396</v>
      </c>
      <c r="I231" s="21"/>
      <c r="J231" s="22" t="n">
        <v>1</v>
      </c>
      <c r="K231" s="22" t="n">
        <v>1</v>
      </c>
      <c r="L231" s="22" t="n">
        <v>0</v>
      </c>
      <c r="M231" s="21" t="s">
        <v>385</v>
      </c>
      <c r="N231" s="21"/>
      <c r="O231" s="22"/>
      <c r="P231" s="20" t="n">
        <f aca="false">IF($N231="Reduce",N($O231),0)</f>
        <v>0</v>
      </c>
      <c r="Q231" s="23" t="str">
        <f aca="false">IF($F231="","",MID(IF($G231="",", career level","")&amp;IF($I231="",", nationality mandate","")&amp;IF($N231="",", capacity direction","")&amp;IF(N($J231)&lt;=0,", approved HC","")&amp;IF(AND($G231&lt;&gt;"",COUNTIF(CareerLevels,$G231)=0),", a career level that is not on the ladder","")&amp;IF(AND($N231="Reduce",N($O231)&lt;=0),", how many seats Reduce means","")&amp;IF(AND(N($O231)&gt;0,$N231&lt;&gt;"Reduce"),", a number of seats on a row not marked Reduce","")&amp;IF(N($O231)&gt;N($J231),", more seats given up than the row has",""),3,200))</f>
        <v>career level, nationality mandate, capacity direction</v>
      </c>
    </row>
    <row r="232" customFormat="false" ht="15" hidden="false" customHeight="false" outlineLevel="0" collapsed="false">
      <c r="A232" s="21" t="s">
        <v>467</v>
      </c>
      <c r="B232" s="21" t="s">
        <v>310</v>
      </c>
      <c r="C232" s="21" t="s">
        <v>312</v>
      </c>
      <c r="D232" s="21" t="s">
        <v>328</v>
      </c>
      <c r="E232" s="21" t="s">
        <v>330</v>
      </c>
      <c r="F232" s="21" t="s">
        <v>527</v>
      </c>
      <c r="G232" s="21"/>
      <c r="H232" s="21" t="s">
        <v>396</v>
      </c>
      <c r="I232" s="21"/>
      <c r="J232" s="22" t="n">
        <v>1</v>
      </c>
      <c r="K232" s="22" t="n">
        <v>1</v>
      </c>
      <c r="L232" s="22" t="n">
        <v>0</v>
      </c>
      <c r="M232" s="21" t="s">
        <v>385</v>
      </c>
      <c r="N232" s="21"/>
      <c r="O232" s="22"/>
      <c r="P232" s="20" t="n">
        <f aca="false">IF($N232="Reduce",N($O232),0)</f>
        <v>0</v>
      </c>
      <c r="Q232" s="23" t="str">
        <f aca="false">IF($F232="","",MID(IF($G232="",", career level","")&amp;IF($I232="",", nationality mandate","")&amp;IF($N232="",", capacity direction","")&amp;IF(N($J232)&lt;=0,", approved HC","")&amp;IF(AND($G232&lt;&gt;"",COUNTIF(CareerLevels,$G232)=0),", a career level that is not on the ladder","")&amp;IF(AND($N232="Reduce",N($O232)&lt;=0),", how many seats Reduce means","")&amp;IF(AND(N($O232)&gt;0,$N232&lt;&gt;"Reduce"),", a number of seats on a row not marked Reduce","")&amp;IF(N($O232)&gt;N($J232),", more seats given up than the row has",""),3,200))</f>
        <v>career level, nationality mandate, capacity direction</v>
      </c>
    </row>
    <row r="233" customFormat="false" ht="15" hidden="false" customHeight="false" outlineLevel="0" collapsed="false">
      <c r="A233" s="21"/>
      <c r="B233" s="21" t="s">
        <v>310</v>
      </c>
      <c r="C233" s="21" t="s">
        <v>312</v>
      </c>
      <c r="D233" s="21" t="s">
        <v>328</v>
      </c>
      <c r="E233" s="21" t="s">
        <v>330</v>
      </c>
      <c r="F233" s="21" t="s">
        <v>528</v>
      </c>
      <c r="G233" s="21"/>
      <c r="H233" s="21" t="s">
        <v>396</v>
      </c>
      <c r="I233" s="21"/>
      <c r="J233" s="22" t="n">
        <v>2</v>
      </c>
      <c r="K233" s="22" t="n">
        <v>2</v>
      </c>
      <c r="L233" s="22" t="n">
        <v>0</v>
      </c>
      <c r="M233" s="21" t="s">
        <v>385</v>
      </c>
      <c r="N233" s="21"/>
      <c r="O233" s="22"/>
      <c r="P233" s="20" t="n">
        <f aca="false">IF($N233="Reduce",N($O233),0)</f>
        <v>0</v>
      </c>
      <c r="Q233" s="23" t="str">
        <f aca="false">IF($F233="","",MID(IF($G233="",", career level","")&amp;IF($I233="",", nationality mandate","")&amp;IF($N233="",", capacity direction","")&amp;IF(N($J233)&lt;=0,", approved HC","")&amp;IF(AND($G233&lt;&gt;"",COUNTIF(CareerLevels,$G233)=0),", a career level that is not on the ladder","")&amp;IF(AND($N233="Reduce",N($O233)&lt;=0),", how many seats Reduce means","")&amp;IF(AND(N($O233)&gt;0,$N233&lt;&gt;"Reduce"),", a number of seats on a row not marked Reduce","")&amp;IF(N($O233)&gt;N($J233),", more seats given up than the row has",""),3,200))</f>
        <v>career level, nationality mandate, capacity direction</v>
      </c>
    </row>
    <row r="234" customFormat="false" ht="15" hidden="false" customHeight="false" outlineLevel="0" collapsed="false">
      <c r="A234" s="21" t="s">
        <v>532</v>
      </c>
      <c r="B234" s="21" t="s">
        <v>310</v>
      </c>
      <c r="C234" s="21" t="s">
        <v>312</v>
      </c>
      <c r="D234" s="21" t="s">
        <v>328</v>
      </c>
      <c r="E234" s="21" t="s">
        <v>330</v>
      </c>
      <c r="F234" s="21" t="s">
        <v>529</v>
      </c>
      <c r="G234" s="21"/>
      <c r="H234" s="21" t="s">
        <v>396</v>
      </c>
      <c r="I234" s="21"/>
      <c r="J234" s="22" t="n">
        <v>1</v>
      </c>
      <c r="K234" s="22" t="n">
        <v>1</v>
      </c>
      <c r="L234" s="22" t="n">
        <v>0</v>
      </c>
      <c r="M234" s="21" t="s">
        <v>385</v>
      </c>
      <c r="N234" s="21"/>
      <c r="O234" s="22"/>
      <c r="P234" s="20" t="n">
        <f aca="false">IF($N234="Reduce",N($O234),0)</f>
        <v>0</v>
      </c>
      <c r="Q234" s="23" t="str">
        <f aca="false">IF($F234="","",MID(IF($G234="",", career level","")&amp;IF($I234="",", nationality mandate","")&amp;IF($N234="",", capacity direction","")&amp;IF(N($J234)&lt;=0,", approved HC","")&amp;IF(AND($G234&lt;&gt;"",COUNTIF(CareerLevels,$G234)=0),", a career level that is not on the ladder","")&amp;IF(AND($N234="Reduce",N($O234)&lt;=0),", how many seats Reduce means","")&amp;IF(AND(N($O234)&gt;0,$N234&lt;&gt;"Reduce"),", a number of seats on a row not marked Reduce","")&amp;IF(N($O234)&gt;N($J234),", more seats given up than the row has",""),3,200))</f>
        <v>career level, nationality mandate, capacity direction</v>
      </c>
    </row>
    <row r="235" customFormat="false" ht="15" hidden="false" customHeight="false" outlineLevel="0" collapsed="false">
      <c r="A235" s="21" t="s">
        <v>382</v>
      </c>
      <c r="B235" s="21" t="s">
        <v>310</v>
      </c>
      <c r="C235" s="21" t="s">
        <v>312</v>
      </c>
      <c r="D235" s="21" t="s">
        <v>328</v>
      </c>
      <c r="E235" s="21" t="s">
        <v>330</v>
      </c>
      <c r="F235" s="21" t="s">
        <v>530</v>
      </c>
      <c r="G235" s="21"/>
      <c r="H235" s="21" t="s">
        <v>396</v>
      </c>
      <c r="I235" s="21"/>
      <c r="J235" s="22" t="n">
        <v>1</v>
      </c>
      <c r="K235" s="22" t="n">
        <v>1</v>
      </c>
      <c r="L235" s="22" t="n">
        <v>0</v>
      </c>
      <c r="M235" s="21" t="s">
        <v>385</v>
      </c>
      <c r="N235" s="21"/>
      <c r="O235" s="22"/>
      <c r="P235" s="20" t="n">
        <f aca="false">IF($N235="Reduce",N($O235),0)</f>
        <v>0</v>
      </c>
      <c r="Q235" s="23" t="str">
        <f aca="false">IF($F235="","",MID(IF($G235="",", career level","")&amp;IF($I235="",", nationality mandate","")&amp;IF($N235="",", capacity direction","")&amp;IF(N($J235)&lt;=0,", approved HC","")&amp;IF(AND($G235&lt;&gt;"",COUNTIF(CareerLevels,$G235)=0),", a career level that is not on the ladder","")&amp;IF(AND($N235="Reduce",N($O235)&lt;=0),", how many seats Reduce means","")&amp;IF(AND(N($O235)&gt;0,$N235&lt;&gt;"Reduce"),", a number of seats on a row not marked Reduce","")&amp;IF(N($O235)&gt;N($J235),", more seats given up than the row has",""),3,200))</f>
        <v>career level, nationality mandate, capacity direction</v>
      </c>
    </row>
    <row r="236" customFormat="false" ht="15" hidden="false" customHeight="false" outlineLevel="0" collapsed="false">
      <c r="A236" s="21" t="s">
        <v>439</v>
      </c>
      <c r="B236" s="21" t="s">
        <v>310</v>
      </c>
      <c r="C236" s="21" t="s">
        <v>312</v>
      </c>
      <c r="D236" s="21" t="s">
        <v>328</v>
      </c>
      <c r="E236" s="21" t="s">
        <v>330</v>
      </c>
      <c r="F236" s="21" t="s">
        <v>531</v>
      </c>
      <c r="G236" s="21"/>
      <c r="H236" s="21" t="s">
        <v>394</v>
      </c>
      <c r="I236" s="21"/>
      <c r="J236" s="22" t="n">
        <v>1</v>
      </c>
      <c r="K236" s="22" t="n">
        <v>1</v>
      </c>
      <c r="L236" s="22" t="n">
        <v>0</v>
      </c>
      <c r="M236" s="21" t="s">
        <v>385</v>
      </c>
      <c r="N236" s="21"/>
      <c r="O236" s="22"/>
      <c r="P236" s="20" t="n">
        <f aca="false">IF($N236="Reduce",N($O236),0)</f>
        <v>0</v>
      </c>
      <c r="Q236" s="23" t="str">
        <f aca="false">IF($F236="","",MID(IF($G236="",", career level","")&amp;IF($I236="",", nationality mandate","")&amp;IF($N236="",", capacity direction","")&amp;IF(N($J236)&lt;=0,", approved HC","")&amp;IF(AND($G236&lt;&gt;"",COUNTIF(CareerLevels,$G236)=0),", a career level that is not on the ladder","")&amp;IF(AND($N236="Reduce",N($O236)&lt;=0),", how many seats Reduce means","")&amp;IF(AND(N($O236)&gt;0,$N236&lt;&gt;"Reduce"),", a number of seats on a row not marked Reduce","")&amp;IF(N($O236)&gt;N($J236),", more seats given up than the row has",""),3,200))</f>
        <v>career level, nationality mandate, capacity direction</v>
      </c>
    </row>
    <row r="237" customFormat="false" ht="15" hidden="false" customHeight="false" outlineLevel="0" collapsed="false">
      <c r="A237" s="21" t="s">
        <v>454</v>
      </c>
      <c r="B237" s="21" t="s">
        <v>310</v>
      </c>
      <c r="C237" s="21" t="s">
        <v>312</v>
      </c>
      <c r="D237" s="21" t="s">
        <v>328</v>
      </c>
      <c r="E237" s="21" t="s">
        <v>336</v>
      </c>
      <c r="F237" s="21" t="s">
        <v>525</v>
      </c>
      <c r="G237" s="21"/>
      <c r="H237" s="21" t="s">
        <v>396</v>
      </c>
      <c r="I237" s="21"/>
      <c r="J237" s="22" t="n">
        <v>1</v>
      </c>
      <c r="K237" s="22" t="n">
        <v>1</v>
      </c>
      <c r="L237" s="22" t="n">
        <v>0</v>
      </c>
      <c r="M237" s="21" t="s">
        <v>385</v>
      </c>
      <c r="N237" s="21"/>
      <c r="O237" s="22"/>
      <c r="P237" s="20" t="n">
        <f aca="false">IF($N237="Reduce",N($O237),0)</f>
        <v>0</v>
      </c>
      <c r="Q237" s="23" t="str">
        <f aca="false">IF($F237="","",MID(IF($G237="",", career level","")&amp;IF($I237="",", nationality mandate","")&amp;IF($N237="",", capacity direction","")&amp;IF(N($J237)&lt;=0,", approved HC","")&amp;IF(AND($G237&lt;&gt;"",COUNTIF(CareerLevels,$G237)=0),", a career level that is not on the ladder","")&amp;IF(AND($N237="Reduce",N($O237)&lt;=0),", how many seats Reduce means","")&amp;IF(AND(N($O237)&gt;0,$N237&lt;&gt;"Reduce"),", a number of seats on a row not marked Reduce","")&amp;IF(N($O237)&gt;N($J237),", more seats given up than the row has",""),3,200))</f>
        <v>career level, nationality mandate, capacity direction</v>
      </c>
    </row>
    <row r="238" customFormat="false" ht="15" hidden="false" customHeight="false" outlineLevel="0" collapsed="false">
      <c r="A238" s="21"/>
      <c r="B238" s="21" t="s">
        <v>310</v>
      </c>
      <c r="C238" s="21" t="s">
        <v>312</v>
      </c>
      <c r="D238" s="21" t="s">
        <v>328</v>
      </c>
      <c r="E238" s="21" t="s">
        <v>336</v>
      </c>
      <c r="F238" s="21" t="s">
        <v>528</v>
      </c>
      <c r="G238" s="21"/>
      <c r="H238" s="21" t="s">
        <v>396</v>
      </c>
      <c r="I238" s="21"/>
      <c r="J238" s="22" t="n">
        <v>3</v>
      </c>
      <c r="K238" s="22" t="n">
        <v>2</v>
      </c>
      <c r="L238" s="22" t="n">
        <v>1</v>
      </c>
      <c r="M238" s="21" t="s">
        <v>385</v>
      </c>
      <c r="N238" s="21"/>
      <c r="O238" s="22"/>
      <c r="P238" s="20" t="n">
        <f aca="false">IF($N238="Reduce",N($O238),0)</f>
        <v>0</v>
      </c>
      <c r="Q238" s="23" t="str">
        <f aca="false">IF($F238="","",MID(IF($G238="",", career level","")&amp;IF($I238="",", nationality mandate","")&amp;IF($N238="",", capacity direction","")&amp;IF(N($J238)&lt;=0,", approved HC","")&amp;IF(AND($G238&lt;&gt;"",COUNTIF(CareerLevels,$G238)=0),", a career level that is not on the ladder","")&amp;IF(AND($N238="Reduce",N($O238)&lt;=0),", how many seats Reduce means","")&amp;IF(AND(N($O238)&gt;0,$N238&lt;&gt;"Reduce"),", a number of seats on a row not marked Reduce","")&amp;IF(N($O238)&gt;N($J238),", more seats given up than the row has",""),3,200))</f>
        <v>career level, nationality mandate, capacity direction</v>
      </c>
    </row>
    <row r="239" customFormat="false" ht="15" hidden="false" customHeight="false" outlineLevel="0" collapsed="false">
      <c r="A239" s="21"/>
      <c r="B239" s="21" t="s">
        <v>310</v>
      </c>
      <c r="C239" s="21" t="s">
        <v>312</v>
      </c>
      <c r="D239" s="21" t="s">
        <v>328</v>
      </c>
      <c r="E239" s="21" t="s">
        <v>336</v>
      </c>
      <c r="F239" s="21" t="s">
        <v>529</v>
      </c>
      <c r="G239" s="21"/>
      <c r="H239" s="21" t="s">
        <v>396</v>
      </c>
      <c r="I239" s="21"/>
      <c r="J239" s="22" t="n">
        <v>2</v>
      </c>
      <c r="K239" s="22" t="n">
        <v>2</v>
      </c>
      <c r="L239" s="22" t="n">
        <v>0</v>
      </c>
      <c r="M239" s="21" t="s">
        <v>385</v>
      </c>
      <c r="N239" s="21"/>
      <c r="O239" s="22"/>
      <c r="P239" s="20" t="n">
        <f aca="false">IF($N239="Reduce",N($O239),0)</f>
        <v>0</v>
      </c>
      <c r="Q239" s="23" t="str">
        <f aca="false">IF($F239="","",MID(IF($G239="",", career level","")&amp;IF($I239="",", nationality mandate","")&amp;IF($N239="",", capacity direction","")&amp;IF(N($J239)&lt;=0,", approved HC","")&amp;IF(AND($G239&lt;&gt;"",COUNTIF(CareerLevels,$G239)=0),", a career level that is not on the ladder","")&amp;IF(AND($N239="Reduce",N($O239)&lt;=0),", how many seats Reduce means","")&amp;IF(AND(N($O239)&gt;0,$N239&lt;&gt;"Reduce"),", a number of seats on a row not marked Reduce","")&amp;IF(N($O239)&gt;N($J239),", more seats given up than the row has",""),3,200))</f>
        <v>career level, nationality mandate, capacity direction</v>
      </c>
    </row>
    <row r="240" customFormat="false" ht="15" hidden="false" customHeight="false" outlineLevel="0" collapsed="false">
      <c r="A240" s="21" t="s">
        <v>455</v>
      </c>
      <c r="B240" s="21" t="s">
        <v>310</v>
      </c>
      <c r="C240" s="21" t="s">
        <v>312</v>
      </c>
      <c r="D240" s="21" t="s">
        <v>328</v>
      </c>
      <c r="E240" s="21" t="s">
        <v>336</v>
      </c>
      <c r="F240" s="21" t="s">
        <v>530</v>
      </c>
      <c r="G240" s="21"/>
      <c r="H240" s="21" t="s">
        <v>396</v>
      </c>
      <c r="I240" s="21"/>
      <c r="J240" s="22" t="n">
        <v>1</v>
      </c>
      <c r="K240" s="22" t="n">
        <v>1</v>
      </c>
      <c r="L240" s="22" t="n">
        <v>0</v>
      </c>
      <c r="M240" s="21" t="s">
        <v>385</v>
      </c>
      <c r="N240" s="21"/>
      <c r="O240" s="22"/>
      <c r="P240" s="20" t="n">
        <f aca="false">IF($N240="Reduce",N($O240),0)</f>
        <v>0</v>
      </c>
      <c r="Q240" s="23" t="str">
        <f aca="false">IF($F240="","",MID(IF($G240="",", career level","")&amp;IF($I240="",", nationality mandate","")&amp;IF($N240="",", capacity direction","")&amp;IF(N($J240)&lt;=0,", approved HC","")&amp;IF(AND($G240&lt;&gt;"",COUNTIF(CareerLevels,$G240)=0),", a career level that is not on the ladder","")&amp;IF(AND($N240="Reduce",N($O240)&lt;=0),", how many seats Reduce means","")&amp;IF(AND(N($O240)&gt;0,$N240&lt;&gt;"Reduce"),", a number of seats on a row not marked Reduce","")&amp;IF(N($O240)&gt;N($J240),", more seats given up than the row has",""),3,200))</f>
        <v>career level, nationality mandate, capacity direction</v>
      </c>
    </row>
    <row r="241" customFormat="false" ht="15" hidden="false" customHeight="false" outlineLevel="0" collapsed="false">
      <c r="A241" s="21" t="s">
        <v>459</v>
      </c>
      <c r="B241" s="21" t="s">
        <v>310</v>
      </c>
      <c r="C241" s="21" t="s">
        <v>312</v>
      </c>
      <c r="D241" s="21" t="s">
        <v>328</v>
      </c>
      <c r="E241" s="21" t="s">
        <v>336</v>
      </c>
      <c r="F241" s="21" t="s">
        <v>531</v>
      </c>
      <c r="G241" s="21"/>
      <c r="H241" s="21" t="s">
        <v>394</v>
      </c>
      <c r="I241" s="21"/>
      <c r="J241" s="22" t="n">
        <v>1</v>
      </c>
      <c r="K241" s="22" t="n">
        <v>0</v>
      </c>
      <c r="L241" s="22" t="n">
        <v>1</v>
      </c>
      <c r="M241" s="21" t="s">
        <v>385</v>
      </c>
      <c r="N241" s="21"/>
      <c r="O241" s="22"/>
      <c r="P241" s="20" t="n">
        <f aca="false">IF($N241="Reduce",N($O241),0)</f>
        <v>0</v>
      </c>
      <c r="Q241" s="23" t="str">
        <f aca="false">IF($F241="","",MID(IF($G241="",", career level","")&amp;IF($I241="",", nationality mandate","")&amp;IF($N241="",", capacity direction","")&amp;IF(N($J241)&lt;=0,", approved HC","")&amp;IF(AND($G241&lt;&gt;"",COUNTIF(CareerLevels,$G241)=0),", a career level that is not on the ladder","")&amp;IF(AND($N241="Reduce",N($O241)&lt;=0),", how many seats Reduce means","")&amp;IF(AND(N($O241)&gt;0,$N241&lt;&gt;"Reduce"),", a number of seats on a row not marked Reduce","")&amp;IF(N($O241)&gt;N($J241),", more seats given up than the row has",""),3,200))</f>
        <v>career level, nationality mandate, capacity direction</v>
      </c>
    </row>
    <row r="242" customFormat="false" ht="15" hidden="false" customHeight="false" outlineLevel="0" collapsed="false">
      <c r="A242" s="21" t="s">
        <v>405</v>
      </c>
      <c r="B242" s="21" t="s">
        <v>310</v>
      </c>
      <c r="C242" s="21" t="s">
        <v>342</v>
      </c>
      <c r="D242" s="21"/>
      <c r="E242" s="21"/>
      <c r="F242" s="21" t="s">
        <v>533</v>
      </c>
      <c r="G242" s="21"/>
      <c r="H242" s="21" t="s">
        <v>388</v>
      </c>
      <c r="I242" s="21"/>
      <c r="J242" s="22" t="n">
        <v>1</v>
      </c>
      <c r="K242" s="22" t="n">
        <v>1</v>
      </c>
      <c r="L242" s="22" t="n">
        <v>0</v>
      </c>
      <c r="M242" s="21" t="s">
        <v>385</v>
      </c>
      <c r="N242" s="21"/>
      <c r="O242" s="22"/>
      <c r="P242" s="20" t="n">
        <f aca="false">IF($N242="Reduce",N($O242),0)</f>
        <v>0</v>
      </c>
      <c r="Q242" s="23" t="str">
        <f aca="false">IF($F242="","",MID(IF($G242="",", career level","")&amp;IF($I242="",", nationality mandate","")&amp;IF($N242="",", capacity direction","")&amp;IF(N($J242)&lt;=0,", approved HC","")&amp;IF(AND($G242&lt;&gt;"",COUNTIF(CareerLevels,$G242)=0),", a career level that is not on the ladder","")&amp;IF(AND($N242="Reduce",N($O242)&lt;=0),", how many seats Reduce means","")&amp;IF(AND(N($O242)&gt;0,$N242&lt;&gt;"Reduce"),", a number of seats on a row not marked Reduce","")&amp;IF(N($O242)&gt;N($J242),", more seats given up than the row has",""),3,200))</f>
        <v>career level, nationality mandate, capacity direction</v>
      </c>
    </row>
    <row r="243" customFormat="false" ht="15" hidden="false" customHeight="false" outlineLevel="0" collapsed="false">
      <c r="A243" s="21" t="s">
        <v>534</v>
      </c>
      <c r="B243" s="21" t="s">
        <v>310</v>
      </c>
      <c r="C243" s="21" t="s">
        <v>342</v>
      </c>
      <c r="D243" s="21" t="s">
        <v>344</v>
      </c>
      <c r="E243" s="21"/>
      <c r="F243" s="21" t="s">
        <v>535</v>
      </c>
      <c r="G243" s="21"/>
      <c r="H243" s="21" t="s">
        <v>394</v>
      </c>
      <c r="I243" s="21"/>
      <c r="J243" s="22" t="n">
        <v>1</v>
      </c>
      <c r="K243" s="22" t="n">
        <v>1</v>
      </c>
      <c r="L243" s="22" t="n">
        <v>0</v>
      </c>
      <c r="M243" s="21" t="s">
        <v>385</v>
      </c>
      <c r="N243" s="21"/>
      <c r="O243" s="22"/>
      <c r="P243" s="20" t="n">
        <f aca="false">IF($N243="Reduce",N($O243),0)</f>
        <v>0</v>
      </c>
      <c r="Q243" s="23" t="str">
        <f aca="false">IF($F243="","",MID(IF($G243="",", career level","")&amp;IF($I243="",", nationality mandate","")&amp;IF($N243="",", capacity direction","")&amp;IF(N($J243)&lt;=0,", approved HC","")&amp;IF(AND($G243&lt;&gt;"",COUNTIF(CareerLevels,$G243)=0),", a career level that is not on the ladder","")&amp;IF(AND($N243="Reduce",N($O243)&lt;=0),", how many seats Reduce means","")&amp;IF(AND(N($O243)&gt;0,$N243&lt;&gt;"Reduce"),", a number of seats on a row not marked Reduce","")&amp;IF(N($O243)&gt;N($J243),", more seats given up than the row has",""),3,200))</f>
        <v>career level, nationality mandate, capacity direction</v>
      </c>
    </row>
    <row r="244" customFormat="false" ht="15" hidden="false" customHeight="false" outlineLevel="0" collapsed="false">
      <c r="A244" s="21" t="s">
        <v>425</v>
      </c>
      <c r="B244" s="21" t="s">
        <v>310</v>
      </c>
      <c r="C244" s="21" t="s">
        <v>342</v>
      </c>
      <c r="D244" s="21" t="s">
        <v>344</v>
      </c>
      <c r="E244" s="21" t="s">
        <v>346</v>
      </c>
      <c r="F244" s="21" t="s">
        <v>536</v>
      </c>
      <c r="G244" s="21"/>
      <c r="H244" s="21" t="s">
        <v>396</v>
      </c>
      <c r="I244" s="21"/>
      <c r="J244" s="22" t="n">
        <v>1</v>
      </c>
      <c r="K244" s="22" t="n">
        <v>1</v>
      </c>
      <c r="L244" s="22" t="n">
        <v>0</v>
      </c>
      <c r="M244" s="21" t="s">
        <v>385</v>
      </c>
      <c r="N244" s="21"/>
      <c r="O244" s="22"/>
      <c r="P244" s="20" t="n">
        <f aca="false">IF($N244="Reduce",N($O244),0)</f>
        <v>0</v>
      </c>
      <c r="Q244" s="23" t="str">
        <f aca="false">IF($F244="","",MID(IF($G244="",", career level","")&amp;IF($I244="",", nationality mandate","")&amp;IF($N244="",", capacity direction","")&amp;IF(N($J244)&lt;=0,", approved HC","")&amp;IF(AND($G244&lt;&gt;"",COUNTIF(CareerLevels,$G244)=0),", a career level that is not on the ladder","")&amp;IF(AND($N244="Reduce",N($O244)&lt;=0),", how many seats Reduce means","")&amp;IF(AND(N($O244)&gt;0,$N244&lt;&gt;"Reduce"),", a number of seats on a row not marked Reduce","")&amp;IF(N($O244)&gt;N($J244),", more seats given up than the row has",""),3,200))</f>
        <v>career level, nationality mandate, capacity direction</v>
      </c>
    </row>
    <row r="245" customFormat="false" ht="15" hidden="false" customHeight="false" outlineLevel="0" collapsed="false">
      <c r="A245" s="21"/>
      <c r="B245" s="21" t="s">
        <v>310</v>
      </c>
      <c r="C245" s="21" t="s">
        <v>342</v>
      </c>
      <c r="D245" s="21" t="s">
        <v>344</v>
      </c>
      <c r="E245" s="21" t="s">
        <v>346</v>
      </c>
      <c r="F245" s="21" t="s">
        <v>537</v>
      </c>
      <c r="G245" s="21"/>
      <c r="H245" s="21" t="s">
        <v>396</v>
      </c>
      <c r="I245" s="21"/>
      <c r="J245" s="22" t="n">
        <v>2</v>
      </c>
      <c r="K245" s="22" t="n">
        <v>2</v>
      </c>
      <c r="L245" s="22" t="n">
        <v>0</v>
      </c>
      <c r="M245" s="21" t="s">
        <v>385</v>
      </c>
      <c r="N245" s="21"/>
      <c r="O245" s="22"/>
      <c r="P245" s="20" t="n">
        <f aca="false">IF($N245="Reduce",N($O245),0)</f>
        <v>0</v>
      </c>
      <c r="Q245" s="23" t="str">
        <f aca="false">IF($F245="","",MID(IF($G245="",", career level","")&amp;IF($I245="",", nationality mandate","")&amp;IF($N245="",", capacity direction","")&amp;IF(N($J245)&lt;=0,", approved HC","")&amp;IF(AND($G245&lt;&gt;"",COUNTIF(CareerLevels,$G245)=0),", a career level that is not on the ladder","")&amp;IF(AND($N245="Reduce",N($O245)&lt;=0),", how many seats Reduce means","")&amp;IF(AND(N($O245)&gt;0,$N245&lt;&gt;"Reduce"),", a number of seats on a row not marked Reduce","")&amp;IF(N($O245)&gt;N($J245),", more seats given up than the row has",""),3,200))</f>
        <v>career level, nationality mandate, capacity direction</v>
      </c>
    </row>
    <row r="246" customFormat="false" ht="15" hidden="false" customHeight="false" outlineLevel="0" collapsed="false">
      <c r="A246" s="21" t="s">
        <v>434</v>
      </c>
      <c r="B246" s="21" t="s">
        <v>310</v>
      </c>
      <c r="C246" s="21" t="s">
        <v>342</v>
      </c>
      <c r="D246" s="21" t="s">
        <v>344</v>
      </c>
      <c r="E246" s="21" t="s">
        <v>346</v>
      </c>
      <c r="F246" s="21" t="s">
        <v>537</v>
      </c>
      <c r="G246" s="21"/>
      <c r="H246" s="21" t="s">
        <v>396</v>
      </c>
      <c r="I246" s="21"/>
      <c r="J246" s="22" t="n">
        <v>1</v>
      </c>
      <c r="K246" s="22" t="n">
        <v>1</v>
      </c>
      <c r="L246" s="22" t="n">
        <v>0</v>
      </c>
      <c r="M246" s="21" t="s">
        <v>389</v>
      </c>
      <c r="N246" s="21"/>
      <c r="O246" s="22"/>
      <c r="P246" s="20" t="n">
        <f aca="false">IF($N246="Reduce",N($O246),0)</f>
        <v>0</v>
      </c>
      <c r="Q246" s="23" t="str">
        <f aca="false">IF($F246="","",MID(IF($G246="",", career level","")&amp;IF($I246="",", nationality mandate","")&amp;IF($N246="",", capacity direction","")&amp;IF(N($J246)&lt;=0,", approved HC","")&amp;IF(AND($G246&lt;&gt;"",COUNTIF(CareerLevels,$G246)=0),", a career level that is not on the ladder","")&amp;IF(AND($N246="Reduce",N($O246)&lt;=0),", how many seats Reduce means","")&amp;IF(AND(N($O246)&gt;0,$N246&lt;&gt;"Reduce"),", a number of seats on a row not marked Reduce","")&amp;IF(N($O246)&gt;N($J246),", more seats given up than the row has",""),3,200))</f>
        <v>career level, nationality mandate, capacity direction</v>
      </c>
    </row>
    <row r="247" customFormat="false" ht="15" hidden="false" customHeight="false" outlineLevel="0" collapsed="false">
      <c r="A247" s="21" t="s">
        <v>463</v>
      </c>
      <c r="B247" s="21" t="s">
        <v>310</v>
      </c>
      <c r="C247" s="21" t="s">
        <v>342</v>
      </c>
      <c r="D247" s="21" t="s">
        <v>344</v>
      </c>
      <c r="E247" s="21" t="s">
        <v>346</v>
      </c>
      <c r="F247" s="21" t="s">
        <v>538</v>
      </c>
      <c r="G247" s="21"/>
      <c r="H247" s="21" t="s">
        <v>396</v>
      </c>
      <c r="I247" s="21"/>
      <c r="J247" s="22" t="n">
        <v>1</v>
      </c>
      <c r="K247" s="22" t="n">
        <v>1</v>
      </c>
      <c r="L247" s="22" t="n">
        <v>0</v>
      </c>
      <c r="M247" s="21" t="s">
        <v>385</v>
      </c>
      <c r="N247" s="21"/>
      <c r="O247" s="22"/>
      <c r="P247" s="20" t="n">
        <f aca="false">IF($N247="Reduce",N($O247),0)</f>
        <v>0</v>
      </c>
      <c r="Q247" s="23" t="str">
        <f aca="false">IF($F247="","",MID(IF($G247="",", career level","")&amp;IF($I247="",", nationality mandate","")&amp;IF($N247="",", capacity direction","")&amp;IF(N($J247)&lt;=0,", approved HC","")&amp;IF(AND($G247&lt;&gt;"",COUNTIF(CareerLevels,$G247)=0),", a career level that is not on the ladder","")&amp;IF(AND($N247="Reduce",N($O247)&lt;=0),", how many seats Reduce means","")&amp;IF(AND(N($O247)&gt;0,$N247&lt;&gt;"Reduce"),", a number of seats on a row not marked Reduce","")&amp;IF(N($O247)&gt;N($J247),", more seats given up than the row has",""),3,200))</f>
        <v>career level, nationality mandate, capacity direction</v>
      </c>
    </row>
    <row r="248" customFormat="false" ht="15" hidden="false" customHeight="false" outlineLevel="0" collapsed="false">
      <c r="A248" s="21"/>
      <c r="B248" s="21" t="s">
        <v>310</v>
      </c>
      <c r="C248" s="21" t="s">
        <v>342</v>
      </c>
      <c r="D248" s="21" t="s">
        <v>344</v>
      </c>
      <c r="E248" s="21" t="s">
        <v>346</v>
      </c>
      <c r="F248" s="21" t="s">
        <v>539</v>
      </c>
      <c r="G248" s="21"/>
      <c r="H248" s="21" t="s">
        <v>396</v>
      </c>
      <c r="I248" s="21"/>
      <c r="J248" s="22" t="n">
        <v>2</v>
      </c>
      <c r="K248" s="22" t="n">
        <v>2</v>
      </c>
      <c r="L248" s="22" t="n">
        <v>0</v>
      </c>
      <c r="M248" s="21" t="s">
        <v>385</v>
      </c>
      <c r="N248" s="21"/>
      <c r="O248" s="22"/>
      <c r="P248" s="20" t="n">
        <f aca="false">IF($N248="Reduce",N($O248),0)</f>
        <v>0</v>
      </c>
      <c r="Q248" s="23" t="str">
        <f aca="false">IF($F248="","",MID(IF($G248="",", career level","")&amp;IF($I248="",", nationality mandate","")&amp;IF($N248="",", capacity direction","")&amp;IF(N($J248)&lt;=0,", approved HC","")&amp;IF(AND($G248&lt;&gt;"",COUNTIF(CareerLevels,$G248)=0),", a career level that is not on the ladder","")&amp;IF(AND($N248="Reduce",N($O248)&lt;=0),", how many seats Reduce means","")&amp;IF(AND(N($O248)&gt;0,$N248&lt;&gt;"Reduce"),", a number of seats on a row not marked Reduce","")&amp;IF(N($O248)&gt;N($J248),", more seats given up than the row has",""),3,200))</f>
        <v>career level, nationality mandate, capacity direction</v>
      </c>
    </row>
    <row r="249" customFormat="false" ht="15" hidden="false" customHeight="false" outlineLevel="0" collapsed="false">
      <c r="A249" s="21" t="s">
        <v>439</v>
      </c>
      <c r="B249" s="21" t="s">
        <v>310</v>
      </c>
      <c r="C249" s="21" t="s">
        <v>342</v>
      </c>
      <c r="D249" s="21" t="s">
        <v>344</v>
      </c>
      <c r="E249" s="21" t="s">
        <v>346</v>
      </c>
      <c r="F249" s="21" t="s">
        <v>540</v>
      </c>
      <c r="G249" s="21"/>
      <c r="H249" s="21" t="s">
        <v>394</v>
      </c>
      <c r="I249" s="21"/>
      <c r="J249" s="22" t="n">
        <v>1</v>
      </c>
      <c r="K249" s="22" t="n">
        <v>1</v>
      </c>
      <c r="L249" s="22" t="n">
        <v>0</v>
      </c>
      <c r="M249" s="21" t="s">
        <v>385</v>
      </c>
      <c r="N249" s="21"/>
      <c r="O249" s="22"/>
      <c r="P249" s="20" t="n">
        <f aca="false">IF($N249="Reduce",N($O249),0)</f>
        <v>0</v>
      </c>
      <c r="Q249" s="23" t="str">
        <f aca="false">IF($F249="","",MID(IF($G249="",", career level","")&amp;IF($I249="",", nationality mandate","")&amp;IF($N249="",", capacity direction","")&amp;IF(N($J249)&lt;=0,", approved HC","")&amp;IF(AND($G249&lt;&gt;"",COUNTIF(CareerLevels,$G249)=0),", a career level that is not on the ladder","")&amp;IF(AND($N249="Reduce",N($O249)&lt;=0),", how many seats Reduce means","")&amp;IF(AND(N($O249)&gt;0,$N249&lt;&gt;"Reduce"),", a number of seats on a row not marked Reduce","")&amp;IF(N($O249)&gt;N($J249),", more seats given up than the row has",""),3,200))</f>
        <v>career level, nationality mandate, capacity direction</v>
      </c>
    </row>
    <row r="250" customFormat="false" ht="15" hidden="false" customHeight="false" outlineLevel="0" collapsed="false">
      <c r="A250" s="21"/>
      <c r="B250" s="21" t="s">
        <v>310</v>
      </c>
      <c r="C250" s="21" t="s">
        <v>342</v>
      </c>
      <c r="D250" s="21" t="s">
        <v>344</v>
      </c>
      <c r="E250" s="21" t="s">
        <v>352</v>
      </c>
      <c r="F250" s="21" t="s">
        <v>536</v>
      </c>
      <c r="G250" s="21"/>
      <c r="H250" s="21" t="s">
        <v>396</v>
      </c>
      <c r="I250" s="21"/>
      <c r="J250" s="22" t="n">
        <v>2</v>
      </c>
      <c r="K250" s="22" t="n">
        <v>2</v>
      </c>
      <c r="L250" s="22" t="n">
        <v>0</v>
      </c>
      <c r="M250" s="21" t="s">
        <v>385</v>
      </c>
      <c r="N250" s="21"/>
      <c r="O250" s="22"/>
      <c r="P250" s="20" t="n">
        <f aca="false">IF($N250="Reduce",N($O250),0)</f>
        <v>0</v>
      </c>
      <c r="Q250" s="23" t="str">
        <f aca="false">IF($F250="","",MID(IF($G250="",", career level","")&amp;IF($I250="",", nationality mandate","")&amp;IF($N250="",", capacity direction","")&amp;IF(N($J250)&lt;=0,", approved HC","")&amp;IF(AND($G250&lt;&gt;"",COUNTIF(CareerLevels,$G250)=0),", a career level that is not on the ladder","")&amp;IF(AND($N250="Reduce",N($O250)&lt;=0),", how many seats Reduce means","")&amp;IF(AND(N($O250)&gt;0,$N250&lt;&gt;"Reduce"),", a number of seats on a row not marked Reduce","")&amp;IF(N($O250)&gt;N($J250),", more seats given up than the row has",""),3,200))</f>
        <v>career level, nationality mandate, capacity direction</v>
      </c>
    </row>
    <row r="251" customFormat="false" ht="15" hidden="false" customHeight="false" outlineLevel="0" collapsed="false">
      <c r="A251" s="21" t="s">
        <v>406</v>
      </c>
      <c r="B251" s="21" t="s">
        <v>310</v>
      </c>
      <c r="C251" s="21" t="s">
        <v>342</v>
      </c>
      <c r="D251" s="21" t="s">
        <v>344</v>
      </c>
      <c r="E251" s="21" t="s">
        <v>352</v>
      </c>
      <c r="F251" s="21" t="s">
        <v>537</v>
      </c>
      <c r="G251" s="21"/>
      <c r="H251" s="21" t="s">
        <v>396</v>
      </c>
      <c r="I251" s="21"/>
      <c r="J251" s="22" t="n">
        <v>1</v>
      </c>
      <c r="K251" s="22" t="n">
        <v>1</v>
      </c>
      <c r="L251" s="22" t="n">
        <v>0</v>
      </c>
      <c r="M251" s="21" t="s">
        <v>385</v>
      </c>
      <c r="N251" s="21"/>
      <c r="O251" s="22"/>
      <c r="P251" s="20" t="n">
        <f aca="false">IF($N251="Reduce",N($O251),0)</f>
        <v>0</v>
      </c>
      <c r="Q251" s="23" t="str">
        <f aca="false">IF($F251="","",MID(IF($G251="",", career level","")&amp;IF($I251="",", nationality mandate","")&amp;IF($N251="",", capacity direction","")&amp;IF(N($J251)&lt;=0,", approved HC","")&amp;IF(AND($G251&lt;&gt;"",COUNTIF(CareerLevels,$G251)=0),", a career level that is not on the ladder","")&amp;IF(AND($N251="Reduce",N($O251)&lt;=0),", how many seats Reduce means","")&amp;IF(AND(N($O251)&gt;0,$N251&lt;&gt;"Reduce"),", a number of seats on a row not marked Reduce","")&amp;IF(N($O251)&gt;N($J251),", more seats given up than the row has",""),3,200))</f>
        <v>career level, nationality mandate, capacity direction</v>
      </c>
    </row>
    <row r="252" customFormat="false" ht="15" hidden="false" customHeight="false" outlineLevel="0" collapsed="false">
      <c r="A252" s="21"/>
      <c r="B252" s="21" t="s">
        <v>310</v>
      </c>
      <c r="C252" s="21" t="s">
        <v>342</v>
      </c>
      <c r="D252" s="21" t="s">
        <v>344</v>
      </c>
      <c r="E252" s="21" t="s">
        <v>352</v>
      </c>
      <c r="F252" s="21" t="s">
        <v>541</v>
      </c>
      <c r="G252" s="21"/>
      <c r="H252" s="21" t="s">
        <v>396</v>
      </c>
      <c r="I252" s="21"/>
      <c r="J252" s="22" t="n">
        <v>2</v>
      </c>
      <c r="K252" s="22" t="n">
        <v>2</v>
      </c>
      <c r="L252" s="22" t="n">
        <v>0</v>
      </c>
      <c r="M252" s="21" t="s">
        <v>385</v>
      </c>
      <c r="N252" s="21"/>
      <c r="O252" s="22"/>
      <c r="P252" s="20" t="n">
        <f aca="false">IF($N252="Reduce",N($O252),0)</f>
        <v>0</v>
      </c>
      <c r="Q252" s="23" t="str">
        <f aca="false">IF($F252="","",MID(IF($G252="",", career level","")&amp;IF($I252="",", nationality mandate","")&amp;IF($N252="",", capacity direction","")&amp;IF(N($J252)&lt;=0,", approved HC","")&amp;IF(AND($G252&lt;&gt;"",COUNTIF(CareerLevels,$G252)=0),", a career level that is not on the ladder","")&amp;IF(AND($N252="Reduce",N($O252)&lt;=0),", how many seats Reduce means","")&amp;IF(AND(N($O252)&gt;0,$N252&lt;&gt;"Reduce"),", a number of seats on a row not marked Reduce","")&amp;IF(N($O252)&gt;N($J252),", more seats given up than the row has",""),3,200))</f>
        <v>career level, nationality mandate, capacity direction</v>
      </c>
    </row>
    <row r="253" customFormat="false" ht="15" hidden="false" customHeight="false" outlineLevel="0" collapsed="false">
      <c r="A253" s="21"/>
      <c r="B253" s="21" t="s">
        <v>310</v>
      </c>
      <c r="C253" s="21" t="s">
        <v>342</v>
      </c>
      <c r="D253" s="21" t="s">
        <v>344</v>
      </c>
      <c r="E253" s="21" t="s">
        <v>352</v>
      </c>
      <c r="F253" s="21" t="s">
        <v>538</v>
      </c>
      <c r="G253" s="21"/>
      <c r="H253" s="21" t="s">
        <v>396</v>
      </c>
      <c r="I253" s="21"/>
      <c r="J253" s="22" t="n">
        <v>2</v>
      </c>
      <c r="K253" s="22" t="n">
        <v>2</v>
      </c>
      <c r="L253" s="22" t="n">
        <v>0</v>
      </c>
      <c r="M253" s="21" t="s">
        <v>385</v>
      </c>
      <c r="N253" s="21"/>
      <c r="O253" s="22"/>
      <c r="P253" s="20" t="n">
        <f aca="false">IF($N253="Reduce",N($O253),0)</f>
        <v>0</v>
      </c>
      <c r="Q253" s="23" t="str">
        <f aca="false">IF($F253="","",MID(IF($G253="",", career level","")&amp;IF($I253="",", nationality mandate","")&amp;IF($N253="",", capacity direction","")&amp;IF(N($J253)&lt;=0,", approved HC","")&amp;IF(AND($G253&lt;&gt;"",COUNTIF(CareerLevels,$G253)=0),", a career level that is not on the ladder","")&amp;IF(AND($N253="Reduce",N($O253)&lt;=0),", how many seats Reduce means","")&amp;IF(AND(N($O253)&gt;0,$N253&lt;&gt;"Reduce"),", a number of seats on a row not marked Reduce","")&amp;IF(N($O253)&gt;N($J253),", more seats given up than the row has",""),3,200))</f>
        <v>career level, nationality mandate, capacity direction</v>
      </c>
    </row>
    <row r="254" customFormat="false" ht="15" hidden="false" customHeight="false" outlineLevel="0" collapsed="false">
      <c r="A254" s="21" t="s">
        <v>382</v>
      </c>
      <c r="B254" s="21" t="s">
        <v>310</v>
      </c>
      <c r="C254" s="21" t="s">
        <v>342</v>
      </c>
      <c r="D254" s="21" t="s">
        <v>344</v>
      </c>
      <c r="E254" s="21" t="s">
        <v>352</v>
      </c>
      <c r="F254" s="21" t="s">
        <v>539</v>
      </c>
      <c r="G254" s="21"/>
      <c r="H254" s="21" t="s">
        <v>396</v>
      </c>
      <c r="I254" s="21"/>
      <c r="J254" s="22" t="n">
        <v>1</v>
      </c>
      <c r="K254" s="22" t="n">
        <v>1</v>
      </c>
      <c r="L254" s="22" t="n">
        <v>0</v>
      </c>
      <c r="M254" s="21" t="s">
        <v>385</v>
      </c>
      <c r="N254" s="21"/>
      <c r="O254" s="22"/>
      <c r="P254" s="20" t="n">
        <f aca="false">IF($N254="Reduce",N($O254),0)</f>
        <v>0</v>
      </c>
      <c r="Q254" s="23" t="str">
        <f aca="false">IF($F254="","",MID(IF($G254="",", career level","")&amp;IF($I254="",", nationality mandate","")&amp;IF($N254="",", capacity direction","")&amp;IF(N($J254)&lt;=0,", approved HC","")&amp;IF(AND($G254&lt;&gt;"",COUNTIF(CareerLevels,$G254)=0),", a career level that is not on the ladder","")&amp;IF(AND($N254="Reduce",N($O254)&lt;=0),", how many seats Reduce means","")&amp;IF(AND(N($O254)&gt;0,$N254&lt;&gt;"Reduce"),", a number of seats on a row not marked Reduce","")&amp;IF(N($O254)&gt;N($J254),", more seats given up than the row has",""),3,200))</f>
        <v>career level, nationality mandate, capacity direction</v>
      </c>
    </row>
    <row r="255" customFormat="false" ht="15" hidden="false" customHeight="false" outlineLevel="0" collapsed="false">
      <c r="A255" s="21" t="s">
        <v>517</v>
      </c>
      <c r="B255" s="21" t="s">
        <v>310</v>
      </c>
      <c r="C255" s="21" t="s">
        <v>342</v>
      </c>
      <c r="D255" s="21" t="s">
        <v>344</v>
      </c>
      <c r="E255" s="21" t="s">
        <v>352</v>
      </c>
      <c r="F255" s="21" t="s">
        <v>540</v>
      </c>
      <c r="G255" s="21"/>
      <c r="H255" s="21" t="s">
        <v>394</v>
      </c>
      <c r="I255" s="21"/>
      <c r="J255" s="22" t="n">
        <v>1</v>
      </c>
      <c r="K255" s="22" t="n">
        <v>1</v>
      </c>
      <c r="L255" s="22" t="n">
        <v>0</v>
      </c>
      <c r="M255" s="21" t="s">
        <v>385</v>
      </c>
      <c r="N255" s="21"/>
      <c r="O255" s="22"/>
      <c r="P255" s="20" t="n">
        <f aca="false">IF($N255="Reduce",N($O255),0)</f>
        <v>0</v>
      </c>
      <c r="Q255" s="23" t="str">
        <f aca="false">IF($F255="","",MID(IF($G255="",", career level","")&amp;IF($I255="",", nationality mandate","")&amp;IF($N255="",", capacity direction","")&amp;IF(N($J255)&lt;=0,", approved HC","")&amp;IF(AND($G255&lt;&gt;"",COUNTIF(CareerLevels,$G255)=0),", a career level that is not on the ladder","")&amp;IF(AND($N255="Reduce",N($O255)&lt;=0),", how many seats Reduce means","")&amp;IF(AND(N($O255)&gt;0,$N255&lt;&gt;"Reduce"),", a number of seats on a row not marked Reduce","")&amp;IF(N($O255)&gt;N($J255),", more seats given up than the row has",""),3,200))</f>
        <v>career level, nationality mandate, capacity direction</v>
      </c>
    </row>
    <row r="256" customFormat="false" ht="15" hidden="false" customHeight="false" outlineLevel="0" collapsed="false">
      <c r="A256" s="21" t="s">
        <v>472</v>
      </c>
      <c r="B256" s="21" t="s">
        <v>310</v>
      </c>
      <c r="C256" s="21" t="s">
        <v>342</v>
      </c>
      <c r="D256" s="21" t="s">
        <v>358</v>
      </c>
      <c r="E256" s="21"/>
      <c r="F256" s="21" t="s">
        <v>535</v>
      </c>
      <c r="G256" s="21"/>
      <c r="H256" s="21" t="s">
        <v>394</v>
      </c>
      <c r="I256" s="21"/>
      <c r="J256" s="22" t="n">
        <v>1</v>
      </c>
      <c r="K256" s="22" t="n">
        <v>1</v>
      </c>
      <c r="L256" s="22" t="n">
        <v>0</v>
      </c>
      <c r="M256" s="21" t="s">
        <v>385</v>
      </c>
      <c r="N256" s="21"/>
      <c r="O256" s="22"/>
      <c r="P256" s="20" t="n">
        <f aca="false">IF($N256="Reduce",N($O256),0)</f>
        <v>0</v>
      </c>
      <c r="Q256" s="23" t="str">
        <f aca="false">IF($F256="","",MID(IF($G256="",", career level","")&amp;IF($I256="",", nationality mandate","")&amp;IF($N256="",", capacity direction","")&amp;IF(N($J256)&lt;=0,", approved HC","")&amp;IF(AND($G256&lt;&gt;"",COUNTIF(CareerLevels,$G256)=0),", a career level that is not on the ladder","")&amp;IF(AND($N256="Reduce",N($O256)&lt;=0),", how many seats Reduce means","")&amp;IF(AND(N($O256)&gt;0,$N256&lt;&gt;"Reduce"),", a number of seats on a row not marked Reduce","")&amp;IF(N($O256)&gt;N($J256),", more seats given up than the row has",""),3,200))</f>
        <v>career level, nationality mandate, capacity direction</v>
      </c>
    </row>
    <row r="257" customFormat="false" ht="15" hidden="false" customHeight="false" outlineLevel="0" collapsed="false">
      <c r="A257" s="21" t="s">
        <v>505</v>
      </c>
      <c r="B257" s="21" t="s">
        <v>310</v>
      </c>
      <c r="C257" s="21" t="s">
        <v>342</v>
      </c>
      <c r="D257" s="21" t="s">
        <v>358</v>
      </c>
      <c r="E257" s="21" t="s">
        <v>360</v>
      </c>
      <c r="F257" s="21" t="s">
        <v>536</v>
      </c>
      <c r="G257" s="21"/>
      <c r="H257" s="21" t="s">
        <v>396</v>
      </c>
      <c r="I257" s="21"/>
      <c r="J257" s="22" t="n">
        <v>1</v>
      </c>
      <c r="K257" s="22" t="n">
        <v>1</v>
      </c>
      <c r="L257" s="22" t="n">
        <v>0</v>
      </c>
      <c r="M257" s="21" t="s">
        <v>385</v>
      </c>
      <c r="N257" s="21"/>
      <c r="O257" s="22"/>
      <c r="P257" s="20" t="n">
        <f aca="false">IF($N257="Reduce",N($O257),0)</f>
        <v>0</v>
      </c>
      <c r="Q257" s="23" t="str">
        <f aca="false">IF($F257="","",MID(IF($G257="",", career level","")&amp;IF($I257="",", nationality mandate","")&amp;IF($N257="",", capacity direction","")&amp;IF(N($J257)&lt;=0,", approved HC","")&amp;IF(AND($G257&lt;&gt;"",COUNTIF(CareerLevels,$G257)=0),", a career level that is not on the ladder","")&amp;IF(AND($N257="Reduce",N($O257)&lt;=0),", how many seats Reduce means","")&amp;IF(AND(N($O257)&gt;0,$N257&lt;&gt;"Reduce"),", a number of seats on a row not marked Reduce","")&amp;IF(N($O257)&gt;N($J257),", more seats given up than the row has",""),3,200))</f>
        <v>career level, nationality mandate, capacity direction</v>
      </c>
    </row>
    <row r="258" customFormat="false" ht="15" hidden="false" customHeight="false" outlineLevel="0" collapsed="false">
      <c r="A258" s="21"/>
      <c r="B258" s="21" t="s">
        <v>310</v>
      </c>
      <c r="C258" s="21" t="s">
        <v>342</v>
      </c>
      <c r="D258" s="21" t="s">
        <v>358</v>
      </c>
      <c r="E258" s="21" t="s">
        <v>360</v>
      </c>
      <c r="F258" s="21" t="s">
        <v>537</v>
      </c>
      <c r="G258" s="21"/>
      <c r="H258" s="21" t="s">
        <v>396</v>
      </c>
      <c r="I258" s="21"/>
      <c r="J258" s="22" t="n">
        <v>2</v>
      </c>
      <c r="K258" s="22" t="n">
        <v>1</v>
      </c>
      <c r="L258" s="22" t="n">
        <v>1</v>
      </c>
      <c r="M258" s="21" t="s">
        <v>385</v>
      </c>
      <c r="N258" s="21"/>
      <c r="O258" s="22"/>
      <c r="P258" s="20" t="n">
        <f aca="false">IF($N258="Reduce",N($O258),0)</f>
        <v>0</v>
      </c>
      <c r="Q258" s="23" t="str">
        <f aca="false">IF($F258="","",MID(IF($G258="",", career level","")&amp;IF($I258="",", nationality mandate","")&amp;IF($N258="",", capacity direction","")&amp;IF(N($J258)&lt;=0,", approved HC","")&amp;IF(AND($G258&lt;&gt;"",COUNTIF(CareerLevels,$G258)=0),", a career level that is not on the ladder","")&amp;IF(AND($N258="Reduce",N($O258)&lt;=0),", how many seats Reduce means","")&amp;IF(AND(N($O258)&gt;0,$N258&lt;&gt;"Reduce"),", a number of seats on a row not marked Reduce","")&amp;IF(N($O258)&gt;N($J258),", more seats given up than the row has",""),3,200))</f>
        <v>career level, nationality mandate, capacity direction</v>
      </c>
    </row>
    <row r="259" customFormat="false" ht="15" hidden="false" customHeight="false" outlineLevel="0" collapsed="false">
      <c r="A259" s="21" t="s">
        <v>507</v>
      </c>
      <c r="B259" s="21" t="s">
        <v>310</v>
      </c>
      <c r="C259" s="21" t="s">
        <v>342</v>
      </c>
      <c r="D259" s="21" t="s">
        <v>358</v>
      </c>
      <c r="E259" s="21" t="s">
        <v>360</v>
      </c>
      <c r="F259" s="21" t="s">
        <v>537</v>
      </c>
      <c r="G259" s="21"/>
      <c r="H259" s="21" t="s">
        <v>396</v>
      </c>
      <c r="I259" s="21"/>
      <c r="J259" s="22" t="n">
        <v>1</v>
      </c>
      <c r="K259" s="22" t="n">
        <v>1</v>
      </c>
      <c r="L259" s="22" t="n">
        <v>0</v>
      </c>
      <c r="M259" s="21" t="s">
        <v>389</v>
      </c>
      <c r="N259" s="21"/>
      <c r="O259" s="22"/>
      <c r="P259" s="20" t="n">
        <f aca="false">IF($N259="Reduce",N($O259),0)</f>
        <v>0</v>
      </c>
      <c r="Q259" s="23" t="str">
        <f aca="false">IF($F259="","",MID(IF($G259="",", career level","")&amp;IF($I259="",", nationality mandate","")&amp;IF($N259="",", capacity direction","")&amp;IF(N($J259)&lt;=0,", approved HC","")&amp;IF(AND($G259&lt;&gt;"",COUNTIF(CareerLevels,$G259)=0),", a career level that is not on the ladder","")&amp;IF(AND($N259="Reduce",N($O259)&lt;=0),", how many seats Reduce means","")&amp;IF(AND(N($O259)&gt;0,$N259&lt;&gt;"Reduce"),", a number of seats on a row not marked Reduce","")&amp;IF(N($O259)&gt;N($J259),", more seats given up than the row has",""),3,200))</f>
        <v>career level, nationality mandate, capacity direction</v>
      </c>
    </row>
    <row r="260" customFormat="false" ht="15" hidden="false" customHeight="false" outlineLevel="0" collapsed="false">
      <c r="A260" s="21" t="s">
        <v>418</v>
      </c>
      <c r="B260" s="21" t="s">
        <v>310</v>
      </c>
      <c r="C260" s="21" t="s">
        <v>342</v>
      </c>
      <c r="D260" s="21" t="s">
        <v>358</v>
      </c>
      <c r="E260" s="21" t="s">
        <v>360</v>
      </c>
      <c r="F260" s="21" t="s">
        <v>541</v>
      </c>
      <c r="G260" s="21"/>
      <c r="H260" s="21" t="s">
        <v>396</v>
      </c>
      <c r="I260" s="21"/>
      <c r="J260" s="22" t="n">
        <v>1</v>
      </c>
      <c r="K260" s="22" t="n">
        <v>1</v>
      </c>
      <c r="L260" s="22" t="n">
        <v>0</v>
      </c>
      <c r="M260" s="21" t="s">
        <v>385</v>
      </c>
      <c r="N260" s="21"/>
      <c r="O260" s="22"/>
      <c r="P260" s="20" t="n">
        <f aca="false">IF($N260="Reduce",N($O260),0)</f>
        <v>0</v>
      </c>
      <c r="Q260" s="23" t="str">
        <f aca="false">IF($F260="","",MID(IF($G260="",", career level","")&amp;IF($I260="",", nationality mandate","")&amp;IF($N260="",", capacity direction","")&amp;IF(N($J260)&lt;=0,", approved HC","")&amp;IF(AND($G260&lt;&gt;"",COUNTIF(CareerLevels,$G260)=0),", a career level that is not on the ladder","")&amp;IF(AND($N260="Reduce",N($O260)&lt;=0),", how many seats Reduce means","")&amp;IF(AND(N($O260)&gt;0,$N260&lt;&gt;"Reduce"),", a number of seats on a row not marked Reduce","")&amp;IF(N($O260)&gt;N($J260),", more seats given up than the row has",""),3,200))</f>
        <v>career level, nationality mandate, capacity direction</v>
      </c>
    </row>
    <row r="261" customFormat="false" ht="15" hidden="false" customHeight="false" outlineLevel="0" collapsed="false">
      <c r="A261" s="21" t="s">
        <v>496</v>
      </c>
      <c r="B261" s="21" t="s">
        <v>310</v>
      </c>
      <c r="C261" s="21" t="s">
        <v>342</v>
      </c>
      <c r="D261" s="21" t="s">
        <v>358</v>
      </c>
      <c r="E261" s="21" t="s">
        <v>360</v>
      </c>
      <c r="F261" s="21" t="s">
        <v>538</v>
      </c>
      <c r="G261" s="21"/>
      <c r="H261" s="21" t="s">
        <v>396</v>
      </c>
      <c r="I261" s="21"/>
      <c r="J261" s="22" t="n">
        <v>1</v>
      </c>
      <c r="K261" s="22" t="n">
        <v>1</v>
      </c>
      <c r="L261" s="22" t="n">
        <v>0</v>
      </c>
      <c r="M261" s="21" t="s">
        <v>385</v>
      </c>
      <c r="N261" s="21"/>
      <c r="O261" s="22"/>
      <c r="P261" s="20" t="n">
        <f aca="false">IF($N261="Reduce",N($O261),0)</f>
        <v>0</v>
      </c>
      <c r="Q261" s="23" t="str">
        <f aca="false">IF($F261="","",MID(IF($G261="",", career level","")&amp;IF($I261="",", nationality mandate","")&amp;IF($N261="",", capacity direction","")&amp;IF(N($J261)&lt;=0,", approved HC","")&amp;IF(AND($G261&lt;&gt;"",COUNTIF(CareerLevels,$G261)=0),", a career level that is not on the ladder","")&amp;IF(AND($N261="Reduce",N($O261)&lt;=0),", how many seats Reduce means","")&amp;IF(AND(N($O261)&gt;0,$N261&lt;&gt;"Reduce"),", a number of seats on a row not marked Reduce","")&amp;IF(N($O261)&gt;N($J261),", more seats given up than the row has",""),3,200))</f>
        <v>career level, nationality mandate, capacity direction</v>
      </c>
    </row>
    <row r="262" customFormat="false" ht="15" hidden="false" customHeight="false" outlineLevel="0" collapsed="false">
      <c r="A262" s="21" t="s">
        <v>466</v>
      </c>
      <c r="B262" s="21" t="s">
        <v>310</v>
      </c>
      <c r="C262" s="21" t="s">
        <v>342</v>
      </c>
      <c r="D262" s="21" t="s">
        <v>358</v>
      </c>
      <c r="E262" s="21" t="s">
        <v>360</v>
      </c>
      <c r="F262" s="21" t="s">
        <v>539</v>
      </c>
      <c r="G262" s="21"/>
      <c r="H262" s="21" t="s">
        <v>396</v>
      </c>
      <c r="I262" s="21"/>
      <c r="J262" s="22" t="n">
        <v>1</v>
      </c>
      <c r="K262" s="22" t="n">
        <v>1</v>
      </c>
      <c r="L262" s="22" t="n">
        <v>0</v>
      </c>
      <c r="M262" s="21" t="s">
        <v>385</v>
      </c>
      <c r="N262" s="21"/>
      <c r="O262" s="22"/>
      <c r="P262" s="20" t="n">
        <f aca="false">IF($N262="Reduce",N($O262),0)</f>
        <v>0</v>
      </c>
      <c r="Q262" s="23" t="str">
        <f aca="false">IF($F262="","",MID(IF($G262="",", career level","")&amp;IF($I262="",", nationality mandate","")&amp;IF($N262="",", capacity direction","")&amp;IF(N($J262)&lt;=0,", approved HC","")&amp;IF(AND($G262&lt;&gt;"",COUNTIF(CareerLevels,$G262)=0),", a career level that is not on the ladder","")&amp;IF(AND($N262="Reduce",N($O262)&lt;=0),", how many seats Reduce means","")&amp;IF(AND(N($O262)&gt;0,$N262&lt;&gt;"Reduce"),", a number of seats on a row not marked Reduce","")&amp;IF(N($O262)&gt;N($J262),", more seats given up than the row has",""),3,200))</f>
        <v>career level, nationality mandate, capacity direction</v>
      </c>
    </row>
    <row r="263" customFormat="false" ht="15" hidden="false" customHeight="false" outlineLevel="0" collapsed="false">
      <c r="A263" s="21" t="s">
        <v>414</v>
      </c>
      <c r="B263" s="21" t="s">
        <v>310</v>
      </c>
      <c r="C263" s="21" t="s">
        <v>342</v>
      </c>
      <c r="D263" s="21" t="s">
        <v>358</v>
      </c>
      <c r="E263" s="21" t="s">
        <v>360</v>
      </c>
      <c r="F263" s="21" t="s">
        <v>540</v>
      </c>
      <c r="G263" s="21"/>
      <c r="H263" s="21" t="s">
        <v>394</v>
      </c>
      <c r="I263" s="21"/>
      <c r="J263" s="22" t="n">
        <v>1</v>
      </c>
      <c r="K263" s="22" t="n">
        <v>1</v>
      </c>
      <c r="L263" s="22" t="n">
        <v>0</v>
      </c>
      <c r="M263" s="21" t="s">
        <v>385</v>
      </c>
      <c r="N263" s="21"/>
      <c r="O263" s="22"/>
      <c r="P263" s="20" t="n">
        <f aca="false">IF($N263="Reduce",N($O263),0)</f>
        <v>0</v>
      </c>
      <c r="Q263" s="23" t="str">
        <f aca="false">IF($F263="","",MID(IF($G263="",", career level","")&amp;IF($I263="",", nationality mandate","")&amp;IF($N263="",", capacity direction","")&amp;IF(N($J263)&lt;=0,", approved HC","")&amp;IF(AND($G263&lt;&gt;"",COUNTIF(CareerLevels,$G263)=0),", a career level that is not on the ladder","")&amp;IF(AND($N263="Reduce",N($O263)&lt;=0),", how many seats Reduce means","")&amp;IF(AND(N($O263)&gt;0,$N263&lt;&gt;"Reduce"),", a number of seats on a row not marked Reduce","")&amp;IF(N($O263)&gt;N($J263),", more seats given up than the row has",""),3,200))</f>
        <v>career level, nationality mandate, capacity direction</v>
      </c>
    </row>
    <row r="264" customFormat="false" ht="15" hidden="false" customHeight="false" outlineLevel="0" collapsed="false">
      <c r="A264" s="21"/>
      <c r="B264" s="21" t="s">
        <v>310</v>
      </c>
      <c r="C264" s="21" t="s">
        <v>342</v>
      </c>
      <c r="D264" s="21" t="s">
        <v>358</v>
      </c>
      <c r="E264" s="21" t="s">
        <v>366</v>
      </c>
      <c r="F264" s="21" t="s">
        <v>536</v>
      </c>
      <c r="G264" s="21"/>
      <c r="H264" s="21" t="s">
        <v>396</v>
      </c>
      <c r="I264" s="21"/>
      <c r="J264" s="22" t="n">
        <v>2</v>
      </c>
      <c r="K264" s="22" t="n">
        <v>2</v>
      </c>
      <c r="L264" s="22" t="n">
        <v>0</v>
      </c>
      <c r="M264" s="21" t="s">
        <v>385</v>
      </c>
      <c r="N264" s="21"/>
      <c r="O264" s="22"/>
      <c r="P264" s="20" t="n">
        <f aca="false">IF($N264="Reduce",N($O264),0)</f>
        <v>0</v>
      </c>
      <c r="Q264" s="23" t="str">
        <f aca="false">IF($F264="","",MID(IF($G264="",", career level","")&amp;IF($I264="",", nationality mandate","")&amp;IF($N264="",", capacity direction","")&amp;IF(N($J264)&lt;=0,", approved HC","")&amp;IF(AND($G264&lt;&gt;"",COUNTIF(CareerLevels,$G264)=0),", a career level that is not on the ladder","")&amp;IF(AND($N264="Reduce",N($O264)&lt;=0),", how many seats Reduce means","")&amp;IF(AND(N($O264)&gt;0,$N264&lt;&gt;"Reduce"),", a number of seats on a row not marked Reduce","")&amp;IF(N($O264)&gt;N($J264),", more seats given up than the row has",""),3,200))</f>
        <v>career level, nationality mandate, capacity direction</v>
      </c>
    </row>
    <row r="265" customFormat="false" ht="15" hidden="false" customHeight="false" outlineLevel="0" collapsed="false">
      <c r="A265" s="21"/>
      <c r="B265" s="21" t="s">
        <v>310</v>
      </c>
      <c r="C265" s="21" t="s">
        <v>342</v>
      </c>
      <c r="D265" s="21" t="s">
        <v>358</v>
      </c>
      <c r="E265" s="21" t="s">
        <v>366</v>
      </c>
      <c r="F265" s="21" t="s">
        <v>537</v>
      </c>
      <c r="G265" s="21"/>
      <c r="H265" s="21" t="s">
        <v>396</v>
      </c>
      <c r="I265" s="21"/>
      <c r="J265" s="22" t="n">
        <v>2</v>
      </c>
      <c r="K265" s="22" t="n">
        <v>2</v>
      </c>
      <c r="L265" s="22" t="n">
        <v>0</v>
      </c>
      <c r="M265" s="21" t="s">
        <v>385</v>
      </c>
      <c r="N265" s="21"/>
      <c r="O265" s="22"/>
      <c r="P265" s="20" t="n">
        <f aca="false">IF($N265="Reduce",N($O265),0)</f>
        <v>0</v>
      </c>
      <c r="Q265" s="23" t="str">
        <f aca="false">IF($F265="","",MID(IF($G265="",", career level","")&amp;IF($I265="",", nationality mandate","")&amp;IF($N265="",", capacity direction","")&amp;IF(N($J265)&lt;=0,", approved HC","")&amp;IF(AND($G265&lt;&gt;"",COUNTIF(CareerLevels,$G265)=0),", a career level that is not on the ladder","")&amp;IF(AND($N265="Reduce",N($O265)&lt;=0),", how many seats Reduce means","")&amp;IF(AND(N($O265)&gt;0,$N265&lt;&gt;"Reduce"),", a number of seats on a row not marked Reduce","")&amp;IF(N($O265)&gt;N($J265),", more seats given up than the row has",""),3,200))</f>
        <v>career level, nationality mandate, capacity direction</v>
      </c>
    </row>
    <row r="266" customFormat="false" ht="15" hidden="false" customHeight="false" outlineLevel="0" collapsed="false">
      <c r="A266" s="21"/>
      <c r="B266" s="21" t="s">
        <v>310</v>
      </c>
      <c r="C266" s="21" t="s">
        <v>342</v>
      </c>
      <c r="D266" s="21" t="s">
        <v>358</v>
      </c>
      <c r="E266" s="21" t="s">
        <v>366</v>
      </c>
      <c r="F266" s="21" t="s">
        <v>541</v>
      </c>
      <c r="G266" s="21"/>
      <c r="H266" s="21" t="s">
        <v>396</v>
      </c>
      <c r="I266" s="21"/>
      <c r="J266" s="22" t="n">
        <v>2</v>
      </c>
      <c r="K266" s="22" t="n">
        <v>2</v>
      </c>
      <c r="L266" s="22" t="n">
        <v>0</v>
      </c>
      <c r="M266" s="21" t="s">
        <v>385</v>
      </c>
      <c r="N266" s="21"/>
      <c r="O266" s="22"/>
      <c r="P266" s="20" t="n">
        <f aca="false">IF($N266="Reduce",N($O266),0)</f>
        <v>0</v>
      </c>
      <c r="Q266" s="23" t="str">
        <f aca="false">IF($F266="","",MID(IF($G266="",", career level","")&amp;IF($I266="",", nationality mandate","")&amp;IF($N266="",", capacity direction","")&amp;IF(N($J266)&lt;=0,", approved HC","")&amp;IF(AND($G266&lt;&gt;"",COUNTIF(CareerLevels,$G266)=0),", a career level that is not on the ladder","")&amp;IF(AND($N266="Reduce",N($O266)&lt;=0),", how many seats Reduce means","")&amp;IF(AND(N($O266)&gt;0,$N266&lt;&gt;"Reduce"),", a number of seats on a row not marked Reduce","")&amp;IF(N($O266)&gt;N($J266),", more seats given up than the row has",""),3,200))</f>
        <v>career level, nationality mandate, capacity direction</v>
      </c>
    </row>
    <row r="267" customFormat="false" ht="15" hidden="false" customHeight="false" outlineLevel="0" collapsed="false">
      <c r="A267" s="21"/>
      <c r="B267" s="21" t="s">
        <v>310</v>
      </c>
      <c r="C267" s="21" t="s">
        <v>342</v>
      </c>
      <c r="D267" s="21" t="s">
        <v>358</v>
      </c>
      <c r="E267" s="21" t="s">
        <v>366</v>
      </c>
      <c r="F267" s="21" t="s">
        <v>542</v>
      </c>
      <c r="G267" s="21"/>
      <c r="H267" s="21" t="s">
        <v>396</v>
      </c>
      <c r="I267" s="21"/>
      <c r="J267" s="22" t="n">
        <v>2</v>
      </c>
      <c r="K267" s="22" t="n">
        <v>0</v>
      </c>
      <c r="L267" s="22" t="n">
        <v>2</v>
      </c>
      <c r="M267" s="21" t="s">
        <v>385</v>
      </c>
      <c r="N267" s="21"/>
      <c r="O267" s="22"/>
      <c r="P267" s="20" t="n">
        <f aca="false">IF($N267="Reduce",N($O267),0)</f>
        <v>0</v>
      </c>
      <c r="Q267" s="23" t="str">
        <f aca="false">IF($F267="","",MID(IF($G267="",", career level","")&amp;IF($I267="",", nationality mandate","")&amp;IF($N267="",", capacity direction","")&amp;IF(N($J267)&lt;=0,", approved HC","")&amp;IF(AND($G267&lt;&gt;"",COUNTIF(CareerLevels,$G267)=0),", a career level that is not on the ladder","")&amp;IF(AND($N267="Reduce",N($O267)&lt;=0),", how many seats Reduce means","")&amp;IF(AND(N($O267)&gt;0,$N267&lt;&gt;"Reduce"),", a number of seats on a row not marked Reduce","")&amp;IF(N($O267)&gt;N($J267),", more seats given up than the row has",""),3,200))</f>
        <v>career level, nationality mandate, capacity direction</v>
      </c>
    </row>
    <row r="268" customFormat="false" ht="15" hidden="false" customHeight="false" outlineLevel="0" collapsed="false">
      <c r="A268" s="21" t="s">
        <v>429</v>
      </c>
      <c r="B268" s="21" t="s">
        <v>310</v>
      </c>
      <c r="C268" s="21" t="s">
        <v>342</v>
      </c>
      <c r="D268" s="21" t="s">
        <v>358</v>
      </c>
      <c r="E268" s="21" t="s">
        <v>366</v>
      </c>
      <c r="F268" s="21" t="s">
        <v>538</v>
      </c>
      <c r="G268" s="21"/>
      <c r="H268" s="21" t="s">
        <v>396</v>
      </c>
      <c r="I268" s="21"/>
      <c r="J268" s="22" t="n">
        <v>1</v>
      </c>
      <c r="K268" s="22" t="n">
        <v>1</v>
      </c>
      <c r="L268" s="22" t="n">
        <v>0</v>
      </c>
      <c r="M268" s="21" t="s">
        <v>385</v>
      </c>
      <c r="N268" s="21"/>
      <c r="O268" s="22"/>
      <c r="P268" s="20" t="n">
        <f aca="false">IF($N268="Reduce",N($O268),0)</f>
        <v>0</v>
      </c>
      <c r="Q268" s="23" t="str">
        <f aca="false">IF($F268="","",MID(IF($G268="",", career level","")&amp;IF($I268="",", nationality mandate","")&amp;IF($N268="",", capacity direction","")&amp;IF(N($J268)&lt;=0,", approved HC","")&amp;IF(AND($G268&lt;&gt;"",COUNTIF(CareerLevels,$G268)=0),", a career level that is not on the ladder","")&amp;IF(AND($N268="Reduce",N($O268)&lt;=0),", how many seats Reduce means","")&amp;IF(AND(N($O268)&gt;0,$N268&lt;&gt;"Reduce"),", a number of seats on a row not marked Reduce","")&amp;IF(N($O268)&gt;N($J268),", more seats given up than the row has",""),3,200))</f>
        <v>career level, nationality mandate, capacity direction</v>
      </c>
    </row>
    <row r="269" customFormat="false" ht="15" hidden="false" customHeight="false" outlineLevel="0" collapsed="false">
      <c r="A269" s="21" t="s">
        <v>403</v>
      </c>
      <c r="B269" s="21" t="s">
        <v>310</v>
      </c>
      <c r="C269" s="21" t="s">
        <v>342</v>
      </c>
      <c r="D269" s="21" t="s">
        <v>358</v>
      </c>
      <c r="E269" s="21" t="s">
        <v>366</v>
      </c>
      <c r="F269" s="21" t="s">
        <v>540</v>
      </c>
      <c r="G269" s="21"/>
      <c r="H269" s="21" t="s">
        <v>394</v>
      </c>
      <c r="I269" s="21"/>
      <c r="J269" s="22" t="n">
        <v>1</v>
      </c>
      <c r="K269" s="22" t="n">
        <v>1</v>
      </c>
      <c r="L269" s="22" t="n">
        <v>0</v>
      </c>
      <c r="M269" s="21" t="s">
        <v>385</v>
      </c>
      <c r="N269" s="21"/>
      <c r="O269" s="22"/>
      <c r="P269" s="20" t="n">
        <f aca="false">IF($N269="Reduce",N($O269),0)</f>
        <v>0</v>
      </c>
      <c r="Q269" s="23" t="str">
        <f aca="false">IF($F269="","",MID(IF($G269="",", career level","")&amp;IF($I269="",", nationality mandate","")&amp;IF($N269="",", capacity direction","")&amp;IF(N($J269)&lt;=0,", approved HC","")&amp;IF(AND($G269&lt;&gt;"",COUNTIF(CareerLevels,$G269)=0),", a career level that is not on the ladder","")&amp;IF(AND($N269="Reduce",N($O269)&lt;=0),", how many seats Reduce means","")&amp;IF(AND(N($O269)&gt;0,$N269&lt;&gt;"Reduce"),", a number of seats on a row not marked Reduce","")&amp;IF(N($O269)&gt;N($J269),", more seats given up than the row has",""),3,200))</f>
        <v>career level, nationality mandate, capacity direction</v>
      </c>
    </row>
    <row r="270" customFormat="false" ht="15" hidden="false" customHeight="false" outlineLevel="0" collapsed="false">
      <c r="A270" s="21"/>
      <c r="B270" s="21"/>
      <c r="C270" s="21"/>
      <c r="D270" s="21"/>
      <c r="E270" s="21"/>
      <c r="F270" s="21"/>
      <c r="G270" s="21"/>
      <c r="H270" s="21"/>
      <c r="I270" s="21"/>
      <c r="J270" s="22"/>
      <c r="K270" s="22"/>
      <c r="L270" s="22"/>
      <c r="M270" s="21"/>
      <c r="N270" s="21"/>
      <c r="O270" s="22"/>
      <c r="P270" s="20" t="n">
        <f aca="false">IF($N270="Reduce",N($O270),0)</f>
        <v>0</v>
      </c>
      <c r="Q270" s="23" t="str">
        <f aca="false">IF($F270="","",MID(IF($G270="",", career level","")&amp;IF($I270="",", nationality mandate","")&amp;IF($N270="",", capacity direction","")&amp;IF(N($J270)&lt;=0,", approved HC","")&amp;IF(AND($G270&lt;&gt;"",COUNTIF(CareerLevels,$G270)=0),", a career level that is not on the ladder","")&amp;IF(AND($N270="Reduce",N($O270)&lt;=0),", how many seats Reduce means","")&amp;IF(AND(N($O270)&gt;0,$N270&lt;&gt;"Reduce"),", a number of seats on a row not marked Reduce","")&amp;IF(N($O270)&gt;N($J270),", more seats given up than the row has",""),3,200))</f>
        <v/>
      </c>
    </row>
    <row r="271" customFormat="false" ht="15" hidden="false" customHeight="false" outlineLevel="0" collapsed="false">
      <c r="A271" s="21"/>
      <c r="B271" s="21"/>
      <c r="C271" s="21"/>
      <c r="D271" s="21"/>
      <c r="E271" s="21"/>
      <c r="F271" s="21"/>
      <c r="G271" s="21"/>
      <c r="H271" s="21"/>
      <c r="I271" s="21"/>
      <c r="J271" s="22"/>
      <c r="K271" s="22"/>
      <c r="L271" s="22"/>
      <c r="M271" s="21"/>
      <c r="N271" s="21"/>
      <c r="O271" s="22"/>
      <c r="P271" s="20" t="n">
        <f aca="false">IF($N271="Reduce",N($O271),0)</f>
        <v>0</v>
      </c>
      <c r="Q271" s="23" t="str">
        <f aca="false">IF($F271="","",MID(IF($G271="",", career level","")&amp;IF($I271="",", nationality mandate","")&amp;IF($N271="",", capacity direction","")&amp;IF(N($J271)&lt;=0,", approved HC","")&amp;IF(AND($G271&lt;&gt;"",COUNTIF(CareerLevels,$G271)=0),", a career level that is not on the ladder","")&amp;IF(AND($N271="Reduce",N($O271)&lt;=0),", how many seats Reduce means","")&amp;IF(AND(N($O271)&gt;0,$N271&lt;&gt;"Reduce"),", a number of seats on a row not marked Reduce","")&amp;IF(N($O271)&gt;N($J271),", more seats given up than the row has",""),3,200))</f>
        <v/>
      </c>
    </row>
    <row r="272" customFormat="false" ht="15" hidden="false" customHeight="false" outlineLevel="0" collapsed="false">
      <c r="A272" s="21"/>
      <c r="B272" s="21"/>
      <c r="C272" s="21"/>
      <c r="D272" s="21"/>
      <c r="E272" s="21"/>
      <c r="F272" s="21"/>
      <c r="G272" s="21"/>
      <c r="H272" s="21"/>
      <c r="I272" s="21"/>
      <c r="J272" s="22"/>
      <c r="K272" s="22"/>
      <c r="L272" s="22"/>
      <c r="M272" s="21"/>
      <c r="N272" s="21"/>
      <c r="O272" s="22"/>
      <c r="P272" s="20" t="n">
        <f aca="false">IF($N272="Reduce",N($O272),0)</f>
        <v>0</v>
      </c>
      <c r="Q272" s="23" t="str">
        <f aca="false">IF($F272="","",MID(IF($G272="",", career level","")&amp;IF($I272="",", nationality mandate","")&amp;IF($N272="",", capacity direction","")&amp;IF(N($J272)&lt;=0,", approved HC","")&amp;IF(AND($G272&lt;&gt;"",COUNTIF(CareerLevels,$G272)=0),", a career level that is not on the ladder","")&amp;IF(AND($N272="Reduce",N($O272)&lt;=0),", how many seats Reduce means","")&amp;IF(AND(N($O272)&gt;0,$N272&lt;&gt;"Reduce"),", a number of seats on a row not marked Reduce","")&amp;IF(N($O272)&gt;N($J272),", more seats given up than the row has",""),3,200))</f>
        <v/>
      </c>
    </row>
    <row r="273" customFormat="false" ht="15" hidden="false" customHeight="false" outlineLevel="0" collapsed="false">
      <c r="A273" s="21"/>
      <c r="B273" s="21"/>
      <c r="C273" s="21"/>
      <c r="D273" s="21"/>
      <c r="E273" s="21"/>
      <c r="F273" s="21"/>
      <c r="G273" s="21"/>
      <c r="H273" s="21"/>
      <c r="I273" s="21"/>
      <c r="J273" s="22"/>
      <c r="K273" s="22"/>
      <c r="L273" s="22"/>
      <c r="M273" s="21"/>
      <c r="N273" s="21"/>
      <c r="O273" s="22"/>
      <c r="P273" s="20" t="n">
        <f aca="false">IF($N273="Reduce",N($O273),0)</f>
        <v>0</v>
      </c>
      <c r="Q273" s="23" t="str">
        <f aca="false">IF($F273="","",MID(IF($G273="",", career level","")&amp;IF($I273="",", nationality mandate","")&amp;IF($N273="",", capacity direction","")&amp;IF(N($J273)&lt;=0,", approved HC","")&amp;IF(AND($G273&lt;&gt;"",COUNTIF(CareerLevels,$G273)=0),", a career level that is not on the ladder","")&amp;IF(AND($N273="Reduce",N($O273)&lt;=0),", how many seats Reduce means","")&amp;IF(AND(N($O273)&gt;0,$N273&lt;&gt;"Reduce"),", a number of seats on a row not marked Reduce","")&amp;IF(N($O273)&gt;N($J273),", more seats given up than the row has",""),3,200))</f>
        <v/>
      </c>
    </row>
    <row r="274" customFormat="false" ht="15" hidden="false" customHeight="false" outlineLevel="0" collapsed="false">
      <c r="A274" s="21"/>
      <c r="B274" s="21"/>
      <c r="C274" s="21"/>
      <c r="D274" s="21"/>
      <c r="E274" s="21"/>
      <c r="F274" s="21"/>
      <c r="G274" s="21"/>
      <c r="H274" s="21"/>
      <c r="I274" s="21"/>
      <c r="J274" s="22"/>
      <c r="K274" s="22"/>
      <c r="L274" s="22"/>
      <c r="M274" s="21"/>
      <c r="N274" s="21"/>
      <c r="O274" s="22"/>
      <c r="P274" s="20" t="n">
        <f aca="false">IF($N274="Reduce",N($O274),0)</f>
        <v>0</v>
      </c>
      <c r="Q274" s="23" t="str">
        <f aca="false">IF($F274="","",MID(IF($G274="",", career level","")&amp;IF($I274="",", nationality mandate","")&amp;IF($N274="",", capacity direction","")&amp;IF(N($J274)&lt;=0,", approved HC","")&amp;IF(AND($G274&lt;&gt;"",COUNTIF(CareerLevels,$G274)=0),", a career level that is not on the ladder","")&amp;IF(AND($N274="Reduce",N($O274)&lt;=0),", how many seats Reduce means","")&amp;IF(AND(N($O274)&gt;0,$N274&lt;&gt;"Reduce"),", a number of seats on a row not marked Reduce","")&amp;IF(N($O274)&gt;N($J274),", more seats given up than the row has",""),3,200))</f>
        <v/>
      </c>
    </row>
    <row r="275" customFormat="false" ht="15" hidden="false" customHeight="false" outlineLevel="0" collapsed="false">
      <c r="A275" s="21"/>
      <c r="B275" s="21"/>
      <c r="C275" s="21"/>
      <c r="D275" s="21"/>
      <c r="E275" s="21"/>
      <c r="F275" s="21"/>
      <c r="G275" s="21"/>
      <c r="H275" s="21"/>
      <c r="I275" s="21"/>
      <c r="J275" s="22"/>
      <c r="K275" s="22"/>
      <c r="L275" s="22"/>
      <c r="M275" s="21"/>
      <c r="N275" s="21"/>
      <c r="O275" s="22"/>
      <c r="P275" s="20" t="n">
        <f aca="false">IF($N275="Reduce",N($O275),0)</f>
        <v>0</v>
      </c>
      <c r="Q275" s="23" t="str">
        <f aca="false">IF($F275="","",MID(IF($G275="",", career level","")&amp;IF($I275="",", nationality mandate","")&amp;IF($N275="",", capacity direction","")&amp;IF(N($J275)&lt;=0,", approved HC","")&amp;IF(AND($G275&lt;&gt;"",COUNTIF(CareerLevels,$G275)=0),", a career level that is not on the ladder","")&amp;IF(AND($N275="Reduce",N($O275)&lt;=0),", how many seats Reduce means","")&amp;IF(AND(N($O275)&gt;0,$N275&lt;&gt;"Reduce"),", a number of seats on a row not marked Reduce","")&amp;IF(N($O275)&gt;N($J275),", more seats given up than the row has",""),3,200))</f>
        <v/>
      </c>
    </row>
    <row r="276" customFormat="false" ht="15" hidden="false" customHeight="false" outlineLevel="0" collapsed="false">
      <c r="A276" s="21"/>
      <c r="B276" s="21"/>
      <c r="C276" s="21"/>
      <c r="D276" s="21"/>
      <c r="E276" s="21"/>
      <c r="F276" s="21"/>
      <c r="G276" s="21"/>
      <c r="H276" s="21"/>
      <c r="I276" s="21"/>
      <c r="J276" s="22"/>
      <c r="K276" s="22"/>
      <c r="L276" s="22"/>
      <c r="M276" s="21"/>
      <c r="N276" s="21"/>
      <c r="O276" s="22"/>
      <c r="P276" s="20" t="n">
        <f aca="false">IF($N276="Reduce",N($O276),0)</f>
        <v>0</v>
      </c>
      <c r="Q276" s="23" t="str">
        <f aca="false">IF($F276="","",MID(IF($G276="",", career level","")&amp;IF($I276="",", nationality mandate","")&amp;IF($N276="",", capacity direction","")&amp;IF(N($J276)&lt;=0,", approved HC","")&amp;IF(AND($G276&lt;&gt;"",COUNTIF(CareerLevels,$G276)=0),", a career level that is not on the ladder","")&amp;IF(AND($N276="Reduce",N($O276)&lt;=0),", how many seats Reduce means","")&amp;IF(AND(N($O276)&gt;0,$N276&lt;&gt;"Reduce"),", a number of seats on a row not marked Reduce","")&amp;IF(N($O276)&gt;N($J276),", more seats given up than the row has",""),3,200))</f>
        <v/>
      </c>
    </row>
    <row r="277" customFormat="false" ht="15" hidden="false" customHeight="false" outlineLevel="0" collapsed="false">
      <c r="A277" s="21"/>
      <c r="B277" s="21"/>
      <c r="C277" s="21"/>
      <c r="D277" s="21"/>
      <c r="E277" s="21"/>
      <c r="F277" s="21"/>
      <c r="G277" s="21"/>
      <c r="H277" s="21"/>
      <c r="I277" s="21"/>
      <c r="J277" s="22"/>
      <c r="K277" s="22"/>
      <c r="L277" s="22"/>
      <c r="M277" s="21"/>
      <c r="N277" s="21"/>
      <c r="O277" s="22"/>
      <c r="P277" s="20" t="n">
        <f aca="false">IF($N277="Reduce",N($O277),0)</f>
        <v>0</v>
      </c>
      <c r="Q277" s="23" t="str">
        <f aca="false">IF($F277="","",MID(IF($G277="",", career level","")&amp;IF($I277="",", nationality mandate","")&amp;IF($N277="",", capacity direction","")&amp;IF(N($J277)&lt;=0,", approved HC","")&amp;IF(AND($G277&lt;&gt;"",COUNTIF(CareerLevels,$G277)=0),", a career level that is not on the ladder","")&amp;IF(AND($N277="Reduce",N($O277)&lt;=0),", how many seats Reduce means","")&amp;IF(AND(N($O277)&gt;0,$N277&lt;&gt;"Reduce"),", a number of seats on a row not marked Reduce","")&amp;IF(N($O277)&gt;N($J277),", more seats given up than the row has",""),3,200))</f>
        <v/>
      </c>
    </row>
    <row r="278" customFormat="false" ht="15" hidden="false" customHeight="false" outlineLevel="0" collapsed="false">
      <c r="A278" s="21"/>
      <c r="B278" s="21"/>
      <c r="C278" s="21"/>
      <c r="D278" s="21"/>
      <c r="E278" s="21"/>
      <c r="F278" s="21"/>
      <c r="G278" s="21"/>
      <c r="H278" s="21"/>
      <c r="I278" s="21"/>
      <c r="J278" s="22"/>
      <c r="K278" s="22"/>
      <c r="L278" s="22"/>
      <c r="M278" s="21"/>
      <c r="N278" s="21"/>
      <c r="O278" s="22"/>
      <c r="P278" s="20" t="n">
        <f aca="false">IF($N278="Reduce",N($O278),0)</f>
        <v>0</v>
      </c>
      <c r="Q278" s="23" t="str">
        <f aca="false">IF($F278="","",MID(IF($G278="",", career level","")&amp;IF($I278="",", nationality mandate","")&amp;IF($N278="",", capacity direction","")&amp;IF(N($J278)&lt;=0,", approved HC","")&amp;IF(AND($G278&lt;&gt;"",COUNTIF(CareerLevels,$G278)=0),", a career level that is not on the ladder","")&amp;IF(AND($N278="Reduce",N($O278)&lt;=0),", how many seats Reduce means","")&amp;IF(AND(N($O278)&gt;0,$N278&lt;&gt;"Reduce"),", a number of seats on a row not marked Reduce","")&amp;IF(N($O278)&gt;N($J278),", more seats given up than the row has",""),3,200))</f>
        <v/>
      </c>
    </row>
    <row r="279" customFormat="false" ht="15" hidden="false" customHeight="false" outlineLevel="0" collapsed="false">
      <c r="A279" s="21"/>
      <c r="B279" s="21"/>
      <c r="C279" s="21"/>
      <c r="D279" s="21"/>
      <c r="E279" s="21"/>
      <c r="F279" s="21"/>
      <c r="G279" s="21"/>
      <c r="H279" s="21"/>
      <c r="I279" s="21"/>
      <c r="J279" s="22"/>
      <c r="K279" s="22"/>
      <c r="L279" s="22"/>
      <c r="M279" s="21"/>
      <c r="N279" s="21"/>
      <c r="O279" s="22"/>
      <c r="P279" s="20" t="n">
        <f aca="false">IF($N279="Reduce",N($O279),0)</f>
        <v>0</v>
      </c>
      <c r="Q279" s="23" t="str">
        <f aca="false">IF($F279="","",MID(IF($G279="",", career level","")&amp;IF($I279="",", nationality mandate","")&amp;IF($N279="",", capacity direction","")&amp;IF(N($J279)&lt;=0,", approved HC","")&amp;IF(AND($G279&lt;&gt;"",COUNTIF(CareerLevels,$G279)=0),", a career level that is not on the ladder","")&amp;IF(AND($N279="Reduce",N($O279)&lt;=0),", how many seats Reduce means","")&amp;IF(AND(N($O279)&gt;0,$N279&lt;&gt;"Reduce"),", a number of seats on a row not marked Reduce","")&amp;IF(N($O279)&gt;N($J279),", more seats given up than the row has",""),3,200))</f>
        <v/>
      </c>
    </row>
    <row r="280" customFormat="false" ht="15" hidden="false" customHeight="false" outlineLevel="0" collapsed="false">
      <c r="A280" s="21"/>
      <c r="B280" s="21"/>
      <c r="C280" s="21"/>
      <c r="D280" s="21"/>
      <c r="E280" s="21"/>
      <c r="F280" s="21"/>
      <c r="G280" s="21"/>
      <c r="H280" s="21"/>
      <c r="I280" s="21"/>
      <c r="J280" s="22"/>
      <c r="K280" s="22"/>
      <c r="L280" s="22"/>
      <c r="M280" s="21"/>
      <c r="N280" s="21"/>
      <c r="O280" s="22"/>
      <c r="P280" s="20" t="n">
        <f aca="false">IF($N280="Reduce",N($O280),0)</f>
        <v>0</v>
      </c>
      <c r="Q280" s="23" t="str">
        <f aca="false">IF($F280="","",MID(IF($G280="",", career level","")&amp;IF($I280="",", nationality mandate","")&amp;IF($N280="",", capacity direction","")&amp;IF(N($J280)&lt;=0,", approved HC","")&amp;IF(AND($G280&lt;&gt;"",COUNTIF(CareerLevels,$G280)=0),", a career level that is not on the ladder","")&amp;IF(AND($N280="Reduce",N($O280)&lt;=0),", how many seats Reduce means","")&amp;IF(AND(N($O280)&gt;0,$N280&lt;&gt;"Reduce"),", a number of seats on a row not marked Reduce","")&amp;IF(N($O280)&gt;N($J280),", more seats given up than the row has",""),3,200))</f>
        <v/>
      </c>
    </row>
    <row r="281" customFormat="false" ht="15" hidden="false" customHeight="false" outlineLevel="0" collapsed="false">
      <c r="A281" s="21"/>
      <c r="B281" s="21"/>
      <c r="C281" s="21"/>
      <c r="D281" s="21"/>
      <c r="E281" s="21"/>
      <c r="F281" s="21"/>
      <c r="G281" s="21"/>
      <c r="H281" s="21"/>
      <c r="I281" s="21"/>
      <c r="J281" s="22"/>
      <c r="K281" s="22"/>
      <c r="L281" s="22"/>
      <c r="M281" s="21"/>
      <c r="N281" s="21"/>
      <c r="O281" s="22"/>
      <c r="P281" s="20" t="n">
        <f aca="false">IF($N281="Reduce",N($O281),0)</f>
        <v>0</v>
      </c>
      <c r="Q281" s="23" t="str">
        <f aca="false">IF($F281="","",MID(IF($G281="",", career level","")&amp;IF($I281="",", nationality mandate","")&amp;IF($N281="",", capacity direction","")&amp;IF(N($J281)&lt;=0,", approved HC","")&amp;IF(AND($G281&lt;&gt;"",COUNTIF(CareerLevels,$G281)=0),", a career level that is not on the ladder","")&amp;IF(AND($N281="Reduce",N($O281)&lt;=0),", how many seats Reduce means","")&amp;IF(AND(N($O281)&gt;0,$N281&lt;&gt;"Reduce"),", a number of seats on a row not marked Reduce","")&amp;IF(N($O281)&gt;N($J281),", more seats given up than the row has",""),3,200))</f>
        <v/>
      </c>
    </row>
    <row r="282" customFormat="false" ht="15" hidden="false" customHeight="false" outlineLevel="0" collapsed="false">
      <c r="A282" s="21"/>
      <c r="B282" s="21"/>
      <c r="C282" s="21"/>
      <c r="D282" s="21"/>
      <c r="E282" s="21"/>
      <c r="F282" s="21"/>
      <c r="G282" s="21"/>
      <c r="H282" s="21"/>
      <c r="I282" s="21"/>
      <c r="J282" s="22"/>
      <c r="K282" s="22"/>
      <c r="L282" s="22"/>
      <c r="M282" s="21"/>
      <c r="N282" s="21"/>
      <c r="O282" s="22"/>
      <c r="P282" s="20" t="n">
        <f aca="false">IF($N282="Reduce",N($O282),0)</f>
        <v>0</v>
      </c>
      <c r="Q282" s="23" t="str">
        <f aca="false">IF($F282="","",MID(IF($G282="",", career level","")&amp;IF($I282="",", nationality mandate","")&amp;IF($N282="",", capacity direction","")&amp;IF(N($J282)&lt;=0,", approved HC","")&amp;IF(AND($G282&lt;&gt;"",COUNTIF(CareerLevels,$G282)=0),", a career level that is not on the ladder","")&amp;IF(AND($N282="Reduce",N($O282)&lt;=0),", how many seats Reduce means","")&amp;IF(AND(N($O282)&gt;0,$N282&lt;&gt;"Reduce"),", a number of seats on a row not marked Reduce","")&amp;IF(N($O282)&gt;N($J282),", more seats given up than the row has",""),3,200))</f>
        <v/>
      </c>
    </row>
    <row r="283" customFormat="false" ht="15" hidden="false" customHeight="false" outlineLevel="0" collapsed="false">
      <c r="A283" s="21"/>
      <c r="B283" s="21"/>
      <c r="C283" s="21"/>
      <c r="D283" s="21"/>
      <c r="E283" s="21"/>
      <c r="F283" s="21"/>
      <c r="G283" s="21"/>
      <c r="H283" s="21"/>
      <c r="I283" s="21"/>
      <c r="J283" s="22"/>
      <c r="K283" s="22"/>
      <c r="L283" s="22"/>
      <c r="M283" s="21"/>
      <c r="N283" s="21"/>
      <c r="O283" s="22"/>
      <c r="P283" s="20" t="n">
        <f aca="false">IF($N283="Reduce",N($O283),0)</f>
        <v>0</v>
      </c>
      <c r="Q283" s="23" t="str">
        <f aca="false">IF($F283="","",MID(IF($G283="",", career level","")&amp;IF($I283="",", nationality mandate","")&amp;IF($N283="",", capacity direction","")&amp;IF(N($J283)&lt;=0,", approved HC","")&amp;IF(AND($G283&lt;&gt;"",COUNTIF(CareerLevels,$G283)=0),", a career level that is not on the ladder","")&amp;IF(AND($N283="Reduce",N($O283)&lt;=0),", how many seats Reduce means","")&amp;IF(AND(N($O283)&gt;0,$N283&lt;&gt;"Reduce"),", a number of seats on a row not marked Reduce","")&amp;IF(N($O283)&gt;N($J283),", more seats given up than the row has",""),3,200))</f>
        <v/>
      </c>
    </row>
    <row r="284" customFormat="false" ht="15" hidden="false" customHeight="false" outlineLevel="0" collapsed="false">
      <c r="A284" s="21"/>
      <c r="B284" s="21"/>
      <c r="C284" s="21"/>
      <c r="D284" s="21"/>
      <c r="E284" s="21"/>
      <c r="F284" s="21"/>
      <c r="G284" s="21"/>
      <c r="H284" s="21"/>
      <c r="I284" s="21"/>
      <c r="J284" s="22"/>
      <c r="K284" s="22"/>
      <c r="L284" s="22"/>
      <c r="M284" s="21"/>
      <c r="N284" s="21"/>
      <c r="O284" s="22"/>
      <c r="P284" s="20" t="n">
        <f aca="false">IF($N284="Reduce",N($O284),0)</f>
        <v>0</v>
      </c>
      <c r="Q284" s="23" t="str">
        <f aca="false">IF($F284="","",MID(IF($G284="",", career level","")&amp;IF($I284="",", nationality mandate","")&amp;IF($N284="",", capacity direction","")&amp;IF(N($J284)&lt;=0,", approved HC","")&amp;IF(AND($G284&lt;&gt;"",COUNTIF(CareerLevels,$G284)=0),", a career level that is not on the ladder","")&amp;IF(AND($N284="Reduce",N($O284)&lt;=0),", how many seats Reduce means","")&amp;IF(AND(N($O284)&gt;0,$N284&lt;&gt;"Reduce"),", a number of seats on a row not marked Reduce","")&amp;IF(N($O284)&gt;N($J284),", more seats given up than the row has",""),3,200))</f>
        <v/>
      </c>
    </row>
    <row r="285" customFormat="false" ht="15" hidden="false" customHeight="false" outlineLevel="0" collapsed="false">
      <c r="A285" s="21"/>
      <c r="B285" s="21"/>
      <c r="C285" s="21"/>
      <c r="D285" s="21"/>
      <c r="E285" s="21"/>
      <c r="F285" s="21"/>
      <c r="G285" s="21"/>
      <c r="H285" s="21"/>
      <c r="I285" s="21"/>
      <c r="J285" s="22"/>
      <c r="K285" s="22"/>
      <c r="L285" s="22"/>
      <c r="M285" s="21"/>
      <c r="N285" s="21"/>
      <c r="O285" s="22"/>
      <c r="P285" s="20" t="n">
        <f aca="false">IF($N285="Reduce",N($O285),0)</f>
        <v>0</v>
      </c>
      <c r="Q285" s="23" t="str">
        <f aca="false">IF($F285="","",MID(IF($G285="",", career level","")&amp;IF($I285="",", nationality mandate","")&amp;IF($N285="",", capacity direction","")&amp;IF(N($J285)&lt;=0,", approved HC","")&amp;IF(AND($G285&lt;&gt;"",COUNTIF(CareerLevels,$G285)=0),", a career level that is not on the ladder","")&amp;IF(AND($N285="Reduce",N($O285)&lt;=0),", how many seats Reduce means","")&amp;IF(AND(N($O285)&gt;0,$N285&lt;&gt;"Reduce"),", a number of seats on a row not marked Reduce","")&amp;IF(N($O285)&gt;N($J285),", more seats given up than the row has",""),3,200))</f>
        <v/>
      </c>
    </row>
    <row r="286" customFormat="false" ht="15" hidden="false" customHeight="false" outlineLevel="0" collapsed="false">
      <c r="A286" s="21"/>
      <c r="B286" s="21"/>
      <c r="C286" s="21"/>
      <c r="D286" s="21"/>
      <c r="E286" s="21"/>
      <c r="F286" s="21"/>
      <c r="G286" s="21"/>
      <c r="H286" s="21"/>
      <c r="I286" s="21"/>
      <c r="J286" s="22"/>
      <c r="K286" s="22"/>
      <c r="L286" s="22"/>
      <c r="M286" s="21"/>
      <c r="N286" s="21"/>
      <c r="O286" s="22"/>
      <c r="P286" s="20" t="n">
        <f aca="false">IF($N286="Reduce",N($O286),0)</f>
        <v>0</v>
      </c>
      <c r="Q286" s="23" t="str">
        <f aca="false">IF($F286="","",MID(IF($G286="",", career level","")&amp;IF($I286="",", nationality mandate","")&amp;IF($N286="",", capacity direction","")&amp;IF(N($J286)&lt;=0,", approved HC","")&amp;IF(AND($G286&lt;&gt;"",COUNTIF(CareerLevels,$G286)=0),", a career level that is not on the ladder","")&amp;IF(AND($N286="Reduce",N($O286)&lt;=0),", how many seats Reduce means","")&amp;IF(AND(N($O286)&gt;0,$N286&lt;&gt;"Reduce"),", a number of seats on a row not marked Reduce","")&amp;IF(N($O286)&gt;N($J286),", more seats given up than the row has",""),3,200))</f>
        <v/>
      </c>
    </row>
    <row r="287" customFormat="false" ht="15" hidden="false" customHeight="false" outlineLevel="0" collapsed="false">
      <c r="A287" s="21"/>
      <c r="B287" s="21"/>
      <c r="C287" s="21"/>
      <c r="D287" s="21"/>
      <c r="E287" s="21"/>
      <c r="F287" s="21"/>
      <c r="G287" s="21"/>
      <c r="H287" s="21"/>
      <c r="I287" s="21"/>
      <c r="J287" s="22"/>
      <c r="K287" s="22"/>
      <c r="L287" s="22"/>
      <c r="M287" s="21"/>
      <c r="N287" s="21"/>
      <c r="O287" s="22"/>
      <c r="P287" s="20" t="n">
        <f aca="false">IF($N287="Reduce",N($O287),0)</f>
        <v>0</v>
      </c>
      <c r="Q287" s="23" t="str">
        <f aca="false">IF($F287="","",MID(IF($G287="",", career level","")&amp;IF($I287="",", nationality mandate","")&amp;IF($N287="",", capacity direction","")&amp;IF(N($J287)&lt;=0,", approved HC","")&amp;IF(AND($G287&lt;&gt;"",COUNTIF(CareerLevels,$G287)=0),", a career level that is not on the ladder","")&amp;IF(AND($N287="Reduce",N($O287)&lt;=0),", how many seats Reduce means","")&amp;IF(AND(N($O287)&gt;0,$N287&lt;&gt;"Reduce"),", a number of seats on a row not marked Reduce","")&amp;IF(N($O287)&gt;N($J287),", more seats given up than the row has",""),3,200))</f>
        <v/>
      </c>
    </row>
    <row r="288" customFormat="false" ht="15" hidden="false" customHeight="false" outlineLevel="0" collapsed="false">
      <c r="A288" s="21"/>
      <c r="B288" s="21"/>
      <c r="C288" s="21"/>
      <c r="D288" s="21"/>
      <c r="E288" s="21"/>
      <c r="F288" s="21"/>
      <c r="G288" s="21"/>
      <c r="H288" s="21"/>
      <c r="I288" s="21"/>
      <c r="J288" s="22"/>
      <c r="K288" s="22"/>
      <c r="L288" s="22"/>
      <c r="M288" s="21"/>
      <c r="N288" s="21"/>
      <c r="O288" s="22"/>
      <c r="P288" s="20" t="n">
        <f aca="false">IF($N288="Reduce",N($O288),0)</f>
        <v>0</v>
      </c>
      <c r="Q288" s="23" t="str">
        <f aca="false">IF($F288="","",MID(IF($G288="",", career level","")&amp;IF($I288="",", nationality mandate","")&amp;IF($N288="",", capacity direction","")&amp;IF(N($J288)&lt;=0,", approved HC","")&amp;IF(AND($G288&lt;&gt;"",COUNTIF(CareerLevels,$G288)=0),", a career level that is not on the ladder","")&amp;IF(AND($N288="Reduce",N($O288)&lt;=0),", how many seats Reduce means","")&amp;IF(AND(N($O288)&gt;0,$N288&lt;&gt;"Reduce"),", a number of seats on a row not marked Reduce","")&amp;IF(N($O288)&gt;N($J288),", more seats given up than the row has",""),3,200))</f>
        <v/>
      </c>
    </row>
    <row r="289" customFormat="false" ht="15" hidden="false" customHeight="false" outlineLevel="0" collapsed="false">
      <c r="A289" s="21"/>
      <c r="B289" s="21"/>
      <c r="C289" s="21"/>
      <c r="D289" s="21"/>
      <c r="E289" s="21"/>
      <c r="F289" s="21"/>
      <c r="G289" s="21"/>
      <c r="H289" s="21"/>
      <c r="I289" s="21"/>
      <c r="J289" s="22"/>
      <c r="K289" s="22"/>
      <c r="L289" s="22"/>
      <c r="M289" s="21"/>
      <c r="N289" s="21"/>
      <c r="O289" s="22"/>
      <c r="P289" s="20" t="n">
        <f aca="false">IF($N289="Reduce",N($O289),0)</f>
        <v>0</v>
      </c>
      <c r="Q289" s="23" t="str">
        <f aca="false">IF($F289="","",MID(IF($G289="",", career level","")&amp;IF($I289="",", nationality mandate","")&amp;IF($N289="",", capacity direction","")&amp;IF(N($J289)&lt;=0,", approved HC","")&amp;IF(AND($G289&lt;&gt;"",COUNTIF(CareerLevels,$G289)=0),", a career level that is not on the ladder","")&amp;IF(AND($N289="Reduce",N($O289)&lt;=0),", how many seats Reduce means","")&amp;IF(AND(N($O289)&gt;0,$N289&lt;&gt;"Reduce"),", a number of seats on a row not marked Reduce","")&amp;IF(N($O289)&gt;N($J289),", more seats given up than the row has",""),3,200))</f>
        <v/>
      </c>
    </row>
    <row r="290" customFormat="false" ht="15" hidden="false" customHeight="false" outlineLevel="0" collapsed="false">
      <c r="A290" s="21"/>
      <c r="B290" s="21"/>
      <c r="C290" s="21"/>
      <c r="D290" s="21"/>
      <c r="E290" s="21"/>
      <c r="F290" s="21"/>
      <c r="G290" s="21"/>
      <c r="H290" s="21"/>
      <c r="I290" s="21"/>
      <c r="J290" s="22"/>
      <c r="K290" s="22"/>
      <c r="L290" s="22"/>
      <c r="M290" s="21"/>
      <c r="N290" s="21"/>
      <c r="O290" s="22"/>
      <c r="P290" s="20" t="n">
        <f aca="false">IF($N290="Reduce",N($O290),0)</f>
        <v>0</v>
      </c>
      <c r="Q290" s="23" t="str">
        <f aca="false">IF($F290="","",MID(IF($G290="",", career level","")&amp;IF($I290="",", nationality mandate","")&amp;IF($N290="",", capacity direction","")&amp;IF(N($J290)&lt;=0,", approved HC","")&amp;IF(AND($G290&lt;&gt;"",COUNTIF(CareerLevels,$G290)=0),", a career level that is not on the ladder","")&amp;IF(AND($N290="Reduce",N($O290)&lt;=0),", how many seats Reduce means","")&amp;IF(AND(N($O290)&gt;0,$N290&lt;&gt;"Reduce"),", a number of seats on a row not marked Reduce","")&amp;IF(N($O290)&gt;N($J290),", more seats given up than the row has",""),3,200))</f>
        <v/>
      </c>
    </row>
    <row r="291" customFormat="false" ht="15" hidden="false" customHeight="false" outlineLevel="0" collapsed="false">
      <c r="A291" s="21"/>
      <c r="B291" s="21"/>
      <c r="C291" s="21"/>
      <c r="D291" s="21"/>
      <c r="E291" s="21"/>
      <c r="F291" s="21"/>
      <c r="G291" s="21"/>
      <c r="H291" s="21"/>
      <c r="I291" s="21"/>
      <c r="J291" s="22"/>
      <c r="K291" s="22"/>
      <c r="L291" s="22"/>
      <c r="M291" s="21"/>
      <c r="N291" s="21"/>
      <c r="O291" s="22"/>
      <c r="P291" s="20" t="n">
        <f aca="false">IF($N291="Reduce",N($O291),0)</f>
        <v>0</v>
      </c>
      <c r="Q291" s="23" t="str">
        <f aca="false">IF($F291="","",MID(IF($G291="",", career level","")&amp;IF($I291="",", nationality mandate","")&amp;IF($N291="",", capacity direction","")&amp;IF(N($J291)&lt;=0,", approved HC","")&amp;IF(AND($G291&lt;&gt;"",COUNTIF(CareerLevels,$G291)=0),", a career level that is not on the ladder","")&amp;IF(AND($N291="Reduce",N($O291)&lt;=0),", how many seats Reduce means","")&amp;IF(AND(N($O291)&gt;0,$N291&lt;&gt;"Reduce"),", a number of seats on a row not marked Reduce","")&amp;IF(N($O291)&gt;N($J291),", more seats given up than the row has",""),3,200))</f>
        <v/>
      </c>
    </row>
    <row r="292" customFormat="false" ht="15" hidden="false" customHeight="false" outlineLevel="0" collapsed="false">
      <c r="A292" s="21"/>
      <c r="B292" s="21"/>
      <c r="C292" s="21"/>
      <c r="D292" s="21"/>
      <c r="E292" s="21"/>
      <c r="F292" s="21"/>
      <c r="G292" s="21"/>
      <c r="H292" s="21"/>
      <c r="I292" s="21"/>
      <c r="J292" s="22"/>
      <c r="K292" s="22"/>
      <c r="L292" s="22"/>
      <c r="M292" s="21"/>
      <c r="N292" s="21"/>
      <c r="O292" s="22"/>
      <c r="P292" s="20" t="n">
        <f aca="false">IF($N292="Reduce",N($O292),0)</f>
        <v>0</v>
      </c>
      <c r="Q292" s="23" t="str">
        <f aca="false">IF($F292="","",MID(IF($G292="",", career level","")&amp;IF($I292="",", nationality mandate","")&amp;IF($N292="",", capacity direction","")&amp;IF(N($J292)&lt;=0,", approved HC","")&amp;IF(AND($G292&lt;&gt;"",COUNTIF(CareerLevels,$G292)=0),", a career level that is not on the ladder","")&amp;IF(AND($N292="Reduce",N($O292)&lt;=0),", how many seats Reduce means","")&amp;IF(AND(N($O292)&gt;0,$N292&lt;&gt;"Reduce"),", a number of seats on a row not marked Reduce","")&amp;IF(N($O292)&gt;N($J292),", more seats given up than the row has",""),3,200))</f>
        <v/>
      </c>
    </row>
    <row r="293" customFormat="false" ht="15" hidden="false" customHeight="false" outlineLevel="0" collapsed="false">
      <c r="A293" s="21"/>
      <c r="B293" s="21"/>
      <c r="C293" s="21"/>
      <c r="D293" s="21"/>
      <c r="E293" s="21"/>
      <c r="F293" s="21"/>
      <c r="G293" s="21"/>
      <c r="H293" s="21"/>
      <c r="I293" s="21"/>
      <c r="J293" s="22"/>
      <c r="K293" s="22"/>
      <c r="L293" s="22"/>
      <c r="M293" s="21"/>
      <c r="N293" s="21"/>
      <c r="O293" s="22"/>
      <c r="P293" s="20" t="n">
        <f aca="false">IF($N293="Reduce",N($O293),0)</f>
        <v>0</v>
      </c>
      <c r="Q293" s="23" t="str">
        <f aca="false">IF($F293="","",MID(IF($G293="",", career level","")&amp;IF($I293="",", nationality mandate","")&amp;IF($N293="",", capacity direction","")&amp;IF(N($J293)&lt;=0,", approved HC","")&amp;IF(AND($G293&lt;&gt;"",COUNTIF(CareerLevels,$G293)=0),", a career level that is not on the ladder","")&amp;IF(AND($N293="Reduce",N($O293)&lt;=0),", how many seats Reduce means","")&amp;IF(AND(N($O293)&gt;0,$N293&lt;&gt;"Reduce"),", a number of seats on a row not marked Reduce","")&amp;IF(N($O293)&gt;N($J293),", more seats given up than the row has",""),3,200))</f>
        <v/>
      </c>
    </row>
    <row r="294" customFormat="false" ht="15" hidden="false" customHeight="false" outlineLevel="0" collapsed="false">
      <c r="A294" s="21"/>
      <c r="B294" s="21"/>
      <c r="C294" s="21"/>
      <c r="D294" s="21"/>
      <c r="E294" s="21"/>
      <c r="F294" s="21"/>
      <c r="G294" s="21"/>
      <c r="H294" s="21"/>
      <c r="I294" s="21"/>
      <c r="J294" s="22"/>
      <c r="K294" s="22"/>
      <c r="L294" s="22"/>
      <c r="M294" s="21"/>
      <c r="N294" s="21"/>
      <c r="O294" s="22"/>
      <c r="P294" s="20" t="n">
        <f aca="false">IF($N294="Reduce",N($O294),0)</f>
        <v>0</v>
      </c>
      <c r="Q294" s="23" t="str">
        <f aca="false">IF($F294="","",MID(IF($G294="",", career level","")&amp;IF($I294="",", nationality mandate","")&amp;IF($N294="",", capacity direction","")&amp;IF(N($J294)&lt;=0,", approved HC","")&amp;IF(AND($G294&lt;&gt;"",COUNTIF(CareerLevels,$G294)=0),", a career level that is not on the ladder","")&amp;IF(AND($N294="Reduce",N($O294)&lt;=0),", how many seats Reduce means","")&amp;IF(AND(N($O294)&gt;0,$N294&lt;&gt;"Reduce"),", a number of seats on a row not marked Reduce","")&amp;IF(N($O294)&gt;N($J294),", more seats given up than the row has",""),3,200))</f>
        <v/>
      </c>
    </row>
    <row r="295" customFormat="false" ht="15" hidden="false" customHeight="false" outlineLevel="0" collapsed="false">
      <c r="A295" s="21"/>
      <c r="B295" s="21"/>
      <c r="C295" s="21"/>
      <c r="D295" s="21"/>
      <c r="E295" s="21"/>
      <c r="F295" s="21"/>
      <c r="G295" s="21"/>
      <c r="H295" s="21"/>
      <c r="I295" s="21"/>
      <c r="J295" s="22"/>
      <c r="K295" s="22"/>
      <c r="L295" s="22"/>
      <c r="M295" s="21"/>
      <c r="N295" s="21"/>
      <c r="O295" s="22"/>
      <c r="P295" s="20" t="n">
        <f aca="false">IF($N295="Reduce",N($O295),0)</f>
        <v>0</v>
      </c>
      <c r="Q295" s="23" t="str">
        <f aca="false">IF($F295="","",MID(IF($G295="",", career level","")&amp;IF($I295="",", nationality mandate","")&amp;IF($N295="",", capacity direction","")&amp;IF(N($J295)&lt;=0,", approved HC","")&amp;IF(AND($G295&lt;&gt;"",COUNTIF(CareerLevels,$G295)=0),", a career level that is not on the ladder","")&amp;IF(AND($N295="Reduce",N($O295)&lt;=0),", how many seats Reduce means","")&amp;IF(AND(N($O295)&gt;0,$N295&lt;&gt;"Reduce"),", a number of seats on a row not marked Reduce","")&amp;IF(N($O295)&gt;N($J295),", more seats given up than the row has",""),3,200))</f>
        <v/>
      </c>
    </row>
    <row r="296" customFormat="false" ht="15" hidden="false" customHeight="false" outlineLevel="0" collapsed="false">
      <c r="A296" s="21"/>
      <c r="B296" s="21"/>
      <c r="C296" s="21"/>
      <c r="D296" s="21"/>
      <c r="E296" s="21"/>
      <c r="F296" s="21"/>
      <c r="G296" s="21"/>
      <c r="H296" s="21"/>
      <c r="I296" s="21"/>
      <c r="J296" s="22"/>
      <c r="K296" s="22"/>
      <c r="L296" s="22"/>
      <c r="M296" s="21"/>
      <c r="N296" s="21"/>
      <c r="O296" s="22"/>
      <c r="P296" s="20" t="n">
        <f aca="false">IF($N296="Reduce",N($O296),0)</f>
        <v>0</v>
      </c>
      <c r="Q296" s="23" t="str">
        <f aca="false">IF($F296="","",MID(IF($G296="",", career level","")&amp;IF($I296="",", nationality mandate","")&amp;IF($N296="",", capacity direction","")&amp;IF(N($J296)&lt;=0,", approved HC","")&amp;IF(AND($G296&lt;&gt;"",COUNTIF(CareerLevels,$G296)=0),", a career level that is not on the ladder","")&amp;IF(AND($N296="Reduce",N($O296)&lt;=0),", how many seats Reduce means","")&amp;IF(AND(N($O296)&gt;0,$N296&lt;&gt;"Reduce"),", a number of seats on a row not marked Reduce","")&amp;IF(N($O296)&gt;N($J296),", more seats given up than the row has",""),3,200))</f>
        <v/>
      </c>
    </row>
    <row r="297" customFormat="false" ht="15" hidden="false" customHeight="false" outlineLevel="0" collapsed="false">
      <c r="A297" s="21"/>
      <c r="B297" s="21"/>
      <c r="C297" s="21"/>
      <c r="D297" s="21"/>
      <c r="E297" s="21"/>
      <c r="F297" s="21"/>
      <c r="G297" s="21"/>
      <c r="H297" s="21"/>
      <c r="I297" s="21"/>
      <c r="J297" s="22"/>
      <c r="K297" s="22"/>
      <c r="L297" s="22"/>
      <c r="M297" s="21"/>
      <c r="N297" s="21"/>
      <c r="O297" s="22"/>
      <c r="P297" s="20" t="n">
        <f aca="false">IF($N297="Reduce",N($O297),0)</f>
        <v>0</v>
      </c>
      <c r="Q297" s="23" t="str">
        <f aca="false">IF($F297="","",MID(IF($G297="",", career level","")&amp;IF($I297="",", nationality mandate","")&amp;IF($N297="",", capacity direction","")&amp;IF(N($J297)&lt;=0,", approved HC","")&amp;IF(AND($G297&lt;&gt;"",COUNTIF(CareerLevels,$G297)=0),", a career level that is not on the ladder","")&amp;IF(AND($N297="Reduce",N($O297)&lt;=0),", how many seats Reduce means","")&amp;IF(AND(N($O297)&gt;0,$N297&lt;&gt;"Reduce"),", a number of seats on a row not marked Reduce","")&amp;IF(N($O297)&gt;N($J297),", more seats given up than the row has",""),3,200))</f>
        <v/>
      </c>
    </row>
    <row r="298" customFormat="false" ht="15" hidden="false" customHeight="false" outlineLevel="0" collapsed="false">
      <c r="A298" s="21"/>
      <c r="B298" s="21"/>
      <c r="C298" s="21"/>
      <c r="D298" s="21"/>
      <c r="E298" s="21"/>
      <c r="F298" s="21"/>
      <c r="G298" s="21"/>
      <c r="H298" s="21"/>
      <c r="I298" s="21"/>
      <c r="J298" s="22"/>
      <c r="K298" s="22"/>
      <c r="L298" s="22"/>
      <c r="M298" s="21"/>
      <c r="N298" s="21"/>
      <c r="O298" s="22"/>
      <c r="P298" s="20" t="n">
        <f aca="false">IF($N298="Reduce",N($O298),0)</f>
        <v>0</v>
      </c>
      <c r="Q298" s="23" t="str">
        <f aca="false">IF($F298="","",MID(IF($G298="",", career level","")&amp;IF($I298="",", nationality mandate","")&amp;IF($N298="",", capacity direction","")&amp;IF(N($J298)&lt;=0,", approved HC","")&amp;IF(AND($G298&lt;&gt;"",COUNTIF(CareerLevels,$G298)=0),", a career level that is not on the ladder","")&amp;IF(AND($N298="Reduce",N($O298)&lt;=0),", how many seats Reduce means","")&amp;IF(AND(N($O298)&gt;0,$N298&lt;&gt;"Reduce"),", a number of seats on a row not marked Reduce","")&amp;IF(N($O298)&gt;N($J298),", more seats given up than the row has",""),3,200))</f>
        <v/>
      </c>
    </row>
    <row r="299" customFormat="false" ht="15" hidden="false" customHeight="false" outlineLevel="0" collapsed="false">
      <c r="A299" s="21"/>
      <c r="B299" s="21"/>
      <c r="C299" s="21"/>
      <c r="D299" s="21"/>
      <c r="E299" s="21"/>
      <c r="F299" s="21"/>
      <c r="G299" s="21"/>
      <c r="H299" s="21"/>
      <c r="I299" s="21"/>
      <c r="J299" s="22"/>
      <c r="K299" s="22"/>
      <c r="L299" s="22"/>
      <c r="M299" s="21"/>
      <c r="N299" s="21"/>
      <c r="O299" s="22"/>
      <c r="P299" s="20" t="n">
        <f aca="false">IF($N299="Reduce",N($O299),0)</f>
        <v>0</v>
      </c>
      <c r="Q299" s="23" t="str">
        <f aca="false">IF($F299="","",MID(IF($G299="",", career level","")&amp;IF($I299="",", nationality mandate","")&amp;IF($N299="",", capacity direction","")&amp;IF(N($J299)&lt;=0,", approved HC","")&amp;IF(AND($G299&lt;&gt;"",COUNTIF(CareerLevels,$G299)=0),", a career level that is not on the ladder","")&amp;IF(AND($N299="Reduce",N($O299)&lt;=0),", how many seats Reduce means","")&amp;IF(AND(N($O299)&gt;0,$N299&lt;&gt;"Reduce"),", a number of seats on a row not marked Reduce","")&amp;IF(N($O299)&gt;N($J299),", more seats given up than the row has",""),3,200))</f>
        <v/>
      </c>
    </row>
    <row r="300" customFormat="false" ht="15" hidden="false" customHeight="false" outlineLevel="0" collapsed="false">
      <c r="A300" s="21"/>
      <c r="B300" s="21"/>
      <c r="C300" s="21"/>
      <c r="D300" s="21"/>
      <c r="E300" s="21"/>
      <c r="F300" s="21"/>
      <c r="G300" s="21"/>
      <c r="H300" s="21"/>
      <c r="I300" s="21"/>
      <c r="J300" s="22"/>
      <c r="K300" s="22"/>
      <c r="L300" s="22"/>
      <c r="M300" s="21"/>
      <c r="N300" s="21"/>
      <c r="O300" s="22"/>
      <c r="P300" s="20" t="n">
        <f aca="false">IF($N300="Reduce",N($O300),0)</f>
        <v>0</v>
      </c>
      <c r="Q300" s="23" t="str">
        <f aca="false">IF($F300="","",MID(IF($G300="",", career level","")&amp;IF($I300="",", nationality mandate","")&amp;IF($N300="",", capacity direction","")&amp;IF(N($J300)&lt;=0,", approved HC","")&amp;IF(AND($G300&lt;&gt;"",COUNTIF(CareerLevels,$G300)=0),", a career level that is not on the ladder","")&amp;IF(AND($N300="Reduce",N($O300)&lt;=0),", how many seats Reduce means","")&amp;IF(AND(N($O300)&gt;0,$N300&lt;&gt;"Reduce"),", a number of seats on a row not marked Reduce","")&amp;IF(N($O300)&gt;N($J300),", more seats given up than the row has",""),3,200))</f>
        <v/>
      </c>
    </row>
    <row r="301" customFormat="false" ht="15" hidden="false" customHeight="false" outlineLevel="0" collapsed="false">
      <c r="A301" s="21"/>
      <c r="B301" s="21"/>
      <c r="C301" s="21"/>
      <c r="D301" s="21"/>
      <c r="E301" s="21"/>
      <c r="F301" s="21"/>
      <c r="G301" s="21"/>
      <c r="H301" s="21"/>
      <c r="I301" s="21"/>
      <c r="J301" s="22"/>
      <c r="K301" s="22"/>
      <c r="L301" s="22"/>
      <c r="M301" s="21"/>
      <c r="N301" s="21"/>
      <c r="O301" s="22"/>
      <c r="P301" s="20" t="n">
        <f aca="false">IF($N301="Reduce",N($O301),0)</f>
        <v>0</v>
      </c>
      <c r="Q301" s="23" t="str">
        <f aca="false">IF($F301="","",MID(IF($G301="",", career level","")&amp;IF($I301="",", nationality mandate","")&amp;IF($N301="",", capacity direction","")&amp;IF(N($J301)&lt;=0,", approved HC","")&amp;IF(AND($G301&lt;&gt;"",COUNTIF(CareerLevels,$G301)=0),", a career level that is not on the ladder","")&amp;IF(AND($N301="Reduce",N($O301)&lt;=0),", how many seats Reduce means","")&amp;IF(AND(N($O301)&gt;0,$N301&lt;&gt;"Reduce"),", a number of seats on a row not marked Reduce","")&amp;IF(N($O301)&gt;N($J301),", more seats given up than the row has",""),3,200))</f>
        <v/>
      </c>
    </row>
    <row r="302" customFormat="false" ht="15" hidden="false" customHeight="false" outlineLevel="0" collapsed="false">
      <c r="A302" s="21"/>
      <c r="B302" s="21"/>
      <c r="C302" s="21"/>
      <c r="D302" s="21"/>
      <c r="E302" s="21"/>
      <c r="F302" s="21"/>
      <c r="G302" s="21"/>
      <c r="H302" s="21"/>
      <c r="I302" s="21"/>
      <c r="J302" s="22"/>
      <c r="K302" s="22"/>
      <c r="L302" s="22"/>
      <c r="M302" s="21"/>
      <c r="N302" s="21"/>
      <c r="O302" s="22"/>
      <c r="P302" s="20" t="n">
        <f aca="false">IF($N302="Reduce",N($O302),0)</f>
        <v>0</v>
      </c>
      <c r="Q302" s="23" t="str">
        <f aca="false">IF($F302="","",MID(IF($G302="",", career level","")&amp;IF($I302="",", nationality mandate","")&amp;IF($N302="",", capacity direction","")&amp;IF(N($J302)&lt;=0,", approved HC","")&amp;IF(AND($G302&lt;&gt;"",COUNTIF(CareerLevels,$G302)=0),", a career level that is not on the ladder","")&amp;IF(AND($N302="Reduce",N($O302)&lt;=0),", how many seats Reduce means","")&amp;IF(AND(N($O302)&gt;0,$N302&lt;&gt;"Reduce"),", a number of seats on a row not marked Reduce","")&amp;IF(N($O302)&gt;N($J302),", more seats given up than the row has",""),3,200))</f>
        <v/>
      </c>
    </row>
    <row r="303" customFormat="false" ht="15" hidden="false" customHeight="false" outlineLevel="0" collapsed="false">
      <c r="A303" s="21"/>
      <c r="B303" s="21"/>
      <c r="C303" s="21"/>
      <c r="D303" s="21"/>
      <c r="E303" s="21"/>
      <c r="F303" s="21"/>
      <c r="G303" s="21"/>
      <c r="H303" s="21"/>
      <c r="I303" s="21"/>
      <c r="J303" s="22"/>
      <c r="K303" s="22"/>
      <c r="L303" s="22"/>
      <c r="M303" s="21"/>
      <c r="N303" s="21"/>
      <c r="O303" s="22"/>
      <c r="P303" s="20" t="n">
        <f aca="false">IF($N303="Reduce",N($O303),0)</f>
        <v>0</v>
      </c>
      <c r="Q303" s="23" t="str">
        <f aca="false">IF($F303="","",MID(IF($G303="",", career level","")&amp;IF($I303="",", nationality mandate","")&amp;IF($N303="",", capacity direction","")&amp;IF(N($J303)&lt;=0,", approved HC","")&amp;IF(AND($G303&lt;&gt;"",COUNTIF(CareerLevels,$G303)=0),", a career level that is not on the ladder","")&amp;IF(AND($N303="Reduce",N($O303)&lt;=0),", how many seats Reduce means","")&amp;IF(AND(N($O303)&gt;0,$N303&lt;&gt;"Reduce"),", a number of seats on a row not marked Reduce","")&amp;IF(N($O303)&gt;N($J303),", more seats given up than the row has",""),3,200))</f>
        <v/>
      </c>
    </row>
    <row r="304" customFormat="false" ht="15" hidden="false" customHeight="false" outlineLevel="0" collapsed="false">
      <c r="A304" s="21"/>
      <c r="B304" s="21"/>
      <c r="C304" s="21"/>
      <c r="D304" s="21"/>
      <c r="E304" s="21"/>
      <c r="F304" s="21"/>
      <c r="G304" s="21"/>
      <c r="H304" s="21"/>
      <c r="I304" s="21"/>
      <c r="J304" s="22"/>
      <c r="K304" s="22"/>
      <c r="L304" s="22"/>
      <c r="M304" s="21"/>
      <c r="N304" s="21"/>
      <c r="O304" s="22"/>
      <c r="P304" s="20" t="n">
        <f aca="false">IF($N304="Reduce",N($O304),0)</f>
        <v>0</v>
      </c>
      <c r="Q304" s="23" t="str">
        <f aca="false">IF($F304="","",MID(IF($G304="",", career level","")&amp;IF($I304="",", nationality mandate","")&amp;IF($N304="",", capacity direction","")&amp;IF(N($J304)&lt;=0,", approved HC","")&amp;IF(AND($G304&lt;&gt;"",COUNTIF(CareerLevels,$G304)=0),", a career level that is not on the ladder","")&amp;IF(AND($N304="Reduce",N($O304)&lt;=0),", how many seats Reduce means","")&amp;IF(AND(N($O304)&gt;0,$N304&lt;&gt;"Reduce"),", a number of seats on a row not marked Reduce","")&amp;IF(N($O304)&gt;N($J304),", more seats given up than the row has",""),3,200))</f>
        <v/>
      </c>
    </row>
    <row r="305" customFormat="false" ht="15" hidden="false" customHeight="false" outlineLevel="0" collapsed="false">
      <c r="A305" s="21"/>
      <c r="B305" s="21"/>
      <c r="C305" s="21"/>
      <c r="D305" s="21"/>
      <c r="E305" s="21"/>
      <c r="F305" s="21"/>
      <c r="G305" s="21"/>
      <c r="H305" s="21"/>
      <c r="I305" s="21"/>
      <c r="J305" s="22"/>
      <c r="K305" s="22"/>
      <c r="L305" s="22"/>
      <c r="M305" s="21"/>
      <c r="N305" s="21"/>
      <c r="O305" s="22"/>
      <c r="P305" s="20" t="n">
        <f aca="false">IF($N305="Reduce",N($O305),0)</f>
        <v>0</v>
      </c>
      <c r="Q305" s="23" t="str">
        <f aca="false">IF($F305="","",MID(IF($G305="",", career level","")&amp;IF($I305="",", nationality mandate","")&amp;IF($N305="",", capacity direction","")&amp;IF(N($J305)&lt;=0,", approved HC","")&amp;IF(AND($G305&lt;&gt;"",COUNTIF(CareerLevels,$G305)=0),", a career level that is not on the ladder","")&amp;IF(AND($N305="Reduce",N($O305)&lt;=0),", how many seats Reduce means","")&amp;IF(AND(N($O305)&gt;0,$N305&lt;&gt;"Reduce"),", a number of seats on a row not marked Reduce","")&amp;IF(N($O305)&gt;N($J305),", more seats given up than the row has",""),3,200))</f>
        <v/>
      </c>
    </row>
    <row r="306" customFormat="false" ht="15" hidden="false" customHeight="false" outlineLevel="0" collapsed="false">
      <c r="A306" s="21"/>
      <c r="B306" s="21"/>
      <c r="C306" s="21"/>
      <c r="D306" s="21"/>
      <c r="E306" s="21"/>
      <c r="F306" s="21"/>
      <c r="G306" s="21"/>
      <c r="H306" s="21"/>
      <c r="I306" s="21"/>
      <c r="J306" s="22"/>
      <c r="K306" s="22"/>
      <c r="L306" s="22"/>
      <c r="M306" s="21"/>
      <c r="N306" s="21"/>
      <c r="O306" s="22"/>
      <c r="P306" s="20" t="n">
        <f aca="false">IF($N306="Reduce",N($O306),0)</f>
        <v>0</v>
      </c>
      <c r="Q306" s="23" t="str">
        <f aca="false">IF($F306="","",MID(IF($G306="",", career level","")&amp;IF($I306="",", nationality mandate","")&amp;IF($N306="",", capacity direction","")&amp;IF(N($J306)&lt;=0,", approved HC","")&amp;IF(AND($G306&lt;&gt;"",COUNTIF(CareerLevels,$G306)=0),", a career level that is not on the ladder","")&amp;IF(AND($N306="Reduce",N($O306)&lt;=0),", how many seats Reduce means","")&amp;IF(AND(N($O306)&gt;0,$N306&lt;&gt;"Reduce"),", a number of seats on a row not marked Reduce","")&amp;IF(N($O306)&gt;N($J306),", more seats given up than the row has",""),3,200))</f>
        <v/>
      </c>
    </row>
    <row r="307" customFormat="false" ht="15" hidden="false" customHeight="false" outlineLevel="0" collapsed="false">
      <c r="A307" s="21"/>
      <c r="B307" s="21"/>
      <c r="C307" s="21"/>
      <c r="D307" s="21"/>
      <c r="E307" s="21"/>
      <c r="F307" s="21"/>
      <c r="G307" s="21"/>
      <c r="H307" s="21"/>
      <c r="I307" s="21"/>
      <c r="J307" s="22"/>
      <c r="K307" s="22"/>
      <c r="L307" s="22"/>
      <c r="M307" s="21"/>
      <c r="N307" s="21"/>
      <c r="O307" s="22"/>
      <c r="P307" s="20" t="n">
        <f aca="false">IF($N307="Reduce",N($O307),0)</f>
        <v>0</v>
      </c>
      <c r="Q307" s="23" t="str">
        <f aca="false">IF($F307="","",MID(IF($G307="",", career level","")&amp;IF($I307="",", nationality mandate","")&amp;IF($N307="",", capacity direction","")&amp;IF(N($J307)&lt;=0,", approved HC","")&amp;IF(AND($G307&lt;&gt;"",COUNTIF(CareerLevels,$G307)=0),", a career level that is not on the ladder","")&amp;IF(AND($N307="Reduce",N($O307)&lt;=0),", how many seats Reduce means","")&amp;IF(AND(N($O307)&gt;0,$N307&lt;&gt;"Reduce"),", a number of seats on a row not marked Reduce","")&amp;IF(N($O307)&gt;N($J307),", more seats given up than the row has",""),3,200))</f>
        <v/>
      </c>
    </row>
    <row r="308" customFormat="false" ht="15" hidden="false" customHeight="false" outlineLevel="0" collapsed="false">
      <c r="A308" s="21"/>
      <c r="B308" s="21"/>
      <c r="C308" s="21"/>
      <c r="D308" s="21"/>
      <c r="E308" s="21"/>
      <c r="F308" s="21"/>
      <c r="G308" s="21"/>
      <c r="H308" s="21"/>
      <c r="I308" s="21"/>
      <c r="J308" s="22"/>
      <c r="K308" s="22"/>
      <c r="L308" s="22"/>
      <c r="M308" s="21"/>
      <c r="N308" s="21"/>
      <c r="O308" s="22"/>
      <c r="P308" s="20" t="n">
        <f aca="false">IF($N308="Reduce",N($O308),0)</f>
        <v>0</v>
      </c>
      <c r="Q308" s="23" t="str">
        <f aca="false">IF($F308="","",MID(IF($G308="",", career level","")&amp;IF($I308="",", nationality mandate","")&amp;IF($N308="",", capacity direction","")&amp;IF(N($J308)&lt;=0,", approved HC","")&amp;IF(AND($G308&lt;&gt;"",COUNTIF(CareerLevels,$G308)=0),", a career level that is not on the ladder","")&amp;IF(AND($N308="Reduce",N($O308)&lt;=0),", how many seats Reduce means","")&amp;IF(AND(N($O308)&gt;0,$N308&lt;&gt;"Reduce"),", a number of seats on a row not marked Reduce","")&amp;IF(N($O308)&gt;N($J308),", more seats given up than the row has",""),3,200))</f>
        <v/>
      </c>
    </row>
    <row r="309" customFormat="false" ht="15" hidden="false" customHeight="false" outlineLevel="0" collapsed="false">
      <c r="A309" s="21"/>
      <c r="B309" s="21"/>
      <c r="C309" s="21"/>
      <c r="D309" s="21"/>
      <c r="E309" s="21"/>
      <c r="F309" s="21"/>
      <c r="G309" s="21"/>
      <c r="H309" s="21"/>
      <c r="I309" s="21"/>
      <c r="J309" s="22"/>
      <c r="K309" s="22"/>
      <c r="L309" s="22"/>
      <c r="M309" s="21"/>
      <c r="N309" s="21"/>
      <c r="O309" s="22"/>
      <c r="P309" s="20" t="n">
        <f aca="false">IF($N309="Reduce",N($O309),0)</f>
        <v>0</v>
      </c>
      <c r="Q309" s="23" t="str">
        <f aca="false">IF($F309="","",MID(IF($G309="",", career level","")&amp;IF($I309="",", nationality mandate","")&amp;IF($N309="",", capacity direction","")&amp;IF(N($J309)&lt;=0,", approved HC","")&amp;IF(AND($G309&lt;&gt;"",COUNTIF(CareerLevels,$G309)=0),", a career level that is not on the ladder","")&amp;IF(AND($N309="Reduce",N($O309)&lt;=0),", how many seats Reduce means","")&amp;IF(AND(N($O309)&gt;0,$N309&lt;&gt;"Reduce"),", a number of seats on a row not marked Reduce","")&amp;IF(N($O309)&gt;N($J309),", more seats given up than the row has",""),3,200))</f>
        <v/>
      </c>
    </row>
  </sheetData>
  <sheetProtection sheet="true" sort="false" autoFilter="false"/>
  <autoFilter ref="A5:Q309"/>
  <mergeCells count="1">
    <mergeCell ref="A2:J2"/>
  </mergeCells>
  <conditionalFormatting sqref="A6:Q309">
    <cfRule type="expression" priority="2" aboveAverage="0" equalAverage="0" bottom="0" percent="0" rank="0" text="" dxfId="11">
      <formula>AND(N($J6)&gt;0,$P6=$J6)</formula>
    </cfRule>
  </conditionalFormatting>
  <conditionalFormatting sqref="P6:P309">
    <cfRule type="cellIs" priority="3" operator="greaterThan" aboveAverage="0" equalAverage="0" bottom="0" percent="0" rank="0" text="" dxfId="12">
      <formula>0</formula>
    </cfRule>
  </conditionalFormatting>
  <conditionalFormatting sqref="Q6:Q309">
    <cfRule type="expression" priority="4" aboveAverage="0" equalAverage="0" bottom="0" percent="0" rank="0" text="" dxfId="13">
      <formula>$Q6&lt;&gt;""</formula>
    </cfRule>
  </conditionalFormatting>
  <dataValidations count="6">
    <dataValidation allowBlank="true" error="Pick a value from the list." errorStyle="stop" operator="between" showDropDown="false" showErrorMessage="true" showInputMessage="false" sqref="G6:G309" type="list">
      <formula1>CareerLevels</formula1>
      <formula2>0</formula2>
    </dataValidation>
    <dataValidation allowBlank="true" error="Pick a value from the list." errorStyle="stop" operator="between" showDropDown="false" showErrorMessage="true" showInputMessage="false" sqref="H6:H309" type="list">
      <formula1>JobFamilies</formula1>
      <formula2>0</formula2>
    </dataValidation>
    <dataValidation allowBlank="true" error="Pick a value from the list." errorStyle="stop" operator="between" showDropDown="false" showErrorMessage="true" showInputMessage="false" sqref="I6:I309" type="list">
      <formula1>YesNo</formula1>
      <formula2>0</formula2>
    </dataValidation>
    <dataValidation allowBlank="true" error="Pick a value from the list." errorStyle="stop" operator="between" showDropDown="false" showErrorMessage="true" showInputMessage="false" sqref="M6:M309" type="list">
      <formula1>WorkerTypes</formula1>
      <formula2>0</formula2>
    </dataValidation>
    <dataValidation allowBlank="true" error="Pick a value from the list." errorStyle="stop" operator="between" showDropDown="false" showErrorMessage="true" showInputMessage="false" sqref="N6:N309" type="list">
      <formula1>DirectionList</formula1>
      <formula2>0</formula2>
    </dataValidation>
    <dataValidation allowBlank="true" error="Give up between none and all of this row's approved headcount." errorStyle="stop" errorTitle="More than the row has" operator="between" showDropDown="false" showErrorMessage="true" showInputMessage="false" sqref="O6:O309" type="decimal">
      <formula1>0</formula1>
      <formula2>$J6</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28"/>
    <col collapsed="false" customWidth="true" hidden="false" outlineLevel="0" max="5" min="5" style="0" width="17"/>
    <col collapsed="false" customWidth="true" hidden="false" outlineLevel="0" max="6" min="6" style="0" width="13"/>
    <col collapsed="false" customWidth="true" hidden="false" outlineLevel="0" max="8" min="7" style="0" width="20"/>
    <col collapsed="false" customWidth="true" hidden="false" outlineLevel="0" max="9" min="9" style="0" width="13"/>
    <col collapsed="false" customWidth="true" hidden="false" outlineLevel="0" max="10" min="10" style="0" width="24"/>
    <col collapsed="false" customWidth="true" hidden="false" outlineLevel="0" max="12" min="11" style="0" width="13"/>
    <col collapsed="false" customWidth="true" hidden="false" outlineLevel="0" max="14" min="13" style="0" width="15"/>
    <col collapsed="false" customWidth="true" hidden="false" outlineLevel="0" max="15" min="15" style="0" width="32"/>
  </cols>
  <sheetData>
    <row r="1" customFormat="false" ht="24" hidden="false" customHeight="true" outlineLevel="0" collapsed="false">
      <c r="A1" s="1" t="s">
        <v>543</v>
      </c>
    </row>
    <row r="2" customFormat="false" ht="15" hidden="false" customHeight="false" outlineLevel="0" collapsed="false">
      <c r="A2" s="2" t="s">
        <v>544</v>
      </c>
      <c r="B2" s="2"/>
      <c r="C2" s="2"/>
      <c r="D2" s="2"/>
      <c r="E2" s="2"/>
      <c r="F2" s="2"/>
      <c r="G2" s="2"/>
      <c r="H2" s="2"/>
      <c r="I2" s="2"/>
      <c r="J2" s="2"/>
    </row>
    <row r="5" customFormat="false" ht="30" hidden="false" customHeight="true" outlineLevel="0" collapsed="false">
      <c r="A5" s="12" t="s">
        <v>545</v>
      </c>
      <c r="B5" s="12" t="s">
        <v>61</v>
      </c>
      <c r="C5" s="12" t="s">
        <v>50</v>
      </c>
      <c r="D5" s="12" t="s">
        <v>546</v>
      </c>
      <c r="E5" s="12" t="s">
        <v>18</v>
      </c>
      <c r="F5" s="12" t="s">
        <v>379</v>
      </c>
      <c r="G5" s="12" t="s">
        <v>547</v>
      </c>
      <c r="H5" s="12" t="s">
        <v>548</v>
      </c>
      <c r="I5" s="12" t="s">
        <v>549</v>
      </c>
      <c r="J5" s="12" t="s">
        <v>26</v>
      </c>
      <c r="K5" s="12" t="s">
        <v>550</v>
      </c>
      <c r="L5" s="12" t="s">
        <v>551</v>
      </c>
      <c r="M5" s="12" t="s">
        <v>552</v>
      </c>
      <c r="N5" s="12" t="s">
        <v>553</v>
      </c>
      <c r="O5" s="12" t="s">
        <v>381</v>
      </c>
    </row>
    <row r="6" customFormat="false" ht="15" hidden="false" customHeight="false" outlineLevel="0" collapsed="false">
      <c r="A6" s="17" t="n">
        <v>1</v>
      </c>
      <c r="B6" s="21"/>
      <c r="C6" s="21"/>
      <c r="D6" s="21"/>
      <c r="E6" s="21"/>
      <c r="F6" s="21"/>
      <c r="G6" s="21"/>
      <c r="H6" s="21"/>
      <c r="I6" s="21"/>
      <c r="J6" s="21"/>
      <c r="K6" s="21"/>
      <c r="L6" s="24" t="str">
        <f aca="false">IF(OR($D6="",$I6="",$J6=""),"",IF($J6="Surrender to fund new asks",MATCH($I6,QuarterList,0)/4,IF($J6="Defer backfill",IF($K6="",MATCH($I6,QuarterList,0)/4,MIN(1,MATCH($I6,QuarterList,0)/4+(5-MATCH($K6,QuarterList,0))/4)),1)))</f>
        <v/>
      </c>
      <c r="M6" s="19" t="str">
        <f aca="false">IF($L6="","",IFERROR(INDEX(LevelBasic,MATCH($E6,LevelList,0))+INDEX(LevelHousing,MATCH($E6,LevelList,0))+INDEX(LevelTransport,MATCH($E6,LevelList,0))+INDEX(LevelBasic,MATCH($E6,LevelList,0))*INDEX(LevelBonus,MATCH($E6,LevelList,0))+(INDEX(LevelBasic,MATCH($E6,LevelList,0))+INDEX(LevelHousing,MATCH($E6,LevelList,0)))*GosiSaudi,0)*(1-$L6))</f>
        <v/>
      </c>
      <c r="N6" s="19" t="n">
        <f aca="false">IF($J6="Surrender to fund new asks",IFERROR(INDEX(LevelBasic,MATCH($E6,LevelList,0))+INDEX(LevelHousing,MATCH($E6,LevelList,0))+INDEX(LevelTransport,MATCH($E6,LevelList,0))+INDEX(LevelBasic,MATCH($E6,LevelList,0))*INDEX(LevelBonus,MATCH($E6,LevelList,0))+(INDEX(LevelBasic,MATCH($E6,LevelList,0))+INDEX(LevelHousing,MATCH($E6,LevelList,0)))*GosiSaudi,0),0)</f>
        <v>0</v>
      </c>
      <c r="O6" s="23" t="str">
        <f aca="false">IF($D6="","",MID(IF($C6="",", unit","")&amp;IF($E6="",", career level","")&amp;IF($H6="",", reason","")&amp;IF($I6="",", leaving quarter","")&amp;IF($J6="",", what happens to the seat","")&amp;IF(AND($J6="Defer backfill",$K6=""),", the backfill quarter","")&amp;IF(IFERROR(AND($K6&lt;&gt;"",$I6&lt;&gt;"",MATCH($K6,QuarterList,0)&lt;=MATCH($I6,QuarterList,0)),FALSE()),", a backfill quarter later than the leaving quarter","")&amp;IF(AND($C6&lt;&gt;"",COUNTIF(UnitList,$C6)=0),", a unit that is not in your structure",""),3,300))</f>
        <v/>
      </c>
    </row>
    <row r="7" customFormat="false" ht="15" hidden="false" customHeight="false" outlineLevel="0" collapsed="false">
      <c r="A7" s="17" t="n">
        <v>2</v>
      </c>
      <c r="B7" s="21"/>
      <c r="C7" s="21"/>
      <c r="D7" s="21"/>
      <c r="E7" s="21"/>
      <c r="F7" s="21"/>
      <c r="G7" s="21"/>
      <c r="H7" s="21"/>
      <c r="I7" s="21"/>
      <c r="J7" s="21"/>
      <c r="K7" s="21"/>
      <c r="L7" s="24" t="str">
        <f aca="false">IF(OR($D7="",$I7="",$J7=""),"",IF($J7="Surrender to fund new asks",MATCH($I7,QuarterList,0)/4,IF($J7="Defer backfill",IF($K7="",MATCH($I7,QuarterList,0)/4,MIN(1,MATCH($I7,QuarterList,0)/4+(5-MATCH($K7,QuarterList,0))/4)),1)))</f>
        <v/>
      </c>
      <c r="M7" s="19" t="str">
        <f aca="false">IF($L7="","",IFERROR(INDEX(LevelBasic,MATCH($E7,LevelList,0))+INDEX(LevelHousing,MATCH($E7,LevelList,0))+INDEX(LevelTransport,MATCH($E7,LevelList,0))+INDEX(LevelBasic,MATCH($E7,LevelList,0))*INDEX(LevelBonus,MATCH($E7,LevelList,0))+(INDEX(LevelBasic,MATCH($E7,LevelList,0))+INDEX(LevelHousing,MATCH($E7,LevelList,0)))*GosiSaudi,0)*(1-$L7))</f>
        <v/>
      </c>
      <c r="N7" s="19" t="n">
        <f aca="false">IF($J7="Surrender to fund new asks",IFERROR(INDEX(LevelBasic,MATCH($E7,LevelList,0))+INDEX(LevelHousing,MATCH($E7,LevelList,0))+INDEX(LevelTransport,MATCH($E7,LevelList,0))+INDEX(LevelBasic,MATCH($E7,LevelList,0))*INDEX(LevelBonus,MATCH($E7,LevelList,0))+(INDEX(LevelBasic,MATCH($E7,LevelList,0))+INDEX(LevelHousing,MATCH($E7,LevelList,0)))*GosiSaudi,0),0)</f>
        <v>0</v>
      </c>
      <c r="O7" s="23" t="str">
        <f aca="false">IF($D7="","",MID(IF($C7="",", unit","")&amp;IF($E7="",", career level","")&amp;IF($H7="",", reason","")&amp;IF($I7="",", leaving quarter","")&amp;IF($J7="",", what happens to the seat","")&amp;IF(AND($J7="Defer backfill",$K7=""),", the backfill quarter","")&amp;IF(IFERROR(AND($K7&lt;&gt;"",$I7&lt;&gt;"",MATCH($K7,QuarterList,0)&lt;=MATCH($I7,QuarterList,0)),FALSE()),", a backfill quarter later than the leaving quarter","")&amp;IF(AND($C7&lt;&gt;"",COUNTIF(UnitList,$C7)=0),", a unit that is not in your structure",""),3,300))</f>
        <v/>
      </c>
    </row>
    <row r="8" customFormat="false" ht="15" hidden="false" customHeight="false" outlineLevel="0" collapsed="false">
      <c r="A8" s="17" t="n">
        <v>3</v>
      </c>
      <c r="B8" s="21"/>
      <c r="C8" s="21"/>
      <c r="D8" s="21"/>
      <c r="E8" s="21"/>
      <c r="F8" s="21"/>
      <c r="G8" s="21"/>
      <c r="H8" s="21"/>
      <c r="I8" s="21"/>
      <c r="J8" s="21"/>
      <c r="K8" s="21"/>
      <c r="L8" s="24" t="str">
        <f aca="false">IF(OR($D8="",$I8="",$J8=""),"",IF($J8="Surrender to fund new asks",MATCH($I8,QuarterList,0)/4,IF($J8="Defer backfill",IF($K8="",MATCH($I8,QuarterList,0)/4,MIN(1,MATCH($I8,QuarterList,0)/4+(5-MATCH($K8,QuarterList,0))/4)),1)))</f>
        <v/>
      </c>
      <c r="M8" s="19" t="str">
        <f aca="false">IF($L8="","",IFERROR(INDEX(LevelBasic,MATCH($E8,LevelList,0))+INDEX(LevelHousing,MATCH($E8,LevelList,0))+INDEX(LevelTransport,MATCH($E8,LevelList,0))+INDEX(LevelBasic,MATCH($E8,LevelList,0))*INDEX(LevelBonus,MATCH($E8,LevelList,0))+(INDEX(LevelBasic,MATCH($E8,LevelList,0))+INDEX(LevelHousing,MATCH($E8,LevelList,0)))*GosiSaudi,0)*(1-$L8))</f>
        <v/>
      </c>
      <c r="N8" s="19" t="n">
        <f aca="false">IF($J8="Surrender to fund new asks",IFERROR(INDEX(LevelBasic,MATCH($E8,LevelList,0))+INDEX(LevelHousing,MATCH($E8,LevelList,0))+INDEX(LevelTransport,MATCH($E8,LevelList,0))+INDEX(LevelBasic,MATCH($E8,LevelList,0))*INDEX(LevelBonus,MATCH($E8,LevelList,0))+(INDEX(LevelBasic,MATCH($E8,LevelList,0))+INDEX(LevelHousing,MATCH($E8,LevelList,0)))*GosiSaudi,0),0)</f>
        <v>0</v>
      </c>
      <c r="O8" s="23" t="str">
        <f aca="false">IF($D8="","",MID(IF($C8="",", unit","")&amp;IF($E8="",", career level","")&amp;IF($H8="",", reason","")&amp;IF($I8="",", leaving quarter","")&amp;IF($J8="",", what happens to the seat","")&amp;IF(AND($J8="Defer backfill",$K8=""),", the backfill quarter","")&amp;IF(IFERROR(AND($K8&lt;&gt;"",$I8&lt;&gt;"",MATCH($K8,QuarterList,0)&lt;=MATCH($I8,QuarterList,0)),FALSE()),", a backfill quarter later than the leaving quarter","")&amp;IF(AND($C8&lt;&gt;"",COUNTIF(UnitList,$C8)=0),", a unit that is not in your structure",""),3,300))</f>
        <v/>
      </c>
    </row>
    <row r="9" customFormat="false" ht="15" hidden="false" customHeight="false" outlineLevel="0" collapsed="false">
      <c r="A9" s="17" t="n">
        <v>4</v>
      </c>
      <c r="B9" s="21"/>
      <c r="C9" s="21"/>
      <c r="D9" s="21"/>
      <c r="E9" s="21"/>
      <c r="F9" s="21"/>
      <c r="G9" s="21"/>
      <c r="H9" s="21"/>
      <c r="I9" s="21"/>
      <c r="J9" s="21"/>
      <c r="K9" s="21"/>
      <c r="L9" s="24" t="str">
        <f aca="false">IF(OR($D9="",$I9="",$J9=""),"",IF($J9="Surrender to fund new asks",MATCH($I9,QuarterList,0)/4,IF($J9="Defer backfill",IF($K9="",MATCH($I9,QuarterList,0)/4,MIN(1,MATCH($I9,QuarterList,0)/4+(5-MATCH($K9,QuarterList,0))/4)),1)))</f>
        <v/>
      </c>
      <c r="M9" s="19" t="str">
        <f aca="false">IF($L9="","",IFERROR(INDEX(LevelBasic,MATCH($E9,LevelList,0))+INDEX(LevelHousing,MATCH($E9,LevelList,0))+INDEX(LevelTransport,MATCH($E9,LevelList,0))+INDEX(LevelBasic,MATCH($E9,LevelList,0))*INDEX(LevelBonus,MATCH($E9,LevelList,0))+(INDEX(LevelBasic,MATCH($E9,LevelList,0))+INDEX(LevelHousing,MATCH($E9,LevelList,0)))*GosiSaudi,0)*(1-$L9))</f>
        <v/>
      </c>
      <c r="N9" s="19" t="n">
        <f aca="false">IF($J9="Surrender to fund new asks",IFERROR(INDEX(LevelBasic,MATCH($E9,LevelList,0))+INDEX(LevelHousing,MATCH($E9,LevelList,0))+INDEX(LevelTransport,MATCH($E9,LevelList,0))+INDEX(LevelBasic,MATCH($E9,LevelList,0))*INDEX(LevelBonus,MATCH($E9,LevelList,0))+(INDEX(LevelBasic,MATCH($E9,LevelList,0))+INDEX(LevelHousing,MATCH($E9,LevelList,0)))*GosiSaudi,0),0)</f>
        <v>0</v>
      </c>
      <c r="O9" s="23" t="str">
        <f aca="false">IF($D9="","",MID(IF($C9="",", unit","")&amp;IF($E9="",", career level","")&amp;IF($H9="",", reason","")&amp;IF($I9="",", leaving quarter","")&amp;IF($J9="",", what happens to the seat","")&amp;IF(AND($J9="Defer backfill",$K9=""),", the backfill quarter","")&amp;IF(IFERROR(AND($K9&lt;&gt;"",$I9&lt;&gt;"",MATCH($K9,QuarterList,0)&lt;=MATCH($I9,QuarterList,0)),FALSE()),", a backfill quarter later than the leaving quarter","")&amp;IF(AND($C9&lt;&gt;"",COUNTIF(UnitList,$C9)=0),", a unit that is not in your structure",""),3,300))</f>
        <v/>
      </c>
    </row>
    <row r="10" customFormat="false" ht="15" hidden="false" customHeight="false" outlineLevel="0" collapsed="false">
      <c r="A10" s="17" t="n">
        <v>5</v>
      </c>
      <c r="B10" s="21"/>
      <c r="C10" s="21"/>
      <c r="D10" s="21"/>
      <c r="E10" s="21"/>
      <c r="F10" s="21"/>
      <c r="G10" s="21"/>
      <c r="H10" s="21"/>
      <c r="I10" s="21"/>
      <c r="J10" s="21"/>
      <c r="K10" s="21"/>
      <c r="L10" s="24" t="str">
        <f aca="false">IF(OR($D10="",$I10="",$J10=""),"",IF($J10="Surrender to fund new asks",MATCH($I10,QuarterList,0)/4,IF($J10="Defer backfill",IF($K10="",MATCH($I10,QuarterList,0)/4,MIN(1,MATCH($I10,QuarterList,0)/4+(5-MATCH($K10,QuarterList,0))/4)),1)))</f>
        <v/>
      </c>
      <c r="M10" s="19" t="str">
        <f aca="false">IF($L10="","",IFERROR(INDEX(LevelBasic,MATCH($E10,LevelList,0))+INDEX(LevelHousing,MATCH($E10,LevelList,0))+INDEX(LevelTransport,MATCH($E10,LevelList,0))+INDEX(LevelBasic,MATCH($E10,LevelList,0))*INDEX(LevelBonus,MATCH($E10,LevelList,0))+(INDEX(LevelBasic,MATCH($E10,LevelList,0))+INDEX(LevelHousing,MATCH($E10,LevelList,0)))*GosiSaudi,0)*(1-$L10))</f>
        <v/>
      </c>
      <c r="N10" s="19" t="n">
        <f aca="false">IF($J10="Surrender to fund new asks",IFERROR(INDEX(LevelBasic,MATCH($E10,LevelList,0))+INDEX(LevelHousing,MATCH($E10,LevelList,0))+INDEX(LevelTransport,MATCH($E10,LevelList,0))+INDEX(LevelBasic,MATCH($E10,LevelList,0))*INDEX(LevelBonus,MATCH($E10,LevelList,0))+(INDEX(LevelBasic,MATCH($E10,LevelList,0))+INDEX(LevelHousing,MATCH($E10,LevelList,0)))*GosiSaudi,0),0)</f>
        <v>0</v>
      </c>
      <c r="O10" s="23" t="str">
        <f aca="false">IF($D10="","",MID(IF($C10="",", unit","")&amp;IF($E10="",", career level","")&amp;IF($H10="",", reason","")&amp;IF($I10="",", leaving quarter","")&amp;IF($J10="",", what happens to the seat","")&amp;IF(AND($J10="Defer backfill",$K10=""),", the backfill quarter","")&amp;IF(IFERROR(AND($K10&lt;&gt;"",$I10&lt;&gt;"",MATCH($K10,QuarterList,0)&lt;=MATCH($I10,QuarterList,0)),FALSE()),", a backfill quarter later than the leaving quarter","")&amp;IF(AND($C10&lt;&gt;"",COUNTIF(UnitList,$C10)=0),", a unit that is not in your structure",""),3,300))</f>
        <v/>
      </c>
    </row>
    <row r="11" customFormat="false" ht="15" hidden="false" customHeight="false" outlineLevel="0" collapsed="false">
      <c r="A11" s="17" t="n">
        <v>6</v>
      </c>
      <c r="B11" s="21"/>
      <c r="C11" s="21"/>
      <c r="D11" s="21"/>
      <c r="E11" s="21"/>
      <c r="F11" s="21"/>
      <c r="G11" s="21"/>
      <c r="H11" s="21"/>
      <c r="I11" s="21"/>
      <c r="J11" s="21"/>
      <c r="K11" s="21"/>
      <c r="L11" s="24" t="str">
        <f aca="false">IF(OR($D11="",$I11="",$J11=""),"",IF($J11="Surrender to fund new asks",MATCH($I11,QuarterList,0)/4,IF($J11="Defer backfill",IF($K11="",MATCH($I11,QuarterList,0)/4,MIN(1,MATCH($I11,QuarterList,0)/4+(5-MATCH($K11,QuarterList,0))/4)),1)))</f>
        <v/>
      </c>
      <c r="M11" s="19" t="str">
        <f aca="false">IF($L11="","",IFERROR(INDEX(LevelBasic,MATCH($E11,LevelList,0))+INDEX(LevelHousing,MATCH($E11,LevelList,0))+INDEX(LevelTransport,MATCH($E11,LevelList,0))+INDEX(LevelBasic,MATCH($E11,LevelList,0))*INDEX(LevelBonus,MATCH($E11,LevelList,0))+(INDEX(LevelBasic,MATCH($E11,LevelList,0))+INDEX(LevelHousing,MATCH($E11,LevelList,0)))*GosiSaudi,0)*(1-$L11))</f>
        <v/>
      </c>
      <c r="N11" s="19" t="n">
        <f aca="false">IF($J11="Surrender to fund new asks",IFERROR(INDEX(LevelBasic,MATCH($E11,LevelList,0))+INDEX(LevelHousing,MATCH($E11,LevelList,0))+INDEX(LevelTransport,MATCH($E11,LevelList,0))+INDEX(LevelBasic,MATCH($E11,LevelList,0))*INDEX(LevelBonus,MATCH($E11,LevelList,0))+(INDEX(LevelBasic,MATCH($E11,LevelList,0))+INDEX(LevelHousing,MATCH($E11,LevelList,0)))*GosiSaudi,0),0)</f>
        <v>0</v>
      </c>
      <c r="O11" s="23" t="str">
        <f aca="false">IF($D11="","",MID(IF($C11="",", unit","")&amp;IF($E11="",", career level","")&amp;IF($H11="",", reason","")&amp;IF($I11="",", leaving quarter","")&amp;IF($J11="",", what happens to the seat","")&amp;IF(AND($J11="Defer backfill",$K11=""),", the backfill quarter","")&amp;IF(IFERROR(AND($K11&lt;&gt;"",$I11&lt;&gt;"",MATCH($K11,QuarterList,0)&lt;=MATCH($I11,QuarterList,0)),FALSE()),", a backfill quarter later than the leaving quarter","")&amp;IF(AND($C11&lt;&gt;"",COUNTIF(UnitList,$C11)=0),", a unit that is not in your structure",""),3,300))</f>
        <v/>
      </c>
    </row>
    <row r="12" customFormat="false" ht="15" hidden="false" customHeight="false" outlineLevel="0" collapsed="false">
      <c r="A12" s="17" t="n">
        <v>7</v>
      </c>
      <c r="B12" s="21"/>
      <c r="C12" s="21"/>
      <c r="D12" s="21"/>
      <c r="E12" s="21"/>
      <c r="F12" s="21"/>
      <c r="G12" s="21"/>
      <c r="H12" s="21"/>
      <c r="I12" s="21"/>
      <c r="J12" s="21"/>
      <c r="K12" s="21"/>
      <c r="L12" s="24" t="str">
        <f aca="false">IF(OR($D12="",$I12="",$J12=""),"",IF($J12="Surrender to fund new asks",MATCH($I12,QuarterList,0)/4,IF($J12="Defer backfill",IF($K12="",MATCH($I12,QuarterList,0)/4,MIN(1,MATCH($I12,QuarterList,0)/4+(5-MATCH($K12,QuarterList,0))/4)),1)))</f>
        <v/>
      </c>
      <c r="M12" s="19" t="str">
        <f aca="false">IF($L12="","",IFERROR(INDEX(LevelBasic,MATCH($E12,LevelList,0))+INDEX(LevelHousing,MATCH($E12,LevelList,0))+INDEX(LevelTransport,MATCH($E12,LevelList,0))+INDEX(LevelBasic,MATCH($E12,LevelList,0))*INDEX(LevelBonus,MATCH($E12,LevelList,0))+(INDEX(LevelBasic,MATCH($E12,LevelList,0))+INDEX(LevelHousing,MATCH($E12,LevelList,0)))*GosiSaudi,0)*(1-$L12))</f>
        <v/>
      </c>
      <c r="N12" s="19" t="n">
        <f aca="false">IF($J12="Surrender to fund new asks",IFERROR(INDEX(LevelBasic,MATCH($E12,LevelList,0))+INDEX(LevelHousing,MATCH($E12,LevelList,0))+INDEX(LevelTransport,MATCH($E12,LevelList,0))+INDEX(LevelBasic,MATCH($E12,LevelList,0))*INDEX(LevelBonus,MATCH($E12,LevelList,0))+(INDEX(LevelBasic,MATCH($E12,LevelList,0))+INDEX(LevelHousing,MATCH($E12,LevelList,0)))*GosiSaudi,0),0)</f>
        <v>0</v>
      </c>
      <c r="O12" s="23" t="str">
        <f aca="false">IF($D12="","",MID(IF($C12="",", unit","")&amp;IF($E12="",", career level","")&amp;IF($H12="",", reason","")&amp;IF($I12="",", leaving quarter","")&amp;IF($J12="",", what happens to the seat","")&amp;IF(AND($J12="Defer backfill",$K12=""),", the backfill quarter","")&amp;IF(IFERROR(AND($K12&lt;&gt;"",$I12&lt;&gt;"",MATCH($K12,QuarterList,0)&lt;=MATCH($I12,QuarterList,0)),FALSE()),", a backfill quarter later than the leaving quarter","")&amp;IF(AND($C12&lt;&gt;"",COUNTIF(UnitList,$C12)=0),", a unit that is not in your structure",""),3,300))</f>
        <v/>
      </c>
    </row>
    <row r="13" customFormat="false" ht="15" hidden="false" customHeight="false" outlineLevel="0" collapsed="false">
      <c r="A13" s="17" t="n">
        <v>8</v>
      </c>
      <c r="B13" s="21"/>
      <c r="C13" s="21"/>
      <c r="D13" s="21"/>
      <c r="E13" s="21"/>
      <c r="F13" s="21"/>
      <c r="G13" s="21"/>
      <c r="H13" s="21"/>
      <c r="I13" s="21"/>
      <c r="J13" s="21"/>
      <c r="K13" s="21"/>
      <c r="L13" s="24" t="str">
        <f aca="false">IF(OR($D13="",$I13="",$J13=""),"",IF($J13="Surrender to fund new asks",MATCH($I13,QuarterList,0)/4,IF($J13="Defer backfill",IF($K13="",MATCH($I13,QuarterList,0)/4,MIN(1,MATCH($I13,QuarterList,0)/4+(5-MATCH($K13,QuarterList,0))/4)),1)))</f>
        <v/>
      </c>
      <c r="M13" s="19" t="str">
        <f aca="false">IF($L13="","",IFERROR(INDEX(LevelBasic,MATCH($E13,LevelList,0))+INDEX(LevelHousing,MATCH($E13,LevelList,0))+INDEX(LevelTransport,MATCH($E13,LevelList,0))+INDEX(LevelBasic,MATCH($E13,LevelList,0))*INDEX(LevelBonus,MATCH($E13,LevelList,0))+(INDEX(LevelBasic,MATCH($E13,LevelList,0))+INDEX(LevelHousing,MATCH($E13,LevelList,0)))*GosiSaudi,0)*(1-$L13))</f>
        <v/>
      </c>
      <c r="N13" s="19" t="n">
        <f aca="false">IF($J13="Surrender to fund new asks",IFERROR(INDEX(LevelBasic,MATCH($E13,LevelList,0))+INDEX(LevelHousing,MATCH($E13,LevelList,0))+INDEX(LevelTransport,MATCH($E13,LevelList,0))+INDEX(LevelBasic,MATCH($E13,LevelList,0))*INDEX(LevelBonus,MATCH($E13,LevelList,0))+(INDEX(LevelBasic,MATCH($E13,LevelList,0))+INDEX(LevelHousing,MATCH($E13,LevelList,0)))*GosiSaudi,0),0)</f>
        <v>0</v>
      </c>
      <c r="O13" s="23" t="str">
        <f aca="false">IF($D13="","",MID(IF($C13="",", unit","")&amp;IF($E13="",", career level","")&amp;IF($H13="",", reason","")&amp;IF($I13="",", leaving quarter","")&amp;IF($J13="",", what happens to the seat","")&amp;IF(AND($J13="Defer backfill",$K13=""),", the backfill quarter","")&amp;IF(IFERROR(AND($K13&lt;&gt;"",$I13&lt;&gt;"",MATCH($K13,QuarterList,0)&lt;=MATCH($I13,QuarterList,0)),FALSE()),", a backfill quarter later than the leaving quarter","")&amp;IF(AND($C13&lt;&gt;"",COUNTIF(UnitList,$C13)=0),", a unit that is not in your structure",""),3,300))</f>
        <v/>
      </c>
    </row>
    <row r="14" customFormat="false" ht="15" hidden="false" customHeight="false" outlineLevel="0" collapsed="false">
      <c r="A14" s="17" t="n">
        <v>9</v>
      </c>
      <c r="B14" s="21"/>
      <c r="C14" s="21"/>
      <c r="D14" s="21"/>
      <c r="E14" s="21"/>
      <c r="F14" s="21"/>
      <c r="G14" s="21"/>
      <c r="H14" s="21"/>
      <c r="I14" s="21"/>
      <c r="J14" s="21"/>
      <c r="K14" s="21"/>
      <c r="L14" s="24" t="str">
        <f aca="false">IF(OR($D14="",$I14="",$J14=""),"",IF($J14="Surrender to fund new asks",MATCH($I14,QuarterList,0)/4,IF($J14="Defer backfill",IF($K14="",MATCH($I14,QuarterList,0)/4,MIN(1,MATCH($I14,QuarterList,0)/4+(5-MATCH($K14,QuarterList,0))/4)),1)))</f>
        <v/>
      </c>
      <c r="M14" s="19" t="str">
        <f aca="false">IF($L14="","",IFERROR(INDEX(LevelBasic,MATCH($E14,LevelList,0))+INDEX(LevelHousing,MATCH($E14,LevelList,0))+INDEX(LevelTransport,MATCH($E14,LevelList,0))+INDEX(LevelBasic,MATCH($E14,LevelList,0))*INDEX(LevelBonus,MATCH($E14,LevelList,0))+(INDEX(LevelBasic,MATCH($E14,LevelList,0))+INDEX(LevelHousing,MATCH($E14,LevelList,0)))*GosiSaudi,0)*(1-$L14))</f>
        <v/>
      </c>
      <c r="N14" s="19" t="n">
        <f aca="false">IF($J14="Surrender to fund new asks",IFERROR(INDEX(LevelBasic,MATCH($E14,LevelList,0))+INDEX(LevelHousing,MATCH($E14,LevelList,0))+INDEX(LevelTransport,MATCH($E14,LevelList,0))+INDEX(LevelBasic,MATCH($E14,LevelList,0))*INDEX(LevelBonus,MATCH($E14,LevelList,0))+(INDEX(LevelBasic,MATCH($E14,LevelList,0))+INDEX(LevelHousing,MATCH($E14,LevelList,0)))*GosiSaudi,0),0)</f>
        <v>0</v>
      </c>
      <c r="O14" s="23" t="str">
        <f aca="false">IF($D14="","",MID(IF($C14="",", unit","")&amp;IF($E14="",", career level","")&amp;IF($H14="",", reason","")&amp;IF($I14="",", leaving quarter","")&amp;IF($J14="",", what happens to the seat","")&amp;IF(AND($J14="Defer backfill",$K14=""),", the backfill quarter","")&amp;IF(IFERROR(AND($K14&lt;&gt;"",$I14&lt;&gt;"",MATCH($K14,QuarterList,0)&lt;=MATCH($I14,QuarterList,0)),FALSE()),", a backfill quarter later than the leaving quarter","")&amp;IF(AND($C14&lt;&gt;"",COUNTIF(UnitList,$C14)=0),", a unit that is not in your structure",""),3,300))</f>
        <v/>
      </c>
    </row>
    <row r="15" customFormat="false" ht="15" hidden="false" customHeight="false" outlineLevel="0" collapsed="false">
      <c r="A15" s="17" t="n">
        <v>10</v>
      </c>
      <c r="B15" s="21"/>
      <c r="C15" s="21"/>
      <c r="D15" s="21"/>
      <c r="E15" s="21"/>
      <c r="F15" s="21"/>
      <c r="G15" s="21"/>
      <c r="H15" s="21"/>
      <c r="I15" s="21"/>
      <c r="J15" s="21"/>
      <c r="K15" s="21"/>
      <c r="L15" s="24" t="str">
        <f aca="false">IF(OR($D15="",$I15="",$J15=""),"",IF($J15="Surrender to fund new asks",MATCH($I15,QuarterList,0)/4,IF($J15="Defer backfill",IF($K15="",MATCH($I15,QuarterList,0)/4,MIN(1,MATCH($I15,QuarterList,0)/4+(5-MATCH($K15,QuarterList,0))/4)),1)))</f>
        <v/>
      </c>
      <c r="M15" s="19" t="str">
        <f aca="false">IF($L15="","",IFERROR(INDEX(LevelBasic,MATCH($E15,LevelList,0))+INDEX(LevelHousing,MATCH($E15,LevelList,0))+INDEX(LevelTransport,MATCH($E15,LevelList,0))+INDEX(LevelBasic,MATCH($E15,LevelList,0))*INDEX(LevelBonus,MATCH($E15,LevelList,0))+(INDEX(LevelBasic,MATCH($E15,LevelList,0))+INDEX(LevelHousing,MATCH($E15,LevelList,0)))*GosiSaudi,0)*(1-$L15))</f>
        <v/>
      </c>
      <c r="N15" s="19" t="n">
        <f aca="false">IF($J15="Surrender to fund new asks",IFERROR(INDEX(LevelBasic,MATCH($E15,LevelList,0))+INDEX(LevelHousing,MATCH($E15,LevelList,0))+INDEX(LevelTransport,MATCH($E15,LevelList,0))+INDEX(LevelBasic,MATCH($E15,LevelList,0))*INDEX(LevelBonus,MATCH($E15,LevelList,0))+(INDEX(LevelBasic,MATCH($E15,LevelList,0))+INDEX(LevelHousing,MATCH($E15,LevelList,0)))*GosiSaudi,0),0)</f>
        <v>0</v>
      </c>
      <c r="O15" s="23" t="str">
        <f aca="false">IF($D15="","",MID(IF($C15="",", unit","")&amp;IF($E15="",", career level","")&amp;IF($H15="",", reason","")&amp;IF($I15="",", leaving quarter","")&amp;IF($J15="",", what happens to the seat","")&amp;IF(AND($J15="Defer backfill",$K15=""),", the backfill quarter","")&amp;IF(IFERROR(AND($K15&lt;&gt;"",$I15&lt;&gt;"",MATCH($K15,QuarterList,0)&lt;=MATCH($I15,QuarterList,0)),FALSE()),", a backfill quarter later than the leaving quarter","")&amp;IF(AND($C15&lt;&gt;"",COUNTIF(UnitList,$C15)=0),", a unit that is not in your structure",""),3,300))</f>
        <v/>
      </c>
    </row>
    <row r="16" customFormat="false" ht="15" hidden="false" customHeight="false" outlineLevel="0" collapsed="false">
      <c r="A16" s="17" t="n">
        <v>11</v>
      </c>
      <c r="B16" s="21"/>
      <c r="C16" s="21"/>
      <c r="D16" s="21"/>
      <c r="E16" s="21"/>
      <c r="F16" s="21"/>
      <c r="G16" s="21"/>
      <c r="H16" s="21"/>
      <c r="I16" s="21"/>
      <c r="J16" s="21"/>
      <c r="K16" s="21"/>
      <c r="L16" s="24" t="str">
        <f aca="false">IF(OR($D16="",$I16="",$J16=""),"",IF($J16="Surrender to fund new asks",MATCH($I16,QuarterList,0)/4,IF($J16="Defer backfill",IF($K16="",MATCH($I16,QuarterList,0)/4,MIN(1,MATCH($I16,QuarterList,0)/4+(5-MATCH($K16,QuarterList,0))/4)),1)))</f>
        <v/>
      </c>
      <c r="M16" s="19" t="str">
        <f aca="false">IF($L16="","",IFERROR(INDEX(LevelBasic,MATCH($E16,LevelList,0))+INDEX(LevelHousing,MATCH($E16,LevelList,0))+INDEX(LevelTransport,MATCH($E16,LevelList,0))+INDEX(LevelBasic,MATCH($E16,LevelList,0))*INDEX(LevelBonus,MATCH($E16,LevelList,0))+(INDEX(LevelBasic,MATCH($E16,LevelList,0))+INDEX(LevelHousing,MATCH($E16,LevelList,0)))*GosiSaudi,0)*(1-$L16))</f>
        <v/>
      </c>
      <c r="N16" s="19" t="n">
        <f aca="false">IF($J16="Surrender to fund new asks",IFERROR(INDEX(LevelBasic,MATCH($E16,LevelList,0))+INDEX(LevelHousing,MATCH($E16,LevelList,0))+INDEX(LevelTransport,MATCH($E16,LevelList,0))+INDEX(LevelBasic,MATCH($E16,LevelList,0))*INDEX(LevelBonus,MATCH($E16,LevelList,0))+(INDEX(LevelBasic,MATCH($E16,LevelList,0))+INDEX(LevelHousing,MATCH($E16,LevelList,0)))*GosiSaudi,0),0)</f>
        <v>0</v>
      </c>
      <c r="O16" s="23" t="str">
        <f aca="false">IF($D16="","",MID(IF($C16="",", unit","")&amp;IF($E16="",", career level","")&amp;IF($H16="",", reason","")&amp;IF($I16="",", leaving quarter","")&amp;IF($J16="",", what happens to the seat","")&amp;IF(AND($J16="Defer backfill",$K16=""),", the backfill quarter","")&amp;IF(IFERROR(AND($K16&lt;&gt;"",$I16&lt;&gt;"",MATCH($K16,QuarterList,0)&lt;=MATCH($I16,QuarterList,0)),FALSE()),", a backfill quarter later than the leaving quarter","")&amp;IF(AND($C16&lt;&gt;"",COUNTIF(UnitList,$C16)=0),", a unit that is not in your structure",""),3,300))</f>
        <v/>
      </c>
    </row>
    <row r="17" customFormat="false" ht="15" hidden="false" customHeight="false" outlineLevel="0" collapsed="false">
      <c r="A17" s="17" t="n">
        <v>12</v>
      </c>
      <c r="B17" s="21"/>
      <c r="C17" s="21"/>
      <c r="D17" s="21"/>
      <c r="E17" s="21"/>
      <c r="F17" s="21"/>
      <c r="G17" s="21"/>
      <c r="H17" s="21"/>
      <c r="I17" s="21"/>
      <c r="J17" s="21"/>
      <c r="K17" s="21"/>
      <c r="L17" s="24" t="str">
        <f aca="false">IF(OR($D17="",$I17="",$J17=""),"",IF($J17="Surrender to fund new asks",MATCH($I17,QuarterList,0)/4,IF($J17="Defer backfill",IF($K17="",MATCH($I17,QuarterList,0)/4,MIN(1,MATCH($I17,QuarterList,0)/4+(5-MATCH($K17,QuarterList,0))/4)),1)))</f>
        <v/>
      </c>
      <c r="M17" s="19" t="str">
        <f aca="false">IF($L17="","",IFERROR(INDEX(LevelBasic,MATCH($E17,LevelList,0))+INDEX(LevelHousing,MATCH($E17,LevelList,0))+INDEX(LevelTransport,MATCH($E17,LevelList,0))+INDEX(LevelBasic,MATCH($E17,LevelList,0))*INDEX(LevelBonus,MATCH($E17,LevelList,0))+(INDEX(LevelBasic,MATCH($E17,LevelList,0))+INDEX(LevelHousing,MATCH($E17,LevelList,0)))*GosiSaudi,0)*(1-$L17))</f>
        <v/>
      </c>
      <c r="N17" s="19" t="n">
        <f aca="false">IF($J17="Surrender to fund new asks",IFERROR(INDEX(LevelBasic,MATCH($E17,LevelList,0))+INDEX(LevelHousing,MATCH($E17,LevelList,0))+INDEX(LevelTransport,MATCH($E17,LevelList,0))+INDEX(LevelBasic,MATCH($E17,LevelList,0))*INDEX(LevelBonus,MATCH($E17,LevelList,0))+(INDEX(LevelBasic,MATCH($E17,LevelList,0))+INDEX(LevelHousing,MATCH($E17,LevelList,0)))*GosiSaudi,0),0)</f>
        <v>0</v>
      </c>
      <c r="O17" s="23" t="str">
        <f aca="false">IF($D17="","",MID(IF($C17="",", unit","")&amp;IF($E17="",", career level","")&amp;IF($H17="",", reason","")&amp;IF($I17="",", leaving quarter","")&amp;IF($J17="",", what happens to the seat","")&amp;IF(AND($J17="Defer backfill",$K17=""),", the backfill quarter","")&amp;IF(IFERROR(AND($K17&lt;&gt;"",$I17&lt;&gt;"",MATCH($K17,QuarterList,0)&lt;=MATCH($I17,QuarterList,0)),FALSE()),", a backfill quarter later than the leaving quarter","")&amp;IF(AND($C17&lt;&gt;"",COUNTIF(UnitList,$C17)=0),", a unit that is not in your structure",""),3,300))</f>
        <v/>
      </c>
    </row>
    <row r="18" customFormat="false" ht="15" hidden="false" customHeight="false" outlineLevel="0" collapsed="false">
      <c r="A18" s="17" t="n">
        <v>13</v>
      </c>
      <c r="B18" s="21"/>
      <c r="C18" s="21"/>
      <c r="D18" s="21"/>
      <c r="E18" s="21"/>
      <c r="F18" s="21"/>
      <c r="G18" s="21"/>
      <c r="H18" s="21"/>
      <c r="I18" s="21"/>
      <c r="J18" s="21"/>
      <c r="K18" s="21"/>
      <c r="L18" s="24" t="str">
        <f aca="false">IF(OR($D18="",$I18="",$J18=""),"",IF($J18="Surrender to fund new asks",MATCH($I18,QuarterList,0)/4,IF($J18="Defer backfill",IF($K18="",MATCH($I18,QuarterList,0)/4,MIN(1,MATCH($I18,QuarterList,0)/4+(5-MATCH($K18,QuarterList,0))/4)),1)))</f>
        <v/>
      </c>
      <c r="M18" s="19" t="str">
        <f aca="false">IF($L18="","",IFERROR(INDEX(LevelBasic,MATCH($E18,LevelList,0))+INDEX(LevelHousing,MATCH($E18,LevelList,0))+INDEX(LevelTransport,MATCH($E18,LevelList,0))+INDEX(LevelBasic,MATCH($E18,LevelList,0))*INDEX(LevelBonus,MATCH($E18,LevelList,0))+(INDEX(LevelBasic,MATCH($E18,LevelList,0))+INDEX(LevelHousing,MATCH($E18,LevelList,0)))*GosiSaudi,0)*(1-$L18))</f>
        <v/>
      </c>
      <c r="N18" s="19" t="n">
        <f aca="false">IF($J18="Surrender to fund new asks",IFERROR(INDEX(LevelBasic,MATCH($E18,LevelList,0))+INDEX(LevelHousing,MATCH($E18,LevelList,0))+INDEX(LevelTransport,MATCH($E18,LevelList,0))+INDEX(LevelBasic,MATCH($E18,LevelList,0))*INDEX(LevelBonus,MATCH($E18,LevelList,0))+(INDEX(LevelBasic,MATCH($E18,LevelList,0))+INDEX(LevelHousing,MATCH($E18,LevelList,0)))*GosiSaudi,0),0)</f>
        <v>0</v>
      </c>
      <c r="O18" s="23" t="str">
        <f aca="false">IF($D18="","",MID(IF($C18="",", unit","")&amp;IF($E18="",", career level","")&amp;IF($H18="",", reason","")&amp;IF($I18="",", leaving quarter","")&amp;IF($J18="",", what happens to the seat","")&amp;IF(AND($J18="Defer backfill",$K18=""),", the backfill quarter","")&amp;IF(IFERROR(AND($K18&lt;&gt;"",$I18&lt;&gt;"",MATCH($K18,QuarterList,0)&lt;=MATCH($I18,QuarterList,0)),FALSE()),", a backfill quarter later than the leaving quarter","")&amp;IF(AND($C18&lt;&gt;"",COUNTIF(UnitList,$C18)=0),", a unit that is not in your structure",""),3,300))</f>
        <v/>
      </c>
    </row>
    <row r="19" customFormat="false" ht="15" hidden="false" customHeight="false" outlineLevel="0" collapsed="false">
      <c r="A19" s="17" t="n">
        <v>14</v>
      </c>
      <c r="B19" s="21"/>
      <c r="C19" s="21"/>
      <c r="D19" s="21"/>
      <c r="E19" s="21"/>
      <c r="F19" s="21"/>
      <c r="G19" s="21"/>
      <c r="H19" s="21"/>
      <c r="I19" s="21"/>
      <c r="J19" s="21"/>
      <c r="K19" s="21"/>
      <c r="L19" s="24" t="str">
        <f aca="false">IF(OR($D19="",$I19="",$J19=""),"",IF($J19="Surrender to fund new asks",MATCH($I19,QuarterList,0)/4,IF($J19="Defer backfill",IF($K19="",MATCH($I19,QuarterList,0)/4,MIN(1,MATCH($I19,QuarterList,0)/4+(5-MATCH($K19,QuarterList,0))/4)),1)))</f>
        <v/>
      </c>
      <c r="M19" s="19" t="str">
        <f aca="false">IF($L19="","",IFERROR(INDEX(LevelBasic,MATCH($E19,LevelList,0))+INDEX(LevelHousing,MATCH($E19,LevelList,0))+INDEX(LevelTransport,MATCH($E19,LevelList,0))+INDEX(LevelBasic,MATCH($E19,LevelList,0))*INDEX(LevelBonus,MATCH($E19,LevelList,0))+(INDEX(LevelBasic,MATCH($E19,LevelList,0))+INDEX(LevelHousing,MATCH($E19,LevelList,0)))*GosiSaudi,0)*(1-$L19))</f>
        <v/>
      </c>
      <c r="N19" s="19" t="n">
        <f aca="false">IF($J19="Surrender to fund new asks",IFERROR(INDEX(LevelBasic,MATCH($E19,LevelList,0))+INDEX(LevelHousing,MATCH($E19,LevelList,0))+INDEX(LevelTransport,MATCH($E19,LevelList,0))+INDEX(LevelBasic,MATCH($E19,LevelList,0))*INDEX(LevelBonus,MATCH($E19,LevelList,0))+(INDEX(LevelBasic,MATCH($E19,LevelList,0))+INDEX(LevelHousing,MATCH($E19,LevelList,0)))*GosiSaudi,0),0)</f>
        <v>0</v>
      </c>
      <c r="O19" s="23" t="str">
        <f aca="false">IF($D19="","",MID(IF($C19="",", unit","")&amp;IF($E19="",", career level","")&amp;IF($H19="",", reason","")&amp;IF($I19="",", leaving quarter","")&amp;IF($J19="",", what happens to the seat","")&amp;IF(AND($J19="Defer backfill",$K19=""),", the backfill quarter","")&amp;IF(IFERROR(AND($K19&lt;&gt;"",$I19&lt;&gt;"",MATCH($K19,QuarterList,0)&lt;=MATCH($I19,QuarterList,0)),FALSE()),", a backfill quarter later than the leaving quarter","")&amp;IF(AND($C19&lt;&gt;"",COUNTIF(UnitList,$C19)=0),", a unit that is not in your structure",""),3,300))</f>
        <v/>
      </c>
    </row>
    <row r="20" customFormat="false" ht="15" hidden="false" customHeight="false" outlineLevel="0" collapsed="false">
      <c r="A20" s="17" t="n">
        <v>15</v>
      </c>
      <c r="B20" s="21"/>
      <c r="C20" s="21"/>
      <c r="D20" s="21"/>
      <c r="E20" s="21"/>
      <c r="F20" s="21"/>
      <c r="G20" s="21"/>
      <c r="H20" s="21"/>
      <c r="I20" s="21"/>
      <c r="J20" s="21"/>
      <c r="K20" s="21"/>
      <c r="L20" s="24" t="str">
        <f aca="false">IF(OR($D20="",$I20="",$J20=""),"",IF($J20="Surrender to fund new asks",MATCH($I20,QuarterList,0)/4,IF($J20="Defer backfill",IF($K20="",MATCH($I20,QuarterList,0)/4,MIN(1,MATCH($I20,QuarterList,0)/4+(5-MATCH($K20,QuarterList,0))/4)),1)))</f>
        <v/>
      </c>
      <c r="M20" s="19" t="str">
        <f aca="false">IF($L20="","",IFERROR(INDEX(LevelBasic,MATCH($E20,LevelList,0))+INDEX(LevelHousing,MATCH($E20,LevelList,0))+INDEX(LevelTransport,MATCH($E20,LevelList,0))+INDEX(LevelBasic,MATCH($E20,LevelList,0))*INDEX(LevelBonus,MATCH($E20,LevelList,0))+(INDEX(LevelBasic,MATCH($E20,LevelList,0))+INDEX(LevelHousing,MATCH($E20,LevelList,0)))*GosiSaudi,0)*(1-$L20))</f>
        <v/>
      </c>
      <c r="N20" s="19" t="n">
        <f aca="false">IF($J20="Surrender to fund new asks",IFERROR(INDEX(LevelBasic,MATCH($E20,LevelList,0))+INDEX(LevelHousing,MATCH($E20,LevelList,0))+INDEX(LevelTransport,MATCH($E20,LevelList,0))+INDEX(LevelBasic,MATCH($E20,LevelList,0))*INDEX(LevelBonus,MATCH($E20,LevelList,0))+(INDEX(LevelBasic,MATCH($E20,LevelList,0))+INDEX(LevelHousing,MATCH($E20,LevelList,0)))*GosiSaudi,0),0)</f>
        <v>0</v>
      </c>
      <c r="O20" s="23" t="str">
        <f aca="false">IF($D20="","",MID(IF($C20="",", unit","")&amp;IF($E20="",", career level","")&amp;IF($H20="",", reason","")&amp;IF($I20="",", leaving quarter","")&amp;IF($J20="",", what happens to the seat","")&amp;IF(AND($J20="Defer backfill",$K20=""),", the backfill quarter","")&amp;IF(IFERROR(AND($K20&lt;&gt;"",$I20&lt;&gt;"",MATCH($K20,QuarterList,0)&lt;=MATCH($I20,QuarterList,0)),FALSE()),", a backfill quarter later than the leaving quarter","")&amp;IF(AND($C20&lt;&gt;"",COUNTIF(UnitList,$C20)=0),", a unit that is not in your structure",""),3,300))</f>
        <v/>
      </c>
    </row>
    <row r="21" customFormat="false" ht="15" hidden="false" customHeight="false" outlineLevel="0" collapsed="false">
      <c r="A21" s="17" t="n">
        <v>16</v>
      </c>
      <c r="B21" s="21"/>
      <c r="C21" s="21"/>
      <c r="D21" s="21"/>
      <c r="E21" s="21"/>
      <c r="F21" s="21"/>
      <c r="G21" s="21"/>
      <c r="H21" s="21"/>
      <c r="I21" s="21"/>
      <c r="J21" s="21"/>
      <c r="K21" s="21"/>
      <c r="L21" s="24" t="str">
        <f aca="false">IF(OR($D21="",$I21="",$J21=""),"",IF($J21="Surrender to fund new asks",MATCH($I21,QuarterList,0)/4,IF($J21="Defer backfill",IF($K21="",MATCH($I21,QuarterList,0)/4,MIN(1,MATCH($I21,QuarterList,0)/4+(5-MATCH($K21,QuarterList,0))/4)),1)))</f>
        <v/>
      </c>
      <c r="M21" s="19" t="str">
        <f aca="false">IF($L21="","",IFERROR(INDEX(LevelBasic,MATCH($E21,LevelList,0))+INDEX(LevelHousing,MATCH($E21,LevelList,0))+INDEX(LevelTransport,MATCH($E21,LevelList,0))+INDEX(LevelBasic,MATCH($E21,LevelList,0))*INDEX(LevelBonus,MATCH($E21,LevelList,0))+(INDEX(LevelBasic,MATCH($E21,LevelList,0))+INDEX(LevelHousing,MATCH($E21,LevelList,0)))*GosiSaudi,0)*(1-$L21))</f>
        <v/>
      </c>
      <c r="N21" s="19" t="n">
        <f aca="false">IF($J21="Surrender to fund new asks",IFERROR(INDEX(LevelBasic,MATCH($E21,LevelList,0))+INDEX(LevelHousing,MATCH($E21,LevelList,0))+INDEX(LevelTransport,MATCH($E21,LevelList,0))+INDEX(LevelBasic,MATCH($E21,LevelList,0))*INDEX(LevelBonus,MATCH($E21,LevelList,0))+(INDEX(LevelBasic,MATCH($E21,LevelList,0))+INDEX(LevelHousing,MATCH($E21,LevelList,0)))*GosiSaudi,0),0)</f>
        <v>0</v>
      </c>
      <c r="O21" s="23" t="str">
        <f aca="false">IF($D21="","",MID(IF($C21="",", unit","")&amp;IF($E21="",", career level","")&amp;IF($H21="",", reason","")&amp;IF($I21="",", leaving quarter","")&amp;IF($J21="",", what happens to the seat","")&amp;IF(AND($J21="Defer backfill",$K21=""),", the backfill quarter","")&amp;IF(IFERROR(AND($K21&lt;&gt;"",$I21&lt;&gt;"",MATCH($K21,QuarterList,0)&lt;=MATCH($I21,QuarterList,0)),FALSE()),", a backfill quarter later than the leaving quarter","")&amp;IF(AND($C21&lt;&gt;"",COUNTIF(UnitList,$C21)=0),", a unit that is not in your structure",""),3,300))</f>
        <v/>
      </c>
    </row>
    <row r="22" customFormat="false" ht="15" hidden="false" customHeight="false" outlineLevel="0" collapsed="false">
      <c r="A22" s="17" t="n">
        <v>17</v>
      </c>
      <c r="B22" s="21"/>
      <c r="C22" s="21"/>
      <c r="D22" s="21"/>
      <c r="E22" s="21"/>
      <c r="F22" s="21"/>
      <c r="G22" s="21"/>
      <c r="H22" s="21"/>
      <c r="I22" s="21"/>
      <c r="J22" s="21"/>
      <c r="K22" s="21"/>
      <c r="L22" s="24" t="str">
        <f aca="false">IF(OR($D22="",$I22="",$J22=""),"",IF($J22="Surrender to fund new asks",MATCH($I22,QuarterList,0)/4,IF($J22="Defer backfill",IF($K22="",MATCH($I22,QuarterList,0)/4,MIN(1,MATCH($I22,QuarterList,0)/4+(5-MATCH($K22,QuarterList,0))/4)),1)))</f>
        <v/>
      </c>
      <c r="M22" s="19" t="str">
        <f aca="false">IF($L22="","",IFERROR(INDEX(LevelBasic,MATCH($E22,LevelList,0))+INDEX(LevelHousing,MATCH($E22,LevelList,0))+INDEX(LevelTransport,MATCH($E22,LevelList,0))+INDEX(LevelBasic,MATCH($E22,LevelList,0))*INDEX(LevelBonus,MATCH($E22,LevelList,0))+(INDEX(LevelBasic,MATCH($E22,LevelList,0))+INDEX(LevelHousing,MATCH($E22,LevelList,0)))*GosiSaudi,0)*(1-$L22))</f>
        <v/>
      </c>
      <c r="N22" s="19" t="n">
        <f aca="false">IF($J22="Surrender to fund new asks",IFERROR(INDEX(LevelBasic,MATCH($E22,LevelList,0))+INDEX(LevelHousing,MATCH($E22,LevelList,0))+INDEX(LevelTransport,MATCH($E22,LevelList,0))+INDEX(LevelBasic,MATCH($E22,LevelList,0))*INDEX(LevelBonus,MATCH($E22,LevelList,0))+(INDEX(LevelBasic,MATCH($E22,LevelList,0))+INDEX(LevelHousing,MATCH($E22,LevelList,0)))*GosiSaudi,0),0)</f>
        <v>0</v>
      </c>
      <c r="O22" s="23" t="str">
        <f aca="false">IF($D22="","",MID(IF($C22="",", unit","")&amp;IF($E22="",", career level","")&amp;IF($H22="",", reason","")&amp;IF($I22="",", leaving quarter","")&amp;IF($J22="",", what happens to the seat","")&amp;IF(AND($J22="Defer backfill",$K22=""),", the backfill quarter","")&amp;IF(IFERROR(AND($K22&lt;&gt;"",$I22&lt;&gt;"",MATCH($K22,QuarterList,0)&lt;=MATCH($I22,QuarterList,0)),FALSE()),", a backfill quarter later than the leaving quarter","")&amp;IF(AND($C22&lt;&gt;"",COUNTIF(UnitList,$C22)=0),", a unit that is not in your structure",""),3,300))</f>
        <v/>
      </c>
    </row>
    <row r="23" customFormat="false" ht="15" hidden="false" customHeight="false" outlineLevel="0" collapsed="false">
      <c r="A23" s="17" t="n">
        <v>18</v>
      </c>
      <c r="B23" s="21"/>
      <c r="C23" s="21"/>
      <c r="D23" s="21"/>
      <c r="E23" s="21"/>
      <c r="F23" s="21"/>
      <c r="G23" s="21"/>
      <c r="H23" s="21"/>
      <c r="I23" s="21"/>
      <c r="J23" s="21"/>
      <c r="K23" s="21"/>
      <c r="L23" s="24" t="str">
        <f aca="false">IF(OR($D23="",$I23="",$J23=""),"",IF($J23="Surrender to fund new asks",MATCH($I23,QuarterList,0)/4,IF($J23="Defer backfill",IF($K23="",MATCH($I23,QuarterList,0)/4,MIN(1,MATCH($I23,QuarterList,0)/4+(5-MATCH($K23,QuarterList,0))/4)),1)))</f>
        <v/>
      </c>
      <c r="M23" s="19" t="str">
        <f aca="false">IF($L23="","",IFERROR(INDEX(LevelBasic,MATCH($E23,LevelList,0))+INDEX(LevelHousing,MATCH($E23,LevelList,0))+INDEX(LevelTransport,MATCH($E23,LevelList,0))+INDEX(LevelBasic,MATCH($E23,LevelList,0))*INDEX(LevelBonus,MATCH($E23,LevelList,0))+(INDEX(LevelBasic,MATCH($E23,LevelList,0))+INDEX(LevelHousing,MATCH($E23,LevelList,0)))*GosiSaudi,0)*(1-$L23))</f>
        <v/>
      </c>
      <c r="N23" s="19" t="n">
        <f aca="false">IF($J23="Surrender to fund new asks",IFERROR(INDEX(LevelBasic,MATCH($E23,LevelList,0))+INDEX(LevelHousing,MATCH($E23,LevelList,0))+INDEX(LevelTransport,MATCH($E23,LevelList,0))+INDEX(LevelBasic,MATCH($E23,LevelList,0))*INDEX(LevelBonus,MATCH($E23,LevelList,0))+(INDEX(LevelBasic,MATCH($E23,LevelList,0))+INDEX(LevelHousing,MATCH($E23,LevelList,0)))*GosiSaudi,0),0)</f>
        <v>0</v>
      </c>
      <c r="O23" s="23" t="str">
        <f aca="false">IF($D23="","",MID(IF($C23="",", unit","")&amp;IF($E23="",", career level","")&amp;IF($H23="",", reason","")&amp;IF($I23="",", leaving quarter","")&amp;IF($J23="",", what happens to the seat","")&amp;IF(AND($J23="Defer backfill",$K23=""),", the backfill quarter","")&amp;IF(IFERROR(AND($K23&lt;&gt;"",$I23&lt;&gt;"",MATCH($K23,QuarterList,0)&lt;=MATCH($I23,QuarterList,0)),FALSE()),", a backfill quarter later than the leaving quarter","")&amp;IF(AND($C23&lt;&gt;"",COUNTIF(UnitList,$C23)=0),", a unit that is not in your structure",""),3,300))</f>
        <v/>
      </c>
    </row>
    <row r="24" customFormat="false" ht="15" hidden="false" customHeight="false" outlineLevel="0" collapsed="false">
      <c r="A24" s="17" t="n">
        <v>19</v>
      </c>
      <c r="B24" s="21"/>
      <c r="C24" s="21"/>
      <c r="D24" s="21"/>
      <c r="E24" s="21"/>
      <c r="F24" s="21"/>
      <c r="G24" s="21"/>
      <c r="H24" s="21"/>
      <c r="I24" s="21"/>
      <c r="J24" s="21"/>
      <c r="K24" s="21"/>
      <c r="L24" s="24" t="str">
        <f aca="false">IF(OR($D24="",$I24="",$J24=""),"",IF($J24="Surrender to fund new asks",MATCH($I24,QuarterList,0)/4,IF($J24="Defer backfill",IF($K24="",MATCH($I24,QuarterList,0)/4,MIN(1,MATCH($I24,QuarterList,0)/4+(5-MATCH($K24,QuarterList,0))/4)),1)))</f>
        <v/>
      </c>
      <c r="M24" s="19" t="str">
        <f aca="false">IF($L24="","",IFERROR(INDEX(LevelBasic,MATCH($E24,LevelList,0))+INDEX(LevelHousing,MATCH($E24,LevelList,0))+INDEX(LevelTransport,MATCH($E24,LevelList,0))+INDEX(LevelBasic,MATCH($E24,LevelList,0))*INDEX(LevelBonus,MATCH($E24,LevelList,0))+(INDEX(LevelBasic,MATCH($E24,LevelList,0))+INDEX(LevelHousing,MATCH($E24,LevelList,0)))*GosiSaudi,0)*(1-$L24))</f>
        <v/>
      </c>
      <c r="N24" s="19" t="n">
        <f aca="false">IF($J24="Surrender to fund new asks",IFERROR(INDEX(LevelBasic,MATCH($E24,LevelList,0))+INDEX(LevelHousing,MATCH($E24,LevelList,0))+INDEX(LevelTransport,MATCH($E24,LevelList,0))+INDEX(LevelBasic,MATCH($E24,LevelList,0))*INDEX(LevelBonus,MATCH($E24,LevelList,0))+(INDEX(LevelBasic,MATCH($E24,LevelList,0))+INDEX(LevelHousing,MATCH($E24,LevelList,0)))*GosiSaudi,0),0)</f>
        <v>0</v>
      </c>
      <c r="O24" s="23" t="str">
        <f aca="false">IF($D24="","",MID(IF($C24="",", unit","")&amp;IF($E24="",", career level","")&amp;IF($H24="",", reason","")&amp;IF($I24="",", leaving quarter","")&amp;IF($J24="",", what happens to the seat","")&amp;IF(AND($J24="Defer backfill",$K24=""),", the backfill quarter","")&amp;IF(IFERROR(AND($K24&lt;&gt;"",$I24&lt;&gt;"",MATCH($K24,QuarterList,0)&lt;=MATCH($I24,QuarterList,0)),FALSE()),", a backfill quarter later than the leaving quarter","")&amp;IF(AND($C24&lt;&gt;"",COUNTIF(UnitList,$C24)=0),", a unit that is not in your structure",""),3,300))</f>
        <v/>
      </c>
    </row>
    <row r="25" customFormat="false" ht="15" hidden="false" customHeight="false" outlineLevel="0" collapsed="false">
      <c r="A25" s="17" t="n">
        <v>20</v>
      </c>
      <c r="B25" s="21"/>
      <c r="C25" s="21"/>
      <c r="D25" s="21"/>
      <c r="E25" s="21"/>
      <c r="F25" s="21"/>
      <c r="G25" s="21"/>
      <c r="H25" s="21"/>
      <c r="I25" s="21"/>
      <c r="J25" s="21"/>
      <c r="K25" s="21"/>
      <c r="L25" s="24" t="str">
        <f aca="false">IF(OR($D25="",$I25="",$J25=""),"",IF($J25="Surrender to fund new asks",MATCH($I25,QuarterList,0)/4,IF($J25="Defer backfill",IF($K25="",MATCH($I25,QuarterList,0)/4,MIN(1,MATCH($I25,QuarterList,0)/4+(5-MATCH($K25,QuarterList,0))/4)),1)))</f>
        <v/>
      </c>
      <c r="M25" s="19" t="str">
        <f aca="false">IF($L25="","",IFERROR(INDEX(LevelBasic,MATCH($E25,LevelList,0))+INDEX(LevelHousing,MATCH($E25,LevelList,0))+INDEX(LevelTransport,MATCH($E25,LevelList,0))+INDEX(LevelBasic,MATCH($E25,LevelList,0))*INDEX(LevelBonus,MATCH($E25,LevelList,0))+(INDEX(LevelBasic,MATCH($E25,LevelList,0))+INDEX(LevelHousing,MATCH($E25,LevelList,0)))*GosiSaudi,0)*(1-$L25))</f>
        <v/>
      </c>
      <c r="N25" s="19" t="n">
        <f aca="false">IF($J25="Surrender to fund new asks",IFERROR(INDEX(LevelBasic,MATCH($E25,LevelList,0))+INDEX(LevelHousing,MATCH($E25,LevelList,0))+INDEX(LevelTransport,MATCH($E25,LevelList,0))+INDEX(LevelBasic,MATCH($E25,LevelList,0))*INDEX(LevelBonus,MATCH($E25,LevelList,0))+(INDEX(LevelBasic,MATCH($E25,LevelList,0))+INDEX(LevelHousing,MATCH($E25,LevelList,0)))*GosiSaudi,0),0)</f>
        <v>0</v>
      </c>
      <c r="O25" s="23" t="str">
        <f aca="false">IF($D25="","",MID(IF($C25="",", unit","")&amp;IF($E25="",", career level","")&amp;IF($H25="",", reason","")&amp;IF($I25="",", leaving quarter","")&amp;IF($J25="",", what happens to the seat","")&amp;IF(AND($J25="Defer backfill",$K25=""),", the backfill quarter","")&amp;IF(IFERROR(AND($K25&lt;&gt;"",$I25&lt;&gt;"",MATCH($K25,QuarterList,0)&lt;=MATCH($I25,QuarterList,0)),FALSE()),", a backfill quarter later than the leaving quarter","")&amp;IF(AND($C25&lt;&gt;"",COUNTIF(UnitList,$C25)=0),", a unit that is not in your structure",""),3,300))</f>
        <v/>
      </c>
    </row>
    <row r="26" customFormat="false" ht="15" hidden="false" customHeight="false" outlineLevel="0" collapsed="false">
      <c r="A26" s="17" t="n">
        <v>21</v>
      </c>
      <c r="B26" s="21"/>
      <c r="C26" s="21"/>
      <c r="D26" s="21"/>
      <c r="E26" s="21"/>
      <c r="F26" s="21"/>
      <c r="G26" s="21"/>
      <c r="H26" s="21"/>
      <c r="I26" s="21"/>
      <c r="J26" s="21"/>
      <c r="K26" s="21"/>
      <c r="L26" s="24" t="str">
        <f aca="false">IF(OR($D26="",$I26="",$J26=""),"",IF($J26="Surrender to fund new asks",MATCH($I26,QuarterList,0)/4,IF($J26="Defer backfill",IF($K26="",MATCH($I26,QuarterList,0)/4,MIN(1,MATCH($I26,QuarterList,0)/4+(5-MATCH($K26,QuarterList,0))/4)),1)))</f>
        <v/>
      </c>
      <c r="M26" s="19" t="str">
        <f aca="false">IF($L26="","",IFERROR(INDEX(LevelBasic,MATCH($E26,LevelList,0))+INDEX(LevelHousing,MATCH($E26,LevelList,0))+INDEX(LevelTransport,MATCH($E26,LevelList,0))+INDEX(LevelBasic,MATCH($E26,LevelList,0))*INDEX(LevelBonus,MATCH($E26,LevelList,0))+(INDEX(LevelBasic,MATCH($E26,LevelList,0))+INDEX(LevelHousing,MATCH($E26,LevelList,0)))*GosiSaudi,0)*(1-$L26))</f>
        <v/>
      </c>
      <c r="N26" s="19" t="n">
        <f aca="false">IF($J26="Surrender to fund new asks",IFERROR(INDEX(LevelBasic,MATCH($E26,LevelList,0))+INDEX(LevelHousing,MATCH($E26,LevelList,0))+INDEX(LevelTransport,MATCH($E26,LevelList,0))+INDEX(LevelBasic,MATCH($E26,LevelList,0))*INDEX(LevelBonus,MATCH($E26,LevelList,0))+(INDEX(LevelBasic,MATCH($E26,LevelList,0))+INDEX(LevelHousing,MATCH($E26,LevelList,0)))*GosiSaudi,0),0)</f>
        <v>0</v>
      </c>
      <c r="O26" s="23" t="str">
        <f aca="false">IF($D26="","",MID(IF($C26="",", unit","")&amp;IF($E26="",", career level","")&amp;IF($H26="",", reason","")&amp;IF($I26="",", leaving quarter","")&amp;IF($J26="",", what happens to the seat","")&amp;IF(AND($J26="Defer backfill",$K26=""),", the backfill quarter","")&amp;IF(IFERROR(AND($K26&lt;&gt;"",$I26&lt;&gt;"",MATCH($K26,QuarterList,0)&lt;=MATCH($I26,QuarterList,0)),FALSE()),", a backfill quarter later than the leaving quarter","")&amp;IF(AND($C26&lt;&gt;"",COUNTIF(UnitList,$C26)=0),", a unit that is not in your structure",""),3,300))</f>
        <v/>
      </c>
    </row>
    <row r="27" customFormat="false" ht="15" hidden="false" customHeight="false" outlineLevel="0" collapsed="false">
      <c r="A27" s="17" t="n">
        <v>22</v>
      </c>
      <c r="B27" s="21"/>
      <c r="C27" s="21"/>
      <c r="D27" s="21"/>
      <c r="E27" s="21"/>
      <c r="F27" s="21"/>
      <c r="G27" s="21"/>
      <c r="H27" s="21"/>
      <c r="I27" s="21"/>
      <c r="J27" s="21"/>
      <c r="K27" s="21"/>
      <c r="L27" s="24" t="str">
        <f aca="false">IF(OR($D27="",$I27="",$J27=""),"",IF($J27="Surrender to fund new asks",MATCH($I27,QuarterList,0)/4,IF($J27="Defer backfill",IF($K27="",MATCH($I27,QuarterList,0)/4,MIN(1,MATCH($I27,QuarterList,0)/4+(5-MATCH($K27,QuarterList,0))/4)),1)))</f>
        <v/>
      </c>
      <c r="M27" s="19" t="str">
        <f aca="false">IF($L27="","",IFERROR(INDEX(LevelBasic,MATCH($E27,LevelList,0))+INDEX(LevelHousing,MATCH($E27,LevelList,0))+INDEX(LevelTransport,MATCH($E27,LevelList,0))+INDEX(LevelBasic,MATCH($E27,LevelList,0))*INDEX(LevelBonus,MATCH($E27,LevelList,0))+(INDEX(LevelBasic,MATCH($E27,LevelList,0))+INDEX(LevelHousing,MATCH($E27,LevelList,0)))*GosiSaudi,0)*(1-$L27))</f>
        <v/>
      </c>
      <c r="N27" s="19" t="n">
        <f aca="false">IF($J27="Surrender to fund new asks",IFERROR(INDEX(LevelBasic,MATCH($E27,LevelList,0))+INDEX(LevelHousing,MATCH($E27,LevelList,0))+INDEX(LevelTransport,MATCH($E27,LevelList,0))+INDEX(LevelBasic,MATCH($E27,LevelList,0))*INDEX(LevelBonus,MATCH($E27,LevelList,0))+(INDEX(LevelBasic,MATCH($E27,LevelList,0))+INDEX(LevelHousing,MATCH($E27,LevelList,0)))*GosiSaudi,0),0)</f>
        <v>0</v>
      </c>
      <c r="O27" s="23" t="str">
        <f aca="false">IF($D27="","",MID(IF($C27="",", unit","")&amp;IF($E27="",", career level","")&amp;IF($H27="",", reason","")&amp;IF($I27="",", leaving quarter","")&amp;IF($J27="",", what happens to the seat","")&amp;IF(AND($J27="Defer backfill",$K27=""),", the backfill quarter","")&amp;IF(IFERROR(AND($K27&lt;&gt;"",$I27&lt;&gt;"",MATCH($K27,QuarterList,0)&lt;=MATCH($I27,QuarterList,0)),FALSE()),", a backfill quarter later than the leaving quarter","")&amp;IF(AND($C27&lt;&gt;"",COUNTIF(UnitList,$C27)=0),", a unit that is not in your structure",""),3,300))</f>
        <v/>
      </c>
    </row>
    <row r="28" customFormat="false" ht="15" hidden="false" customHeight="false" outlineLevel="0" collapsed="false">
      <c r="A28" s="17" t="n">
        <v>23</v>
      </c>
      <c r="B28" s="21"/>
      <c r="C28" s="21"/>
      <c r="D28" s="21"/>
      <c r="E28" s="21"/>
      <c r="F28" s="21"/>
      <c r="G28" s="21"/>
      <c r="H28" s="21"/>
      <c r="I28" s="21"/>
      <c r="J28" s="21"/>
      <c r="K28" s="21"/>
      <c r="L28" s="24" t="str">
        <f aca="false">IF(OR($D28="",$I28="",$J28=""),"",IF($J28="Surrender to fund new asks",MATCH($I28,QuarterList,0)/4,IF($J28="Defer backfill",IF($K28="",MATCH($I28,QuarterList,0)/4,MIN(1,MATCH($I28,QuarterList,0)/4+(5-MATCH($K28,QuarterList,0))/4)),1)))</f>
        <v/>
      </c>
      <c r="M28" s="19" t="str">
        <f aca="false">IF($L28="","",IFERROR(INDEX(LevelBasic,MATCH($E28,LevelList,0))+INDEX(LevelHousing,MATCH($E28,LevelList,0))+INDEX(LevelTransport,MATCH($E28,LevelList,0))+INDEX(LevelBasic,MATCH($E28,LevelList,0))*INDEX(LevelBonus,MATCH($E28,LevelList,0))+(INDEX(LevelBasic,MATCH($E28,LevelList,0))+INDEX(LevelHousing,MATCH($E28,LevelList,0)))*GosiSaudi,0)*(1-$L28))</f>
        <v/>
      </c>
      <c r="N28" s="19" t="n">
        <f aca="false">IF($J28="Surrender to fund new asks",IFERROR(INDEX(LevelBasic,MATCH($E28,LevelList,0))+INDEX(LevelHousing,MATCH($E28,LevelList,0))+INDEX(LevelTransport,MATCH($E28,LevelList,0))+INDEX(LevelBasic,MATCH($E28,LevelList,0))*INDEX(LevelBonus,MATCH($E28,LevelList,0))+(INDEX(LevelBasic,MATCH($E28,LevelList,0))+INDEX(LevelHousing,MATCH($E28,LevelList,0)))*GosiSaudi,0),0)</f>
        <v>0</v>
      </c>
      <c r="O28" s="23" t="str">
        <f aca="false">IF($D28="","",MID(IF($C28="",", unit","")&amp;IF($E28="",", career level","")&amp;IF($H28="",", reason","")&amp;IF($I28="",", leaving quarter","")&amp;IF($J28="",", what happens to the seat","")&amp;IF(AND($J28="Defer backfill",$K28=""),", the backfill quarter","")&amp;IF(IFERROR(AND($K28&lt;&gt;"",$I28&lt;&gt;"",MATCH($K28,QuarterList,0)&lt;=MATCH($I28,QuarterList,0)),FALSE()),", a backfill quarter later than the leaving quarter","")&amp;IF(AND($C28&lt;&gt;"",COUNTIF(UnitList,$C28)=0),", a unit that is not in your structure",""),3,300))</f>
        <v/>
      </c>
    </row>
    <row r="29" customFormat="false" ht="15" hidden="false" customHeight="false" outlineLevel="0" collapsed="false">
      <c r="A29" s="17" t="n">
        <v>24</v>
      </c>
      <c r="B29" s="21"/>
      <c r="C29" s="21"/>
      <c r="D29" s="21"/>
      <c r="E29" s="21"/>
      <c r="F29" s="21"/>
      <c r="G29" s="21"/>
      <c r="H29" s="21"/>
      <c r="I29" s="21"/>
      <c r="J29" s="21"/>
      <c r="K29" s="21"/>
      <c r="L29" s="24" t="str">
        <f aca="false">IF(OR($D29="",$I29="",$J29=""),"",IF($J29="Surrender to fund new asks",MATCH($I29,QuarterList,0)/4,IF($J29="Defer backfill",IF($K29="",MATCH($I29,QuarterList,0)/4,MIN(1,MATCH($I29,QuarterList,0)/4+(5-MATCH($K29,QuarterList,0))/4)),1)))</f>
        <v/>
      </c>
      <c r="M29" s="19" t="str">
        <f aca="false">IF($L29="","",IFERROR(INDEX(LevelBasic,MATCH($E29,LevelList,0))+INDEX(LevelHousing,MATCH($E29,LevelList,0))+INDEX(LevelTransport,MATCH($E29,LevelList,0))+INDEX(LevelBasic,MATCH($E29,LevelList,0))*INDEX(LevelBonus,MATCH($E29,LevelList,0))+(INDEX(LevelBasic,MATCH($E29,LevelList,0))+INDEX(LevelHousing,MATCH($E29,LevelList,0)))*GosiSaudi,0)*(1-$L29))</f>
        <v/>
      </c>
      <c r="N29" s="19" t="n">
        <f aca="false">IF($J29="Surrender to fund new asks",IFERROR(INDEX(LevelBasic,MATCH($E29,LevelList,0))+INDEX(LevelHousing,MATCH($E29,LevelList,0))+INDEX(LevelTransport,MATCH($E29,LevelList,0))+INDEX(LevelBasic,MATCH($E29,LevelList,0))*INDEX(LevelBonus,MATCH($E29,LevelList,0))+(INDEX(LevelBasic,MATCH($E29,LevelList,0))+INDEX(LevelHousing,MATCH($E29,LevelList,0)))*GosiSaudi,0),0)</f>
        <v>0</v>
      </c>
      <c r="O29" s="23" t="str">
        <f aca="false">IF($D29="","",MID(IF($C29="",", unit","")&amp;IF($E29="",", career level","")&amp;IF($H29="",", reason","")&amp;IF($I29="",", leaving quarter","")&amp;IF($J29="",", what happens to the seat","")&amp;IF(AND($J29="Defer backfill",$K29=""),", the backfill quarter","")&amp;IF(IFERROR(AND($K29&lt;&gt;"",$I29&lt;&gt;"",MATCH($K29,QuarterList,0)&lt;=MATCH($I29,QuarterList,0)),FALSE()),", a backfill quarter later than the leaving quarter","")&amp;IF(AND($C29&lt;&gt;"",COUNTIF(UnitList,$C29)=0),", a unit that is not in your structure",""),3,300))</f>
        <v/>
      </c>
    </row>
    <row r="30" customFormat="false" ht="15" hidden="false" customHeight="false" outlineLevel="0" collapsed="false">
      <c r="A30" s="17" t="n">
        <v>25</v>
      </c>
      <c r="B30" s="21"/>
      <c r="C30" s="21"/>
      <c r="D30" s="21"/>
      <c r="E30" s="21"/>
      <c r="F30" s="21"/>
      <c r="G30" s="21"/>
      <c r="H30" s="21"/>
      <c r="I30" s="21"/>
      <c r="J30" s="21"/>
      <c r="K30" s="21"/>
      <c r="L30" s="24" t="str">
        <f aca="false">IF(OR($D30="",$I30="",$J30=""),"",IF($J30="Surrender to fund new asks",MATCH($I30,QuarterList,0)/4,IF($J30="Defer backfill",IF($K30="",MATCH($I30,QuarterList,0)/4,MIN(1,MATCH($I30,QuarterList,0)/4+(5-MATCH($K30,QuarterList,0))/4)),1)))</f>
        <v/>
      </c>
      <c r="M30" s="19" t="str">
        <f aca="false">IF($L30="","",IFERROR(INDEX(LevelBasic,MATCH($E30,LevelList,0))+INDEX(LevelHousing,MATCH($E30,LevelList,0))+INDEX(LevelTransport,MATCH($E30,LevelList,0))+INDEX(LevelBasic,MATCH($E30,LevelList,0))*INDEX(LevelBonus,MATCH($E30,LevelList,0))+(INDEX(LevelBasic,MATCH($E30,LevelList,0))+INDEX(LevelHousing,MATCH($E30,LevelList,0)))*GosiSaudi,0)*(1-$L30))</f>
        <v/>
      </c>
      <c r="N30" s="19" t="n">
        <f aca="false">IF($J30="Surrender to fund new asks",IFERROR(INDEX(LevelBasic,MATCH($E30,LevelList,0))+INDEX(LevelHousing,MATCH($E30,LevelList,0))+INDEX(LevelTransport,MATCH($E30,LevelList,0))+INDEX(LevelBasic,MATCH($E30,LevelList,0))*INDEX(LevelBonus,MATCH($E30,LevelList,0))+(INDEX(LevelBasic,MATCH($E30,LevelList,0))+INDEX(LevelHousing,MATCH($E30,LevelList,0)))*GosiSaudi,0),0)</f>
        <v>0</v>
      </c>
      <c r="O30" s="23" t="str">
        <f aca="false">IF($D30="","",MID(IF($C30="",", unit","")&amp;IF($E30="",", career level","")&amp;IF($H30="",", reason","")&amp;IF($I30="",", leaving quarter","")&amp;IF($J30="",", what happens to the seat","")&amp;IF(AND($J30="Defer backfill",$K30=""),", the backfill quarter","")&amp;IF(IFERROR(AND($K30&lt;&gt;"",$I30&lt;&gt;"",MATCH($K30,QuarterList,0)&lt;=MATCH($I30,QuarterList,0)),FALSE()),", a backfill quarter later than the leaving quarter","")&amp;IF(AND($C30&lt;&gt;"",COUNTIF(UnitList,$C30)=0),", a unit that is not in your structure",""),3,300))</f>
        <v/>
      </c>
    </row>
    <row r="31" customFormat="false" ht="15" hidden="false" customHeight="false" outlineLevel="0" collapsed="false">
      <c r="A31" s="17" t="n">
        <v>26</v>
      </c>
      <c r="B31" s="21"/>
      <c r="C31" s="21"/>
      <c r="D31" s="21"/>
      <c r="E31" s="21"/>
      <c r="F31" s="21"/>
      <c r="G31" s="21"/>
      <c r="H31" s="21"/>
      <c r="I31" s="21"/>
      <c r="J31" s="21"/>
      <c r="K31" s="21"/>
      <c r="L31" s="24" t="str">
        <f aca="false">IF(OR($D31="",$I31="",$J31=""),"",IF($J31="Surrender to fund new asks",MATCH($I31,QuarterList,0)/4,IF($J31="Defer backfill",IF($K31="",MATCH($I31,QuarterList,0)/4,MIN(1,MATCH($I31,QuarterList,0)/4+(5-MATCH($K31,QuarterList,0))/4)),1)))</f>
        <v/>
      </c>
      <c r="M31" s="19" t="str">
        <f aca="false">IF($L31="","",IFERROR(INDEX(LevelBasic,MATCH($E31,LevelList,0))+INDEX(LevelHousing,MATCH($E31,LevelList,0))+INDEX(LevelTransport,MATCH($E31,LevelList,0))+INDEX(LevelBasic,MATCH($E31,LevelList,0))*INDEX(LevelBonus,MATCH($E31,LevelList,0))+(INDEX(LevelBasic,MATCH($E31,LevelList,0))+INDEX(LevelHousing,MATCH($E31,LevelList,0)))*GosiSaudi,0)*(1-$L31))</f>
        <v/>
      </c>
      <c r="N31" s="19" t="n">
        <f aca="false">IF($J31="Surrender to fund new asks",IFERROR(INDEX(LevelBasic,MATCH($E31,LevelList,0))+INDEX(LevelHousing,MATCH($E31,LevelList,0))+INDEX(LevelTransport,MATCH($E31,LevelList,0))+INDEX(LevelBasic,MATCH($E31,LevelList,0))*INDEX(LevelBonus,MATCH($E31,LevelList,0))+(INDEX(LevelBasic,MATCH($E31,LevelList,0))+INDEX(LevelHousing,MATCH($E31,LevelList,0)))*GosiSaudi,0),0)</f>
        <v>0</v>
      </c>
      <c r="O31" s="23" t="str">
        <f aca="false">IF($D31="","",MID(IF($C31="",", unit","")&amp;IF($E31="",", career level","")&amp;IF($H31="",", reason","")&amp;IF($I31="",", leaving quarter","")&amp;IF($J31="",", what happens to the seat","")&amp;IF(AND($J31="Defer backfill",$K31=""),", the backfill quarter","")&amp;IF(IFERROR(AND($K31&lt;&gt;"",$I31&lt;&gt;"",MATCH($K31,QuarterList,0)&lt;=MATCH($I31,QuarterList,0)),FALSE()),", a backfill quarter later than the leaving quarter","")&amp;IF(AND($C31&lt;&gt;"",COUNTIF(UnitList,$C31)=0),", a unit that is not in your structure",""),3,300))</f>
        <v/>
      </c>
    </row>
    <row r="32" customFormat="false" ht="15" hidden="false" customHeight="false" outlineLevel="0" collapsed="false">
      <c r="A32" s="17" t="n">
        <v>27</v>
      </c>
      <c r="B32" s="21"/>
      <c r="C32" s="21"/>
      <c r="D32" s="21"/>
      <c r="E32" s="21"/>
      <c r="F32" s="21"/>
      <c r="G32" s="21"/>
      <c r="H32" s="21"/>
      <c r="I32" s="21"/>
      <c r="J32" s="21"/>
      <c r="K32" s="21"/>
      <c r="L32" s="24" t="str">
        <f aca="false">IF(OR($D32="",$I32="",$J32=""),"",IF($J32="Surrender to fund new asks",MATCH($I32,QuarterList,0)/4,IF($J32="Defer backfill",IF($K32="",MATCH($I32,QuarterList,0)/4,MIN(1,MATCH($I32,QuarterList,0)/4+(5-MATCH($K32,QuarterList,0))/4)),1)))</f>
        <v/>
      </c>
      <c r="M32" s="19" t="str">
        <f aca="false">IF($L32="","",IFERROR(INDEX(LevelBasic,MATCH($E32,LevelList,0))+INDEX(LevelHousing,MATCH($E32,LevelList,0))+INDEX(LevelTransport,MATCH($E32,LevelList,0))+INDEX(LevelBasic,MATCH($E32,LevelList,0))*INDEX(LevelBonus,MATCH($E32,LevelList,0))+(INDEX(LevelBasic,MATCH($E32,LevelList,0))+INDEX(LevelHousing,MATCH($E32,LevelList,0)))*GosiSaudi,0)*(1-$L32))</f>
        <v/>
      </c>
      <c r="N32" s="19" t="n">
        <f aca="false">IF($J32="Surrender to fund new asks",IFERROR(INDEX(LevelBasic,MATCH($E32,LevelList,0))+INDEX(LevelHousing,MATCH($E32,LevelList,0))+INDEX(LevelTransport,MATCH($E32,LevelList,0))+INDEX(LevelBasic,MATCH($E32,LevelList,0))*INDEX(LevelBonus,MATCH($E32,LevelList,0))+(INDEX(LevelBasic,MATCH($E32,LevelList,0))+INDEX(LevelHousing,MATCH($E32,LevelList,0)))*GosiSaudi,0),0)</f>
        <v>0</v>
      </c>
      <c r="O32" s="23" t="str">
        <f aca="false">IF($D32="","",MID(IF($C32="",", unit","")&amp;IF($E32="",", career level","")&amp;IF($H32="",", reason","")&amp;IF($I32="",", leaving quarter","")&amp;IF($J32="",", what happens to the seat","")&amp;IF(AND($J32="Defer backfill",$K32=""),", the backfill quarter","")&amp;IF(IFERROR(AND($K32&lt;&gt;"",$I32&lt;&gt;"",MATCH($K32,QuarterList,0)&lt;=MATCH($I32,QuarterList,0)),FALSE()),", a backfill quarter later than the leaving quarter","")&amp;IF(AND($C32&lt;&gt;"",COUNTIF(UnitList,$C32)=0),", a unit that is not in your structure",""),3,300))</f>
        <v/>
      </c>
    </row>
    <row r="33" customFormat="false" ht="15" hidden="false" customHeight="false" outlineLevel="0" collapsed="false">
      <c r="A33" s="17" t="n">
        <v>28</v>
      </c>
      <c r="B33" s="21"/>
      <c r="C33" s="21"/>
      <c r="D33" s="21"/>
      <c r="E33" s="21"/>
      <c r="F33" s="21"/>
      <c r="G33" s="21"/>
      <c r="H33" s="21"/>
      <c r="I33" s="21"/>
      <c r="J33" s="21"/>
      <c r="K33" s="21"/>
      <c r="L33" s="24" t="str">
        <f aca="false">IF(OR($D33="",$I33="",$J33=""),"",IF($J33="Surrender to fund new asks",MATCH($I33,QuarterList,0)/4,IF($J33="Defer backfill",IF($K33="",MATCH($I33,QuarterList,0)/4,MIN(1,MATCH($I33,QuarterList,0)/4+(5-MATCH($K33,QuarterList,0))/4)),1)))</f>
        <v/>
      </c>
      <c r="M33" s="19" t="str">
        <f aca="false">IF($L33="","",IFERROR(INDEX(LevelBasic,MATCH($E33,LevelList,0))+INDEX(LevelHousing,MATCH($E33,LevelList,0))+INDEX(LevelTransport,MATCH($E33,LevelList,0))+INDEX(LevelBasic,MATCH($E33,LevelList,0))*INDEX(LevelBonus,MATCH($E33,LevelList,0))+(INDEX(LevelBasic,MATCH($E33,LevelList,0))+INDEX(LevelHousing,MATCH($E33,LevelList,0)))*GosiSaudi,0)*(1-$L33))</f>
        <v/>
      </c>
      <c r="N33" s="19" t="n">
        <f aca="false">IF($J33="Surrender to fund new asks",IFERROR(INDEX(LevelBasic,MATCH($E33,LevelList,0))+INDEX(LevelHousing,MATCH($E33,LevelList,0))+INDEX(LevelTransport,MATCH($E33,LevelList,0))+INDEX(LevelBasic,MATCH($E33,LevelList,0))*INDEX(LevelBonus,MATCH($E33,LevelList,0))+(INDEX(LevelBasic,MATCH($E33,LevelList,0))+INDEX(LevelHousing,MATCH($E33,LevelList,0)))*GosiSaudi,0),0)</f>
        <v>0</v>
      </c>
      <c r="O33" s="23" t="str">
        <f aca="false">IF($D33="","",MID(IF($C33="",", unit","")&amp;IF($E33="",", career level","")&amp;IF($H33="",", reason","")&amp;IF($I33="",", leaving quarter","")&amp;IF($J33="",", what happens to the seat","")&amp;IF(AND($J33="Defer backfill",$K33=""),", the backfill quarter","")&amp;IF(IFERROR(AND($K33&lt;&gt;"",$I33&lt;&gt;"",MATCH($K33,QuarterList,0)&lt;=MATCH($I33,QuarterList,0)),FALSE()),", a backfill quarter later than the leaving quarter","")&amp;IF(AND($C33&lt;&gt;"",COUNTIF(UnitList,$C33)=0),", a unit that is not in your structure",""),3,300))</f>
        <v/>
      </c>
    </row>
    <row r="34" customFormat="false" ht="15" hidden="false" customHeight="false" outlineLevel="0" collapsed="false">
      <c r="A34" s="17" t="n">
        <v>29</v>
      </c>
      <c r="B34" s="21"/>
      <c r="C34" s="21"/>
      <c r="D34" s="21"/>
      <c r="E34" s="21"/>
      <c r="F34" s="21"/>
      <c r="G34" s="21"/>
      <c r="H34" s="21"/>
      <c r="I34" s="21"/>
      <c r="J34" s="21"/>
      <c r="K34" s="21"/>
      <c r="L34" s="24" t="str">
        <f aca="false">IF(OR($D34="",$I34="",$J34=""),"",IF($J34="Surrender to fund new asks",MATCH($I34,QuarterList,0)/4,IF($J34="Defer backfill",IF($K34="",MATCH($I34,QuarterList,0)/4,MIN(1,MATCH($I34,QuarterList,0)/4+(5-MATCH($K34,QuarterList,0))/4)),1)))</f>
        <v/>
      </c>
      <c r="M34" s="19" t="str">
        <f aca="false">IF($L34="","",IFERROR(INDEX(LevelBasic,MATCH($E34,LevelList,0))+INDEX(LevelHousing,MATCH($E34,LevelList,0))+INDEX(LevelTransport,MATCH($E34,LevelList,0))+INDEX(LevelBasic,MATCH($E34,LevelList,0))*INDEX(LevelBonus,MATCH($E34,LevelList,0))+(INDEX(LevelBasic,MATCH($E34,LevelList,0))+INDEX(LevelHousing,MATCH($E34,LevelList,0)))*GosiSaudi,0)*(1-$L34))</f>
        <v/>
      </c>
      <c r="N34" s="19" t="n">
        <f aca="false">IF($J34="Surrender to fund new asks",IFERROR(INDEX(LevelBasic,MATCH($E34,LevelList,0))+INDEX(LevelHousing,MATCH($E34,LevelList,0))+INDEX(LevelTransport,MATCH($E34,LevelList,0))+INDEX(LevelBasic,MATCH($E34,LevelList,0))*INDEX(LevelBonus,MATCH($E34,LevelList,0))+(INDEX(LevelBasic,MATCH($E34,LevelList,0))+INDEX(LevelHousing,MATCH($E34,LevelList,0)))*GosiSaudi,0),0)</f>
        <v>0</v>
      </c>
      <c r="O34" s="23" t="str">
        <f aca="false">IF($D34="","",MID(IF($C34="",", unit","")&amp;IF($E34="",", career level","")&amp;IF($H34="",", reason","")&amp;IF($I34="",", leaving quarter","")&amp;IF($J34="",", what happens to the seat","")&amp;IF(AND($J34="Defer backfill",$K34=""),", the backfill quarter","")&amp;IF(IFERROR(AND($K34&lt;&gt;"",$I34&lt;&gt;"",MATCH($K34,QuarterList,0)&lt;=MATCH($I34,QuarterList,0)),FALSE()),", a backfill quarter later than the leaving quarter","")&amp;IF(AND($C34&lt;&gt;"",COUNTIF(UnitList,$C34)=0),", a unit that is not in your structure",""),3,300))</f>
        <v/>
      </c>
    </row>
    <row r="35" customFormat="false" ht="15" hidden="false" customHeight="false" outlineLevel="0" collapsed="false">
      <c r="A35" s="17" t="n">
        <v>30</v>
      </c>
      <c r="B35" s="21"/>
      <c r="C35" s="21"/>
      <c r="D35" s="21"/>
      <c r="E35" s="21"/>
      <c r="F35" s="21"/>
      <c r="G35" s="21"/>
      <c r="H35" s="21"/>
      <c r="I35" s="21"/>
      <c r="J35" s="21"/>
      <c r="K35" s="21"/>
      <c r="L35" s="24" t="str">
        <f aca="false">IF(OR($D35="",$I35="",$J35=""),"",IF($J35="Surrender to fund new asks",MATCH($I35,QuarterList,0)/4,IF($J35="Defer backfill",IF($K35="",MATCH($I35,QuarterList,0)/4,MIN(1,MATCH($I35,QuarterList,0)/4+(5-MATCH($K35,QuarterList,0))/4)),1)))</f>
        <v/>
      </c>
      <c r="M35" s="19" t="str">
        <f aca="false">IF($L35="","",IFERROR(INDEX(LevelBasic,MATCH($E35,LevelList,0))+INDEX(LevelHousing,MATCH($E35,LevelList,0))+INDEX(LevelTransport,MATCH($E35,LevelList,0))+INDEX(LevelBasic,MATCH($E35,LevelList,0))*INDEX(LevelBonus,MATCH($E35,LevelList,0))+(INDEX(LevelBasic,MATCH($E35,LevelList,0))+INDEX(LevelHousing,MATCH($E35,LevelList,0)))*GosiSaudi,0)*(1-$L35))</f>
        <v/>
      </c>
      <c r="N35" s="19" t="n">
        <f aca="false">IF($J35="Surrender to fund new asks",IFERROR(INDEX(LevelBasic,MATCH($E35,LevelList,0))+INDEX(LevelHousing,MATCH($E35,LevelList,0))+INDEX(LevelTransport,MATCH($E35,LevelList,0))+INDEX(LevelBasic,MATCH($E35,LevelList,0))*INDEX(LevelBonus,MATCH($E35,LevelList,0))+(INDEX(LevelBasic,MATCH($E35,LevelList,0))+INDEX(LevelHousing,MATCH($E35,LevelList,0)))*GosiSaudi,0),0)</f>
        <v>0</v>
      </c>
      <c r="O35" s="23" t="str">
        <f aca="false">IF($D35="","",MID(IF($C35="",", unit","")&amp;IF($E35="",", career level","")&amp;IF($H35="",", reason","")&amp;IF($I35="",", leaving quarter","")&amp;IF($J35="",", what happens to the seat","")&amp;IF(AND($J35="Defer backfill",$K35=""),", the backfill quarter","")&amp;IF(IFERROR(AND($K35&lt;&gt;"",$I35&lt;&gt;"",MATCH($K35,QuarterList,0)&lt;=MATCH($I35,QuarterList,0)),FALSE()),", a backfill quarter later than the leaving quarter","")&amp;IF(AND($C35&lt;&gt;"",COUNTIF(UnitList,$C35)=0),", a unit that is not in your structure",""),3,300))</f>
        <v/>
      </c>
    </row>
    <row r="36" customFormat="false" ht="15" hidden="false" customHeight="false" outlineLevel="0" collapsed="false">
      <c r="A36" s="17" t="n">
        <v>31</v>
      </c>
      <c r="B36" s="21"/>
      <c r="C36" s="21"/>
      <c r="D36" s="21"/>
      <c r="E36" s="21"/>
      <c r="F36" s="21"/>
      <c r="G36" s="21"/>
      <c r="H36" s="21"/>
      <c r="I36" s="21"/>
      <c r="J36" s="21"/>
      <c r="K36" s="21"/>
      <c r="L36" s="24" t="str">
        <f aca="false">IF(OR($D36="",$I36="",$J36=""),"",IF($J36="Surrender to fund new asks",MATCH($I36,QuarterList,0)/4,IF($J36="Defer backfill",IF($K36="",MATCH($I36,QuarterList,0)/4,MIN(1,MATCH($I36,QuarterList,0)/4+(5-MATCH($K36,QuarterList,0))/4)),1)))</f>
        <v/>
      </c>
      <c r="M36" s="19" t="str">
        <f aca="false">IF($L36="","",IFERROR(INDEX(LevelBasic,MATCH($E36,LevelList,0))+INDEX(LevelHousing,MATCH($E36,LevelList,0))+INDEX(LevelTransport,MATCH($E36,LevelList,0))+INDEX(LevelBasic,MATCH($E36,LevelList,0))*INDEX(LevelBonus,MATCH($E36,LevelList,0))+(INDEX(LevelBasic,MATCH($E36,LevelList,0))+INDEX(LevelHousing,MATCH($E36,LevelList,0)))*GosiSaudi,0)*(1-$L36))</f>
        <v/>
      </c>
      <c r="N36" s="19" t="n">
        <f aca="false">IF($J36="Surrender to fund new asks",IFERROR(INDEX(LevelBasic,MATCH($E36,LevelList,0))+INDEX(LevelHousing,MATCH($E36,LevelList,0))+INDEX(LevelTransport,MATCH($E36,LevelList,0))+INDEX(LevelBasic,MATCH($E36,LevelList,0))*INDEX(LevelBonus,MATCH($E36,LevelList,0))+(INDEX(LevelBasic,MATCH($E36,LevelList,0))+INDEX(LevelHousing,MATCH($E36,LevelList,0)))*GosiSaudi,0),0)</f>
        <v>0</v>
      </c>
      <c r="O36" s="23" t="str">
        <f aca="false">IF($D36="","",MID(IF($C36="",", unit","")&amp;IF($E36="",", career level","")&amp;IF($H36="",", reason","")&amp;IF($I36="",", leaving quarter","")&amp;IF($J36="",", what happens to the seat","")&amp;IF(AND($J36="Defer backfill",$K36=""),", the backfill quarter","")&amp;IF(IFERROR(AND($K36&lt;&gt;"",$I36&lt;&gt;"",MATCH($K36,QuarterList,0)&lt;=MATCH($I36,QuarterList,0)),FALSE()),", a backfill quarter later than the leaving quarter","")&amp;IF(AND($C36&lt;&gt;"",COUNTIF(UnitList,$C36)=0),", a unit that is not in your structure",""),3,300))</f>
        <v/>
      </c>
    </row>
    <row r="37" customFormat="false" ht="15" hidden="false" customHeight="false" outlineLevel="0" collapsed="false">
      <c r="A37" s="17" t="n">
        <v>32</v>
      </c>
      <c r="B37" s="21"/>
      <c r="C37" s="21"/>
      <c r="D37" s="21"/>
      <c r="E37" s="21"/>
      <c r="F37" s="21"/>
      <c r="G37" s="21"/>
      <c r="H37" s="21"/>
      <c r="I37" s="21"/>
      <c r="J37" s="21"/>
      <c r="K37" s="21"/>
      <c r="L37" s="24" t="str">
        <f aca="false">IF(OR($D37="",$I37="",$J37=""),"",IF($J37="Surrender to fund new asks",MATCH($I37,QuarterList,0)/4,IF($J37="Defer backfill",IF($K37="",MATCH($I37,QuarterList,0)/4,MIN(1,MATCH($I37,QuarterList,0)/4+(5-MATCH($K37,QuarterList,0))/4)),1)))</f>
        <v/>
      </c>
      <c r="M37" s="19" t="str">
        <f aca="false">IF($L37="","",IFERROR(INDEX(LevelBasic,MATCH($E37,LevelList,0))+INDEX(LevelHousing,MATCH($E37,LevelList,0))+INDEX(LevelTransport,MATCH($E37,LevelList,0))+INDEX(LevelBasic,MATCH($E37,LevelList,0))*INDEX(LevelBonus,MATCH($E37,LevelList,0))+(INDEX(LevelBasic,MATCH($E37,LevelList,0))+INDEX(LevelHousing,MATCH($E37,LevelList,0)))*GosiSaudi,0)*(1-$L37))</f>
        <v/>
      </c>
      <c r="N37" s="19" t="n">
        <f aca="false">IF($J37="Surrender to fund new asks",IFERROR(INDEX(LevelBasic,MATCH($E37,LevelList,0))+INDEX(LevelHousing,MATCH($E37,LevelList,0))+INDEX(LevelTransport,MATCH($E37,LevelList,0))+INDEX(LevelBasic,MATCH($E37,LevelList,0))*INDEX(LevelBonus,MATCH($E37,LevelList,0))+(INDEX(LevelBasic,MATCH($E37,LevelList,0))+INDEX(LevelHousing,MATCH($E37,LevelList,0)))*GosiSaudi,0),0)</f>
        <v>0</v>
      </c>
      <c r="O37" s="23" t="str">
        <f aca="false">IF($D37="","",MID(IF($C37="",", unit","")&amp;IF($E37="",", career level","")&amp;IF($H37="",", reason","")&amp;IF($I37="",", leaving quarter","")&amp;IF($J37="",", what happens to the seat","")&amp;IF(AND($J37="Defer backfill",$K37=""),", the backfill quarter","")&amp;IF(IFERROR(AND($K37&lt;&gt;"",$I37&lt;&gt;"",MATCH($K37,QuarterList,0)&lt;=MATCH($I37,QuarterList,0)),FALSE()),", a backfill quarter later than the leaving quarter","")&amp;IF(AND($C37&lt;&gt;"",COUNTIF(UnitList,$C37)=0),", a unit that is not in your structure",""),3,300))</f>
        <v/>
      </c>
    </row>
    <row r="38" customFormat="false" ht="15" hidden="false" customHeight="false" outlineLevel="0" collapsed="false">
      <c r="A38" s="17" t="n">
        <v>33</v>
      </c>
      <c r="B38" s="21"/>
      <c r="C38" s="21"/>
      <c r="D38" s="21"/>
      <c r="E38" s="21"/>
      <c r="F38" s="21"/>
      <c r="G38" s="21"/>
      <c r="H38" s="21"/>
      <c r="I38" s="21"/>
      <c r="J38" s="21"/>
      <c r="K38" s="21"/>
      <c r="L38" s="24" t="str">
        <f aca="false">IF(OR($D38="",$I38="",$J38=""),"",IF($J38="Surrender to fund new asks",MATCH($I38,QuarterList,0)/4,IF($J38="Defer backfill",IF($K38="",MATCH($I38,QuarterList,0)/4,MIN(1,MATCH($I38,QuarterList,0)/4+(5-MATCH($K38,QuarterList,0))/4)),1)))</f>
        <v/>
      </c>
      <c r="M38" s="19" t="str">
        <f aca="false">IF($L38="","",IFERROR(INDEX(LevelBasic,MATCH($E38,LevelList,0))+INDEX(LevelHousing,MATCH($E38,LevelList,0))+INDEX(LevelTransport,MATCH($E38,LevelList,0))+INDEX(LevelBasic,MATCH($E38,LevelList,0))*INDEX(LevelBonus,MATCH($E38,LevelList,0))+(INDEX(LevelBasic,MATCH($E38,LevelList,0))+INDEX(LevelHousing,MATCH($E38,LevelList,0)))*GosiSaudi,0)*(1-$L38))</f>
        <v/>
      </c>
      <c r="N38" s="19" t="n">
        <f aca="false">IF($J38="Surrender to fund new asks",IFERROR(INDEX(LevelBasic,MATCH($E38,LevelList,0))+INDEX(LevelHousing,MATCH($E38,LevelList,0))+INDEX(LevelTransport,MATCH($E38,LevelList,0))+INDEX(LevelBasic,MATCH($E38,LevelList,0))*INDEX(LevelBonus,MATCH($E38,LevelList,0))+(INDEX(LevelBasic,MATCH($E38,LevelList,0))+INDEX(LevelHousing,MATCH($E38,LevelList,0)))*GosiSaudi,0),0)</f>
        <v>0</v>
      </c>
      <c r="O38" s="23" t="str">
        <f aca="false">IF($D38="","",MID(IF($C38="",", unit","")&amp;IF($E38="",", career level","")&amp;IF($H38="",", reason","")&amp;IF($I38="",", leaving quarter","")&amp;IF($J38="",", what happens to the seat","")&amp;IF(AND($J38="Defer backfill",$K38=""),", the backfill quarter","")&amp;IF(IFERROR(AND($K38&lt;&gt;"",$I38&lt;&gt;"",MATCH($K38,QuarterList,0)&lt;=MATCH($I38,QuarterList,0)),FALSE()),", a backfill quarter later than the leaving quarter","")&amp;IF(AND($C38&lt;&gt;"",COUNTIF(UnitList,$C38)=0),", a unit that is not in your structure",""),3,300))</f>
        <v/>
      </c>
    </row>
    <row r="39" customFormat="false" ht="15" hidden="false" customHeight="false" outlineLevel="0" collapsed="false">
      <c r="A39" s="17" t="n">
        <v>34</v>
      </c>
      <c r="B39" s="21"/>
      <c r="C39" s="21"/>
      <c r="D39" s="21"/>
      <c r="E39" s="21"/>
      <c r="F39" s="21"/>
      <c r="G39" s="21"/>
      <c r="H39" s="21"/>
      <c r="I39" s="21"/>
      <c r="J39" s="21"/>
      <c r="K39" s="21"/>
      <c r="L39" s="24" t="str">
        <f aca="false">IF(OR($D39="",$I39="",$J39=""),"",IF($J39="Surrender to fund new asks",MATCH($I39,QuarterList,0)/4,IF($J39="Defer backfill",IF($K39="",MATCH($I39,QuarterList,0)/4,MIN(1,MATCH($I39,QuarterList,0)/4+(5-MATCH($K39,QuarterList,0))/4)),1)))</f>
        <v/>
      </c>
      <c r="M39" s="19" t="str">
        <f aca="false">IF($L39="","",IFERROR(INDEX(LevelBasic,MATCH($E39,LevelList,0))+INDEX(LevelHousing,MATCH($E39,LevelList,0))+INDEX(LevelTransport,MATCH($E39,LevelList,0))+INDEX(LevelBasic,MATCH($E39,LevelList,0))*INDEX(LevelBonus,MATCH($E39,LevelList,0))+(INDEX(LevelBasic,MATCH($E39,LevelList,0))+INDEX(LevelHousing,MATCH($E39,LevelList,0)))*GosiSaudi,0)*(1-$L39))</f>
        <v/>
      </c>
      <c r="N39" s="19" t="n">
        <f aca="false">IF($J39="Surrender to fund new asks",IFERROR(INDEX(LevelBasic,MATCH($E39,LevelList,0))+INDEX(LevelHousing,MATCH($E39,LevelList,0))+INDEX(LevelTransport,MATCH($E39,LevelList,0))+INDEX(LevelBasic,MATCH($E39,LevelList,0))*INDEX(LevelBonus,MATCH($E39,LevelList,0))+(INDEX(LevelBasic,MATCH($E39,LevelList,0))+INDEX(LevelHousing,MATCH($E39,LevelList,0)))*GosiSaudi,0),0)</f>
        <v>0</v>
      </c>
      <c r="O39" s="23" t="str">
        <f aca="false">IF($D39="","",MID(IF($C39="",", unit","")&amp;IF($E39="",", career level","")&amp;IF($H39="",", reason","")&amp;IF($I39="",", leaving quarter","")&amp;IF($J39="",", what happens to the seat","")&amp;IF(AND($J39="Defer backfill",$K39=""),", the backfill quarter","")&amp;IF(IFERROR(AND($K39&lt;&gt;"",$I39&lt;&gt;"",MATCH($K39,QuarterList,0)&lt;=MATCH($I39,QuarterList,0)),FALSE()),", a backfill quarter later than the leaving quarter","")&amp;IF(AND($C39&lt;&gt;"",COUNTIF(UnitList,$C39)=0),", a unit that is not in your structure",""),3,300))</f>
        <v/>
      </c>
    </row>
    <row r="40" customFormat="false" ht="15" hidden="false" customHeight="false" outlineLevel="0" collapsed="false">
      <c r="A40" s="17" t="n">
        <v>35</v>
      </c>
      <c r="B40" s="21"/>
      <c r="C40" s="21"/>
      <c r="D40" s="21"/>
      <c r="E40" s="21"/>
      <c r="F40" s="21"/>
      <c r="G40" s="21"/>
      <c r="H40" s="21"/>
      <c r="I40" s="21"/>
      <c r="J40" s="21"/>
      <c r="K40" s="21"/>
      <c r="L40" s="24" t="str">
        <f aca="false">IF(OR($D40="",$I40="",$J40=""),"",IF($J40="Surrender to fund new asks",MATCH($I40,QuarterList,0)/4,IF($J40="Defer backfill",IF($K40="",MATCH($I40,QuarterList,0)/4,MIN(1,MATCH($I40,QuarterList,0)/4+(5-MATCH($K40,QuarterList,0))/4)),1)))</f>
        <v/>
      </c>
      <c r="M40" s="19" t="str">
        <f aca="false">IF($L40="","",IFERROR(INDEX(LevelBasic,MATCH($E40,LevelList,0))+INDEX(LevelHousing,MATCH($E40,LevelList,0))+INDEX(LevelTransport,MATCH($E40,LevelList,0))+INDEX(LevelBasic,MATCH($E40,LevelList,0))*INDEX(LevelBonus,MATCH($E40,LevelList,0))+(INDEX(LevelBasic,MATCH($E40,LevelList,0))+INDEX(LevelHousing,MATCH($E40,LevelList,0)))*GosiSaudi,0)*(1-$L40))</f>
        <v/>
      </c>
      <c r="N40" s="19" t="n">
        <f aca="false">IF($J40="Surrender to fund new asks",IFERROR(INDEX(LevelBasic,MATCH($E40,LevelList,0))+INDEX(LevelHousing,MATCH($E40,LevelList,0))+INDEX(LevelTransport,MATCH($E40,LevelList,0))+INDEX(LevelBasic,MATCH($E40,LevelList,0))*INDEX(LevelBonus,MATCH($E40,LevelList,0))+(INDEX(LevelBasic,MATCH($E40,LevelList,0))+INDEX(LevelHousing,MATCH($E40,LevelList,0)))*GosiSaudi,0),0)</f>
        <v>0</v>
      </c>
      <c r="O40" s="23" t="str">
        <f aca="false">IF($D40="","",MID(IF($C40="",", unit","")&amp;IF($E40="",", career level","")&amp;IF($H40="",", reason","")&amp;IF($I40="",", leaving quarter","")&amp;IF($J40="",", what happens to the seat","")&amp;IF(AND($J40="Defer backfill",$K40=""),", the backfill quarter","")&amp;IF(IFERROR(AND($K40&lt;&gt;"",$I40&lt;&gt;"",MATCH($K40,QuarterList,0)&lt;=MATCH($I40,QuarterList,0)),FALSE()),", a backfill quarter later than the leaving quarter","")&amp;IF(AND($C40&lt;&gt;"",COUNTIF(UnitList,$C40)=0),", a unit that is not in your structure",""),3,300))</f>
        <v/>
      </c>
    </row>
    <row r="41" customFormat="false" ht="15" hidden="false" customHeight="false" outlineLevel="0" collapsed="false">
      <c r="A41" s="17" t="n">
        <v>36</v>
      </c>
      <c r="B41" s="21"/>
      <c r="C41" s="21"/>
      <c r="D41" s="21"/>
      <c r="E41" s="21"/>
      <c r="F41" s="21"/>
      <c r="G41" s="21"/>
      <c r="H41" s="21"/>
      <c r="I41" s="21"/>
      <c r="J41" s="21"/>
      <c r="K41" s="21"/>
      <c r="L41" s="24" t="str">
        <f aca="false">IF(OR($D41="",$I41="",$J41=""),"",IF($J41="Surrender to fund new asks",MATCH($I41,QuarterList,0)/4,IF($J41="Defer backfill",IF($K41="",MATCH($I41,QuarterList,0)/4,MIN(1,MATCH($I41,QuarterList,0)/4+(5-MATCH($K41,QuarterList,0))/4)),1)))</f>
        <v/>
      </c>
      <c r="M41" s="19" t="str">
        <f aca="false">IF($L41="","",IFERROR(INDEX(LevelBasic,MATCH($E41,LevelList,0))+INDEX(LevelHousing,MATCH($E41,LevelList,0))+INDEX(LevelTransport,MATCH($E41,LevelList,0))+INDEX(LevelBasic,MATCH($E41,LevelList,0))*INDEX(LevelBonus,MATCH($E41,LevelList,0))+(INDEX(LevelBasic,MATCH($E41,LevelList,0))+INDEX(LevelHousing,MATCH($E41,LevelList,0)))*GosiSaudi,0)*(1-$L41))</f>
        <v/>
      </c>
      <c r="N41" s="19" t="n">
        <f aca="false">IF($J41="Surrender to fund new asks",IFERROR(INDEX(LevelBasic,MATCH($E41,LevelList,0))+INDEX(LevelHousing,MATCH($E41,LevelList,0))+INDEX(LevelTransport,MATCH($E41,LevelList,0))+INDEX(LevelBasic,MATCH($E41,LevelList,0))*INDEX(LevelBonus,MATCH($E41,LevelList,0))+(INDEX(LevelBasic,MATCH($E41,LevelList,0))+INDEX(LevelHousing,MATCH($E41,LevelList,0)))*GosiSaudi,0),0)</f>
        <v>0</v>
      </c>
      <c r="O41" s="23" t="str">
        <f aca="false">IF($D41="","",MID(IF($C41="",", unit","")&amp;IF($E41="",", career level","")&amp;IF($H41="",", reason","")&amp;IF($I41="",", leaving quarter","")&amp;IF($J41="",", what happens to the seat","")&amp;IF(AND($J41="Defer backfill",$K41=""),", the backfill quarter","")&amp;IF(IFERROR(AND($K41&lt;&gt;"",$I41&lt;&gt;"",MATCH($K41,QuarterList,0)&lt;=MATCH($I41,QuarterList,0)),FALSE()),", a backfill quarter later than the leaving quarter","")&amp;IF(AND($C41&lt;&gt;"",COUNTIF(UnitList,$C41)=0),", a unit that is not in your structure",""),3,300))</f>
        <v/>
      </c>
    </row>
    <row r="42" customFormat="false" ht="15" hidden="false" customHeight="false" outlineLevel="0" collapsed="false">
      <c r="A42" s="17" t="n">
        <v>37</v>
      </c>
      <c r="B42" s="21"/>
      <c r="C42" s="21"/>
      <c r="D42" s="21"/>
      <c r="E42" s="21"/>
      <c r="F42" s="21"/>
      <c r="G42" s="21"/>
      <c r="H42" s="21"/>
      <c r="I42" s="21"/>
      <c r="J42" s="21"/>
      <c r="K42" s="21"/>
      <c r="L42" s="24" t="str">
        <f aca="false">IF(OR($D42="",$I42="",$J42=""),"",IF($J42="Surrender to fund new asks",MATCH($I42,QuarterList,0)/4,IF($J42="Defer backfill",IF($K42="",MATCH($I42,QuarterList,0)/4,MIN(1,MATCH($I42,QuarterList,0)/4+(5-MATCH($K42,QuarterList,0))/4)),1)))</f>
        <v/>
      </c>
      <c r="M42" s="19" t="str">
        <f aca="false">IF($L42="","",IFERROR(INDEX(LevelBasic,MATCH($E42,LevelList,0))+INDEX(LevelHousing,MATCH($E42,LevelList,0))+INDEX(LevelTransport,MATCH($E42,LevelList,0))+INDEX(LevelBasic,MATCH($E42,LevelList,0))*INDEX(LevelBonus,MATCH($E42,LevelList,0))+(INDEX(LevelBasic,MATCH($E42,LevelList,0))+INDEX(LevelHousing,MATCH($E42,LevelList,0)))*GosiSaudi,0)*(1-$L42))</f>
        <v/>
      </c>
      <c r="N42" s="19" t="n">
        <f aca="false">IF($J42="Surrender to fund new asks",IFERROR(INDEX(LevelBasic,MATCH($E42,LevelList,0))+INDEX(LevelHousing,MATCH($E42,LevelList,0))+INDEX(LevelTransport,MATCH($E42,LevelList,0))+INDEX(LevelBasic,MATCH($E42,LevelList,0))*INDEX(LevelBonus,MATCH($E42,LevelList,0))+(INDEX(LevelBasic,MATCH($E42,LevelList,0))+INDEX(LevelHousing,MATCH($E42,LevelList,0)))*GosiSaudi,0),0)</f>
        <v>0</v>
      </c>
      <c r="O42" s="23" t="str">
        <f aca="false">IF($D42="","",MID(IF($C42="",", unit","")&amp;IF($E42="",", career level","")&amp;IF($H42="",", reason","")&amp;IF($I42="",", leaving quarter","")&amp;IF($J42="",", what happens to the seat","")&amp;IF(AND($J42="Defer backfill",$K42=""),", the backfill quarter","")&amp;IF(IFERROR(AND($K42&lt;&gt;"",$I42&lt;&gt;"",MATCH($K42,QuarterList,0)&lt;=MATCH($I42,QuarterList,0)),FALSE()),", a backfill quarter later than the leaving quarter","")&amp;IF(AND($C42&lt;&gt;"",COUNTIF(UnitList,$C42)=0),", a unit that is not in your structure",""),3,300))</f>
        <v/>
      </c>
    </row>
    <row r="43" customFormat="false" ht="15" hidden="false" customHeight="false" outlineLevel="0" collapsed="false">
      <c r="A43" s="17" t="n">
        <v>38</v>
      </c>
      <c r="B43" s="21"/>
      <c r="C43" s="21"/>
      <c r="D43" s="21"/>
      <c r="E43" s="21"/>
      <c r="F43" s="21"/>
      <c r="G43" s="21"/>
      <c r="H43" s="21"/>
      <c r="I43" s="21"/>
      <c r="J43" s="21"/>
      <c r="K43" s="21"/>
      <c r="L43" s="24" t="str">
        <f aca="false">IF(OR($D43="",$I43="",$J43=""),"",IF($J43="Surrender to fund new asks",MATCH($I43,QuarterList,0)/4,IF($J43="Defer backfill",IF($K43="",MATCH($I43,QuarterList,0)/4,MIN(1,MATCH($I43,QuarterList,0)/4+(5-MATCH($K43,QuarterList,0))/4)),1)))</f>
        <v/>
      </c>
      <c r="M43" s="19" t="str">
        <f aca="false">IF($L43="","",IFERROR(INDEX(LevelBasic,MATCH($E43,LevelList,0))+INDEX(LevelHousing,MATCH($E43,LevelList,0))+INDEX(LevelTransport,MATCH($E43,LevelList,0))+INDEX(LevelBasic,MATCH($E43,LevelList,0))*INDEX(LevelBonus,MATCH($E43,LevelList,0))+(INDEX(LevelBasic,MATCH($E43,LevelList,0))+INDEX(LevelHousing,MATCH($E43,LevelList,0)))*GosiSaudi,0)*(1-$L43))</f>
        <v/>
      </c>
      <c r="N43" s="19" t="n">
        <f aca="false">IF($J43="Surrender to fund new asks",IFERROR(INDEX(LevelBasic,MATCH($E43,LevelList,0))+INDEX(LevelHousing,MATCH($E43,LevelList,0))+INDEX(LevelTransport,MATCH($E43,LevelList,0))+INDEX(LevelBasic,MATCH($E43,LevelList,0))*INDEX(LevelBonus,MATCH($E43,LevelList,0))+(INDEX(LevelBasic,MATCH($E43,LevelList,0))+INDEX(LevelHousing,MATCH($E43,LevelList,0)))*GosiSaudi,0),0)</f>
        <v>0</v>
      </c>
      <c r="O43" s="23" t="str">
        <f aca="false">IF($D43="","",MID(IF($C43="",", unit","")&amp;IF($E43="",", career level","")&amp;IF($H43="",", reason","")&amp;IF($I43="",", leaving quarter","")&amp;IF($J43="",", what happens to the seat","")&amp;IF(AND($J43="Defer backfill",$K43=""),", the backfill quarter","")&amp;IF(IFERROR(AND($K43&lt;&gt;"",$I43&lt;&gt;"",MATCH($K43,QuarterList,0)&lt;=MATCH($I43,QuarterList,0)),FALSE()),", a backfill quarter later than the leaving quarter","")&amp;IF(AND($C43&lt;&gt;"",COUNTIF(UnitList,$C43)=0),", a unit that is not in your structure",""),3,300))</f>
        <v/>
      </c>
    </row>
    <row r="44" customFormat="false" ht="15" hidden="false" customHeight="false" outlineLevel="0" collapsed="false">
      <c r="A44" s="17" t="n">
        <v>39</v>
      </c>
      <c r="B44" s="21"/>
      <c r="C44" s="21"/>
      <c r="D44" s="21"/>
      <c r="E44" s="21"/>
      <c r="F44" s="21"/>
      <c r="G44" s="21"/>
      <c r="H44" s="21"/>
      <c r="I44" s="21"/>
      <c r="J44" s="21"/>
      <c r="K44" s="21"/>
      <c r="L44" s="24" t="str">
        <f aca="false">IF(OR($D44="",$I44="",$J44=""),"",IF($J44="Surrender to fund new asks",MATCH($I44,QuarterList,0)/4,IF($J44="Defer backfill",IF($K44="",MATCH($I44,QuarterList,0)/4,MIN(1,MATCH($I44,QuarterList,0)/4+(5-MATCH($K44,QuarterList,0))/4)),1)))</f>
        <v/>
      </c>
      <c r="M44" s="19" t="str">
        <f aca="false">IF($L44="","",IFERROR(INDEX(LevelBasic,MATCH($E44,LevelList,0))+INDEX(LevelHousing,MATCH($E44,LevelList,0))+INDEX(LevelTransport,MATCH($E44,LevelList,0))+INDEX(LevelBasic,MATCH($E44,LevelList,0))*INDEX(LevelBonus,MATCH($E44,LevelList,0))+(INDEX(LevelBasic,MATCH($E44,LevelList,0))+INDEX(LevelHousing,MATCH($E44,LevelList,0)))*GosiSaudi,0)*(1-$L44))</f>
        <v/>
      </c>
      <c r="N44" s="19" t="n">
        <f aca="false">IF($J44="Surrender to fund new asks",IFERROR(INDEX(LevelBasic,MATCH($E44,LevelList,0))+INDEX(LevelHousing,MATCH($E44,LevelList,0))+INDEX(LevelTransport,MATCH($E44,LevelList,0))+INDEX(LevelBasic,MATCH($E44,LevelList,0))*INDEX(LevelBonus,MATCH($E44,LevelList,0))+(INDEX(LevelBasic,MATCH($E44,LevelList,0))+INDEX(LevelHousing,MATCH($E44,LevelList,0)))*GosiSaudi,0),0)</f>
        <v>0</v>
      </c>
      <c r="O44" s="23" t="str">
        <f aca="false">IF($D44="","",MID(IF($C44="",", unit","")&amp;IF($E44="",", career level","")&amp;IF($H44="",", reason","")&amp;IF($I44="",", leaving quarter","")&amp;IF($J44="",", what happens to the seat","")&amp;IF(AND($J44="Defer backfill",$K44=""),", the backfill quarter","")&amp;IF(IFERROR(AND($K44&lt;&gt;"",$I44&lt;&gt;"",MATCH($K44,QuarterList,0)&lt;=MATCH($I44,QuarterList,0)),FALSE()),", a backfill quarter later than the leaving quarter","")&amp;IF(AND($C44&lt;&gt;"",COUNTIF(UnitList,$C44)=0),", a unit that is not in your structure",""),3,300))</f>
        <v/>
      </c>
    </row>
    <row r="45" customFormat="false" ht="15" hidden="false" customHeight="false" outlineLevel="0" collapsed="false">
      <c r="A45" s="17" t="n">
        <v>40</v>
      </c>
      <c r="B45" s="21"/>
      <c r="C45" s="21"/>
      <c r="D45" s="21"/>
      <c r="E45" s="21"/>
      <c r="F45" s="21"/>
      <c r="G45" s="21"/>
      <c r="H45" s="21"/>
      <c r="I45" s="21"/>
      <c r="J45" s="21"/>
      <c r="K45" s="21"/>
      <c r="L45" s="24" t="str">
        <f aca="false">IF(OR($D45="",$I45="",$J45=""),"",IF($J45="Surrender to fund new asks",MATCH($I45,QuarterList,0)/4,IF($J45="Defer backfill",IF($K45="",MATCH($I45,QuarterList,0)/4,MIN(1,MATCH($I45,QuarterList,0)/4+(5-MATCH($K45,QuarterList,0))/4)),1)))</f>
        <v/>
      </c>
      <c r="M45" s="19" t="str">
        <f aca="false">IF($L45="","",IFERROR(INDEX(LevelBasic,MATCH($E45,LevelList,0))+INDEX(LevelHousing,MATCH($E45,LevelList,0))+INDEX(LevelTransport,MATCH($E45,LevelList,0))+INDEX(LevelBasic,MATCH($E45,LevelList,0))*INDEX(LevelBonus,MATCH($E45,LevelList,0))+(INDEX(LevelBasic,MATCH($E45,LevelList,0))+INDEX(LevelHousing,MATCH($E45,LevelList,0)))*GosiSaudi,0)*(1-$L45))</f>
        <v/>
      </c>
      <c r="N45" s="19" t="n">
        <f aca="false">IF($J45="Surrender to fund new asks",IFERROR(INDEX(LevelBasic,MATCH($E45,LevelList,0))+INDEX(LevelHousing,MATCH($E45,LevelList,0))+INDEX(LevelTransport,MATCH($E45,LevelList,0))+INDEX(LevelBasic,MATCH($E45,LevelList,0))*INDEX(LevelBonus,MATCH($E45,LevelList,0))+(INDEX(LevelBasic,MATCH($E45,LevelList,0))+INDEX(LevelHousing,MATCH($E45,LevelList,0)))*GosiSaudi,0),0)</f>
        <v>0</v>
      </c>
      <c r="O45" s="23" t="str">
        <f aca="false">IF($D45="","",MID(IF($C45="",", unit","")&amp;IF($E45="",", career level","")&amp;IF($H45="",", reason","")&amp;IF($I45="",", leaving quarter","")&amp;IF($J45="",", what happens to the seat","")&amp;IF(AND($J45="Defer backfill",$K45=""),", the backfill quarter","")&amp;IF(IFERROR(AND($K45&lt;&gt;"",$I45&lt;&gt;"",MATCH($K45,QuarterList,0)&lt;=MATCH($I45,QuarterList,0)),FALSE()),", a backfill quarter later than the leaving quarter","")&amp;IF(AND($C45&lt;&gt;"",COUNTIF(UnitList,$C45)=0),", a unit that is not in your structure",""),3,300))</f>
        <v/>
      </c>
    </row>
    <row r="46" customFormat="false" ht="15" hidden="false" customHeight="false" outlineLevel="0" collapsed="false">
      <c r="A46" s="17" t="n">
        <v>41</v>
      </c>
      <c r="B46" s="21"/>
      <c r="C46" s="21"/>
      <c r="D46" s="21"/>
      <c r="E46" s="21"/>
      <c r="F46" s="21"/>
      <c r="G46" s="21"/>
      <c r="H46" s="21"/>
      <c r="I46" s="21"/>
      <c r="J46" s="21"/>
      <c r="K46" s="21"/>
      <c r="L46" s="24" t="str">
        <f aca="false">IF(OR($D46="",$I46="",$J46=""),"",IF($J46="Surrender to fund new asks",MATCH($I46,QuarterList,0)/4,IF($J46="Defer backfill",IF($K46="",MATCH($I46,QuarterList,0)/4,MIN(1,MATCH($I46,QuarterList,0)/4+(5-MATCH($K46,QuarterList,0))/4)),1)))</f>
        <v/>
      </c>
      <c r="M46" s="19" t="str">
        <f aca="false">IF($L46="","",IFERROR(INDEX(LevelBasic,MATCH($E46,LevelList,0))+INDEX(LevelHousing,MATCH($E46,LevelList,0))+INDEX(LevelTransport,MATCH($E46,LevelList,0))+INDEX(LevelBasic,MATCH($E46,LevelList,0))*INDEX(LevelBonus,MATCH($E46,LevelList,0))+(INDEX(LevelBasic,MATCH($E46,LevelList,0))+INDEX(LevelHousing,MATCH($E46,LevelList,0)))*GosiSaudi,0)*(1-$L46))</f>
        <v/>
      </c>
      <c r="N46" s="19" t="n">
        <f aca="false">IF($J46="Surrender to fund new asks",IFERROR(INDEX(LevelBasic,MATCH($E46,LevelList,0))+INDEX(LevelHousing,MATCH($E46,LevelList,0))+INDEX(LevelTransport,MATCH($E46,LevelList,0))+INDEX(LevelBasic,MATCH($E46,LevelList,0))*INDEX(LevelBonus,MATCH($E46,LevelList,0))+(INDEX(LevelBasic,MATCH($E46,LevelList,0))+INDEX(LevelHousing,MATCH($E46,LevelList,0)))*GosiSaudi,0),0)</f>
        <v>0</v>
      </c>
      <c r="O46" s="23" t="str">
        <f aca="false">IF($D46="","",MID(IF($C46="",", unit","")&amp;IF($E46="",", career level","")&amp;IF($H46="",", reason","")&amp;IF($I46="",", leaving quarter","")&amp;IF($J46="",", what happens to the seat","")&amp;IF(AND($J46="Defer backfill",$K46=""),", the backfill quarter","")&amp;IF(IFERROR(AND($K46&lt;&gt;"",$I46&lt;&gt;"",MATCH($K46,QuarterList,0)&lt;=MATCH($I46,QuarterList,0)),FALSE()),", a backfill quarter later than the leaving quarter","")&amp;IF(AND($C46&lt;&gt;"",COUNTIF(UnitList,$C46)=0),", a unit that is not in your structure",""),3,300))</f>
        <v/>
      </c>
    </row>
    <row r="47" customFormat="false" ht="15" hidden="false" customHeight="false" outlineLevel="0" collapsed="false">
      <c r="A47" s="17" t="n">
        <v>42</v>
      </c>
      <c r="B47" s="21"/>
      <c r="C47" s="21"/>
      <c r="D47" s="21"/>
      <c r="E47" s="21"/>
      <c r="F47" s="21"/>
      <c r="G47" s="21"/>
      <c r="H47" s="21"/>
      <c r="I47" s="21"/>
      <c r="J47" s="21"/>
      <c r="K47" s="21"/>
      <c r="L47" s="24" t="str">
        <f aca="false">IF(OR($D47="",$I47="",$J47=""),"",IF($J47="Surrender to fund new asks",MATCH($I47,QuarterList,0)/4,IF($J47="Defer backfill",IF($K47="",MATCH($I47,QuarterList,0)/4,MIN(1,MATCH($I47,QuarterList,0)/4+(5-MATCH($K47,QuarterList,0))/4)),1)))</f>
        <v/>
      </c>
      <c r="M47" s="19" t="str">
        <f aca="false">IF($L47="","",IFERROR(INDEX(LevelBasic,MATCH($E47,LevelList,0))+INDEX(LevelHousing,MATCH($E47,LevelList,0))+INDEX(LevelTransport,MATCH($E47,LevelList,0))+INDEX(LevelBasic,MATCH($E47,LevelList,0))*INDEX(LevelBonus,MATCH($E47,LevelList,0))+(INDEX(LevelBasic,MATCH($E47,LevelList,0))+INDEX(LevelHousing,MATCH($E47,LevelList,0)))*GosiSaudi,0)*(1-$L47))</f>
        <v/>
      </c>
      <c r="N47" s="19" t="n">
        <f aca="false">IF($J47="Surrender to fund new asks",IFERROR(INDEX(LevelBasic,MATCH($E47,LevelList,0))+INDEX(LevelHousing,MATCH($E47,LevelList,0))+INDEX(LevelTransport,MATCH($E47,LevelList,0))+INDEX(LevelBasic,MATCH($E47,LevelList,0))*INDEX(LevelBonus,MATCH($E47,LevelList,0))+(INDEX(LevelBasic,MATCH($E47,LevelList,0))+INDEX(LevelHousing,MATCH($E47,LevelList,0)))*GosiSaudi,0),0)</f>
        <v>0</v>
      </c>
      <c r="O47" s="23" t="str">
        <f aca="false">IF($D47="","",MID(IF($C47="",", unit","")&amp;IF($E47="",", career level","")&amp;IF($H47="",", reason","")&amp;IF($I47="",", leaving quarter","")&amp;IF($J47="",", what happens to the seat","")&amp;IF(AND($J47="Defer backfill",$K47=""),", the backfill quarter","")&amp;IF(IFERROR(AND($K47&lt;&gt;"",$I47&lt;&gt;"",MATCH($K47,QuarterList,0)&lt;=MATCH($I47,QuarterList,0)),FALSE()),", a backfill quarter later than the leaving quarter","")&amp;IF(AND($C47&lt;&gt;"",COUNTIF(UnitList,$C47)=0),", a unit that is not in your structure",""),3,300))</f>
        <v/>
      </c>
    </row>
    <row r="48" customFormat="false" ht="15" hidden="false" customHeight="false" outlineLevel="0" collapsed="false">
      <c r="A48" s="17" t="n">
        <v>43</v>
      </c>
      <c r="B48" s="21"/>
      <c r="C48" s="21"/>
      <c r="D48" s="21"/>
      <c r="E48" s="21"/>
      <c r="F48" s="21"/>
      <c r="G48" s="21"/>
      <c r="H48" s="21"/>
      <c r="I48" s="21"/>
      <c r="J48" s="21"/>
      <c r="K48" s="21"/>
      <c r="L48" s="24" t="str">
        <f aca="false">IF(OR($D48="",$I48="",$J48=""),"",IF($J48="Surrender to fund new asks",MATCH($I48,QuarterList,0)/4,IF($J48="Defer backfill",IF($K48="",MATCH($I48,QuarterList,0)/4,MIN(1,MATCH($I48,QuarterList,0)/4+(5-MATCH($K48,QuarterList,0))/4)),1)))</f>
        <v/>
      </c>
      <c r="M48" s="19" t="str">
        <f aca="false">IF($L48="","",IFERROR(INDEX(LevelBasic,MATCH($E48,LevelList,0))+INDEX(LevelHousing,MATCH($E48,LevelList,0))+INDEX(LevelTransport,MATCH($E48,LevelList,0))+INDEX(LevelBasic,MATCH($E48,LevelList,0))*INDEX(LevelBonus,MATCH($E48,LevelList,0))+(INDEX(LevelBasic,MATCH($E48,LevelList,0))+INDEX(LevelHousing,MATCH($E48,LevelList,0)))*GosiSaudi,0)*(1-$L48))</f>
        <v/>
      </c>
      <c r="N48" s="19" t="n">
        <f aca="false">IF($J48="Surrender to fund new asks",IFERROR(INDEX(LevelBasic,MATCH($E48,LevelList,0))+INDEX(LevelHousing,MATCH($E48,LevelList,0))+INDEX(LevelTransport,MATCH($E48,LevelList,0))+INDEX(LevelBasic,MATCH($E48,LevelList,0))*INDEX(LevelBonus,MATCH($E48,LevelList,0))+(INDEX(LevelBasic,MATCH($E48,LevelList,0))+INDEX(LevelHousing,MATCH($E48,LevelList,0)))*GosiSaudi,0),0)</f>
        <v>0</v>
      </c>
      <c r="O48" s="23" t="str">
        <f aca="false">IF($D48="","",MID(IF($C48="",", unit","")&amp;IF($E48="",", career level","")&amp;IF($H48="",", reason","")&amp;IF($I48="",", leaving quarter","")&amp;IF($J48="",", what happens to the seat","")&amp;IF(AND($J48="Defer backfill",$K48=""),", the backfill quarter","")&amp;IF(IFERROR(AND($K48&lt;&gt;"",$I48&lt;&gt;"",MATCH($K48,QuarterList,0)&lt;=MATCH($I48,QuarterList,0)),FALSE()),", a backfill quarter later than the leaving quarter","")&amp;IF(AND($C48&lt;&gt;"",COUNTIF(UnitList,$C48)=0),", a unit that is not in your structure",""),3,300))</f>
        <v/>
      </c>
    </row>
    <row r="49" customFormat="false" ht="15" hidden="false" customHeight="false" outlineLevel="0" collapsed="false">
      <c r="A49" s="17" t="n">
        <v>44</v>
      </c>
      <c r="B49" s="21"/>
      <c r="C49" s="21"/>
      <c r="D49" s="21"/>
      <c r="E49" s="21"/>
      <c r="F49" s="21"/>
      <c r="G49" s="21"/>
      <c r="H49" s="21"/>
      <c r="I49" s="21"/>
      <c r="J49" s="21"/>
      <c r="K49" s="21"/>
      <c r="L49" s="24" t="str">
        <f aca="false">IF(OR($D49="",$I49="",$J49=""),"",IF($J49="Surrender to fund new asks",MATCH($I49,QuarterList,0)/4,IF($J49="Defer backfill",IF($K49="",MATCH($I49,QuarterList,0)/4,MIN(1,MATCH($I49,QuarterList,0)/4+(5-MATCH($K49,QuarterList,0))/4)),1)))</f>
        <v/>
      </c>
      <c r="M49" s="19" t="str">
        <f aca="false">IF($L49="","",IFERROR(INDEX(LevelBasic,MATCH($E49,LevelList,0))+INDEX(LevelHousing,MATCH($E49,LevelList,0))+INDEX(LevelTransport,MATCH($E49,LevelList,0))+INDEX(LevelBasic,MATCH($E49,LevelList,0))*INDEX(LevelBonus,MATCH($E49,LevelList,0))+(INDEX(LevelBasic,MATCH($E49,LevelList,0))+INDEX(LevelHousing,MATCH($E49,LevelList,0)))*GosiSaudi,0)*(1-$L49))</f>
        <v/>
      </c>
      <c r="N49" s="19" t="n">
        <f aca="false">IF($J49="Surrender to fund new asks",IFERROR(INDEX(LevelBasic,MATCH($E49,LevelList,0))+INDEX(LevelHousing,MATCH($E49,LevelList,0))+INDEX(LevelTransport,MATCH($E49,LevelList,0))+INDEX(LevelBasic,MATCH($E49,LevelList,0))*INDEX(LevelBonus,MATCH($E49,LevelList,0))+(INDEX(LevelBasic,MATCH($E49,LevelList,0))+INDEX(LevelHousing,MATCH($E49,LevelList,0)))*GosiSaudi,0),0)</f>
        <v>0</v>
      </c>
      <c r="O49" s="23" t="str">
        <f aca="false">IF($D49="","",MID(IF($C49="",", unit","")&amp;IF($E49="",", career level","")&amp;IF($H49="",", reason","")&amp;IF($I49="",", leaving quarter","")&amp;IF($J49="",", what happens to the seat","")&amp;IF(AND($J49="Defer backfill",$K49=""),", the backfill quarter","")&amp;IF(IFERROR(AND($K49&lt;&gt;"",$I49&lt;&gt;"",MATCH($K49,QuarterList,0)&lt;=MATCH($I49,QuarterList,0)),FALSE()),", a backfill quarter later than the leaving quarter","")&amp;IF(AND($C49&lt;&gt;"",COUNTIF(UnitList,$C49)=0),", a unit that is not in your structure",""),3,300))</f>
        <v/>
      </c>
    </row>
    <row r="50" customFormat="false" ht="15" hidden="false" customHeight="false" outlineLevel="0" collapsed="false">
      <c r="A50" s="17" t="n">
        <v>45</v>
      </c>
      <c r="B50" s="21"/>
      <c r="C50" s="21"/>
      <c r="D50" s="21"/>
      <c r="E50" s="21"/>
      <c r="F50" s="21"/>
      <c r="G50" s="21"/>
      <c r="H50" s="21"/>
      <c r="I50" s="21"/>
      <c r="J50" s="21"/>
      <c r="K50" s="21"/>
      <c r="L50" s="24" t="str">
        <f aca="false">IF(OR($D50="",$I50="",$J50=""),"",IF($J50="Surrender to fund new asks",MATCH($I50,QuarterList,0)/4,IF($J50="Defer backfill",IF($K50="",MATCH($I50,QuarterList,0)/4,MIN(1,MATCH($I50,QuarterList,0)/4+(5-MATCH($K50,QuarterList,0))/4)),1)))</f>
        <v/>
      </c>
      <c r="M50" s="19" t="str">
        <f aca="false">IF($L50="","",IFERROR(INDEX(LevelBasic,MATCH($E50,LevelList,0))+INDEX(LevelHousing,MATCH($E50,LevelList,0))+INDEX(LevelTransport,MATCH($E50,LevelList,0))+INDEX(LevelBasic,MATCH($E50,LevelList,0))*INDEX(LevelBonus,MATCH($E50,LevelList,0))+(INDEX(LevelBasic,MATCH($E50,LevelList,0))+INDEX(LevelHousing,MATCH($E50,LevelList,0)))*GosiSaudi,0)*(1-$L50))</f>
        <v/>
      </c>
      <c r="N50" s="19" t="n">
        <f aca="false">IF($J50="Surrender to fund new asks",IFERROR(INDEX(LevelBasic,MATCH($E50,LevelList,0))+INDEX(LevelHousing,MATCH($E50,LevelList,0))+INDEX(LevelTransport,MATCH($E50,LevelList,0))+INDEX(LevelBasic,MATCH($E50,LevelList,0))*INDEX(LevelBonus,MATCH($E50,LevelList,0))+(INDEX(LevelBasic,MATCH($E50,LevelList,0))+INDEX(LevelHousing,MATCH($E50,LevelList,0)))*GosiSaudi,0),0)</f>
        <v>0</v>
      </c>
      <c r="O50" s="23" t="str">
        <f aca="false">IF($D50="","",MID(IF($C50="",", unit","")&amp;IF($E50="",", career level","")&amp;IF($H50="",", reason","")&amp;IF($I50="",", leaving quarter","")&amp;IF($J50="",", what happens to the seat","")&amp;IF(AND($J50="Defer backfill",$K50=""),", the backfill quarter","")&amp;IF(IFERROR(AND($K50&lt;&gt;"",$I50&lt;&gt;"",MATCH($K50,QuarterList,0)&lt;=MATCH($I50,QuarterList,0)),FALSE()),", a backfill quarter later than the leaving quarter","")&amp;IF(AND($C50&lt;&gt;"",COUNTIF(UnitList,$C50)=0),", a unit that is not in your structure",""),3,300))</f>
        <v/>
      </c>
    </row>
    <row r="51" customFormat="false" ht="15" hidden="false" customHeight="false" outlineLevel="0" collapsed="false">
      <c r="A51" s="17" t="n">
        <v>46</v>
      </c>
      <c r="B51" s="21"/>
      <c r="C51" s="21"/>
      <c r="D51" s="21"/>
      <c r="E51" s="21"/>
      <c r="F51" s="21"/>
      <c r="G51" s="21"/>
      <c r="H51" s="21"/>
      <c r="I51" s="21"/>
      <c r="J51" s="21"/>
      <c r="K51" s="21"/>
      <c r="L51" s="24" t="str">
        <f aca="false">IF(OR($D51="",$I51="",$J51=""),"",IF($J51="Surrender to fund new asks",MATCH($I51,QuarterList,0)/4,IF($J51="Defer backfill",IF($K51="",MATCH($I51,QuarterList,0)/4,MIN(1,MATCH($I51,QuarterList,0)/4+(5-MATCH($K51,QuarterList,0))/4)),1)))</f>
        <v/>
      </c>
      <c r="M51" s="19" t="str">
        <f aca="false">IF($L51="","",IFERROR(INDEX(LevelBasic,MATCH($E51,LevelList,0))+INDEX(LevelHousing,MATCH($E51,LevelList,0))+INDEX(LevelTransport,MATCH($E51,LevelList,0))+INDEX(LevelBasic,MATCH($E51,LevelList,0))*INDEX(LevelBonus,MATCH($E51,LevelList,0))+(INDEX(LevelBasic,MATCH($E51,LevelList,0))+INDEX(LevelHousing,MATCH($E51,LevelList,0)))*GosiSaudi,0)*(1-$L51))</f>
        <v/>
      </c>
      <c r="N51" s="19" t="n">
        <f aca="false">IF($J51="Surrender to fund new asks",IFERROR(INDEX(LevelBasic,MATCH($E51,LevelList,0))+INDEX(LevelHousing,MATCH($E51,LevelList,0))+INDEX(LevelTransport,MATCH($E51,LevelList,0))+INDEX(LevelBasic,MATCH($E51,LevelList,0))*INDEX(LevelBonus,MATCH($E51,LevelList,0))+(INDEX(LevelBasic,MATCH($E51,LevelList,0))+INDEX(LevelHousing,MATCH($E51,LevelList,0)))*GosiSaudi,0),0)</f>
        <v>0</v>
      </c>
      <c r="O51" s="23" t="str">
        <f aca="false">IF($D51="","",MID(IF($C51="",", unit","")&amp;IF($E51="",", career level","")&amp;IF($H51="",", reason","")&amp;IF($I51="",", leaving quarter","")&amp;IF($J51="",", what happens to the seat","")&amp;IF(AND($J51="Defer backfill",$K51=""),", the backfill quarter","")&amp;IF(IFERROR(AND($K51&lt;&gt;"",$I51&lt;&gt;"",MATCH($K51,QuarterList,0)&lt;=MATCH($I51,QuarterList,0)),FALSE()),", a backfill quarter later than the leaving quarter","")&amp;IF(AND($C51&lt;&gt;"",COUNTIF(UnitList,$C51)=0),", a unit that is not in your structure",""),3,300))</f>
        <v/>
      </c>
    </row>
    <row r="52" customFormat="false" ht="15" hidden="false" customHeight="false" outlineLevel="0" collapsed="false">
      <c r="A52" s="17" t="n">
        <v>47</v>
      </c>
      <c r="B52" s="21"/>
      <c r="C52" s="21"/>
      <c r="D52" s="21"/>
      <c r="E52" s="21"/>
      <c r="F52" s="21"/>
      <c r="G52" s="21"/>
      <c r="H52" s="21"/>
      <c r="I52" s="21"/>
      <c r="J52" s="21"/>
      <c r="K52" s="21"/>
      <c r="L52" s="24" t="str">
        <f aca="false">IF(OR($D52="",$I52="",$J52=""),"",IF($J52="Surrender to fund new asks",MATCH($I52,QuarterList,0)/4,IF($J52="Defer backfill",IF($K52="",MATCH($I52,QuarterList,0)/4,MIN(1,MATCH($I52,QuarterList,0)/4+(5-MATCH($K52,QuarterList,0))/4)),1)))</f>
        <v/>
      </c>
      <c r="M52" s="19" t="str">
        <f aca="false">IF($L52="","",IFERROR(INDEX(LevelBasic,MATCH($E52,LevelList,0))+INDEX(LevelHousing,MATCH($E52,LevelList,0))+INDEX(LevelTransport,MATCH($E52,LevelList,0))+INDEX(LevelBasic,MATCH($E52,LevelList,0))*INDEX(LevelBonus,MATCH($E52,LevelList,0))+(INDEX(LevelBasic,MATCH($E52,LevelList,0))+INDEX(LevelHousing,MATCH($E52,LevelList,0)))*GosiSaudi,0)*(1-$L52))</f>
        <v/>
      </c>
      <c r="N52" s="19" t="n">
        <f aca="false">IF($J52="Surrender to fund new asks",IFERROR(INDEX(LevelBasic,MATCH($E52,LevelList,0))+INDEX(LevelHousing,MATCH($E52,LevelList,0))+INDEX(LevelTransport,MATCH($E52,LevelList,0))+INDEX(LevelBasic,MATCH($E52,LevelList,0))*INDEX(LevelBonus,MATCH($E52,LevelList,0))+(INDEX(LevelBasic,MATCH($E52,LevelList,0))+INDEX(LevelHousing,MATCH($E52,LevelList,0)))*GosiSaudi,0),0)</f>
        <v>0</v>
      </c>
      <c r="O52" s="23" t="str">
        <f aca="false">IF($D52="","",MID(IF($C52="",", unit","")&amp;IF($E52="",", career level","")&amp;IF($H52="",", reason","")&amp;IF($I52="",", leaving quarter","")&amp;IF($J52="",", what happens to the seat","")&amp;IF(AND($J52="Defer backfill",$K52=""),", the backfill quarter","")&amp;IF(IFERROR(AND($K52&lt;&gt;"",$I52&lt;&gt;"",MATCH($K52,QuarterList,0)&lt;=MATCH($I52,QuarterList,0)),FALSE()),", a backfill quarter later than the leaving quarter","")&amp;IF(AND($C52&lt;&gt;"",COUNTIF(UnitList,$C52)=0),", a unit that is not in your structure",""),3,300))</f>
        <v/>
      </c>
    </row>
    <row r="53" customFormat="false" ht="15" hidden="false" customHeight="false" outlineLevel="0" collapsed="false">
      <c r="A53" s="17" t="n">
        <v>48</v>
      </c>
      <c r="B53" s="21"/>
      <c r="C53" s="21"/>
      <c r="D53" s="21"/>
      <c r="E53" s="21"/>
      <c r="F53" s="21"/>
      <c r="G53" s="21"/>
      <c r="H53" s="21"/>
      <c r="I53" s="21"/>
      <c r="J53" s="21"/>
      <c r="K53" s="21"/>
      <c r="L53" s="24" t="str">
        <f aca="false">IF(OR($D53="",$I53="",$J53=""),"",IF($J53="Surrender to fund new asks",MATCH($I53,QuarterList,0)/4,IF($J53="Defer backfill",IF($K53="",MATCH($I53,QuarterList,0)/4,MIN(1,MATCH($I53,QuarterList,0)/4+(5-MATCH($K53,QuarterList,0))/4)),1)))</f>
        <v/>
      </c>
      <c r="M53" s="19" t="str">
        <f aca="false">IF($L53="","",IFERROR(INDEX(LevelBasic,MATCH($E53,LevelList,0))+INDEX(LevelHousing,MATCH($E53,LevelList,0))+INDEX(LevelTransport,MATCH($E53,LevelList,0))+INDEX(LevelBasic,MATCH($E53,LevelList,0))*INDEX(LevelBonus,MATCH($E53,LevelList,0))+(INDEX(LevelBasic,MATCH($E53,LevelList,0))+INDEX(LevelHousing,MATCH($E53,LevelList,0)))*GosiSaudi,0)*(1-$L53))</f>
        <v/>
      </c>
      <c r="N53" s="19" t="n">
        <f aca="false">IF($J53="Surrender to fund new asks",IFERROR(INDEX(LevelBasic,MATCH($E53,LevelList,0))+INDEX(LevelHousing,MATCH($E53,LevelList,0))+INDEX(LevelTransport,MATCH($E53,LevelList,0))+INDEX(LevelBasic,MATCH($E53,LevelList,0))*INDEX(LevelBonus,MATCH($E53,LevelList,0))+(INDEX(LevelBasic,MATCH($E53,LevelList,0))+INDEX(LevelHousing,MATCH($E53,LevelList,0)))*GosiSaudi,0),0)</f>
        <v>0</v>
      </c>
      <c r="O53" s="23" t="str">
        <f aca="false">IF($D53="","",MID(IF($C53="",", unit","")&amp;IF($E53="",", career level","")&amp;IF($H53="",", reason","")&amp;IF($I53="",", leaving quarter","")&amp;IF($J53="",", what happens to the seat","")&amp;IF(AND($J53="Defer backfill",$K53=""),", the backfill quarter","")&amp;IF(IFERROR(AND($K53&lt;&gt;"",$I53&lt;&gt;"",MATCH($K53,QuarterList,0)&lt;=MATCH($I53,QuarterList,0)),FALSE()),", a backfill quarter later than the leaving quarter","")&amp;IF(AND($C53&lt;&gt;"",COUNTIF(UnitList,$C53)=0),", a unit that is not in your structure",""),3,300))</f>
        <v/>
      </c>
    </row>
    <row r="54" customFormat="false" ht="15" hidden="false" customHeight="false" outlineLevel="0" collapsed="false">
      <c r="A54" s="17" t="n">
        <v>49</v>
      </c>
      <c r="B54" s="21"/>
      <c r="C54" s="21"/>
      <c r="D54" s="21"/>
      <c r="E54" s="21"/>
      <c r="F54" s="21"/>
      <c r="G54" s="21"/>
      <c r="H54" s="21"/>
      <c r="I54" s="21"/>
      <c r="J54" s="21"/>
      <c r="K54" s="21"/>
      <c r="L54" s="24" t="str">
        <f aca="false">IF(OR($D54="",$I54="",$J54=""),"",IF($J54="Surrender to fund new asks",MATCH($I54,QuarterList,0)/4,IF($J54="Defer backfill",IF($K54="",MATCH($I54,QuarterList,0)/4,MIN(1,MATCH($I54,QuarterList,0)/4+(5-MATCH($K54,QuarterList,0))/4)),1)))</f>
        <v/>
      </c>
      <c r="M54" s="19" t="str">
        <f aca="false">IF($L54="","",IFERROR(INDEX(LevelBasic,MATCH($E54,LevelList,0))+INDEX(LevelHousing,MATCH($E54,LevelList,0))+INDEX(LevelTransport,MATCH($E54,LevelList,0))+INDEX(LevelBasic,MATCH($E54,LevelList,0))*INDEX(LevelBonus,MATCH($E54,LevelList,0))+(INDEX(LevelBasic,MATCH($E54,LevelList,0))+INDEX(LevelHousing,MATCH($E54,LevelList,0)))*GosiSaudi,0)*(1-$L54))</f>
        <v/>
      </c>
      <c r="N54" s="19" t="n">
        <f aca="false">IF($J54="Surrender to fund new asks",IFERROR(INDEX(LevelBasic,MATCH($E54,LevelList,0))+INDEX(LevelHousing,MATCH($E54,LevelList,0))+INDEX(LevelTransport,MATCH($E54,LevelList,0))+INDEX(LevelBasic,MATCH($E54,LevelList,0))*INDEX(LevelBonus,MATCH($E54,LevelList,0))+(INDEX(LevelBasic,MATCH($E54,LevelList,0))+INDEX(LevelHousing,MATCH($E54,LevelList,0)))*GosiSaudi,0),0)</f>
        <v>0</v>
      </c>
      <c r="O54" s="23" t="str">
        <f aca="false">IF($D54="","",MID(IF($C54="",", unit","")&amp;IF($E54="",", career level","")&amp;IF($H54="",", reason","")&amp;IF($I54="",", leaving quarter","")&amp;IF($J54="",", what happens to the seat","")&amp;IF(AND($J54="Defer backfill",$K54=""),", the backfill quarter","")&amp;IF(IFERROR(AND($K54&lt;&gt;"",$I54&lt;&gt;"",MATCH($K54,QuarterList,0)&lt;=MATCH($I54,QuarterList,0)),FALSE()),", a backfill quarter later than the leaving quarter","")&amp;IF(AND($C54&lt;&gt;"",COUNTIF(UnitList,$C54)=0),", a unit that is not in your structure",""),3,300))</f>
        <v/>
      </c>
    </row>
    <row r="55" customFormat="false" ht="15" hidden="false" customHeight="false" outlineLevel="0" collapsed="false">
      <c r="A55" s="17" t="n">
        <v>50</v>
      </c>
      <c r="B55" s="21"/>
      <c r="C55" s="21"/>
      <c r="D55" s="21"/>
      <c r="E55" s="21"/>
      <c r="F55" s="21"/>
      <c r="G55" s="21"/>
      <c r="H55" s="21"/>
      <c r="I55" s="21"/>
      <c r="J55" s="21"/>
      <c r="K55" s="21"/>
      <c r="L55" s="24" t="str">
        <f aca="false">IF(OR($D55="",$I55="",$J55=""),"",IF($J55="Surrender to fund new asks",MATCH($I55,QuarterList,0)/4,IF($J55="Defer backfill",IF($K55="",MATCH($I55,QuarterList,0)/4,MIN(1,MATCH($I55,QuarterList,0)/4+(5-MATCH($K55,QuarterList,0))/4)),1)))</f>
        <v/>
      </c>
      <c r="M55" s="19" t="str">
        <f aca="false">IF($L55="","",IFERROR(INDEX(LevelBasic,MATCH($E55,LevelList,0))+INDEX(LevelHousing,MATCH($E55,LevelList,0))+INDEX(LevelTransport,MATCH($E55,LevelList,0))+INDEX(LevelBasic,MATCH($E55,LevelList,0))*INDEX(LevelBonus,MATCH($E55,LevelList,0))+(INDEX(LevelBasic,MATCH($E55,LevelList,0))+INDEX(LevelHousing,MATCH($E55,LevelList,0)))*GosiSaudi,0)*(1-$L55))</f>
        <v/>
      </c>
      <c r="N55" s="19" t="n">
        <f aca="false">IF($J55="Surrender to fund new asks",IFERROR(INDEX(LevelBasic,MATCH($E55,LevelList,0))+INDEX(LevelHousing,MATCH($E55,LevelList,0))+INDEX(LevelTransport,MATCH($E55,LevelList,0))+INDEX(LevelBasic,MATCH($E55,LevelList,0))*INDEX(LevelBonus,MATCH($E55,LevelList,0))+(INDEX(LevelBasic,MATCH($E55,LevelList,0))+INDEX(LevelHousing,MATCH($E55,LevelList,0)))*GosiSaudi,0),0)</f>
        <v>0</v>
      </c>
      <c r="O55" s="23" t="str">
        <f aca="false">IF($D55="","",MID(IF($C55="",", unit","")&amp;IF($E55="",", career level","")&amp;IF($H55="",", reason","")&amp;IF($I55="",", leaving quarter","")&amp;IF($J55="",", what happens to the seat","")&amp;IF(AND($J55="Defer backfill",$K55=""),", the backfill quarter","")&amp;IF(IFERROR(AND($K55&lt;&gt;"",$I55&lt;&gt;"",MATCH($K55,QuarterList,0)&lt;=MATCH($I55,QuarterList,0)),FALSE()),", a backfill quarter later than the leaving quarter","")&amp;IF(AND($C55&lt;&gt;"",COUNTIF(UnitList,$C55)=0),", a unit that is not in your structure",""),3,300))</f>
        <v/>
      </c>
    </row>
    <row r="56" customFormat="false" ht="15" hidden="false" customHeight="false" outlineLevel="0" collapsed="false">
      <c r="A56" s="17" t="n">
        <v>51</v>
      </c>
      <c r="B56" s="21"/>
      <c r="C56" s="21"/>
      <c r="D56" s="21"/>
      <c r="E56" s="21"/>
      <c r="F56" s="21"/>
      <c r="G56" s="21"/>
      <c r="H56" s="21"/>
      <c r="I56" s="21"/>
      <c r="J56" s="21"/>
      <c r="K56" s="21"/>
      <c r="L56" s="24" t="str">
        <f aca="false">IF(OR($D56="",$I56="",$J56=""),"",IF($J56="Surrender to fund new asks",MATCH($I56,QuarterList,0)/4,IF($J56="Defer backfill",IF($K56="",MATCH($I56,QuarterList,0)/4,MIN(1,MATCH($I56,QuarterList,0)/4+(5-MATCH($K56,QuarterList,0))/4)),1)))</f>
        <v/>
      </c>
      <c r="M56" s="19" t="str">
        <f aca="false">IF($L56="","",IFERROR(INDEX(LevelBasic,MATCH($E56,LevelList,0))+INDEX(LevelHousing,MATCH($E56,LevelList,0))+INDEX(LevelTransport,MATCH($E56,LevelList,0))+INDEX(LevelBasic,MATCH($E56,LevelList,0))*INDEX(LevelBonus,MATCH($E56,LevelList,0))+(INDEX(LevelBasic,MATCH($E56,LevelList,0))+INDEX(LevelHousing,MATCH($E56,LevelList,0)))*GosiSaudi,0)*(1-$L56))</f>
        <v/>
      </c>
      <c r="N56" s="19" t="n">
        <f aca="false">IF($J56="Surrender to fund new asks",IFERROR(INDEX(LevelBasic,MATCH($E56,LevelList,0))+INDEX(LevelHousing,MATCH($E56,LevelList,0))+INDEX(LevelTransport,MATCH($E56,LevelList,0))+INDEX(LevelBasic,MATCH($E56,LevelList,0))*INDEX(LevelBonus,MATCH($E56,LevelList,0))+(INDEX(LevelBasic,MATCH($E56,LevelList,0))+INDEX(LevelHousing,MATCH($E56,LevelList,0)))*GosiSaudi,0),0)</f>
        <v>0</v>
      </c>
      <c r="O56" s="23" t="str">
        <f aca="false">IF($D56="","",MID(IF($C56="",", unit","")&amp;IF($E56="",", career level","")&amp;IF($H56="",", reason","")&amp;IF($I56="",", leaving quarter","")&amp;IF($J56="",", what happens to the seat","")&amp;IF(AND($J56="Defer backfill",$K56=""),", the backfill quarter","")&amp;IF(IFERROR(AND($K56&lt;&gt;"",$I56&lt;&gt;"",MATCH($K56,QuarterList,0)&lt;=MATCH($I56,QuarterList,0)),FALSE()),", a backfill quarter later than the leaving quarter","")&amp;IF(AND($C56&lt;&gt;"",COUNTIF(UnitList,$C56)=0),", a unit that is not in your structure",""),3,300))</f>
        <v/>
      </c>
    </row>
    <row r="57" customFormat="false" ht="15" hidden="false" customHeight="false" outlineLevel="0" collapsed="false">
      <c r="A57" s="17" t="n">
        <v>52</v>
      </c>
      <c r="B57" s="21"/>
      <c r="C57" s="21"/>
      <c r="D57" s="21"/>
      <c r="E57" s="21"/>
      <c r="F57" s="21"/>
      <c r="G57" s="21"/>
      <c r="H57" s="21"/>
      <c r="I57" s="21"/>
      <c r="J57" s="21"/>
      <c r="K57" s="21"/>
      <c r="L57" s="24" t="str">
        <f aca="false">IF(OR($D57="",$I57="",$J57=""),"",IF($J57="Surrender to fund new asks",MATCH($I57,QuarterList,0)/4,IF($J57="Defer backfill",IF($K57="",MATCH($I57,QuarterList,0)/4,MIN(1,MATCH($I57,QuarterList,0)/4+(5-MATCH($K57,QuarterList,0))/4)),1)))</f>
        <v/>
      </c>
      <c r="M57" s="19" t="str">
        <f aca="false">IF($L57="","",IFERROR(INDEX(LevelBasic,MATCH($E57,LevelList,0))+INDEX(LevelHousing,MATCH($E57,LevelList,0))+INDEX(LevelTransport,MATCH($E57,LevelList,0))+INDEX(LevelBasic,MATCH($E57,LevelList,0))*INDEX(LevelBonus,MATCH($E57,LevelList,0))+(INDEX(LevelBasic,MATCH($E57,LevelList,0))+INDEX(LevelHousing,MATCH($E57,LevelList,0)))*GosiSaudi,0)*(1-$L57))</f>
        <v/>
      </c>
      <c r="N57" s="19" t="n">
        <f aca="false">IF($J57="Surrender to fund new asks",IFERROR(INDEX(LevelBasic,MATCH($E57,LevelList,0))+INDEX(LevelHousing,MATCH($E57,LevelList,0))+INDEX(LevelTransport,MATCH($E57,LevelList,0))+INDEX(LevelBasic,MATCH($E57,LevelList,0))*INDEX(LevelBonus,MATCH($E57,LevelList,0))+(INDEX(LevelBasic,MATCH($E57,LevelList,0))+INDEX(LevelHousing,MATCH($E57,LevelList,0)))*GosiSaudi,0),0)</f>
        <v>0</v>
      </c>
      <c r="O57" s="23" t="str">
        <f aca="false">IF($D57="","",MID(IF($C57="",", unit","")&amp;IF($E57="",", career level","")&amp;IF($H57="",", reason","")&amp;IF($I57="",", leaving quarter","")&amp;IF($J57="",", what happens to the seat","")&amp;IF(AND($J57="Defer backfill",$K57=""),", the backfill quarter","")&amp;IF(IFERROR(AND($K57&lt;&gt;"",$I57&lt;&gt;"",MATCH($K57,QuarterList,0)&lt;=MATCH($I57,QuarterList,0)),FALSE()),", a backfill quarter later than the leaving quarter","")&amp;IF(AND($C57&lt;&gt;"",COUNTIF(UnitList,$C57)=0),", a unit that is not in your structure",""),3,300))</f>
        <v/>
      </c>
    </row>
    <row r="58" customFormat="false" ht="15" hidden="false" customHeight="false" outlineLevel="0" collapsed="false">
      <c r="A58" s="17" t="n">
        <v>53</v>
      </c>
      <c r="B58" s="21"/>
      <c r="C58" s="21"/>
      <c r="D58" s="21"/>
      <c r="E58" s="21"/>
      <c r="F58" s="21"/>
      <c r="G58" s="21"/>
      <c r="H58" s="21"/>
      <c r="I58" s="21"/>
      <c r="J58" s="21"/>
      <c r="K58" s="21"/>
      <c r="L58" s="24" t="str">
        <f aca="false">IF(OR($D58="",$I58="",$J58=""),"",IF($J58="Surrender to fund new asks",MATCH($I58,QuarterList,0)/4,IF($J58="Defer backfill",IF($K58="",MATCH($I58,QuarterList,0)/4,MIN(1,MATCH($I58,QuarterList,0)/4+(5-MATCH($K58,QuarterList,0))/4)),1)))</f>
        <v/>
      </c>
      <c r="M58" s="19" t="str">
        <f aca="false">IF($L58="","",IFERROR(INDEX(LevelBasic,MATCH($E58,LevelList,0))+INDEX(LevelHousing,MATCH($E58,LevelList,0))+INDEX(LevelTransport,MATCH($E58,LevelList,0))+INDEX(LevelBasic,MATCH($E58,LevelList,0))*INDEX(LevelBonus,MATCH($E58,LevelList,0))+(INDEX(LevelBasic,MATCH($E58,LevelList,0))+INDEX(LevelHousing,MATCH($E58,LevelList,0)))*GosiSaudi,0)*(1-$L58))</f>
        <v/>
      </c>
      <c r="N58" s="19" t="n">
        <f aca="false">IF($J58="Surrender to fund new asks",IFERROR(INDEX(LevelBasic,MATCH($E58,LevelList,0))+INDEX(LevelHousing,MATCH($E58,LevelList,0))+INDEX(LevelTransport,MATCH($E58,LevelList,0))+INDEX(LevelBasic,MATCH($E58,LevelList,0))*INDEX(LevelBonus,MATCH($E58,LevelList,0))+(INDEX(LevelBasic,MATCH($E58,LevelList,0))+INDEX(LevelHousing,MATCH($E58,LevelList,0)))*GosiSaudi,0),0)</f>
        <v>0</v>
      </c>
      <c r="O58" s="23" t="str">
        <f aca="false">IF($D58="","",MID(IF($C58="",", unit","")&amp;IF($E58="",", career level","")&amp;IF($H58="",", reason","")&amp;IF($I58="",", leaving quarter","")&amp;IF($J58="",", what happens to the seat","")&amp;IF(AND($J58="Defer backfill",$K58=""),", the backfill quarter","")&amp;IF(IFERROR(AND($K58&lt;&gt;"",$I58&lt;&gt;"",MATCH($K58,QuarterList,0)&lt;=MATCH($I58,QuarterList,0)),FALSE()),", a backfill quarter later than the leaving quarter","")&amp;IF(AND($C58&lt;&gt;"",COUNTIF(UnitList,$C58)=0),", a unit that is not in your structure",""),3,300))</f>
        <v/>
      </c>
    </row>
    <row r="59" customFormat="false" ht="15" hidden="false" customHeight="false" outlineLevel="0" collapsed="false">
      <c r="A59" s="17" t="n">
        <v>54</v>
      </c>
      <c r="B59" s="21"/>
      <c r="C59" s="21"/>
      <c r="D59" s="21"/>
      <c r="E59" s="21"/>
      <c r="F59" s="21"/>
      <c r="G59" s="21"/>
      <c r="H59" s="21"/>
      <c r="I59" s="21"/>
      <c r="J59" s="21"/>
      <c r="K59" s="21"/>
      <c r="L59" s="24" t="str">
        <f aca="false">IF(OR($D59="",$I59="",$J59=""),"",IF($J59="Surrender to fund new asks",MATCH($I59,QuarterList,0)/4,IF($J59="Defer backfill",IF($K59="",MATCH($I59,QuarterList,0)/4,MIN(1,MATCH($I59,QuarterList,0)/4+(5-MATCH($K59,QuarterList,0))/4)),1)))</f>
        <v/>
      </c>
      <c r="M59" s="19" t="str">
        <f aca="false">IF($L59="","",IFERROR(INDEX(LevelBasic,MATCH($E59,LevelList,0))+INDEX(LevelHousing,MATCH($E59,LevelList,0))+INDEX(LevelTransport,MATCH($E59,LevelList,0))+INDEX(LevelBasic,MATCH($E59,LevelList,0))*INDEX(LevelBonus,MATCH($E59,LevelList,0))+(INDEX(LevelBasic,MATCH($E59,LevelList,0))+INDEX(LevelHousing,MATCH($E59,LevelList,0)))*GosiSaudi,0)*(1-$L59))</f>
        <v/>
      </c>
      <c r="N59" s="19" t="n">
        <f aca="false">IF($J59="Surrender to fund new asks",IFERROR(INDEX(LevelBasic,MATCH($E59,LevelList,0))+INDEX(LevelHousing,MATCH($E59,LevelList,0))+INDEX(LevelTransport,MATCH($E59,LevelList,0))+INDEX(LevelBasic,MATCH($E59,LevelList,0))*INDEX(LevelBonus,MATCH($E59,LevelList,0))+(INDEX(LevelBasic,MATCH($E59,LevelList,0))+INDEX(LevelHousing,MATCH($E59,LevelList,0)))*GosiSaudi,0),0)</f>
        <v>0</v>
      </c>
      <c r="O59" s="23" t="str">
        <f aca="false">IF($D59="","",MID(IF($C59="",", unit","")&amp;IF($E59="",", career level","")&amp;IF($H59="",", reason","")&amp;IF($I59="",", leaving quarter","")&amp;IF($J59="",", what happens to the seat","")&amp;IF(AND($J59="Defer backfill",$K59=""),", the backfill quarter","")&amp;IF(IFERROR(AND($K59&lt;&gt;"",$I59&lt;&gt;"",MATCH($K59,QuarterList,0)&lt;=MATCH($I59,QuarterList,0)),FALSE()),", a backfill quarter later than the leaving quarter","")&amp;IF(AND($C59&lt;&gt;"",COUNTIF(UnitList,$C59)=0),", a unit that is not in your structure",""),3,300))</f>
        <v/>
      </c>
    </row>
    <row r="60" customFormat="false" ht="15" hidden="false" customHeight="false" outlineLevel="0" collapsed="false">
      <c r="A60" s="17" t="n">
        <v>55</v>
      </c>
      <c r="B60" s="21"/>
      <c r="C60" s="21"/>
      <c r="D60" s="21"/>
      <c r="E60" s="21"/>
      <c r="F60" s="21"/>
      <c r="G60" s="21"/>
      <c r="H60" s="21"/>
      <c r="I60" s="21"/>
      <c r="J60" s="21"/>
      <c r="K60" s="21"/>
      <c r="L60" s="24" t="str">
        <f aca="false">IF(OR($D60="",$I60="",$J60=""),"",IF($J60="Surrender to fund new asks",MATCH($I60,QuarterList,0)/4,IF($J60="Defer backfill",IF($K60="",MATCH($I60,QuarterList,0)/4,MIN(1,MATCH($I60,QuarterList,0)/4+(5-MATCH($K60,QuarterList,0))/4)),1)))</f>
        <v/>
      </c>
      <c r="M60" s="19" t="str">
        <f aca="false">IF($L60="","",IFERROR(INDEX(LevelBasic,MATCH($E60,LevelList,0))+INDEX(LevelHousing,MATCH($E60,LevelList,0))+INDEX(LevelTransport,MATCH($E60,LevelList,0))+INDEX(LevelBasic,MATCH($E60,LevelList,0))*INDEX(LevelBonus,MATCH($E60,LevelList,0))+(INDEX(LevelBasic,MATCH($E60,LevelList,0))+INDEX(LevelHousing,MATCH($E60,LevelList,0)))*GosiSaudi,0)*(1-$L60))</f>
        <v/>
      </c>
      <c r="N60" s="19" t="n">
        <f aca="false">IF($J60="Surrender to fund new asks",IFERROR(INDEX(LevelBasic,MATCH($E60,LevelList,0))+INDEX(LevelHousing,MATCH($E60,LevelList,0))+INDEX(LevelTransport,MATCH($E60,LevelList,0))+INDEX(LevelBasic,MATCH($E60,LevelList,0))*INDEX(LevelBonus,MATCH($E60,LevelList,0))+(INDEX(LevelBasic,MATCH($E60,LevelList,0))+INDEX(LevelHousing,MATCH($E60,LevelList,0)))*GosiSaudi,0),0)</f>
        <v>0</v>
      </c>
      <c r="O60" s="23" t="str">
        <f aca="false">IF($D60="","",MID(IF($C60="",", unit","")&amp;IF($E60="",", career level","")&amp;IF($H60="",", reason","")&amp;IF($I60="",", leaving quarter","")&amp;IF($J60="",", what happens to the seat","")&amp;IF(AND($J60="Defer backfill",$K60=""),", the backfill quarter","")&amp;IF(IFERROR(AND($K60&lt;&gt;"",$I60&lt;&gt;"",MATCH($K60,QuarterList,0)&lt;=MATCH($I60,QuarterList,0)),FALSE()),", a backfill quarter later than the leaving quarter","")&amp;IF(AND($C60&lt;&gt;"",COUNTIF(UnitList,$C60)=0),", a unit that is not in your structure",""),3,300))</f>
        <v/>
      </c>
    </row>
    <row r="61" customFormat="false" ht="15" hidden="false" customHeight="false" outlineLevel="0" collapsed="false">
      <c r="A61" s="17" t="n">
        <v>56</v>
      </c>
      <c r="B61" s="21"/>
      <c r="C61" s="21"/>
      <c r="D61" s="21"/>
      <c r="E61" s="21"/>
      <c r="F61" s="21"/>
      <c r="G61" s="21"/>
      <c r="H61" s="21"/>
      <c r="I61" s="21"/>
      <c r="J61" s="21"/>
      <c r="K61" s="21"/>
      <c r="L61" s="24" t="str">
        <f aca="false">IF(OR($D61="",$I61="",$J61=""),"",IF($J61="Surrender to fund new asks",MATCH($I61,QuarterList,0)/4,IF($J61="Defer backfill",IF($K61="",MATCH($I61,QuarterList,0)/4,MIN(1,MATCH($I61,QuarterList,0)/4+(5-MATCH($K61,QuarterList,0))/4)),1)))</f>
        <v/>
      </c>
      <c r="M61" s="19" t="str">
        <f aca="false">IF($L61="","",IFERROR(INDEX(LevelBasic,MATCH($E61,LevelList,0))+INDEX(LevelHousing,MATCH($E61,LevelList,0))+INDEX(LevelTransport,MATCH($E61,LevelList,0))+INDEX(LevelBasic,MATCH($E61,LevelList,0))*INDEX(LevelBonus,MATCH($E61,LevelList,0))+(INDEX(LevelBasic,MATCH($E61,LevelList,0))+INDEX(LevelHousing,MATCH($E61,LevelList,0)))*GosiSaudi,0)*(1-$L61))</f>
        <v/>
      </c>
      <c r="N61" s="19" t="n">
        <f aca="false">IF($J61="Surrender to fund new asks",IFERROR(INDEX(LevelBasic,MATCH($E61,LevelList,0))+INDEX(LevelHousing,MATCH($E61,LevelList,0))+INDEX(LevelTransport,MATCH($E61,LevelList,0))+INDEX(LevelBasic,MATCH($E61,LevelList,0))*INDEX(LevelBonus,MATCH($E61,LevelList,0))+(INDEX(LevelBasic,MATCH($E61,LevelList,0))+INDEX(LevelHousing,MATCH($E61,LevelList,0)))*GosiSaudi,0),0)</f>
        <v>0</v>
      </c>
      <c r="O61" s="23" t="str">
        <f aca="false">IF($D61="","",MID(IF($C61="",", unit","")&amp;IF($E61="",", career level","")&amp;IF($H61="",", reason","")&amp;IF($I61="",", leaving quarter","")&amp;IF($J61="",", what happens to the seat","")&amp;IF(AND($J61="Defer backfill",$K61=""),", the backfill quarter","")&amp;IF(IFERROR(AND($K61&lt;&gt;"",$I61&lt;&gt;"",MATCH($K61,QuarterList,0)&lt;=MATCH($I61,QuarterList,0)),FALSE()),", a backfill quarter later than the leaving quarter","")&amp;IF(AND($C61&lt;&gt;"",COUNTIF(UnitList,$C61)=0),", a unit that is not in your structure",""),3,300))</f>
        <v/>
      </c>
    </row>
    <row r="62" customFormat="false" ht="15" hidden="false" customHeight="false" outlineLevel="0" collapsed="false">
      <c r="A62" s="17" t="n">
        <v>57</v>
      </c>
      <c r="B62" s="21"/>
      <c r="C62" s="21"/>
      <c r="D62" s="21"/>
      <c r="E62" s="21"/>
      <c r="F62" s="21"/>
      <c r="G62" s="21"/>
      <c r="H62" s="21"/>
      <c r="I62" s="21"/>
      <c r="J62" s="21"/>
      <c r="K62" s="21"/>
      <c r="L62" s="24" t="str">
        <f aca="false">IF(OR($D62="",$I62="",$J62=""),"",IF($J62="Surrender to fund new asks",MATCH($I62,QuarterList,0)/4,IF($J62="Defer backfill",IF($K62="",MATCH($I62,QuarterList,0)/4,MIN(1,MATCH($I62,QuarterList,0)/4+(5-MATCH($K62,QuarterList,0))/4)),1)))</f>
        <v/>
      </c>
      <c r="M62" s="19" t="str">
        <f aca="false">IF($L62="","",IFERROR(INDEX(LevelBasic,MATCH($E62,LevelList,0))+INDEX(LevelHousing,MATCH($E62,LevelList,0))+INDEX(LevelTransport,MATCH($E62,LevelList,0))+INDEX(LevelBasic,MATCH($E62,LevelList,0))*INDEX(LevelBonus,MATCH($E62,LevelList,0))+(INDEX(LevelBasic,MATCH($E62,LevelList,0))+INDEX(LevelHousing,MATCH($E62,LevelList,0)))*GosiSaudi,0)*(1-$L62))</f>
        <v/>
      </c>
      <c r="N62" s="19" t="n">
        <f aca="false">IF($J62="Surrender to fund new asks",IFERROR(INDEX(LevelBasic,MATCH($E62,LevelList,0))+INDEX(LevelHousing,MATCH($E62,LevelList,0))+INDEX(LevelTransport,MATCH($E62,LevelList,0))+INDEX(LevelBasic,MATCH($E62,LevelList,0))*INDEX(LevelBonus,MATCH($E62,LevelList,0))+(INDEX(LevelBasic,MATCH($E62,LevelList,0))+INDEX(LevelHousing,MATCH($E62,LevelList,0)))*GosiSaudi,0),0)</f>
        <v>0</v>
      </c>
      <c r="O62" s="23" t="str">
        <f aca="false">IF($D62="","",MID(IF($C62="",", unit","")&amp;IF($E62="",", career level","")&amp;IF($H62="",", reason","")&amp;IF($I62="",", leaving quarter","")&amp;IF($J62="",", what happens to the seat","")&amp;IF(AND($J62="Defer backfill",$K62=""),", the backfill quarter","")&amp;IF(IFERROR(AND($K62&lt;&gt;"",$I62&lt;&gt;"",MATCH($K62,QuarterList,0)&lt;=MATCH($I62,QuarterList,0)),FALSE()),", a backfill quarter later than the leaving quarter","")&amp;IF(AND($C62&lt;&gt;"",COUNTIF(UnitList,$C62)=0),", a unit that is not in your structure",""),3,300))</f>
        <v/>
      </c>
    </row>
    <row r="63" customFormat="false" ht="15" hidden="false" customHeight="false" outlineLevel="0" collapsed="false">
      <c r="A63" s="17" t="n">
        <v>58</v>
      </c>
      <c r="B63" s="21"/>
      <c r="C63" s="21"/>
      <c r="D63" s="21"/>
      <c r="E63" s="21"/>
      <c r="F63" s="21"/>
      <c r="G63" s="21"/>
      <c r="H63" s="21"/>
      <c r="I63" s="21"/>
      <c r="J63" s="21"/>
      <c r="K63" s="21"/>
      <c r="L63" s="24" t="str">
        <f aca="false">IF(OR($D63="",$I63="",$J63=""),"",IF($J63="Surrender to fund new asks",MATCH($I63,QuarterList,0)/4,IF($J63="Defer backfill",IF($K63="",MATCH($I63,QuarterList,0)/4,MIN(1,MATCH($I63,QuarterList,0)/4+(5-MATCH($K63,QuarterList,0))/4)),1)))</f>
        <v/>
      </c>
      <c r="M63" s="19" t="str">
        <f aca="false">IF($L63="","",IFERROR(INDEX(LevelBasic,MATCH($E63,LevelList,0))+INDEX(LevelHousing,MATCH($E63,LevelList,0))+INDEX(LevelTransport,MATCH($E63,LevelList,0))+INDEX(LevelBasic,MATCH($E63,LevelList,0))*INDEX(LevelBonus,MATCH($E63,LevelList,0))+(INDEX(LevelBasic,MATCH($E63,LevelList,0))+INDEX(LevelHousing,MATCH($E63,LevelList,0)))*GosiSaudi,0)*(1-$L63))</f>
        <v/>
      </c>
      <c r="N63" s="19" t="n">
        <f aca="false">IF($J63="Surrender to fund new asks",IFERROR(INDEX(LevelBasic,MATCH($E63,LevelList,0))+INDEX(LevelHousing,MATCH($E63,LevelList,0))+INDEX(LevelTransport,MATCH($E63,LevelList,0))+INDEX(LevelBasic,MATCH($E63,LevelList,0))*INDEX(LevelBonus,MATCH($E63,LevelList,0))+(INDEX(LevelBasic,MATCH($E63,LevelList,0))+INDEX(LevelHousing,MATCH($E63,LevelList,0)))*GosiSaudi,0),0)</f>
        <v>0</v>
      </c>
      <c r="O63" s="23" t="str">
        <f aca="false">IF($D63="","",MID(IF($C63="",", unit","")&amp;IF($E63="",", career level","")&amp;IF($H63="",", reason","")&amp;IF($I63="",", leaving quarter","")&amp;IF($J63="",", what happens to the seat","")&amp;IF(AND($J63="Defer backfill",$K63=""),", the backfill quarter","")&amp;IF(IFERROR(AND($K63&lt;&gt;"",$I63&lt;&gt;"",MATCH($K63,QuarterList,0)&lt;=MATCH($I63,QuarterList,0)),FALSE()),", a backfill quarter later than the leaving quarter","")&amp;IF(AND($C63&lt;&gt;"",COUNTIF(UnitList,$C63)=0),", a unit that is not in your structure",""),3,300))</f>
        <v/>
      </c>
    </row>
    <row r="64" customFormat="false" ht="15" hidden="false" customHeight="false" outlineLevel="0" collapsed="false">
      <c r="A64" s="17" t="n">
        <v>59</v>
      </c>
      <c r="B64" s="21"/>
      <c r="C64" s="21"/>
      <c r="D64" s="21"/>
      <c r="E64" s="21"/>
      <c r="F64" s="21"/>
      <c r="G64" s="21"/>
      <c r="H64" s="21"/>
      <c r="I64" s="21"/>
      <c r="J64" s="21"/>
      <c r="K64" s="21"/>
      <c r="L64" s="24" t="str">
        <f aca="false">IF(OR($D64="",$I64="",$J64=""),"",IF($J64="Surrender to fund new asks",MATCH($I64,QuarterList,0)/4,IF($J64="Defer backfill",IF($K64="",MATCH($I64,QuarterList,0)/4,MIN(1,MATCH($I64,QuarterList,0)/4+(5-MATCH($K64,QuarterList,0))/4)),1)))</f>
        <v/>
      </c>
      <c r="M64" s="19" t="str">
        <f aca="false">IF($L64="","",IFERROR(INDEX(LevelBasic,MATCH($E64,LevelList,0))+INDEX(LevelHousing,MATCH($E64,LevelList,0))+INDEX(LevelTransport,MATCH($E64,LevelList,0))+INDEX(LevelBasic,MATCH($E64,LevelList,0))*INDEX(LevelBonus,MATCH($E64,LevelList,0))+(INDEX(LevelBasic,MATCH($E64,LevelList,0))+INDEX(LevelHousing,MATCH($E64,LevelList,0)))*GosiSaudi,0)*(1-$L64))</f>
        <v/>
      </c>
      <c r="N64" s="19" t="n">
        <f aca="false">IF($J64="Surrender to fund new asks",IFERROR(INDEX(LevelBasic,MATCH($E64,LevelList,0))+INDEX(LevelHousing,MATCH($E64,LevelList,0))+INDEX(LevelTransport,MATCH($E64,LevelList,0))+INDEX(LevelBasic,MATCH($E64,LevelList,0))*INDEX(LevelBonus,MATCH($E64,LevelList,0))+(INDEX(LevelBasic,MATCH($E64,LevelList,0))+INDEX(LevelHousing,MATCH($E64,LevelList,0)))*GosiSaudi,0),0)</f>
        <v>0</v>
      </c>
      <c r="O64" s="23" t="str">
        <f aca="false">IF($D64="","",MID(IF($C64="",", unit","")&amp;IF($E64="",", career level","")&amp;IF($H64="",", reason","")&amp;IF($I64="",", leaving quarter","")&amp;IF($J64="",", what happens to the seat","")&amp;IF(AND($J64="Defer backfill",$K64=""),", the backfill quarter","")&amp;IF(IFERROR(AND($K64&lt;&gt;"",$I64&lt;&gt;"",MATCH($K64,QuarterList,0)&lt;=MATCH($I64,QuarterList,0)),FALSE()),", a backfill quarter later than the leaving quarter","")&amp;IF(AND($C64&lt;&gt;"",COUNTIF(UnitList,$C64)=0),", a unit that is not in your structure",""),3,300))</f>
        <v/>
      </c>
    </row>
    <row r="65" customFormat="false" ht="15" hidden="false" customHeight="false" outlineLevel="0" collapsed="false">
      <c r="A65" s="17" t="n">
        <v>60</v>
      </c>
      <c r="B65" s="21"/>
      <c r="C65" s="21"/>
      <c r="D65" s="21"/>
      <c r="E65" s="21"/>
      <c r="F65" s="21"/>
      <c r="G65" s="21"/>
      <c r="H65" s="21"/>
      <c r="I65" s="21"/>
      <c r="J65" s="21"/>
      <c r="K65" s="21"/>
      <c r="L65" s="24" t="str">
        <f aca="false">IF(OR($D65="",$I65="",$J65=""),"",IF($J65="Surrender to fund new asks",MATCH($I65,QuarterList,0)/4,IF($J65="Defer backfill",IF($K65="",MATCH($I65,QuarterList,0)/4,MIN(1,MATCH($I65,QuarterList,0)/4+(5-MATCH($K65,QuarterList,0))/4)),1)))</f>
        <v/>
      </c>
      <c r="M65" s="19" t="str">
        <f aca="false">IF($L65="","",IFERROR(INDEX(LevelBasic,MATCH($E65,LevelList,0))+INDEX(LevelHousing,MATCH($E65,LevelList,0))+INDEX(LevelTransport,MATCH($E65,LevelList,0))+INDEX(LevelBasic,MATCH($E65,LevelList,0))*INDEX(LevelBonus,MATCH($E65,LevelList,0))+(INDEX(LevelBasic,MATCH($E65,LevelList,0))+INDEX(LevelHousing,MATCH($E65,LevelList,0)))*GosiSaudi,0)*(1-$L65))</f>
        <v/>
      </c>
      <c r="N65" s="19" t="n">
        <f aca="false">IF($J65="Surrender to fund new asks",IFERROR(INDEX(LevelBasic,MATCH($E65,LevelList,0))+INDEX(LevelHousing,MATCH($E65,LevelList,0))+INDEX(LevelTransport,MATCH($E65,LevelList,0))+INDEX(LevelBasic,MATCH($E65,LevelList,0))*INDEX(LevelBonus,MATCH($E65,LevelList,0))+(INDEX(LevelBasic,MATCH($E65,LevelList,0))+INDEX(LevelHousing,MATCH($E65,LevelList,0)))*GosiSaudi,0),0)</f>
        <v>0</v>
      </c>
      <c r="O65" s="23" t="str">
        <f aca="false">IF($D65="","",MID(IF($C65="",", unit","")&amp;IF($E65="",", career level","")&amp;IF($H65="",", reason","")&amp;IF($I65="",", leaving quarter","")&amp;IF($J65="",", what happens to the seat","")&amp;IF(AND($J65="Defer backfill",$K65=""),", the backfill quarter","")&amp;IF(IFERROR(AND($K65&lt;&gt;"",$I65&lt;&gt;"",MATCH($K65,QuarterList,0)&lt;=MATCH($I65,QuarterList,0)),FALSE()),", a backfill quarter later than the leaving quarter","")&amp;IF(AND($C65&lt;&gt;"",COUNTIF(UnitList,$C65)=0),", a unit that is not in your structure",""),3,300))</f>
        <v/>
      </c>
    </row>
    <row r="66" customFormat="false" ht="15" hidden="false" customHeight="false" outlineLevel="0" collapsed="false">
      <c r="A66" s="17" t="n">
        <v>61</v>
      </c>
      <c r="B66" s="21"/>
      <c r="C66" s="21"/>
      <c r="D66" s="21"/>
      <c r="E66" s="21"/>
      <c r="F66" s="21"/>
      <c r="G66" s="21"/>
      <c r="H66" s="21"/>
      <c r="I66" s="21"/>
      <c r="J66" s="21"/>
      <c r="K66" s="21"/>
      <c r="L66" s="24" t="str">
        <f aca="false">IF(OR($D66="",$I66="",$J66=""),"",IF($J66="Surrender to fund new asks",MATCH($I66,QuarterList,0)/4,IF($J66="Defer backfill",IF($K66="",MATCH($I66,QuarterList,0)/4,MIN(1,MATCH($I66,QuarterList,0)/4+(5-MATCH($K66,QuarterList,0))/4)),1)))</f>
        <v/>
      </c>
      <c r="M66" s="19" t="str">
        <f aca="false">IF($L66="","",IFERROR(INDEX(LevelBasic,MATCH($E66,LevelList,0))+INDEX(LevelHousing,MATCH($E66,LevelList,0))+INDEX(LevelTransport,MATCH($E66,LevelList,0))+INDEX(LevelBasic,MATCH($E66,LevelList,0))*INDEX(LevelBonus,MATCH($E66,LevelList,0))+(INDEX(LevelBasic,MATCH($E66,LevelList,0))+INDEX(LevelHousing,MATCH($E66,LevelList,0)))*GosiSaudi,0)*(1-$L66))</f>
        <v/>
      </c>
      <c r="N66" s="19" t="n">
        <f aca="false">IF($J66="Surrender to fund new asks",IFERROR(INDEX(LevelBasic,MATCH($E66,LevelList,0))+INDEX(LevelHousing,MATCH($E66,LevelList,0))+INDEX(LevelTransport,MATCH($E66,LevelList,0))+INDEX(LevelBasic,MATCH($E66,LevelList,0))*INDEX(LevelBonus,MATCH($E66,LevelList,0))+(INDEX(LevelBasic,MATCH($E66,LevelList,0))+INDEX(LevelHousing,MATCH($E66,LevelList,0)))*GosiSaudi,0),0)</f>
        <v>0</v>
      </c>
      <c r="O66" s="23" t="str">
        <f aca="false">IF($D66="","",MID(IF($C66="",", unit","")&amp;IF($E66="",", career level","")&amp;IF($H66="",", reason","")&amp;IF($I66="",", leaving quarter","")&amp;IF($J66="",", what happens to the seat","")&amp;IF(AND($J66="Defer backfill",$K66=""),", the backfill quarter","")&amp;IF(IFERROR(AND($K66&lt;&gt;"",$I66&lt;&gt;"",MATCH($K66,QuarterList,0)&lt;=MATCH($I66,QuarterList,0)),FALSE()),", a backfill quarter later than the leaving quarter","")&amp;IF(AND($C66&lt;&gt;"",COUNTIF(UnitList,$C66)=0),", a unit that is not in your structure",""),3,300))</f>
        <v/>
      </c>
    </row>
    <row r="67" customFormat="false" ht="15" hidden="false" customHeight="false" outlineLevel="0" collapsed="false">
      <c r="A67" s="17" t="n">
        <v>62</v>
      </c>
      <c r="B67" s="21"/>
      <c r="C67" s="21"/>
      <c r="D67" s="21"/>
      <c r="E67" s="21"/>
      <c r="F67" s="21"/>
      <c r="G67" s="21"/>
      <c r="H67" s="21"/>
      <c r="I67" s="21"/>
      <c r="J67" s="21"/>
      <c r="K67" s="21"/>
      <c r="L67" s="24" t="str">
        <f aca="false">IF(OR($D67="",$I67="",$J67=""),"",IF($J67="Surrender to fund new asks",MATCH($I67,QuarterList,0)/4,IF($J67="Defer backfill",IF($K67="",MATCH($I67,QuarterList,0)/4,MIN(1,MATCH($I67,QuarterList,0)/4+(5-MATCH($K67,QuarterList,0))/4)),1)))</f>
        <v/>
      </c>
      <c r="M67" s="19" t="str">
        <f aca="false">IF($L67="","",IFERROR(INDEX(LevelBasic,MATCH($E67,LevelList,0))+INDEX(LevelHousing,MATCH($E67,LevelList,0))+INDEX(LevelTransport,MATCH($E67,LevelList,0))+INDEX(LevelBasic,MATCH($E67,LevelList,0))*INDEX(LevelBonus,MATCH($E67,LevelList,0))+(INDEX(LevelBasic,MATCH($E67,LevelList,0))+INDEX(LevelHousing,MATCH($E67,LevelList,0)))*GosiSaudi,0)*(1-$L67))</f>
        <v/>
      </c>
      <c r="N67" s="19" t="n">
        <f aca="false">IF($J67="Surrender to fund new asks",IFERROR(INDEX(LevelBasic,MATCH($E67,LevelList,0))+INDEX(LevelHousing,MATCH($E67,LevelList,0))+INDEX(LevelTransport,MATCH($E67,LevelList,0))+INDEX(LevelBasic,MATCH($E67,LevelList,0))*INDEX(LevelBonus,MATCH($E67,LevelList,0))+(INDEX(LevelBasic,MATCH($E67,LevelList,0))+INDEX(LevelHousing,MATCH($E67,LevelList,0)))*GosiSaudi,0),0)</f>
        <v>0</v>
      </c>
      <c r="O67" s="23" t="str">
        <f aca="false">IF($D67="","",MID(IF($C67="",", unit","")&amp;IF($E67="",", career level","")&amp;IF($H67="",", reason","")&amp;IF($I67="",", leaving quarter","")&amp;IF($J67="",", what happens to the seat","")&amp;IF(AND($J67="Defer backfill",$K67=""),", the backfill quarter","")&amp;IF(IFERROR(AND($K67&lt;&gt;"",$I67&lt;&gt;"",MATCH($K67,QuarterList,0)&lt;=MATCH($I67,QuarterList,0)),FALSE()),", a backfill quarter later than the leaving quarter","")&amp;IF(AND($C67&lt;&gt;"",COUNTIF(UnitList,$C67)=0),", a unit that is not in your structure",""),3,300))</f>
        <v/>
      </c>
    </row>
    <row r="68" customFormat="false" ht="15" hidden="false" customHeight="false" outlineLevel="0" collapsed="false">
      <c r="A68" s="17" t="n">
        <v>63</v>
      </c>
      <c r="B68" s="21"/>
      <c r="C68" s="21"/>
      <c r="D68" s="21"/>
      <c r="E68" s="21"/>
      <c r="F68" s="21"/>
      <c r="G68" s="21"/>
      <c r="H68" s="21"/>
      <c r="I68" s="21"/>
      <c r="J68" s="21"/>
      <c r="K68" s="21"/>
      <c r="L68" s="24" t="str">
        <f aca="false">IF(OR($D68="",$I68="",$J68=""),"",IF($J68="Surrender to fund new asks",MATCH($I68,QuarterList,0)/4,IF($J68="Defer backfill",IF($K68="",MATCH($I68,QuarterList,0)/4,MIN(1,MATCH($I68,QuarterList,0)/4+(5-MATCH($K68,QuarterList,0))/4)),1)))</f>
        <v/>
      </c>
      <c r="M68" s="19" t="str">
        <f aca="false">IF($L68="","",IFERROR(INDEX(LevelBasic,MATCH($E68,LevelList,0))+INDEX(LevelHousing,MATCH($E68,LevelList,0))+INDEX(LevelTransport,MATCH($E68,LevelList,0))+INDEX(LevelBasic,MATCH($E68,LevelList,0))*INDEX(LevelBonus,MATCH($E68,LevelList,0))+(INDEX(LevelBasic,MATCH($E68,LevelList,0))+INDEX(LevelHousing,MATCH($E68,LevelList,0)))*GosiSaudi,0)*(1-$L68))</f>
        <v/>
      </c>
      <c r="N68" s="19" t="n">
        <f aca="false">IF($J68="Surrender to fund new asks",IFERROR(INDEX(LevelBasic,MATCH($E68,LevelList,0))+INDEX(LevelHousing,MATCH($E68,LevelList,0))+INDEX(LevelTransport,MATCH($E68,LevelList,0))+INDEX(LevelBasic,MATCH($E68,LevelList,0))*INDEX(LevelBonus,MATCH($E68,LevelList,0))+(INDEX(LevelBasic,MATCH($E68,LevelList,0))+INDEX(LevelHousing,MATCH($E68,LevelList,0)))*GosiSaudi,0),0)</f>
        <v>0</v>
      </c>
      <c r="O68" s="23" t="str">
        <f aca="false">IF($D68="","",MID(IF($C68="",", unit","")&amp;IF($E68="",", career level","")&amp;IF($H68="",", reason","")&amp;IF($I68="",", leaving quarter","")&amp;IF($J68="",", what happens to the seat","")&amp;IF(AND($J68="Defer backfill",$K68=""),", the backfill quarter","")&amp;IF(IFERROR(AND($K68&lt;&gt;"",$I68&lt;&gt;"",MATCH($K68,QuarterList,0)&lt;=MATCH($I68,QuarterList,0)),FALSE()),", a backfill quarter later than the leaving quarter","")&amp;IF(AND($C68&lt;&gt;"",COUNTIF(UnitList,$C68)=0),", a unit that is not in your structure",""),3,300))</f>
        <v/>
      </c>
    </row>
    <row r="69" customFormat="false" ht="15" hidden="false" customHeight="false" outlineLevel="0" collapsed="false">
      <c r="A69" s="17" t="n">
        <v>64</v>
      </c>
      <c r="B69" s="21"/>
      <c r="C69" s="21"/>
      <c r="D69" s="21"/>
      <c r="E69" s="21"/>
      <c r="F69" s="21"/>
      <c r="G69" s="21"/>
      <c r="H69" s="21"/>
      <c r="I69" s="21"/>
      <c r="J69" s="21"/>
      <c r="K69" s="21"/>
      <c r="L69" s="24" t="str">
        <f aca="false">IF(OR($D69="",$I69="",$J69=""),"",IF($J69="Surrender to fund new asks",MATCH($I69,QuarterList,0)/4,IF($J69="Defer backfill",IF($K69="",MATCH($I69,QuarterList,0)/4,MIN(1,MATCH($I69,QuarterList,0)/4+(5-MATCH($K69,QuarterList,0))/4)),1)))</f>
        <v/>
      </c>
      <c r="M69" s="19" t="str">
        <f aca="false">IF($L69="","",IFERROR(INDEX(LevelBasic,MATCH($E69,LevelList,0))+INDEX(LevelHousing,MATCH($E69,LevelList,0))+INDEX(LevelTransport,MATCH($E69,LevelList,0))+INDEX(LevelBasic,MATCH($E69,LevelList,0))*INDEX(LevelBonus,MATCH($E69,LevelList,0))+(INDEX(LevelBasic,MATCH($E69,LevelList,0))+INDEX(LevelHousing,MATCH($E69,LevelList,0)))*GosiSaudi,0)*(1-$L69))</f>
        <v/>
      </c>
      <c r="N69" s="19" t="n">
        <f aca="false">IF($J69="Surrender to fund new asks",IFERROR(INDEX(LevelBasic,MATCH($E69,LevelList,0))+INDEX(LevelHousing,MATCH($E69,LevelList,0))+INDEX(LevelTransport,MATCH($E69,LevelList,0))+INDEX(LevelBasic,MATCH($E69,LevelList,0))*INDEX(LevelBonus,MATCH($E69,LevelList,0))+(INDEX(LevelBasic,MATCH($E69,LevelList,0))+INDEX(LevelHousing,MATCH($E69,LevelList,0)))*GosiSaudi,0),0)</f>
        <v>0</v>
      </c>
      <c r="O69" s="23" t="str">
        <f aca="false">IF($D69="","",MID(IF($C69="",", unit","")&amp;IF($E69="",", career level","")&amp;IF($H69="",", reason","")&amp;IF($I69="",", leaving quarter","")&amp;IF($J69="",", what happens to the seat","")&amp;IF(AND($J69="Defer backfill",$K69=""),", the backfill quarter","")&amp;IF(IFERROR(AND($K69&lt;&gt;"",$I69&lt;&gt;"",MATCH($K69,QuarterList,0)&lt;=MATCH($I69,QuarterList,0)),FALSE()),", a backfill quarter later than the leaving quarter","")&amp;IF(AND($C69&lt;&gt;"",COUNTIF(UnitList,$C69)=0),", a unit that is not in your structure",""),3,300))</f>
        <v/>
      </c>
    </row>
    <row r="70" customFormat="false" ht="15" hidden="false" customHeight="false" outlineLevel="0" collapsed="false">
      <c r="A70" s="17" t="n">
        <v>65</v>
      </c>
      <c r="B70" s="21"/>
      <c r="C70" s="21"/>
      <c r="D70" s="21"/>
      <c r="E70" s="21"/>
      <c r="F70" s="21"/>
      <c r="G70" s="21"/>
      <c r="H70" s="21"/>
      <c r="I70" s="21"/>
      <c r="J70" s="21"/>
      <c r="K70" s="21"/>
      <c r="L70" s="24" t="str">
        <f aca="false">IF(OR($D70="",$I70="",$J70=""),"",IF($J70="Surrender to fund new asks",MATCH($I70,QuarterList,0)/4,IF($J70="Defer backfill",IF($K70="",MATCH($I70,QuarterList,0)/4,MIN(1,MATCH($I70,QuarterList,0)/4+(5-MATCH($K70,QuarterList,0))/4)),1)))</f>
        <v/>
      </c>
      <c r="M70" s="19" t="str">
        <f aca="false">IF($L70="","",IFERROR(INDEX(LevelBasic,MATCH($E70,LevelList,0))+INDEX(LevelHousing,MATCH($E70,LevelList,0))+INDEX(LevelTransport,MATCH($E70,LevelList,0))+INDEX(LevelBasic,MATCH($E70,LevelList,0))*INDEX(LevelBonus,MATCH($E70,LevelList,0))+(INDEX(LevelBasic,MATCH($E70,LevelList,0))+INDEX(LevelHousing,MATCH($E70,LevelList,0)))*GosiSaudi,0)*(1-$L70))</f>
        <v/>
      </c>
      <c r="N70" s="19" t="n">
        <f aca="false">IF($J70="Surrender to fund new asks",IFERROR(INDEX(LevelBasic,MATCH($E70,LevelList,0))+INDEX(LevelHousing,MATCH($E70,LevelList,0))+INDEX(LevelTransport,MATCH($E70,LevelList,0))+INDEX(LevelBasic,MATCH($E70,LevelList,0))*INDEX(LevelBonus,MATCH($E70,LevelList,0))+(INDEX(LevelBasic,MATCH($E70,LevelList,0))+INDEX(LevelHousing,MATCH($E70,LevelList,0)))*GosiSaudi,0),0)</f>
        <v>0</v>
      </c>
      <c r="O70" s="23" t="str">
        <f aca="false">IF($D70="","",MID(IF($C70="",", unit","")&amp;IF($E70="",", career level","")&amp;IF($H70="",", reason","")&amp;IF($I70="",", leaving quarter","")&amp;IF($J70="",", what happens to the seat","")&amp;IF(AND($J70="Defer backfill",$K70=""),", the backfill quarter","")&amp;IF(IFERROR(AND($K70&lt;&gt;"",$I70&lt;&gt;"",MATCH($K70,QuarterList,0)&lt;=MATCH($I70,QuarterList,0)),FALSE()),", a backfill quarter later than the leaving quarter","")&amp;IF(AND($C70&lt;&gt;"",COUNTIF(UnitList,$C70)=0),", a unit that is not in your structure",""),3,300))</f>
        <v/>
      </c>
    </row>
    <row r="71" customFormat="false" ht="15" hidden="false" customHeight="false" outlineLevel="0" collapsed="false">
      <c r="A71" s="17" t="n">
        <v>66</v>
      </c>
      <c r="B71" s="21"/>
      <c r="C71" s="21"/>
      <c r="D71" s="21"/>
      <c r="E71" s="21"/>
      <c r="F71" s="21"/>
      <c r="G71" s="21"/>
      <c r="H71" s="21"/>
      <c r="I71" s="21"/>
      <c r="J71" s="21"/>
      <c r="K71" s="21"/>
      <c r="L71" s="24" t="str">
        <f aca="false">IF(OR($D71="",$I71="",$J71=""),"",IF($J71="Surrender to fund new asks",MATCH($I71,QuarterList,0)/4,IF($J71="Defer backfill",IF($K71="",MATCH($I71,QuarterList,0)/4,MIN(1,MATCH($I71,QuarterList,0)/4+(5-MATCH($K71,QuarterList,0))/4)),1)))</f>
        <v/>
      </c>
      <c r="M71" s="19" t="str">
        <f aca="false">IF($L71="","",IFERROR(INDEX(LevelBasic,MATCH($E71,LevelList,0))+INDEX(LevelHousing,MATCH($E71,LevelList,0))+INDEX(LevelTransport,MATCH($E71,LevelList,0))+INDEX(LevelBasic,MATCH($E71,LevelList,0))*INDEX(LevelBonus,MATCH($E71,LevelList,0))+(INDEX(LevelBasic,MATCH($E71,LevelList,0))+INDEX(LevelHousing,MATCH($E71,LevelList,0)))*GosiSaudi,0)*(1-$L71))</f>
        <v/>
      </c>
      <c r="N71" s="19" t="n">
        <f aca="false">IF($J71="Surrender to fund new asks",IFERROR(INDEX(LevelBasic,MATCH($E71,LevelList,0))+INDEX(LevelHousing,MATCH($E71,LevelList,0))+INDEX(LevelTransport,MATCH($E71,LevelList,0))+INDEX(LevelBasic,MATCH($E71,LevelList,0))*INDEX(LevelBonus,MATCH($E71,LevelList,0))+(INDEX(LevelBasic,MATCH($E71,LevelList,0))+INDEX(LevelHousing,MATCH($E71,LevelList,0)))*GosiSaudi,0),0)</f>
        <v>0</v>
      </c>
      <c r="O71" s="23" t="str">
        <f aca="false">IF($D71="","",MID(IF($C71="",", unit","")&amp;IF($E71="",", career level","")&amp;IF($H71="",", reason","")&amp;IF($I71="",", leaving quarter","")&amp;IF($J71="",", what happens to the seat","")&amp;IF(AND($J71="Defer backfill",$K71=""),", the backfill quarter","")&amp;IF(IFERROR(AND($K71&lt;&gt;"",$I71&lt;&gt;"",MATCH($K71,QuarterList,0)&lt;=MATCH($I71,QuarterList,0)),FALSE()),", a backfill quarter later than the leaving quarter","")&amp;IF(AND($C71&lt;&gt;"",COUNTIF(UnitList,$C71)=0),", a unit that is not in your structure",""),3,300))</f>
        <v/>
      </c>
    </row>
    <row r="72" customFormat="false" ht="15" hidden="false" customHeight="false" outlineLevel="0" collapsed="false">
      <c r="A72" s="17" t="n">
        <v>67</v>
      </c>
      <c r="B72" s="21"/>
      <c r="C72" s="21"/>
      <c r="D72" s="21"/>
      <c r="E72" s="21"/>
      <c r="F72" s="21"/>
      <c r="G72" s="21"/>
      <c r="H72" s="21"/>
      <c r="I72" s="21"/>
      <c r="J72" s="21"/>
      <c r="K72" s="21"/>
      <c r="L72" s="24" t="str">
        <f aca="false">IF(OR($D72="",$I72="",$J72=""),"",IF($J72="Surrender to fund new asks",MATCH($I72,QuarterList,0)/4,IF($J72="Defer backfill",IF($K72="",MATCH($I72,QuarterList,0)/4,MIN(1,MATCH($I72,QuarterList,0)/4+(5-MATCH($K72,QuarterList,0))/4)),1)))</f>
        <v/>
      </c>
      <c r="M72" s="19" t="str">
        <f aca="false">IF($L72="","",IFERROR(INDEX(LevelBasic,MATCH($E72,LevelList,0))+INDEX(LevelHousing,MATCH($E72,LevelList,0))+INDEX(LevelTransport,MATCH($E72,LevelList,0))+INDEX(LevelBasic,MATCH($E72,LevelList,0))*INDEX(LevelBonus,MATCH($E72,LevelList,0))+(INDEX(LevelBasic,MATCH($E72,LevelList,0))+INDEX(LevelHousing,MATCH($E72,LevelList,0)))*GosiSaudi,0)*(1-$L72))</f>
        <v/>
      </c>
      <c r="N72" s="19" t="n">
        <f aca="false">IF($J72="Surrender to fund new asks",IFERROR(INDEX(LevelBasic,MATCH($E72,LevelList,0))+INDEX(LevelHousing,MATCH($E72,LevelList,0))+INDEX(LevelTransport,MATCH($E72,LevelList,0))+INDEX(LevelBasic,MATCH($E72,LevelList,0))*INDEX(LevelBonus,MATCH($E72,LevelList,0))+(INDEX(LevelBasic,MATCH($E72,LevelList,0))+INDEX(LevelHousing,MATCH($E72,LevelList,0)))*GosiSaudi,0),0)</f>
        <v>0</v>
      </c>
      <c r="O72" s="23" t="str">
        <f aca="false">IF($D72="","",MID(IF($C72="",", unit","")&amp;IF($E72="",", career level","")&amp;IF($H72="",", reason","")&amp;IF($I72="",", leaving quarter","")&amp;IF($J72="",", what happens to the seat","")&amp;IF(AND($J72="Defer backfill",$K72=""),", the backfill quarter","")&amp;IF(IFERROR(AND($K72&lt;&gt;"",$I72&lt;&gt;"",MATCH($K72,QuarterList,0)&lt;=MATCH($I72,QuarterList,0)),FALSE()),", a backfill quarter later than the leaving quarter","")&amp;IF(AND($C72&lt;&gt;"",COUNTIF(UnitList,$C72)=0),", a unit that is not in your structure",""),3,300))</f>
        <v/>
      </c>
    </row>
    <row r="73" customFormat="false" ht="15" hidden="false" customHeight="false" outlineLevel="0" collapsed="false">
      <c r="A73" s="17" t="n">
        <v>68</v>
      </c>
      <c r="B73" s="21"/>
      <c r="C73" s="21"/>
      <c r="D73" s="21"/>
      <c r="E73" s="21"/>
      <c r="F73" s="21"/>
      <c r="G73" s="21"/>
      <c r="H73" s="21"/>
      <c r="I73" s="21"/>
      <c r="J73" s="21"/>
      <c r="K73" s="21"/>
      <c r="L73" s="24" t="str">
        <f aca="false">IF(OR($D73="",$I73="",$J73=""),"",IF($J73="Surrender to fund new asks",MATCH($I73,QuarterList,0)/4,IF($J73="Defer backfill",IF($K73="",MATCH($I73,QuarterList,0)/4,MIN(1,MATCH($I73,QuarterList,0)/4+(5-MATCH($K73,QuarterList,0))/4)),1)))</f>
        <v/>
      </c>
      <c r="M73" s="19" t="str">
        <f aca="false">IF($L73="","",IFERROR(INDEX(LevelBasic,MATCH($E73,LevelList,0))+INDEX(LevelHousing,MATCH($E73,LevelList,0))+INDEX(LevelTransport,MATCH($E73,LevelList,0))+INDEX(LevelBasic,MATCH($E73,LevelList,0))*INDEX(LevelBonus,MATCH($E73,LevelList,0))+(INDEX(LevelBasic,MATCH($E73,LevelList,0))+INDEX(LevelHousing,MATCH($E73,LevelList,0)))*GosiSaudi,0)*(1-$L73))</f>
        <v/>
      </c>
      <c r="N73" s="19" t="n">
        <f aca="false">IF($J73="Surrender to fund new asks",IFERROR(INDEX(LevelBasic,MATCH($E73,LevelList,0))+INDEX(LevelHousing,MATCH($E73,LevelList,0))+INDEX(LevelTransport,MATCH($E73,LevelList,0))+INDEX(LevelBasic,MATCH($E73,LevelList,0))*INDEX(LevelBonus,MATCH($E73,LevelList,0))+(INDEX(LevelBasic,MATCH($E73,LevelList,0))+INDEX(LevelHousing,MATCH($E73,LevelList,0)))*GosiSaudi,0),0)</f>
        <v>0</v>
      </c>
      <c r="O73" s="23" t="str">
        <f aca="false">IF($D73="","",MID(IF($C73="",", unit","")&amp;IF($E73="",", career level","")&amp;IF($H73="",", reason","")&amp;IF($I73="",", leaving quarter","")&amp;IF($J73="",", what happens to the seat","")&amp;IF(AND($J73="Defer backfill",$K73=""),", the backfill quarter","")&amp;IF(IFERROR(AND($K73&lt;&gt;"",$I73&lt;&gt;"",MATCH($K73,QuarterList,0)&lt;=MATCH($I73,QuarterList,0)),FALSE()),", a backfill quarter later than the leaving quarter","")&amp;IF(AND($C73&lt;&gt;"",COUNTIF(UnitList,$C73)=0),", a unit that is not in your structure",""),3,300))</f>
        <v/>
      </c>
    </row>
    <row r="74" customFormat="false" ht="15" hidden="false" customHeight="false" outlineLevel="0" collapsed="false">
      <c r="A74" s="17" t="n">
        <v>69</v>
      </c>
      <c r="B74" s="21"/>
      <c r="C74" s="21"/>
      <c r="D74" s="21"/>
      <c r="E74" s="21"/>
      <c r="F74" s="21"/>
      <c r="G74" s="21"/>
      <c r="H74" s="21"/>
      <c r="I74" s="21"/>
      <c r="J74" s="21"/>
      <c r="K74" s="21"/>
      <c r="L74" s="24" t="str">
        <f aca="false">IF(OR($D74="",$I74="",$J74=""),"",IF($J74="Surrender to fund new asks",MATCH($I74,QuarterList,0)/4,IF($J74="Defer backfill",IF($K74="",MATCH($I74,QuarterList,0)/4,MIN(1,MATCH($I74,QuarterList,0)/4+(5-MATCH($K74,QuarterList,0))/4)),1)))</f>
        <v/>
      </c>
      <c r="M74" s="19" t="str">
        <f aca="false">IF($L74="","",IFERROR(INDEX(LevelBasic,MATCH($E74,LevelList,0))+INDEX(LevelHousing,MATCH($E74,LevelList,0))+INDEX(LevelTransport,MATCH($E74,LevelList,0))+INDEX(LevelBasic,MATCH($E74,LevelList,0))*INDEX(LevelBonus,MATCH($E74,LevelList,0))+(INDEX(LevelBasic,MATCH($E74,LevelList,0))+INDEX(LevelHousing,MATCH($E74,LevelList,0)))*GosiSaudi,0)*(1-$L74))</f>
        <v/>
      </c>
      <c r="N74" s="19" t="n">
        <f aca="false">IF($J74="Surrender to fund new asks",IFERROR(INDEX(LevelBasic,MATCH($E74,LevelList,0))+INDEX(LevelHousing,MATCH($E74,LevelList,0))+INDEX(LevelTransport,MATCH($E74,LevelList,0))+INDEX(LevelBasic,MATCH($E74,LevelList,0))*INDEX(LevelBonus,MATCH($E74,LevelList,0))+(INDEX(LevelBasic,MATCH($E74,LevelList,0))+INDEX(LevelHousing,MATCH($E74,LevelList,0)))*GosiSaudi,0),0)</f>
        <v>0</v>
      </c>
      <c r="O74" s="23" t="str">
        <f aca="false">IF($D74="","",MID(IF($C74="",", unit","")&amp;IF($E74="",", career level","")&amp;IF($H74="",", reason","")&amp;IF($I74="",", leaving quarter","")&amp;IF($J74="",", what happens to the seat","")&amp;IF(AND($J74="Defer backfill",$K74=""),", the backfill quarter","")&amp;IF(IFERROR(AND($K74&lt;&gt;"",$I74&lt;&gt;"",MATCH($K74,QuarterList,0)&lt;=MATCH($I74,QuarterList,0)),FALSE()),", a backfill quarter later than the leaving quarter","")&amp;IF(AND($C74&lt;&gt;"",COUNTIF(UnitList,$C74)=0),", a unit that is not in your structure",""),3,300))</f>
        <v/>
      </c>
    </row>
    <row r="75" customFormat="false" ht="15" hidden="false" customHeight="false" outlineLevel="0" collapsed="false">
      <c r="A75" s="17" t="n">
        <v>70</v>
      </c>
      <c r="B75" s="21"/>
      <c r="C75" s="21"/>
      <c r="D75" s="21"/>
      <c r="E75" s="21"/>
      <c r="F75" s="21"/>
      <c r="G75" s="21"/>
      <c r="H75" s="21"/>
      <c r="I75" s="21"/>
      <c r="J75" s="21"/>
      <c r="K75" s="21"/>
      <c r="L75" s="24" t="str">
        <f aca="false">IF(OR($D75="",$I75="",$J75=""),"",IF($J75="Surrender to fund new asks",MATCH($I75,QuarterList,0)/4,IF($J75="Defer backfill",IF($K75="",MATCH($I75,QuarterList,0)/4,MIN(1,MATCH($I75,QuarterList,0)/4+(5-MATCH($K75,QuarterList,0))/4)),1)))</f>
        <v/>
      </c>
      <c r="M75" s="19" t="str">
        <f aca="false">IF($L75="","",IFERROR(INDEX(LevelBasic,MATCH($E75,LevelList,0))+INDEX(LevelHousing,MATCH($E75,LevelList,0))+INDEX(LevelTransport,MATCH($E75,LevelList,0))+INDEX(LevelBasic,MATCH($E75,LevelList,0))*INDEX(LevelBonus,MATCH($E75,LevelList,0))+(INDEX(LevelBasic,MATCH($E75,LevelList,0))+INDEX(LevelHousing,MATCH($E75,LevelList,0)))*GosiSaudi,0)*(1-$L75))</f>
        <v/>
      </c>
      <c r="N75" s="19" t="n">
        <f aca="false">IF($J75="Surrender to fund new asks",IFERROR(INDEX(LevelBasic,MATCH($E75,LevelList,0))+INDEX(LevelHousing,MATCH($E75,LevelList,0))+INDEX(LevelTransport,MATCH($E75,LevelList,0))+INDEX(LevelBasic,MATCH($E75,LevelList,0))*INDEX(LevelBonus,MATCH($E75,LevelList,0))+(INDEX(LevelBasic,MATCH($E75,LevelList,0))+INDEX(LevelHousing,MATCH($E75,LevelList,0)))*GosiSaudi,0),0)</f>
        <v>0</v>
      </c>
      <c r="O75" s="23" t="str">
        <f aca="false">IF($D75="","",MID(IF($C75="",", unit","")&amp;IF($E75="",", career level","")&amp;IF($H75="",", reason","")&amp;IF($I75="",", leaving quarter","")&amp;IF($J75="",", what happens to the seat","")&amp;IF(AND($J75="Defer backfill",$K75=""),", the backfill quarter","")&amp;IF(IFERROR(AND($K75&lt;&gt;"",$I75&lt;&gt;"",MATCH($K75,QuarterList,0)&lt;=MATCH($I75,QuarterList,0)),FALSE()),", a backfill quarter later than the leaving quarter","")&amp;IF(AND($C75&lt;&gt;"",COUNTIF(UnitList,$C75)=0),", a unit that is not in your structure",""),3,300))</f>
        <v/>
      </c>
    </row>
    <row r="76" customFormat="false" ht="15" hidden="false" customHeight="false" outlineLevel="0" collapsed="false">
      <c r="A76" s="17" t="n">
        <v>71</v>
      </c>
      <c r="B76" s="21"/>
      <c r="C76" s="21"/>
      <c r="D76" s="21"/>
      <c r="E76" s="21"/>
      <c r="F76" s="21"/>
      <c r="G76" s="21"/>
      <c r="H76" s="21"/>
      <c r="I76" s="21"/>
      <c r="J76" s="21"/>
      <c r="K76" s="21"/>
      <c r="L76" s="24" t="str">
        <f aca="false">IF(OR($D76="",$I76="",$J76=""),"",IF($J76="Surrender to fund new asks",MATCH($I76,QuarterList,0)/4,IF($J76="Defer backfill",IF($K76="",MATCH($I76,QuarterList,0)/4,MIN(1,MATCH($I76,QuarterList,0)/4+(5-MATCH($K76,QuarterList,0))/4)),1)))</f>
        <v/>
      </c>
      <c r="M76" s="19" t="str">
        <f aca="false">IF($L76="","",IFERROR(INDEX(LevelBasic,MATCH($E76,LevelList,0))+INDEX(LevelHousing,MATCH($E76,LevelList,0))+INDEX(LevelTransport,MATCH($E76,LevelList,0))+INDEX(LevelBasic,MATCH($E76,LevelList,0))*INDEX(LevelBonus,MATCH($E76,LevelList,0))+(INDEX(LevelBasic,MATCH($E76,LevelList,0))+INDEX(LevelHousing,MATCH($E76,LevelList,0)))*GosiSaudi,0)*(1-$L76))</f>
        <v/>
      </c>
      <c r="N76" s="19" t="n">
        <f aca="false">IF($J76="Surrender to fund new asks",IFERROR(INDEX(LevelBasic,MATCH($E76,LevelList,0))+INDEX(LevelHousing,MATCH($E76,LevelList,0))+INDEX(LevelTransport,MATCH($E76,LevelList,0))+INDEX(LevelBasic,MATCH($E76,LevelList,0))*INDEX(LevelBonus,MATCH($E76,LevelList,0))+(INDEX(LevelBasic,MATCH($E76,LevelList,0))+INDEX(LevelHousing,MATCH($E76,LevelList,0)))*GosiSaudi,0),0)</f>
        <v>0</v>
      </c>
      <c r="O76" s="23" t="str">
        <f aca="false">IF($D76="","",MID(IF($C76="",", unit","")&amp;IF($E76="",", career level","")&amp;IF($H76="",", reason","")&amp;IF($I76="",", leaving quarter","")&amp;IF($J76="",", what happens to the seat","")&amp;IF(AND($J76="Defer backfill",$K76=""),", the backfill quarter","")&amp;IF(IFERROR(AND($K76&lt;&gt;"",$I76&lt;&gt;"",MATCH($K76,QuarterList,0)&lt;=MATCH($I76,QuarterList,0)),FALSE()),", a backfill quarter later than the leaving quarter","")&amp;IF(AND($C76&lt;&gt;"",COUNTIF(UnitList,$C76)=0),", a unit that is not in your structure",""),3,300))</f>
        <v/>
      </c>
    </row>
    <row r="77" customFormat="false" ht="15" hidden="false" customHeight="false" outlineLevel="0" collapsed="false">
      <c r="A77" s="17" t="n">
        <v>72</v>
      </c>
      <c r="B77" s="21"/>
      <c r="C77" s="21"/>
      <c r="D77" s="21"/>
      <c r="E77" s="21"/>
      <c r="F77" s="21"/>
      <c r="G77" s="21"/>
      <c r="H77" s="21"/>
      <c r="I77" s="21"/>
      <c r="J77" s="21"/>
      <c r="K77" s="21"/>
      <c r="L77" s="24" t="str">
        <f aca="false">IF(OR($D77="",$I77="",$J77=""),"",IF($J77="Surrender to fund new asks",MATCH($I77,QuarterList,0)/4,IF($J77="Defer backfill",IF($K77="",MATCH($I77,QuarterList,0)/4,MIN(1,MATCH($I77,QuarterList,0)/4+(5-MATCH($K77,QuarterList,0))/4)),1)))</f>
        <v/>
      </c>
      <c r="M77" s="19" t="str">
        <f aca="false">IF($L77="","",IFERROR(INDEX(LevelBasic,MATCH($E77,LevelList,0))+INDEX(LevelHousing,MATCH($E77,LevelList,0))+INDEX(LevelTransport,MATCH($E77,LevelList,0))+INDEX(LevelBasic,MATCH($E77,LevelList,0))*INDEX(LevelBonus,MATCH($E77,LevelList,0))+(INDEX(LevelBasic,MATCH($E77,LevelList,0))+INDEX(LevelHousing,MATCH($E77,LevelList,0)))*GosiSaudi,0)*(1-$L77))</f>
        <v/>
      </c>
      <c r="N77" s="19" t="n">
        <f aca="false">IF($J77="Surrender to fund new asks",IFERROR(INDEX(LevelBasic,MATCH($E77,LevelList,0))+INDEX(LevelHousing,MATCH($E77,LevelList,0))+INDEX(LevelTransport,MATCH($E77,LevelList,0))+INDEX(LevelBasic,MATCH($E77,LevelList,0))*INDEX(LevelBonus,MATCH($E77,LevelList,0))+(INDEX(LevelBasic,MATCH($E77,LevelList,0))+INDEX(LevelHousing,MATCH($E77,LevelList,0)))*GosiSaudi,0),0)</f>
        <v>0</v>
      </c>
      <c r="O77" s="23" t="str">
        <f aca="false">IF($D77="","",MID(IF($C77="",", unit","")&amp;IF($E77="",", career level","")&amp;IF($H77="",", reason","")&amp;IF($I77="",", leaving quarter","")&amp;IF($J77="",", what happens to the seat","")&amp;IF(AND($J77="Defer backfill",$K77=""),", the backfill quarter","")&amp;IF(IFERROR(AND($K77&lt;&gt;"",$I77&lt;&gt;"",MATCH($K77,QuarterList,0)&lt;=MATCH($I77,QuarterList,0)),FALSE()),", a backfill quarter later than the leaving quarter","")&amp;IF(AND($C77&lt;&gt;"",COUNTIF(UnitList,$C77)=0),", a unit that is not in your structure",""),3,300))</f>
        <v/>
      </c>
    </row>
    <row r="78" customFormat="false" ht="15" hidden="false" customHeight="false" outlineLevel="0" collapsed="false">
      <c r="A78" s="17" t="n">
        <v>73</v>
      </c>
      <c r="B78" s="21"/>
      <c r="C78" s="21"/>
      <c r="D78" s="21"/>
      <c r="E78" s="21"/>
      <c r="F78" s="21"/>
      <c r="G78" s="21"/>
      <c r="H78" s="21"/>
      <c r="I78" s="21"/>
      <c r="J78" s="21"/>
      <c r="K78" s="21"/>
      <c r="L78" s="24" t="str">
        <f aca="false">IF(OR($D78="",$I78="",$J78=""),"",IF($J78="Surrender to fund new asks",MATCH($I78,QuarterList,0)/4,IF($J78="Defer backfill",IF($K78="",MATCH($I78,QuarterList,0)/4,MIN(1,MATCH($I78,QuarterList,0)/4+(5-MATCH($K78,QuarterList,0))/4)),1)))</f>
        <v/>
      </c>
      <c r="M78" s="19" t="str">
        <f aca="false">IF($L78="","",IFERROR(INDEX(LevelBasic,MATCH($E78,LevelList,0))+INDEX(LevelHousing,MATCH($E78,LevelList,0))+INDEX(LevelTransport,MATCH($E78,LevelList,0))+INDEX(LevelBasic,MATCH($E78,LevelList,0))*INDEX(LevelBonus,MATCH($E78,LevelList,0))+(INDEX(LevelBasic,MATCH($E78,LevelList,0))+INDEX(LevelHousing,MATCH($E78,LevelList,0)))*GosiSaudi,0)*(1-$L78))</f>
        <v/>
      </c>
      <c r="N78" s="19" t="n">
        <f aca="false">IF($J78="Surrender to fund new asks",IFERROR(INDEX(LevelBasic,MATCH($E78,LevelList,0))+INDEX(LevelHousing,MATCH($E78,LevelList,0))+INDEX(LevelTransport,MATCH($E78,LevelList,0))+INDEX(LevelBasic,MATCH($E78,LevelList,0))*INDEX(LevelBonus,MATCH($E78,LevelList,0))+(INDEX(LevelBasic,MATCH($E78,LevelList,0))+INDEX(LevelHousing,MATCH($E78,LevelList,0)))*GosiSaudi,0),0)</f>
        <v>0</v>
      </c>
      <c r="O78" s="23" t="str">
        <f aca="false">IF($D78="","",MID(IF($C78="",", unit","")&amp;IF($E78="",", career level","")&amp;IF($H78="",", reason","")&amp;IF($I78="",", leaving quarter","")&amp;IF($J78="",", what happens to the seat","")&amp;IF(AND($J78="Defer backfill",$K78=""),", the backfill quarter","")&amp;IF(IFERROR(AND($K78&lt;&gt;"",$I78&lt;&gt;"",MATCH($K78,QuarterList,0)&lt;=MATCH($I78,QuarterList,0)),FALSE()),", a backfill quarter later than the leaving quarter","")&amp;IF(AND($C78&lt;&gt;"",COUNTIF(UnitList,$C78)=0),", a unit that is not in your structure",""),3,300))</f>
        <v/>
      </c>
    </row>
    <row r="79" customFormat="false" ht="15" hidden="false" customHeight="false" outlineLevel="0" collapsed="false">
      <c r="A79" s="17" t="n">
        <v>74</v>
      </c>
      <c r="B79" s="21"/>
      <c r="C79" s="21"/>
      <c r="D79" s="21"/>
      <c r="E79" s="21"/>
      <c r="F79" s="21"/>
      <c r="G79" s="21"/>
      <c r="H79" s="21"/>
      <c r="I79" s="21"/>
      <c r="J79" s="21"/>
      <c r="K79" s="21"/>
      <c r="L79" s="24" t="str">
        <f aca="false">IF(OR($D79="",$I79="",$J79=""),"",IF($J79="Surrender to fund new asks",MATCH($I79,QuarterList,0)/4,IF($J79="Defer backfill",IF($K79="",MATCH($I79,QuarterList,0)/4,MIN(1,MATCH($I79,QuarterList,0)/4+(5-MATCH($K79,QuarterList,0))/4)),1)))</f>
        <v/>
      </c>
      <c r="M79" s="19" t="str">
        <f aca="false">IF($L79="","",IFERROR(INDEX(LevelBasic,MATCH($E79,LevelList,0))+INDEX(LevelHousing,MATCH($E79,LevelList,0))+INDEX(LevelTransport,MATCH($E79,LevelList,0))+INDEX(LevelBasic,MATCH($E79,LevelList,0))*INDEX(LevelBonus,MATCH($E79,LevelList,0))+(INDEX(LevelBasic,MATCH($E79,LevelList,0))+INDEX(LevelHousing,MATCH($E79,LevelList,0)))*GosiSaudi,0)*(1-$L79))</f>
        <v/>
      </c>
      <c r="N79" s="19" t="n">
        <f aca="false">IF($J79="Surrender to fund new asks",IFERROR(INDEX(LevelBasic,MATCH($E79,LevelList,0))+INDEX(LevelHousing,MATCH($E79,LevelList,0))+INDEX(LevelTransport,MATCH($E79,LevelList,0))+INDEX(LevelBasic,MATCH($E79,LevelList,0))*INDEX(LevelBonus,MATCH($E79,LevelList,0))+(INDEX(LevelBasic,MATCH($E79,LevelList,0))+INDEX(LevelHousing,MATCH($E79,LevelList,0)))*GosiSaudi,0),0)</f>
        <v>0</v>
      </c>
      <c r="O79" s="23" t="str">
        <f aca="false">IF($D79="","",MID(IF($C79="",", unit","")&amp;IF($E79="",", career level","")&amp;IF($H79="",", reason","")&amp;IF($I79="",", leaving quarter","")&amp;IF($J79="",", what happens to the seat","")&amp;IF(AND($J79="Defer backfill",$K79=""),", the backfill quarter","")&amp;IF(IFERROR(AND($K79&lt;&gt;"",$I79&lt;&gt;"",MATCH($K79,QuarterList,0)&lt;=MATCH($I79,QuarterList,0)),FALSE()),", a backfill quarter later than the leaving quarter","")&amp;IF(AND($C79&lt;&gt;"",COUNTIF(UnitList,$C79)=0),", a unit that is not in your structure",""),3,300))</f>
        <v/>
      </c>
    </row>
    <row r="80" customFormat="false" ht="15" hidden="false" customHeight="false" outlineLevel="0" collapsed="false">
      <c r="A80" s="17" t="n">
        <v>75</v>
      </c>
      <c r="B80" s="21"/>
      <c r="C80" s="21"/>
      <c r="D80" s="21"/>
      <c r="E80" s="21"/>
      <c r="F80" s="21"/>
      <c r="G80" s="21"/>
      <c r="H80" s="21"/>
      <c r="I80" s="21"/>
      <c r="J80" s="21"/>
      <c r="K80" s="21"/>
      <c r="L80" s="24" t="str">
        <f aca="false">IF(OR($D80="",$I80="",$J80=""),"",IF($J80="Surrender to fund new asks",MATCH($I80,QuarterList,0)/4,IF($J80="Defer backfill",IF($K80="",MATCH($I80,QuarterList,0)/4,MIN(1,MATCH($I80,QuarterList,0)/4+(5-MATCH($K80,QuarterList,0))/4)),1)))</f>
        <v/>
      </c>
      <c r="M80" s="19" t="str">
        <f aca="false">IF($L80="","",IFERROR(INDEX(LevelBasic,MATCH($E80,LevelList,0))+INDEX(LevelHousing,MATCH($E80,LevelList,0))+INDEX(LevelTransport,MATCH($E80,LevelList,0))+INDEX(LevelBasic,MATCH($E80,LevelList,0))*INDEX(LevelBonus,MATCH($E80,LevelList,0))+(INDEX(LevelBasic,MATCH($E80,LevelList,0))+INDEX(LevelHousing,MATCH($E80,LevelList,0)))*GosiSaudi,0)*(1-$L80))</f>
        <v/>
      </c>
      <c r="N80" s="19" t="n">
        <f aca="false">IF($J80="Surrender to fund new asks",IFERROR(INDEX(LevelBasic,MATCH($E80,LevelList,0))+INDEX(LevelHousing,MATCH($E80,LevelList,0))+INDEX(LevelTransport,MATCH($E80,LevelList,0))+INDEX(LevelBasic,MATCH($E80,LevelList,0))*INDEX(LevelBonus,MATCH($E80,LevelList,0))+(INDEX(LevelBasic,MATCH($E80,LevelList,0))+INDEX(LevelHousing,MATCH($E80,LevelList,0)))*GosiSaudi,0),0)</f>
        <v>0</v>
      </c>
      <c r="O80" s="23" t="str">
        <f aca="false">IF($D80="","",MID(IF($C80="",", unit","")&amp;IF($E80="",", career level","")&amp;IF($H80="",", reason","")&amp;IF($I80="",", leaving quarter","")&amp;IF($J80="",", what happens to the seat","")&amp;IF(AND($J80="Defer backfill",$K80=""),", the backfill quarter","")&amp;IF(IFERROR(AND($K80&lt;&gt;"",$I80&lt;&gt;"",MATCH($K80,QuarterList,0)&lt;=MATCH($I80,QuarterList,0)),FALSE()),", a backfill quarter later than the leaving quarter","")&amp;IF(AND($C80&lt;&gt;"",COUNTIF(UnitList,$C80)=0),", a unit that is not in your structure",""),3,300))</f>
        <v/>
      </c>
    </row>
    <row r="81" customFormat="false" ht="15" hidden="false" customHeight="false" outlineLevel="0" collapsed="false">
      <c r="A81" s="17" t="n">
        <v>76</v>
      </c>
      <c r="B81" s="21"/>
      <c r="C81" s="21"/>
      <c r="D81" s="21"/>
      <c r="E81" s="21"/>
      <c r="F81" s="21"/>
      <c r="G81" s="21"/>
      <c r="H81" s="21"/>
      <c r="I81" s="21"/>
      <c r="J81" s="21"/>
      <c r="K81" s="21"/>
      <c r="L81" s="24" t="str">
        <f aca="false">IF(OR($D81="",$I81="",$J81=""),"",IF($J81="Surrender to fund new asks",MATCH($I81,QuarterList,0)/4,IF($J81="Defer backfill",IF($K81="",MATCH($I81,QuarterList,0)/4,MIN(1,MATCH($I81,QuarterList,0)/4+(5-MATCH($K81,QuarterList,0))/4)),1)))</f>
        <v/>
      </c>
      <c r="M81" s="19" t="str">
        <f aca="false">IF($L81="","",IFERROR(INDEX(LevelBasic,MATCH($E81,LevelList,0))+INDEX(LevelHousing,MATCH($E81,LevelList,0))+INDEX(LevelTransport,MATCH($E81,LevelList,0))+INDEX(LevelBasic,MATCH($E81,LevelList,0))*INDEX(LevelBonus,MATCH($E81,LevelList,0))+(INDEX(LevelBasic,MATCH($E81,LevelList,0))+INDEX(LevelHousing,MATCH($E81,LevelList,0)))*GosiSaudi,0)*(1-$L81))</f>
        <v/>
      </c>
      <c r="N81" s="19" t="n">
        <f aca="false">IF($J81="Surrender to fund new asks",IFERROR(INDEX(LevelBasic,MATCH($E81,LevelList,0))+INDEX(LevelHousing,MATCH($E81,LevelList,0))+INDEX(LevelTransport,MATCH($E81,LevelList,0))+INDEX(LevelBasic,MATCH($E81,LevelList,0))*INDEX(LevelBonus,MATCH($E81,LevelList,0))+(INDEX(LevelBasic,MATCH($E81,LevelList,0))+INDEX(LevelHousing,MATCH($E81,LevelList,0)))*GosiSaudi,0),0)</f>
        <v>0</v>
      </c>
      <c r="O81" s="23" t="str">
        <f aca="false">IF($D81="","",MID(IF($C81="",", unit","")&amp;IF($E81="",", career level","")&amp;IF($H81="",", reason","")&amp;IF($I81="",", leaving quarter","")&amp;IF($J81="",", what happens to the seat","")&amp;IF(AND($J81="Defer backfill",$K81=""),", the backfill quarter","")&amp;IF(IFERROR(AND($K81&lt;&gt;"",$I81&lt;&gt;"",MATCH($K81,QuarterList,0)&lt;=MATCH($I81,QuarterList,0)),FALSE()),", a backfill quarter later than the leaving quarter","")&amp;IF(AND($C81&lt;&gt;"",COUNTIF(UnitList,$C81)=0),", a unit that is not in your structure",""),3,300))</f>
        <v/>
      </c>
    </row>
    <row r="82" customFormat="false" ht="15" hidden="false" customHeight="false" outlineLevel="0" collapsed="false">
      <c r="A82" s="17" t="n">
        <v>77</v>
      </c>
      <c r="B82" s="21"/>
      <c r="C82" s="21"/>
      <c r="D82" s="21"/>
      <c r="E82" s="21"/>
      <c r="F82" s="21"/>
      <c r="G82" s="21"/>
      <c r="H82" s="21"/>
      <c r="I82" s="21"/>
      <c r="J82" s="21"/>
      <c r="K82" s="21"/>
      <c r="L82" s="24" t="str">
        <f aca="false">IF(OR($D82="",$I82="",$J82=""),"",IF($J82="Surrender to fund new asks",MATCH($I82,QuarterList,0)/4,IF($J82="Defer backfill",IF($K82="",MATCH($I82,QuarterList,0)/4,MIN(1,MATCH($I82,QuarterList,0)/4+(5-MATCH($K82,QuarterList,0))/4)),1)))</f>
        <v/>
      </c>
      <c r="M82" s="19" t="str">
        <f aca="false">IF($L82="","",IFERROR(INDEX(LevelBasic,MATCH($E82,LevelList,0))+INDEX(LevelHousing,MATCH($E82,LevelList,0))+INDEX(LevelTransport,MATCH($E82,LevelList,0))+INDEX(LevelBasic,MATCH($E82,LevelList,0))*INDEX(LevelBonus,MATCH($E82,LevelList,0))+(INDEX(LevelBasic,MATCH($E82,LevelList,0))+INDEX(LevelHousing,MATCH($E82,LevelList,0)))*GosiSaudi,0)*(1-$L82))</f>
        <v/>
      </c>
      <c r="N82" s="19" t="n">
        <f aca="false">IF($J82="Surrender to fund new asks",IFERROR(INDEX(LevelBasic,MATCH($E82,LevelList,0))+INDEX(LevelHousing,MATCH($E82,LevelList,0))+INDEX(LevelTransport,MATCH($E82,LevelList,0))+INDEX(LevelBasic,MATCH($E82,LevelList,0))*INDEX(LevelBonus,MATCH($E82,LevelList,0))+(INDEX(LevelBasic,MATCH($E82,LevelList,0))+INDEX(LevelHousing,MATCH($E82,LevelList,0)))*GosiSaudi,0),0)</f>
        <v>0</v>
      </c>
      <c r="O82" s="23" t="str">
        <f aca="false">IF($D82="","",MID(IF($C82="",", unit","")&amp;IF($E82="",", career level","")&amp;IF($H82="",", reason","")&amp;IF($I82="",", leaving quarter","")&amp;IF($J82="",", what happens to the seat","")&amp;IF(AND($J82="Defer backfill",$K82=""),", the backfill quarter","")&amp;IF(IFERROR(AND($K82&lt;&gt;"",$I82&lt;&gt;"",MATCH($K82,QuarterList,0)&lt;=MATCH($I82,QuarterList,0)),FALSE()),", a backfill quarter later than the leaving quarter","")&amp;IF(AND($C82&lt;&gt;"",COUNTIF(UnitList,$C82)=0),", a unit that is not in your structure",""),3,300))</f>
        <v/>
      </c>
    </row>
    <row r="83" customFormat="false" ht="15" hidden="false" customHeight="false" outlineLevel="0" collapsed="false">
      <c r="A83" s="17" t="n">
        <v>78</v>
      </c>
      <c r="B83" s="21"/>
      <c r="C83" s="21"/>
      <c r="D83" s="21"/>
      <c r="E83" s="21"/>
      <c r="F83" s="21"/>
      <c r="G83" s="21"/>
      <c r="H83" s="21"/>
      <c r="I83" s="21"/>
      <c r="J83" s="21"/>
      <c r="K83" s="21"/>
      <c r="L83" s="24" t="str">
        <f aca="false">IF(OR($D83="",$I83="",$J83=""),"",IF($J83="Surrender to fund new asks",MATCH($I83,QuarterList,0)/4,IF($J83="Defer backfill",IF($K83="",MATCH($I83,QuarterList,0)/4,MIN(1,MATCH($I83,QuarterList,0)/4+(5-MATCH($K83,QuarterList,0))/4)),1)))</f>
        <v/>
      </c>
      <c r="M83" s="19" t="str">
        <f aca="false">IF($L83="","",IFERROR(INDEX(LevelBasic,MATCH($E83,LevelList,0))+INDEX(LevelHousing,MATCH($E83,LevelList,0))+INDEX(LevelTransport,MATCH($E83,LevelList,0))+INDEX(LevelBasic,MATCH($E83,LevelList,0))*INDEX(LevelBonus,MATCH($E83,LevelList,0))+(INDEX(LevelBasic,MATCH($E83,LevelList,0))+INDEX(LevelHousing,MATCH($E83,LevelList,0)))*GosiSaudi,0)*(1-$L83))</f>
        <v/>
      </c>
      <c r="N83" s="19" t="n">
        <f aca="false">IF($J83="Surrender to fund new asks",IFERROR(INDEX(LevelBasic,MATCH($E83,LevelList,0))+INDEX(LevelHousing,MATCH($E83,LevelList,0))+INDEX(LevelTransport,MATCH($E83,LevelList,0))+INDEX(LevelBasic,MATCH($E83,LevelList,0))*INDEX(LevelBonus,MATCH($E83,LevelList,0))+(INDEX(LevelBasic,MATCH($E83,LevelList,0))+INDEX(LevelHousing,MATCH($E83,LevelList,0)))*GosiSaudi,0),0)</f>
        <v>0</v>
      </c>
      <c r="O83" s="23" t="str">
        <f aca="false">IF($D83="","",MID(IF($C83="",", unit","")&amp;IF($E83="",", career level","")&amp;IF($H83="",", reason","")&amp;IF($I83="",", leaving quarter","")&amp;IF($J83="",", what happens to the seat","")&amp;IF(AND($J83="Defer backfill",$K83=""),", the backfill quarter","")&amp;IF(IFERROR(AND($K83&lt;&gt;"",$I83&lt;&gt;"",MATCH($K83,QuarterList,0)&lt;=MATCH($I83,QuarterList,0)),FALSE()),", a backfill quarter later than the leaving quarter","")&amp;IF(AND($C83&lt;&gt;"",COUNTIF(UnitList,$C83)=0),", a unit that is not in your structure",""),3,300))</f>
        <v/>
      </c>
    </row>
    <row r="84" customFormat="false" ht="15" hidden="false" customHeight="false" outlineLevel="0" collapsed="false">
      <c r="A84" s="17" t="n">
        <v>79</v>
      </c>
      <c r="B84" s="21"/>
      <c r="C84" s="21"/>
      <c r="D84" s="21"/>
      <c r="E84" s="21"/>
      <c r="F84" s="21"/>
      <c r="G84" s="21"/>
      <c r="H84" s="21"/>
      <c r="I84" s="21"/>
      <c r="J84" s="21"/>
      <c r="K84" s="21"/>
      <c r="L84" s="24" t="str">
        <f aca="false">IF(OR($D84="",$I84="",$J84=""),"",IF($J84="Surrender to fund new asks",MATCH($I84,QuarterList,0)/4,IF($J84="Defer backfill",IF($K84="",MATCH($I84,QuarterList,0)/4,MIN(1,MATCH($I84,QuarterList,0)/4+(5-MATCH($K84,QuarterList,0))/4)),1)))</f>
        <v/>
      </c>
      <c r="M84" s="19" t="str">
        <f aca="false">IF($L84="","",IFERROR(INDEX(LevelBasic,MATCH($E84,LevelList,0))+INDEX(LevelHousing,MATCH($E84,LevelList,0))+INDEX(LevelTransport,MATCH($E84,LevelList,0))+INDEX(LevelBasic,MATCH($E84,LevelList,0))*INDEX(LevelBonus,MATCH($E84,LevelList,0))+(INDEX(LevelBasic,MATCH($E84,LevelList,0))+INDEX(LevelHousing,MATCH($E84,LevelList,0)))*GosiSaudi,0)*(1-$L84))</f>
        <v/>
      </c>
      <c r="N84" s="19" t="n">
        <f aca="false">IF($J84="Surrender to fund new asks",IFERROR(INDEX(LevelBasic,MATCH($E84,LevelList,0))+INDEX(LevelHousing,MATCH($E84,LevelList,0))+INDEX(LevelTransport,MATCH($E84,LevelList,0))+INDEX(LevelBasic,MATCH($E84,LevelList,0))*INDEX(LevelBonus,MATCH($E84,LevelList,0))+(INDEX(LevelBasic,MATCH($E84,LevelList,0))+INDEX(LevelHousing,MATCH($E84,LevelList,0)))*GosiSaudi,0),0)</f>
        <v>0</v>
      </c>
      <c r="O84" s="23" t="str">
        <f aca="false">IF($D84="","",MID(IF($C84="",", unit","")&amp;IF($E84="",", career level","")&amp;IF($H84="",", reason","")&amp;IF($I84="",", leaving quarter","")&amp;IF($J84="",", what happens to the seat","")&amp;IF(AND($J84="Defer backfill",$K84=""),", the backfill quarter","")&amp;IF(IFERROR(AND($K84&lt;&gt;"",$I84&lt;&gt;"",MATCH($K84,QuarterList,0)&lt;=MATCH($I84,QuarterList,0)),FALSE()),", a backfill quarter later than the leaving quarter","")&amp;IF(AND($C84&lt;&gt;"",COUNTIF(UnitList,$C84)=0),", a unit that is not in your structure",""),3,300))</f>
        <v/>
      </c>
    </row>
    <row r="85" customFormat="false" ht="15" hidden="false" customHeight="false" outlineLevel="0" collapsed="false">
      <c r="A85" s="17" t="n">
        <v>80</v>
      </c>
      <c r="B85" s="21"/>
      <c r="C85" s="21"/>
      <c r="D85" s="21"/>
      <c r="E85" s="21"/>
      <c r="F85" s="21"/>
      <c r="G85" s="21"/>
      <c r="H85" s="21"/>
      <c r="I85" s="21"/>
      <c r="J85" s="21"/>
      <c r="K85" s="21"/>
      <c r="L85" s="24" t="str">
        <f aca="false">IF(OR($D85="",$I85="",$J85=""),"",IF($J85="Surrender to fund new asks",MATCH($I85,QuarterList,0)/4,IF($J85="Defer backfill",IF($K85="",MATCH($I85,QuarterList,0)/4,MIN(1,MATCH($I85,QuarterList,0)/4+(5-MATCH($K85,QuarterList,0))/4)),1)))</f>
        <v/>
      </c>
      <c r="M85" s="19" t="str">
        <f aca="false">IF($L85="","",IFERROR(INDEX(LevelBasic,MATCH($E85,LevelList,0))+INDEX(LevelHousing,MATCH($E85,LevelList,0))+INDEX(LevelTransport,MATCH($E85,LevelList,0))+INDEX(LevelBasic,MATCH($E85,LevelList,0))*INDEX(LevelBonus,MATCH($E85,LevelList,0))+(INDEX(LevelBasic,MATCH($E85,LevelList,0))+INDEX(LevelHousing,MATCH($E85,LevelList,0)))*GosiSaudi,0)*(1-$L85))</f>
        <v/>
      </c>
      <c r="N85" s="19" t="n">
        <f aca="false">IF($J85="Surrender to fund new asks",IFERROR(INDEX(LevelBasic,MATCH($E85,LevelList,0))+INDEX(LevelHousing,MATCH($E85,LevelList,0))+INDEX(LevelTransport,MATCH($E85,LevelList,0))+INDEX(LevelBasic,MATCH($E85,LevelList,0))*INDEX(LevelBonus,MATCH($E85,LevelList,0))+(INDEX(LevelBasic,MATCH($E85,LevelList,0))+INDEX(LevelHousing,MATCH($E85,LevelList,0)))*GosiSaudi,0),0)</f>
        <v>0</v>
      </c>
      <c r="O85" s="23" t="str">
        <f aca="false">IF($D85="","",MID(IF($C85="",", unit","")&amp;IF($E85="",", career level","")&amp;IF($H85="",", reason","")&amp;IF($I85="",", leaving quarter","")&amp;IF($J85="",", what happens to the seat","")&amp;IF(AND($J85="Defer backfill",$K85=""),", the backfill quarter","")&amp;IF(IFERROR(AND($K85&lt;&gt;"",$I85&lt;&gt;"",MATCH($K85,QuarterList,0)&lt;=MATCH($I85,QuarterList,0)),FALSE()),", a backfill quarter later than the leaving quarter","")&amp;IF(AND($C85&lt;&gt;"",COUNTIF(UnitList,$C85)=0),", a unit that is not in your structure",""),3,300))</f>
        <v/>
      </c>
    </row>
    <row r="86" customFormat="false" ht="15" hidden="false" customHeight="false" outlineLevel="0" collapsed="false">
      <c r="A86" s="17" t="n">
        <v>81</v>
      </c>
      <c r="B86" s="21"/>
      <c r="C86" s="21"/>
      <c r="D86" s="21"/>
      <c r="E86" s="21"/>
      <c r="F86" s="21"/>
      <c r="G86" s="21"/>
      <c r="H86" s="21"/>
      <c r="I86" s="21"/>
      <c r="J86" s="21"/>
      <c r="K86" s="21"/>
      <c r="L86" s="24" t="str">
        <f aca="false">IF(OR($D86="",$I86="",$J86=""),"",IF($J86="Surrender to fund new asks",MATCH($I86,QuarterList,0)/4,IF($J86="Defer backfill",IF($K86="",MATCH($I86,QuarterList,0)/4,MIN(1,MATCH($I86,QuarterList,0)/4+(5-MATCH($K86,QuarterList,0))/4)),1)))</f>
        <v/>
      </c>
      <c r="M86" s="19" t="str">
        <f aca="false">IF($L86="","",IFERROR(INDEX(LevelBasic,MATCH($E86,LevelList,0))+INDEX(LevelHousing,MATCH($E86,LevelList,0))+INDEX(LevelTransport,MATCH($E86,LevelList,0))+INDEX(LevelBasic,MATCH($E86,LevelList,0))*INDEX(LevelBonus,MATCH($E86,LevelList,0))+(INDEX(LevelBasic,MATCH($E86,LevelList,0))+INDEX(LevelHousing,MATCH($E86,LevelList,0)))*GosiSaudi,0)*(1-$L86))</f>
        <v/>
      </c>
      <c r="N86" s="19" t="n">
        <f aca="false">IF($J86="Surrender to fund new asks",IFERROR(INDEX(LevelBasic,MATCH($E86,LevelList,0))+INDEX(LevelHousing,MATCH($E86,LevelList,0))+INDEX(LevelTransport,MATCH($E86,LevelList,0))+INDEX(LevelBasic,MATCH($E86,LevelList,0))*INDEX(LevelBonus,MATCH($E86,LevelList,0))+(INDEX(LevelBasic,MATCH($E86,LevelList,0))+INDEX(LevelHousing,MATCH($E86,LevelList,0)))*GosiSaudi,0),0)</f>
        <v>0</v>
      </c>
      <c r="O86" s="23" t="str">
        <f aca="false">IF($D86="","",MID(IF($C86="",", unit","")&amp;IF($E86="",", career level","")&amp;IF($H86="",", reason","")&amp;IF($I86="",", leaving quarter","")&amp;IF($J86="",", what happens to the seat","")&amp;IF(AND($J86="Defer backfill",$K86=""),", the backfill quarter","")&amp;IF(IFERROR(AND($K86&lt;&gt;"",$I86&lt;&gt;"",MATCH($K86,QuarterList,0)&lt;=MATCH($I86,QuarterList,0)),FALSE()),", a backfill quarter later than the leaving quarter","")&amp;IF(AND($C86&lt;&gt;"",COUNTIF(UnitList,$C86)=0),", a unit that is not in your structure",""),3,300))</f>
        <v/>
      </c>
    </row>
    <row r="87" customFormat="false" ht="15" hidden="false" customHeight="false" outlineLevel="0" collapsed="false">
      <c r="A87" s="17" t="n">
        <v>82</v>
      </c>
      <c r="B87" s="21"/>
      <c r="C87" s="21"/>
      <c r="D87" s="21"/>
      <c r="E87" s="21"/>
      <c r="F87" s="21"/>
      <c r="G87" s="21"/>
      <c r="H87" s="21"/>
      <c r="I87" s="21"/>
      <c r="J87" s="21"/>
      <c r="K87" s="21"/>
      <c r="L87" s="24" t="str">
        <f aca="false">IF(OR($D87="",$I87="",$J87=""),"",IF($J87="Surrender to fund new asks",MATCH($I87,QuarterList,0)/4,IF($J87="Defer backfill",IF($K87="",MATCH($I87,QuarterList,0)/4,MIN(1,MATCH($I87,QuarterList,0)/4+(5-MATCH($K87,QuarterList,0))/4)),1)))</f>
        <v/>
      </c>
      <c r="M87" s="19" t="str">
        <f aca="false">IF($L87="","",IFERROR(INDEX(LevelBasic,MATCH($E87,LevelList,0))+INDEX(LevelHousing,MATCH($E87,LevelList,0))+INDEX(LevelTransport,MATCH($E87,LevelList,0))+INDEX(LevelBasic,MATCH($E87,LevelList,0))*INDEX(LevelBonus,MATCH($E87,LevelList,0))+(INDEX(LevelBasic,MATCH($E87,LevelList,0))+INDEX(LevelHousing,MATCH($E87,LevelList,0)))*GosiSaudi,0)*(1-$L87))</f>
        <v/>
      </c>
      <c r="N87" s="19" t="n">
        <f aca="false">IF($J87="Surrender to fund new asks",IFERROR(INDEX(LevelBasic,MATCH($E87,LevelList,0))+INDEX(LevelHousing,MATCH($E87,LevelList,0))+INDEX(LevelTransport,MATCH($E87,LevelList,0))+INDEX(LevelBasic,MATCH($E87,LevelList,0))*INDEX(LevelBonus,MATCH($E87,LevelList,0))+(INDEX(LevelBasic,MATCH($E87,LevelList,0))+INDEX(LevelHousing,MATCH($E87,LevelList,0)))*GosiSaudi,0),0)</f>
        <v>0</v>
      </c>
      <c r="O87" s="23" t="str">
        <f aca="false">IF($D87="","",MID(IF($C87="",", unit","")&amp;IF($E87="",", career level","")&amp;IF($H87="",", reason","")&amp;IF($I87="",", leaving quarter","")&amp;IF($J87="",", what happens to the seat","")&amp;IF(AND($J87="Defer backfill",$K87=""),", the backfill quarter","")&amp;IF(IFERROR(AND($K87&lt;&gt;"",$I87&lt;&gt;"",MATCH($K87,QuarterList,0)&lt;=MATCH($I87,QuarterList,0)),FALSE()),", a backfill quarter later than the leaving quarter","")&amp;IF(AND($C87&lt;&gt;"",COUNTIF(UnitList,$C87)=0),", a unit that is not in your structure",""),3,300))</f>
        <v/>
      </c>
    </row>
    <row r="88" customFormat="false" ht="15" hidden="false" customHeight="false" outlineLevel="0" collapsed="false">
      <c r="A88" s="17" t="n">
        <v>83</v>
      </c>
      <c r="B88" s="21"/>
      <c r="C88" s="21"/>
      <c r="D88" s="21"/>
      <c r="E88" s="21"/>
      <c r="F88" s="21"/>
      <c r="G88" s="21"/>
      <c r="H88" s="21"/>
      <c r="I88" s="21"/>
      <c r="J88" s="21"/>
      <c r="K88" s="21"/>
      <c r="L88" s="24" t="str">
        <f aca="false">IF(OR($D88="",$I88="",$J88=""),"",IF($J88="Surrender to fund new asks",MATCH($I88,QuarterList,0)/4,IF($J88="Defer backfill",IF($K88="",MATCH($I88,QuarterList,0)/4,MIN(1,MATCH($I88,QuarterList,0)/4+(5-MATCH($K88,QuarterList,0))/4)),1)))</f>
        <v/>
      </c>
      <c r="M88" s="19" t="str">
        <f aca="false">IF($L88="","",IFERROR(INDEX(LevelBasic,MATCH($E88,LevelList,0))+INDEX(LevelHousing,MATCH($E88,LevelList,0))+INDEX(LevelTransport,MATCH($E88,LevelList,0))+INDEX(LevelBasic,MATCH($E88,LevelList,0))*INDEX(LevelBonus,MATCH($E88,LevelList,0))+(INDEX(LevelBasic,MATCH($E88,LevelList,0))+INDEX(LevelHousing,MATCH($E88,LevelList,0)))*GosiSaudi,0)*(1-$L88))</f>
        <v/>
      </c>
      <c r="N88" s="19" t="n">
        <f aca="false">IF($J88="Surrender to fund new asks",IFERROR(INDEX(LevelBasic,MATCH($E88,LevelList,0))+INDEX(LevelHousing,MATCH($E88,LevelList,0))+INDEX(LevelTransport,MATCH($E88,LevelList,0))+INDEX(LevelBasic,MATCH($E88,LevelList,0))*INDEX(LevelBonus,MATCH($E88,LevelList,0))+(INDEX(LevelBasic,MATCH($E88,LevelList,0))+INDEX(LevelHousing,MATCH($E88,LevelList,0)))*GosiSaudi,0),0)</f>
        <v>0</v>
      </c>
      <c r="O88" s="23" t="str">
        <f aca="false">IF($D88="","",MID(IF($C88="",", unit","")&amp;IF($E88="",", career level","")&amp;IF($H88="",", reason","")&amp;IF($I88="",", leaving quarter","")&amp;IF($J88="",", what happens to the seat","")&amp;IF(AND($J88="Defer backfill",$K88=""),", the backfill quarter","")&amp;IF(IFERROR(AND($K88&lt;&gt;"",$I88&lt;&gt;"",MATCH($K88,QuarterList,0)&lt;=MATCH($I88,QuarterList,0)),FALSE()),", a backfill quarter later than the leaving quarter","")&amp;IF(AND($C88&lt;&gt;"",COUNTIF(UnitList,$C88)=0),", a unit that is not in your structure",""),3,300))</f>
        <v/>
      </c>
    </row>
    <row r="89" customFormat="false" ht="15" hidden="false" customHeight="false" outlineLevel="0" collapsed="false">
      <c r="A89" s="17" t="n">
        <v>84</v>
      </c>
      <c r="B89" s="21"/>
      <c r="C89" s="21"/>
      <c r="D89" s="21"/>
      <c r="E89" s="21"/>
      <c r="F89" s="21"/>
      <c r="G89" s="21"/>
      <c r="H89" s="21"/>
      <c r="I89" s="21"/>
      <c r="J89" s="21"/>
      <c r="K89" s="21"/>
      <c r="L89" s="24" t="str">
        <f aca="false">IF(OR($D89="",$I89="",$J89=""),"",IF($J89="Surrender to fund new asks",MATCH($I89,QuarterList,0)/4,IF($J89="Defer backfill",IF($K89="",MATCH($I89,QuarterList,0)/4,MIN(1,MATCH($I89,QuarterList,0)/4+(5-MATCH($K89,QuarterList,0))/4)),1)))</f>
        <v/>
      </c>
      <c r="M89" s="19" t="str">
        <f aca="false">IF($L89="","",IFERROR(INDEX(LevelBasic,MATCH($E89,LevelList,0))+INDEX(LevelHousing,MATCH($E89,LevelList,0))+INDEX(LevelTransport,MATCH($E89,LevelList,0))+INDEX(LevelBasic,MATCH($E89,LevelList,0))*INDEX(LevelBonus,MATCH($E89,LevelList,0))+(INDEX(LevelBasic,MATCH($E89,LevelList,0))+INDEX(LevelHousing,MATCH($E89,LevelList,0)))*GosiSaudi,0)*(1-$L89))</f>
        <v/>
      </c>
      <c r="N89" s="19" t="n">
        <f aca="false">IF($J89="Surrender to fund new asks",IFERROR(INDEX(LevelBasic,MATCH($E89,LevelList,0))+INDEX(LevelHousing,MATCH($E89,LevelList,0))+INDEX(LevelTransport,MATCH($E89,LevelList,0))+INDEX(LevelBasic,MATCH($E89,LevelList,0))*INDEX(LevelBonus,MATCH($E89,LevelList,0))+(INDEX(LevelBasic,MATCH($E89,LevelList,0))+INDEX(LevelHousing,MATCH($E89,LevelList,0)))*GosiSaudi,0),0)</f>
        <v>0</v>
      </c>
      <c r="O89" s="23" t="str">
        <f aca="false">IF($D89="","",MID(IF($C89="",", unit","")&amp;IF($E89="",", career level","")&amp;IF($H89="",", reason","")&amp;IF($I89="",", leaving quarter","")&amp;IF($J89="",", what happens to the seat","")&amp;IF(AND($J89="Defer backfill",$K89=""),", the backfill quarter","")&amp;IF(IFERROR(AND($K89&lt;&gt;"",$I89&lt;&gt;"",MATCH($K89,QuarterList,0)&lt;=MATCH($I89,QuarterList,0)),FALSE()),", a backfill quarter later than the leaving quarter","")&amp;IF(AND($C89&lt;&gt;"",COUNTIF(UnitList,$C89)=0),", a unit that is not in your structure",""),3,300))</f>
        <v/>
      </c>
    </row>
    <row r="90" customFormat="false" ht="15" hidden="false" customHeight="false" outlineLevel="0" collapsed="false">
      <c r="A90" s="17" t="n">
        <v>85</v>
      </c>
      <c r="B90" s="21"/>
      <c r="C90" s="21"/>
      <c r="D90" s="21"/>
      <c r="E90" s="21"/>
      <c r="F90" s="21"/>
      <c r="G90" s="21"/>
      <c r="H90" s="21"/>
      <c r="I90" s="21"/>
      <c r="J90" s="21"/>
      <c r="K90" s="21"/>
      <c r="L90" s="24" t="str">
        <f aca="false">IF(OR($D90="",$I90="",$J90=""),"",IF($J90="Surrender to fund new asks",MATCH($I90,QuarterList,0)/4,IF($J90="Defer backfill",IF($K90="",MATCH($I90,QuarterList,0)/4,MIN(1,MATCH($I90,QuarterList,0)/4+(5-MATCH($K90,QuarterList,0))/4)),1)))</f>
        <v/>
      </c>
      <c r="M90" s="19" t="str">
        <f aca="false">IF($L90="","",IFERROR(INDEX(LevelBasic,MATCH($E90,LevelList,0))+INDEX(LevelHousing,MATCH($E90,LevelList,0))+INDEX(LevelTransport,MATCH($E90,LevelList,0))+INDEX(LevelBasic,MATCH($E90,LevelList,0))*INDEX(LevelBonus,MATCH($E90,LevelList,0))+(INDEX(LevelBasic,MATCH($E90,LevelList,0))+INDEX(LevelHousing,MATCH($E90,LevelList,0)))*GosiSaudi,0)*(1-$L90))</f>
        <v/>
      </c>
      <c r="N90" s="19" t="n">
        <f aca="false">IF($J90="Surrender to fund new asks",IFERROR(INDEX(LevelBasic,MATCH($E90,LevelList,0))+INDEX(LevelHousing,MATCH($E90,LevelList,0))+INDEX(LevelTransport,MATCH($E90,LevelList,0))+INDEX(LevelBasic,MATCH($E90,LevelList,0))*INDEX(LevelBonus,MATCH($E90,LevelList,0))+(INDEX(LevelBasic,MATCH($E90,LevelList,0))+INDEX(LevelHousing,MATCH($E90,LevelList,0)))*GosiSaudi,0),0)</f>
        <v>0</v>
      </c>
      <c r="O90" s="23" t="str">
        <f aca="false">IF($D90="","",MID(IF($C90="",", unit","")&amp;IF($E90="",", career level","")&amp;IF($H90="",", reason","")&amp;IF($I90="",", leaving quarter","")&amp;IF($J90="",", what happens to the seat","")&amp;IF(AND($J90="Defer backfill",$K90=""),", the backfill quarter","")&amp;IF(IFERROR(AND($K90&lt;&gt;"",$I90&lt;&gt;"",MATCH($K90,QuarterList,0)&lt;=MATCH($I90,QuarterList,0)),FALSE()),", a backfill quarter later than the leaving quarter","")&amp;IF(AND($C90&lt;&gt;"",COUNTIF(UnitList,$C90)=0),", a unit that is not in your structure",""),3,300))</f>
        <v/>
      </c>
    </row>
    <row r="91" customFormat="false" ht="15" hidden="false" customHeight="false" outlineLevel="0" collapsed="false">
      <c r="A91" s="17" t="n">
        <v>86</v>
      </c>
      <c r="B91" s="21"/>
      <c r="C91" s="21"/>
      <c r="D91" s="21"/>
      <c r="E91" s="21"/>
      <c r="F91" s="21"/>
      <c r="G91" s="21"/>
      <c r="H91" s="21"/>
      <c r="I91" s="21"/>
      <c r="J91" s="21"/>
      <c r="K91" s="21"/>
      <c r="L91" s="24" t="str">
        <f aca="false">IF(OR($D91="",$I91="",$J91=""),"",IF($J91="Surrender to fund new asks",MATCH($I91,QuarterList,0)/4,IF($J91="Defer backfill",IF($K91="",MATCH($I91,QuarterList,0)/4,MIN(1,MATCH($I91,QuarterList,0)/4+(5-MATCH($K91,QuarterList,0))/4)),1)))</f>
        <v/>
      </c>
      <c r="M91" s="19" t="str">
        <f aca="false">IF($L91="","",IFERROR(INDEX(LevelBasic,MATCH($E91,LevelList,0))+INDEX(LevelHousing,MATCH($E91,LevelList,0))+INDEX(LevelTransport,MATCH($E91,LevelList,0))+INDEX(LevelBasic,MATCH($E91,LevelList,0))*INDEX(LevelBonus,MATCH($E91,LevelList,0))+(INDEX(LevelBasic,MATCH($E91,LevelList,0))+INDEX(LevelHousing,MATCH($E91,LevelList,0)))*GosiSaudi,0)*(1-$L91))</f>
        <v/>
      </c>
      <c r="N91" s="19" t="n">
        <f aca="false">IF($J91="Surrender to fund new asks",IFERROR(INDEX(LevelBasic,MATCH($E91,LevelList,0))+INDEX(LevelHousing,MATCH($E91,LevelList,0))+INDEX(LevelTransport,MATCH($E91,LevelList,0))+INDEX(LevelBasic,MATCH($E91,LevelList,0))*INDEX(LevelBonus,MATCH($E91,LevelList,0))+(INDEX(LevelBasic,MATCH($E91,LevelList,0))+INDEX(LevelHousing,MATCH($E91,LevelList,0)))*GosiSaudi,0),0)</f>
        <v>0</v>
      </c>
      <c r="O91" s="23" t="str">
        <f aca="false">IF($D91="","",MID(IF($C91="",", unit","")&amp;IF($E91="",", career level","")&amp;IF($H91="",", reason","")&amp;IF($I91="",", leaving quarter","")&amp;IF($J91="",", what happens to the seat","")&amp;IF(AND($J91="Defer backfill",$K91=""),", the backfill quarter","")&amp;IF(IFERROR(AND($K91&lt;&gt;"",$I91&lt;&gt;"",MATCH($K91,QuarterList,0)&lt;=MATCH($I91,QuarterList,0)),FALSE()),", a backfill quarter later than the leaving quarter","")&amp;IF(AND($C91&lt;&gt;"",COUNTIF(UnitList,$C91)=0),", a unit that is not in your structure",""),3,300))</f>
        <v/>
      </c>
    </row>
    <row r="92" customFormat="false" ht="15" hidden="false" customHeight="false" outlineLevel="0" collapsed="false">
      <c r="A92" s="17" t="n">
        <v>87</v>
      </c>
      <c r="B92" s="21"/>
      <c r="C92" s="21"/>
      <c r="D92" s="21"/>
      <c r="E92" s="21"/>
      <c r="F92" s="21"/>
      <c r="G92" s="21"/>
      <c r="H92" s="21"/>
      <c r="I92" s="21"/>
      <c r="J92" s="21"/>
      <c r="K92" s="21"/>
      <c r="L92" s="24" t="str">
        <f aca="false">IF(OR($D92="",$I92="",$J92=""),"",IF($J92="Surrender to fund new asks",MATCH($I92,QuarterList,0)/4,IF($J92="Defer backfill",IF($K92="",MATCH($I92,QuarterList,0)/4,MIN(1,MATCH($I92,QuarterList,0)/4+(5-MATCH($K92,QuarterList,0))/4)),1)))</f>
        <v/>
      </c>
      <c r="M92" s="19" t="str">
        <f aca="false">IF($L92="","",IFERROR(INDEX(LevelBasic,MATCH($E92,LevelList,0))+INDEX(LevelHousing,MATCH($E92,LevelList,0))+INDEX(LevelTransport,MATCH($E92,LevelList,0))+INDEX(LevelBasic,MATCH($E92,LevelList,0))*INDEX(LevelBonus,MATCH($E92,LevelList,0))+(INDEX(LevelBasic,MATCH($E92,LevelList,0))+INDEX(LevelHousing,MATCH($E92,LevelList,0)))*GosiSaudi,0)*(1-$L92))</f>
        <v/>
      </c>
      <c r="N92" s="19" t="n">
        <f aca="false">IF($J92="Surrender to fund new asks",IFERROR(INDEX(LevelBasic,MATCH($E92,LevelList,0))+INDEX(LevelHousing,MATCH($E92,LevelList,0))+INDEX(LevelTransport,MATCH($E92,LevelList,0))+INDEX(LevelBasic,MATCH($E92,LevelList,0))*INDEX(LevelBonus,MATCH($E92,LevelList,0))+(INDEX(LevelBasic,MATCH($E92,LevelList,0))+INDEX(LevelHousing,MATCH($E92,LevelList,0)))*GosiSaudi,0),0)</f>
        <v>0</v>
      </c>
      <c r="O92" s="23" t="str">
        <f aca="false">IF($D92="","",MID(IF($C92="",", unit","")&amp;IF($E92="",", career level","")&amp;IF($H92="",", reason","")&amp;IF($I92="",", leaving quarter","")&amp;IF($J92="",", what happens to the seat","")&amp;IF(AND($J92="Defer backfill",$K92=""),", the backfill quarter","")&amp;IF(IFERROR(AND($K92&lt;&gt;"",$I92&lt;&gt;"",MATCH($K92,QuarterList,0)&lt;=MATCH($I92,QuarterList,0)),FALSE()),", a backfill quarter later than the leaving quarter","")&amp;IF(AND($C92&lt;&gt;"",COUNTIF(UnitList,$C92)=0),", a unit that is not in your structure",""),3,300))</f>
        <v/>
      </c>
    </row>
    <row r="93" customFormat="false" ht="15" hidden="false" customHeight="false" outlineLevel="0" collapsed="false">
      <c r="A93" s="17" t="n">
        <v>88</v>
      </c>
      <c r="B93" s="21"/>
      <c r="C93" s="21"/>
      <c r="D93" s="21"/>
      <c r="E93" s="21"/>
      <c r="F93" s="21"/>
      <c r="G93" s="21"/>
      <c r="H93" s="21"/>
      <c r="I93" s="21"/>
      <c r="J93" s="21"/>
      <c r="K93" s="21"/>
      <c r="L93" s="24" t="str">
        <f aca="false">IF(OR($D93="",$I93="",$J93=""),"",IF($J93="Surrender to fund new asks",MATCH($I93,QuarterList,0)/4,IF($J93="Defer backfill",IF($K93="",MATCH($I93,QuarterList,0)/4,MIN(1,MATCH($I93,QuarterList,0)/4+(5-MATCH($K93,QuarterList,0))/4)),1)))</f>
        <v/>
      </c>
      <c r="M93" s="19" t="str">
        <f aca="false">IF($L93="","",IFERROR(INDEX(LevelBasic,MATCH($E93,LevelList,0))+INDEX(LevelHousing,MATCH($E93,LevelList,0))+INDEX(LevelTransport,MATCH($E93,LevelList,0))+INDEX(LevelBasic,MATCH($E93,LevelList,0))*INDEX(LevelBonus,MATCH($E93,LevelList,0))+(INDEX(LevelBasic,MATCH($E93,LevelList,0))+INDEX(LevelHousing,MATCH($E93,LevelList,0)))*GosiSaudi,0)*(1-$L93))</f>
        <v/>
      </c>
      <c r="N93" s="19" t="n">
        <f aca="false">IF($J93="Surrender to fund new asks",IFERROR(INDEX(LevelBasic,MATCH($E93,LevelList,0))+INDEX(LevelHousing,MATCH($E93,LevelList,0))+INDEX(LevelTransport,MATCH($E93,LevelList,0))+INDEX(LevelBasic,MATCH($E93,LevelList,0))*INDEX(LevelBonus,MATCH($E93,LevelList,0))+(INDEX(LevelBasic,MATCH($E93,LevelList,0))+INDEX(LevelHousing,MATCH($E93,LevelList,0)))*GosiSaudi,0),0)</f>
        <v>0</v>
      </c>
      <c r="O93" s="23" t="str">
        <f aca="false">IF($D93="","",MID(IF($C93="",", unit","")&amp;IF($E93="",", career level","")&amp;IF($H93="",", reason","")&amp;IF($I93="",", leaving quarter","")&amp;IF($J93="",", what happens to the seat","")&amp;IF(AND($J93="Defer backfill",$K93=""),", the backfill quarter","")&amp;IF(IFERROR(AND($K93&lt;&gt;"",$I93&lt;&gt;"",MATCH($K93,QuarterList,0)&lt;=MATCH($I93,QuarterList,0)),FALSE()),", a backfill quarter later than the leaving quarter","")&amp;IF(AND($C93&lt;&gt;"",COUNTIF(UnitList,$C93)=0),", a unit that is not in your structure",""),3,300))</f>
        <v/>
      </c>
    </row>
    <row r="94" customFormat="false" ht="15" hidden="false" customHeight="false" outlineLevel="0" collapsed="false">
      <c r="A94" s="17" t="n">
        <v>89</v>
      </c>
      <c r="B94" s="21"/>
      <c r="C94" s="21"/>
      <c r="D94" s="21"/>
      <c r="E94" s="21"/>
      <c r="F94" s="21"/>
      <c r="G94" s="21"/>
      <c r="H94" s="21"/>
      <c r="I94" s="21"/>
      <c r="J94" s="21"/>
      <c r="K94" s="21"/>
      <c r="L94" s="24" t="str">
        <f aca="false">IF(OR($D94="",$I94="",$J94=""),"",IF($J94="Surrender to fund new asks",MATCH($I94,QuarterList,0)/4,IF($J94="Defer backfill",IF($K94="",MATCH($I94,QuarterList,0)/4,MIN(1,MATCH($I94,QuarterList,0)/4+(5-MATCH($K94,QuarterList,0))/4)),1)))</f>
        <v/>
      </c>
      <c r="M94" s="19" t="str">
        <f aca="false">IF($L94="","",IFERROR(INDEX(LevelBasic,MATCH($E94,LevelList,0))+INDEX(LevelHousing,MATCH($E94,LevelList,0))+INDEX(LevelTransport,MATCH($E94,LevelList,0))+INDEX(LevelBasic,MATCH($E94,LevelList,0))*INDEX(LevelBonus,MATCH($E94,LevelList,0))+(INDEX(LevelBasic,MATCH($E94,LevelList,0))+INDEX(LevelHousing,MATCH($E94,LevelList,0)))*GosiSaudi,0)*(1-$L94))</f>
        <v/>
      </c>
      <c r="N94" s="19" t="n">
        <f aca="false">IF($J94="Surrender to fund new asks",IFERROR(INDEX(LevelBasic,MATCH($E94,LevelList,0))+INDEX(LevelHousing,MATCH($E94,LevelList,0))+INDEX(LevelTransport,MATCH($E94,LevelList,0))+INDEX(LevelBasic,MATCH($E94,LevelList,0))*INDEX(LevelBonus,MATCH($E94,LevelList,0))+(INDEX(LevelBasic,MATCH($E94,LevelList,0))+INDEX(LevelHousing,MATCH($E94,LevelList,0)))*GosiSaudi,0),0)</f>
        <v>0</v>
      </c>
      <c r="O94" s="23" t="str">
        <f aca="false">IF($D94="","",MID(IF($C94="",", unit","")&amp;IF($E94="",", career level","")&amp;IF($H94="",", reason","")&amp;IF($I94="",", leaving quarter","")&amp;IF($J94="",", what happens to the seat","")&amp;IF(AND($J94="Defer backfill",$K94=""),", the backfill quarter","")&amp;IF(IFERROR(AND($K94&lt;&gt;"",$I94&lt;&gt;"",MATCH($K94,QuarterList,0)&lt;=MATCH($I94,QuarterList,0)),FALSE()),", a backfill quarter later than the leaving quarter","")&amp;IF(AND($C94&lt;&gt;"",COUNTIF(UnitList,$C94)=0),", a unit that is not in your structure",""),3,300))</f>
        <v/>
      </c>
    </row>
    <row r="95" customFormat="false" ht="15" hidden="false" customHeight="false" outlineLevel="0" collapsed="false">
      <c r="A95" s="17" t="n">
        <v>90</v>
      </c>
      <c r="B95" s="21"/>
      <c r="C95" s="21"/>
      <c r="D95" s="21"/>
      <c r="E95" s="21"/>
      <c r="F95" s="21"/>
      <c r="G95" s="21"/>
      <c r="H95" s="21"/>
      <c r="I95" s="21"/>
      <c r="J95" s="21"/>
      <c r="K95" s="21"/>
      <c r="L95" s="24" t="str">
        <f aca="false">IF(OR($D95="",$I95="",$J95=""),"",IF($J95="Surrender to fund new asks",MATCH($I95,QuarterList,0)/4,IF($J95="Defer backfill",IF($K95="",MATCH($I95,QuarterList,0)/4,MIN(1,MATCH($I95,QuarterList,0)/4+(5-MATCH($K95,QuarterList,0))/4)),1)))</f>
        <v/>
      </c>
      <c r="M95" s="19" t="str">
        <f aca="false">IF($L95="","",IFERROR(INDEX(LevelBasic,MATCH($E95,LevelList,0))+INDEX(LevelHousing,MATCH($E95,LevelList,0))+INDEX(LevelTransport,MATCH($E95,LevelList,0))+INDEX(LevelBasic,MATCH($E95,LevelList,0))*INDEX(LevelBonus,MATCH($E95,LevelList,0))+(INDEX(LevelBasic,MATCH($E95,LevelList,0))+INDEX(LevelHousing,MATCH($E95,LevelList,0)))*GosiSaudi,0)*(1-$L95))</f>
        <v/>
      </c>
      <c r="N95" s="19" t="n">
        <f aca="false">IF($J95="Surrender to fund new asks",IFERROR(INDEX(LevelBasic,MATCH($E95,LevelList,0))+INDEX(LevelHousing,MATCH($E95,LevelList,0))+INDEX(LevelTransport,MATCH($E95,LevelList,0))+INDEX(LevelBasic,MATCH($E95,LevelList,0))*INDEX(LevelBonus,MATCH($E95,LevelList,0))+(INDEX(LevelBasic,MATCH($E95,LevelList,0))+INDEX(LevelHousing,MATCH($E95,LevelList,0)))*GosiSaudi,0),0)</f>
        <v>0</v>
      </c>
      <c r="O95" s="23" t="str">
        <f aca="false">IF($D95="","",MID(IF($C95="",", unit","")&amp;IF($E95="",", career level","")&amp;IF($H95="",", reason","")&amp;IF($I95="",", leaving quarter","")&amp;IF($J95="",", what happens to the seat","")&amp;IF(AND($J95="Defer backfill",$K95=""),", the backfill quarter","")&amp;IF(IFERROR(AND($K95&lt;&gt;"",$I95&lt;&gt;"",MATCH($K95,QuarterList,0)&lt;=MATCH($I95,QuarterList,0)),FALSE()),", a backfill quarter later than the leaving quarter","")&amp;IF(AND($C95&lt;&gt;"",COUNTIF(UnitList,$C95)=0),", a unit that is not in your structure",""),3,300))</f>
        <v/>
      </c>
    </row>
    <row r="96" customFormat="false" ht="15" hidden="false" customHeight="false" outlineLevel="0" collapsed="false">
      <c r="A96" s="17" t="n">
        <v>91</v>
      </c>
      <c r="B96" s="21"/>
      <c r="C96" s="21"/>
      <c r="D96" s="21"/>
      <c r="E96" s="21"/>
      <c r="F96" s="21"/>
      <c r="G96" s="21"/>
      <c r="H96" s="21"/>
      <c r="I96" s="21"/>
      <c r="J96" s="21"/>
      <c r="K96" s="21"/>
      <c r="L96" s="24" t="str">
        <f aca="false">IF(OR($D96="",$I96="",$J96=""),"",IF($J96="Surrender to fund new asks",MATCH($I96,QuarterList,0)/4,IF($J96="Defer backfill",IF($K96="",MATCH($I96,QuarterList,0)/4,MIN(1,MATCH($I96,QuarterList,0)/4+(5-MATCH($K96,QuarterList,0))/4)),1)))</f>
        <v/>
      </c>
      <c r="M96" s="19" t="str">
        <f aca="false">IF($L96="","",IFERROR(INDEX(LevelBasic,MATCH($E96,LevelList,0))+INDEX(LevelHousing,MATCH($E96,LevelList,0))+INDEX(LevelTransport,MATCH($E96,LevelList,0))+INDEX(LevelBasic,MATCH($E96,LevelList,0))*INDEX(LevelBonus,MATCH($E96,LevelList,0))+(INDEX(LevelBasic,MATCH($E96,LevelList,0))+INDEX(LevelHousing,MATCH($E96,LevelList,0)))*GosiSaudi,0)*(1-$L96))</f>
        <v/>
      </c>
      <c r="N96" s="19" t="n">
        <f aca="false">IF($J96="Surrender to fund new asks",IFERROR(INDEX(LevelBasic,MATCH($E96,LevelList,0))+INDEX(LevelHousing,MATCH($E96,LevelList,0))+INDEX(LevelTransport,MATCH($E96,LevelList,0))+INDEX(LevelBasic,MATCH($E96,LevelList,0))*INDEX(LevelBonus,MATCH($E96,LevelList,0))+(INDEX(LevelBasic,MATCH($E96,LevelList,0))+INDEX(LevelHousing,MATCH($E96,LevelList,0)))*GosiSaudi,0),0)</f>
        <v>0</v>
      </c>
      <c r="O96" s="23" t="str">
        <f aca="false">IF($D96="","",MID(IF($C96="",", unit","")&amp;IF($E96="",", career level","")&amp;IF($H96="",", reason","")&amp;IF($I96="",", leaving quarter","")&amp;IF($J96="",", what happens to the seat","")&amp;IF(AND($J96="Defer backfill",$K96=""),", the backfill quarter","")&amp;IF(IFERROR(AND($K96&lt;&gt;"",$I96&lt;&gt;"",MATCH($K96,QuarterList,0)&lt;=MATCH($I96,QuarterList,0)),FALSE()),", a backfill quarter later than the leaving quarter","")&amp;IF(AND($C96&lt;&gt;"",COUNTIF(UnitList,$C96)=0),", a unit that is not in your structure",""),3,300))</f>
        <v/>
      </c>
    </row>
    <row r="97" customFormat="false" ht="15" hidden="false" customHeight="false" outlineLevel="0" collapsed="false">
      <c r="A97" s="17" t="n">
        <v>92</v>
      </c>
      <c r="B97" s="21"/>
      <c r="C97" s="21"/>
      <c r="D97" s="21"/>
      <c r="E97" s="21"/>
      <c r="F97" s="21"/>
      <c r="G97" s="21"/>
      <c r="H97" s="21"/>
      <c r="I97" s="21"/>
      <c r="J97" s="21"/>
      <c r="K97" s="21"/>
      <c r="L97" s="24" t="str">
        <f aca="false">IF(OR($D97="",$I97="",$J97=""),"",IF($J97="Surrender to fund new asks",MATCH($I97,QuarterList,0)/4,IF($J97="Defer backfill",IF($K97="",MATCH($I97,QuarterList,0)/4,MIN(1,MATCH($I97,QuarterList,0)/4+(5-MATCH($K97,QuarterList,0))/4)),1)))</f>
        <v/>
      </c>
      <c r="M97" s="19" t="str">
        <f aca="false">IF($L97="","",IFERROR(INDEX(LevelBasic,MATCH($E97,LevelList,0))+INDEX(LevelHousing,MATCH($E97,LevelList,0))+INDEX(LevelTransport,MATCH($E97,LevelList,0))+INDEX(LevelBasic,MATCH($E97,LevelList,0))*INDEX(LevelBonus,MATCH($E97,LevelList,0))+(INDEX(LevelBasic,MATCH($E97,LevelList,0))+INDEX(LevelHousing,MATCH($E97,LevelList,0)))*GosiSaudi,0)*(1-$L97))</f>
        <v/>
      </c>
      <c r="N97" s="19" t="n">
        <f aca="false">IF($J97="Surrender to fund new asks",IFERROR(INDEX(LevelBasic,MATCH($E97,LevelList,0))+INDEX(LevelHousing,MATCH($E97,LevelList,0))+INDEX(LevelTransport,MATCH($E97,LevelList,0))+INDEX(LevelBasic,MATCH($E97,LevelList,0))*INDEX(LevelBonus,MATCH($E97,LevelList,0))+(INDEX(LevelBasic,MATCH($E97,LevelList,0))+INDEX(LevelHousing,MATCH($E97,LevelList,0)))*GosiSaudi,0),0)</f>
        <v>0</v>
      </c>
      <c r="O97" s="23" t="str">
        <f aca="false">IF($D97="","",MID(IF($C97="",", unit","")&amp;IF($E97="",", career level","")&amp;IF($H97="",", reason","")&amp;IF($I97="",", leaving quarter","")&amp;IF($J97="",", what happens to the seat","")&amp;IF(AND($J97="Defer backfill",$K97=""),", the backfill quarter","")&amp;IF(IFERROR(AND($K97&lt;&gt;"",$I97&lt;&gt;"",MATCH($K97,QuarterList,0)&lt;=MATCH($I97,QuarterList,0)),FALSE()),", a backfill quarter later than the leaving quarter","")&amp;IF(AND($C97&lt;&gt;"",COUNTIF(UnitList,$C97)=0),", a unit that is not in your structure",""),3,300))</f>
        <v/>
      </c>
    </row>
    <row r="98" customFormat="false" ht="15" hidden="false" customHeight="false" outlineLevel="0" collapsed="false">
      <c r="A98" s="17" t="n">
        <v>93</v>
      </c>
      <c r="B98" s="21"/>
      <c r="C98" s="21"/>
      <c r="D98" s="21"/>
      <c r="E98" s="21"/>
      <c r="F98" s="21"/>
      <c r="G98" s="21"/>
      <c r="H98" s="21"/>
      <c r="I98" s="21"/>
      <c r="J98" s="21"/>
      <c r="K98" s="21"/>
      <c r="L98" s="24" t="str">
        <f aca="false">IF(OR($D98="",$I98="",$J98=""),"",IF($J98="Surrender to fund new asks",MATCH($I98,QuarterList,0)/4,IF($J98="Defer backfill",IF($K98="",MATCH($I98,QuarterList,0)/4,MIN(1,MATCH($I98,QuarterList,0)/4+(5-MATCH($K98,QuarterList,0))/4)),1)))</f>
        <v/>
      </c>
      <c r="M98" s="19" t="str">
        <f aca="false">IF($L98="","",IFERROR(INDEX(LevelBasic,MATCH($E98,LevelList,0))+INDEX(LevelHousing,MATCH($E98,LevelList,0))+INDEX(LevelTransport,MATCH($E98,LevelList,0))+INDEX(LevelBasic,MATCH($E98,LevelList,0))*INDEX(LevelBonus,MATCH($E98,LevelList,0))+(INDEX(LevelBasic,MATCH($E98,LevelList,0))+INDEX(LevelHousing,MATCH($E98,LevelList,0)))*GosiSaudi,0)*(1-$L98))</f>
        <v/>
      </c>
      <c r="N98" s="19" t="n">
        <f aca="false">IF($J98="Surrender to fund new asks",IFERROR(INDEX(LevelBasic,MATCH($E98,LevelList,0))+INDEX(LevelHousing,MATCH($E98,LevelList,0))+INDEX(LevelTransport,MATCH($E98,LevelList,0))+INDEX(LevelBasic,MATCH($E98,LevelList,0))*INDEX(LevelBonus,MATCH($E98,LevelList,0))+(INDEX(LevelBasic,MATCH($E98,LevelList,0))+INDEX(LevelHousing,MATCH($E98,LevelList,0)))*GosiSaudi,0),0)</f>
        <v>0</v>
      </c>
      <c r="O98" s="23" t="str">
        <f aca="false">IF($D98="","",MID(IF($C98="",", unit","")&amp;IF($E98="",", career level","")&amp;IF($H98="",", reason","")&amp;IF($I98="",", leaving quarter","")&amp;IF($J98="",", what happens to the seat","")&amp;IF(AND($J98="Defer backfill",$K98=""),", the backfill quarter","")&amp;IF(IFERROR(AND($K98&lt;&gt;"",$I98&lt;&gt;"",MATCH($K98,QuarterList,0)&lt;=MATCH($I98,QuarterList,0)),FALSE()),", a backfill quarter later than the leaving quarter","")&amp;IF(AND($C98&lt;&gt;"",COUNTIF(UnitList,$C98)=0),", a unit that is not in your structure",""),3,300))</f>
        <v/>
      </c>
    </row>
    <row r="99" customFormat="false" ht="15" hidden="false" customHeight="false" outlineLevel="0" collapsed="false">
      <c r="A99" s="17" t="n">
        <v>94</v>
      </c>
      <c r="B99" s="21"/>
      <c r="C99" s="21"/>
      <c r="D99" s="21"/>
      <c r="E99" s="21"/>
      <c r="F99" s="21"/>
      <c r="G99" s="21"/>
      <c r="H99" s="21"/>
      <c r="I99" s="21"/>
      <c r="J99" s="21"/>
      <c r="K99" s="21"/>
      <c r="L99" s="24" t="str">
        <f aca="false">IF(OR($D99="",$I99="",$J99=""),"",IF($J99="Surrender to fund new asks",MATCH($I99,QuarterList,0)/4,IF($J99="Defer backfill",IF($K99="",MATCH($I99,QuarterList,0)/4,MIN(1,MATCH($I99,QuarterList,0)/4+(5-MATCH($K99,QuarterList,0))/4)),1)))</f>
        <v/>
      </c>
      <c r="M99" s="19" t="str">
        <f aca="false">IF($L99="","",IFERROR(INDEX(LevelBasic,MATCH($E99,LevelList,0))+INDEX(LevelHousing,MATCH($E99,LevelList,0))+INDEX(LevelTransport,MATCH($E99,LevelList,0))+INDEX(LevelBasic,MATCH($E99,LevelList,0))*INDEX(LevelBonus,MATCH($E99,LevelList,0))+(INDEX(LevelBasic,MATCH($E99,LevelList,0))+INDEX(LevelHousing,MATCH($E99,LevelList,0)))*GosiSaudi,0)*(1-$L99))</f>
        <v/>
      </c>
      <c r="N99" s="19" t="n">
        <f aca="false">IF($J99="Surrender to fund new asks",IFERROR(INDEX(LevelBasic,MATCH($E99,LevelList,0))+INDEX(LevelHousing,MATCH($E99,LevelList,0))+INDEX(LevelTransport,MATCH($E99,LevelList,0))+INDEX(LevelBasic,MATCH($E99,LevelList,0))*INDEX(LevelBonus,MATCH($E99,LevelList,0))+(INDEX(LevelBasic,MATCH($E99,LevelList,0))+INDEX(LevelHousing,MATCH($E99,LevelList,0)))*GosiSaudi,0),0)</f>
        <v>0</v>
      </c>
      <c r="O99" s="23" t="str">
        <f aca="false">IF($D99="","",MID(IF($C99="",", unit","")&amp;IF($E99="",", career level","")&amp;IF($H99="",", reason","")&amp;IF($I99="",", leaving quarter","")&amp;IF($J99="",", what happens to the seat","")&amp;IF(AND($J99="Defer backfill",$K99=""),", the backfill quarter","")&amp;IF(IFERROR(AND($K99&lt;&gt;"",$I99&lt;&gt;"",MATCH($K99,QuarterList,0)&lt;=MATCH($I99,QuarterList,0)),FALSE()),", a backfill quarter later than the leaving quarter","")&amp;IF(AND($C99&lt;&gt;"",COUNTIF(UnitList,$C99)=0),", a unit that is not in your structure",""),3,300))</f>
        <v/>
      </c>
    </row>
    <row r="100" customFormat="false" ht="15" hidden="false" customHeight="false" outlineLevel="0" collapsed="false">
      <c r="A100" s="17" t="n">
        <v>95</v>
      </c>
      <c r="B100" s="21"/>
      <c r="C100" s="21"/>
      <c r="D100" s="21"/>
      <c r="E100" s="21"/>
      <c r="F100" s="21"/>
      <c r="G100" s="21"/>
      <c r="H100" s="21"/>
      <c r="I100" s="21"/>
      <c r="J100" s="21"/>
      <c r="K100" s="21"/>
      <c r="L100" s="24" t="str">
        <f aca="false">IF(OR($D100="",$I100="",$J100=""),"",IF($J100="Surrender to fund new asks",MATCH($I100,QuarterList,0)/4,IF($J100="Defer backfill",IF($K100="",MATCH($I100,QuarterList,0)/4,MIN(1,MATCH($I100,QuarterList,0)/4+(5-MATCH($K100,QuarterList,0))/4)),1)))</f>
        <v/>
      </c>
      <c r="M100" s="19" t="str">
        <f aca="false">IF($L100="","",IFERROR(INDEX(LevelBasic,MATCH($E100,LevelList,0))+INDEX(LevelHousing,MATCH($E100,LevelList,0))+INDEX(LevelTransport,MATCH($E100,LevelList,0))+INDEX(LevelBasic,MATCH($E100,LevelList,0))*INDEX(LevelBonus,MATCH($E100,LevelList,0))+(INDEX(LevelBasic,MATCH($E100,LevelList,0))+INDEX(LevelHousing,MATCH($E100,LevelList,0)))*GosiSaudi,0)*(1-$L100))</f>
        <v/>
      </c>
      <c r="N100" s="19" t="n">
        <f aca="false">IF($J100="Surrender to fund new asks",IFERROR(INDEX(LevelBasic,MATCH($E100,LevelList,0))+INDEX(LevelHousing,MATCH($E100,LevelList,0))+INDEX(LevelTransport,MATCH($E100,LevelList,0))+INDEX(LevelBasic,MATCH($E100,LevelList,0))*INDEX(LevelBonus,MATCH($E100,LevelList,0))+(INDEX(LevelBasic,MATCH($E100,LevelList,0))+INDEX(LevelHousing,MATCH($E100,LevelList,0)))*GosiSaudi,0),0)</f>
        <v>0</v>
      </c>
      <c r="O100" s="23" t="str">
        <f aca="false">IF($D100="","",MID(IF($C100="",", unit","")&amp;IF($E100="",", career level","")&amp;IF($H100="",", reason","")&amp;IF($I100="",", leaving quarter","")&amp;IF($J100="",", what happens to the seat","")&amp;IF(AND($J100="Defer backfill",$K100=""),", the backfill quarter","")&amp;IF(IFERROR(AND($K100&lt;&gt;"",$I100&lt;&gt;"",MATCH($K100,QuarterList,0)&lt;=MATCH($I100,QuarterList,0)),FALSE()),", a backfill quarter later than the leaving quarter","")&amp;IF(AND($C100&lt;&gt;"",COUNTIF(UnitList,$C100)=0),", a unit that is not in your structure",""),3,300))</f>
        <v/>
      </c>
    </row>
    <row r="101" customFormat="false" ht="15" hidden="false" customHeight="false" outlineLevel="0" collapsed="false">
      <c r="A101" s="17" t="n">
        <v>96</v>
      </c>
      <c r="B101" s="21"/>
      <c r="C101" s="21"/>
      <c r="D101" s="21"/>
      <c r="E101" s="21"/>
      <c r="F101" s="21"/>
      <c r="G101" s="21"/>
      <c r="H101" s="21"/>
      <c r="I101" s="21"/>
      <c r="J101" s="21"/>
      <c r="K101" s="21"/>
      <c r="L101" s="24" t="str">
        <f aca="false">IF(OR($D101="",$I101="",$J101=""),"",IF($J101="Surrender to fund new asks",MATCH($I101,QuarterList,0)/4,IF($J101="Defer backfill",IF($K101="",MATCH($I101,QuarterList,0)/4,MIN(1,MATCH($I101,QuarterList,0)/4+(5-MATCH($K101,QuarterList,0))/4)),1)))</f>
        <v/>
      </c>
      <c r="M101" s="19" t="str">
        <f aca="false">IF($L101="","",IFERROR(INDEX(LevelBasic,MATCH($E101,LevelList,0))+INDEX(LevelHousing,MATCH($E101,LevelList,0))+INDEX(LevelTransport,MATCH($E101,LevelList,0))+INDEX(LevelBasic,MATCH($E101,LevelList,0))*INDEX(LevelBonus,MATCH($E101,LevelList,0))+(INDEX(LevelBasic,MATCH($E101,LevelList,0))+INDEX(LevelHousing,MATCH($E101,LevelList,0)))*GosiSaudi,0)*(1-$L101))</f>
        <v/>
      </c>
      <c r="N101" s="19" t="n">
        <f aca="false">IF($J101="Surrender to fund new asks",IFERROR(INDEX(LevelBasic,MATCH($E101,LevelList,0))+INDEX(LevelHousing,MATCH($E101,LevelList,0))+INDEX(LevelTransport,MATCH($E101,LevelList,0))+INDEX(LevelBasic,MATCH($E101,LevelList,0))*INDEX(LevelBonus,MATCH($E101,LevelList,0))+(INDEX(LevelBasic,MATCH($E101,LevelList,0))+INDEX(LevelHousing,MATCH($E101,LevelList,0)))*GosiSaudi,0),0)</f>
        <v>0</v>
      </c>
      <c r="O101" s="23" t="str">
        <f aca="false">IF($D101="","",MID(IF($C101="",", unit","")&amp;IF($E101="",", career level","")&amp;IF($H101="",", reason","")&amp;IF($I101="",", leaving quarter","")&amp;IF($J101="",", what happens to the seat","")&amp;IF(AND($J101="Defer backfill",$K101=""),", the backfill quarter","")&amp;IF(IFERROR(AND($K101&lt;&gt;"",$I101&lt;&gt;"",MATCH($K101,QuarterList,0)&lt;=MATCH($I101,QuarterList,0)),FALSE()),", a backfill quarter later than the leaving quarter","")&amp;IF(AND($C101&lt;&gt;"",COUNTIF(UnitList,$C101)=0),", a unit that is not in your structure",""),3,300))</f>
        <v/>
      </c>
    </row>
    <row r="102" customFormat="false" ht="15" hidden="false" customHeight="false" outlineLevel="0" collapsed="false">
      <c r="A102" s="17" t="n">
        <v>97</v>
      </c>
      <c r="B102" s="21"/>
      <c r="C102" s="21"/>
      <c r="D102" s="21"/>
      <c r="E102" s="21"/>
      <c r="F102" s="21"/>
      <c r="G102" s="21"/>
      <c r="H102" s="21"/>
      <c r="I102" s="21"/>
      <c r="J102" s="21"/>
      <c r="K102" s="21"/>
      <c r="L102" s="24" t="str">
        <f aca="false">IF(OR($D102="",$I102="",$J102=""),"",IF($J102="Surrender to fund new asks",MATCH($I102,QuarterList,0)/4,IF($J102="Defer backfill",IF($K102="",MATCH($I102,QuarterList,0)/4,MIN(1,MATCH($I102,QuarterList,0)/4+(5-MATCH($K102,QuarterList,0))/4)),1)))</f>
        <v/>
      </c>
      <c r="M102" s="19" t="str">
        <f aca="false">IF($L102="","",IFERROR(INDEX(LevelBasic,MATCH($E102,LevelList,0))+INDEX(LevelHousing,MATCH($E102,LevelList,0))+INDEX(LevelTransport,MATCH($E102,LevelList,0))+INDEX(LevelBasic,MATCH($E102,LevelList,0))*INDEX(LevelBonus,MATCH($E102,LevelList,0))+(INDEX(LevelBasic,MATCH($E102,LevelList,0))+INDEX(LevelHousing,MATCH($E102,LevelList,0)))*GosiSaudi,0)*(1-$L102))</f>
        <v/>
      </c>
      <c r="N102" s="19" t="n">
        <f aca="false">IF($J102="Surrender to fund new asks",IFERROR(INDEX(LevelBasic,MATCH($E102,LevelList,0))+INDEX(LevelHousing,MATCH($E102,LevelList,0))+INDEX(LevelTransport,MATCH($E102,LevelList,0))+INDEX(LevelBasic,MATCH($E102,LevelList,0))*INDEX(LevelBonus,MATCH($E102,LevelList,0))+(INDEX(LevelBasic,MATCH($E102,LevelList,0))+INDEX(LevelHousing,MATCH($E102,LevelList,0)))*GosiSaudi,0),0)</f>
        <v>0</v>
      </c>
      <c r="O102" s="23" t="str">
        <f aca="false">IF($D102="","",MID(IF($C102="",", unit","")&amp;IF($E102="",", career level","")&amp;IF($H102="",", reason","")&amp;IF($I102="",", leaving quarter","")&amp;IF($J102="",", what happens to the seat","")&amp;IF(AND($J102="Defer backfill",$K102=""),", the backfill quarter","")&amp;IF(IFERROR(AND($K102&lt;&gt;"",$I102&lt;&gt;"",MATCH($K102,QuarterList,0)&lt;=MATCH($I102,QuarterList,0)),FALSE()),", a backfill quarter later than the leaving quarter","")&amp;IF(AND($C102&lt;&gt;"",COUNTIF(UnitList,$C102)=0),", a unit that is not in your structure",""),3,300))</f>
        <v/>
      </c>
    </row>
    <row r="103" customFormat="false" ht="15" hidden="false" customHeight="false" outlineLevel="0" collapsed="false">
      <c r="A103" s="17" t="n">
        <v>98</v>
      </c>
      <c r="B103" s="21"/>
      <c r="C103" s="21"/>
      <c r="D103" s="21"/>
      <c r="E103" s="21"/>
      <c r="F103" s="21"/>
      <c r="G103" s="21"/>
      <c r="H103" s="21"/>
      <c r="I103" s="21"/>
      <c r="J103" s="21"/>
      <c r="K103" s="21"/>
      <c r="L103" s="24" t="str">
        <f aca="false">IF(OR($D103="",$I103="",$J103=""),"",IF($J103="Surrender to fund new asks",MATCH($I103,QuarterList,0)/4,IF($J103="Defer backfill",IF($K103="",MATCH($I103,QuarterList,0)/4,MIN(1,MATCH($I103,QuarterList,0)/4+(5-MATCH($K103,QuarterList,0))/4)),1)))</f>
        <v/>
      </c>
      <c r="M103" s="19" t="str">
        <f aca="false">IF($L103="","",IFERROR(INDEX(LevelBasic,MATCH($E103,LevelList,0))+INDEX(LevelHousing,MATCH($E103,LevelList,0))+INDEX(LevelTransport,MATCH($E103,LevelList,0))+INDEX(LevelBasic,MATCH($E103,LevelList,0))*INDEX(LevelBonus,MATCH($E103,LevelList,0))+(INDEX(LevelBasic,MATCH($E103,LevelList,0))+INDEX(LevelHousing,MATCH($E103,LevelList,0)))*GosiSaudi,0)*(1-$L103))</f>
        <v/>
      </c>
      <c r="N103" s="19" t="n">
        <f aca="false">IF($J103="Surrender to fund new asks",IFERROR(INDEX(LevelBasic,MATCH($E103,LevelList,0))+INDEX(LevelHousing,MATCH($E103,LevelList,0))+INDEX(LevelTransport,MATCH($E103,LevelList,0))+INDEX(LevelBasic,MATCH($E103,LevelList,0))*INDEX(LevelBonus,MATCH($E103,LevelList,0))+(INDEX(LevelBasic,MATCH($E103,LevelList,0))+INDEX(LevelHousing,MATCH($E103,LevelList,0)))*GosiSaudi,0),0)</f>
        <v>0</v>
      </c>
      <c r="O103" s="23" t="str">
        <f aca="false">IF($D103="","",MID(IF($C103="",", unit","")&amp;IF($E103="",", career level","")&amp;IF($H103="",", reason","")&amp;IF($I103="",", leaving quarter","")&amp;IF($J103="",", what happens to the seat","")&amp;IF(AND($J103="Defer backfill",$K103=""),", the backfill quarter","")&amp;IF(IFERROR(AND($K103&lt;&gt;"",$I103&lt;&gt;"",MATCH($K103,QuarterList,0)&lt;=MATCH($I103,QuarterList,0)),FALSE()),", a backfill quarter later than the leaving quarter","")&amp;IF(AND($C103&lt;&gt;"",COUNTIF(UnitList,$C103)=0),", a unit that is not in your structure",""),3,300))</f>
        <v/>
      </c>
    </row>
    <row r="104" customFormat="false" ht="15" hidden="false" customHeight="false" outlineLevel="0" collapsed="false">
      <c r="A104" s="17" t="n">
        <v>99</v>
      </c>
      <c r="B104" s="21"/>
      <c r="C104" s="21"/>
      <c r="D104" s="21"/>
      <c r="E104" s="21"/>
      <c r="F104" s="21"/>
      <c r="G104" s="21"/>
      <c r="H104" s="21"/>
      <c r="I104" s="21"/>
      <c r="J104" s="21"/>
      <c r="K104" s="21"/>
      <c r="L104" s="24" t="str">
        <f aca="false">IF(OR($D104="",$I104="",$J104=""),"",IF($J104="Surrender to fund new asks",MATCH($I104,QuarterList,0)/4,IF($J104="Defer backfill",IF($K104="",MATCH($I104,QuarterList,0)/4,MIN(1,MATCH($I104,QuarterList,0)/4+(5-MATCH($K104,QuarterList,0))/4)),1)))</f>
        <v/>
      </c>
      <c r="M104" s="19" t="str">
        <f aca="false">IF($L104="","",IFERROR(INDEX(LevelBasic,MATCH($E104,LevelList,0))+INDEX(LevelHousing,MATCH($E104,LevelList,0))+INDEX(LevelTransport,MATCH($E104,LevelList,0))+INDEX(LevelBasic,MATCH($E104,LevelList,0))*INDEX(LevelBonus,MATCH($E104,LevelList,0))+(INDEX(LevelBasic,MATCH($E104,LevelList,0))+INDEX(LevelHousing,MATCH($E104,LevelList,0)))*GosiSaudi,0)*(1-$L104))</f>
        <v/>
      </c>
      <c r="N104" s="19" t="n">
        <f aca="false">IF($J104="Surrender to fund new asks",IFERROR(INDEX(LevelBasic,MATCH($E104,LevelList,0))+INDEX(LevelHousing,MATCH($E104,LevelList,0))+INDEX(LevelTransport,MATCH($E104,LevelList,0))+INDEX(LevelBasic,MATCH($E104,LevelList,0))*INDEX(LevelBonus,MATCH($E104,LevelList,0))+(INDEX(LevelBasic,MATCH($E104,LevelList,0))+INDEX(LevelHousing,MATCH($E104,LevelList,0)))*GosiSaudi,0),0)</f>
        <v>0</v>
      </c>
      <c r="O104" s="23" t="str">
        <f aca="false">IF($D104="","",MID(IF($C104="",", unit","")&amp;IF($E104="",", career level","")&amp;IF($H104="",", reason","")&amp;IF($I104="",", leaving quarter","")&amp;IF($J104="",", what happens to the seat","")&amp;IF(AND($J104="Defer backfill",$K104=""),", the backfill quarter","")&amp;IF(IFERROR(AND($K104&lt;&gt;"",$I104&lt;&gt;"",MATCH($K104,QuarterList,0)&lt;=MATCH($I104,QuarterList,0)),FALSE()),", a backfill quarter later than the leaving quarter","")&amp;IF(AND($C104&lt;&gt;"",COUNTIF(UnitList,$C104)=0),", a unit that is not in your structure",""),3,300))</f>
        <v/>
      </c>
    </row>
    <row r="105" customFormat="false" ht="15" hidden="false" customHeight="false" outlineLevel="0" collapsed="false">
      <c r="A105" s="17" t="n">
        <v>100</v>
      </c>
      <c r="B105" s="21"/>
      <c r="C105" s="21"/>
      <c r="D105" s="21"/>
      <c r="E105" s="21"/>
      <c r="F105" s="21"/>
      <c r="G105" s="21"/>
      <c r="H105" s="21"/>
      <c r="I105" s="21"/>
      <c r="J105" s="21"/>
      <c r="K105" s="21"/>
      <c r="L105" s="24" t="str">
        <f aca="false">IF(OR($D105="",$I105="",$J105=""),"",IF($J105="Surrender to fund new asks",MATCH($I105,QuarterList,0)/4,IF($J105="Defer backfill",IF($K105="",MATCH($I105,QuarterList,0)/4,MIN(1,MATCH($I105,QuarterList,0)/4+(5-MATCH($K105,QuarterList,0))/4)),1)))</f>
        <v/>
      </c>
      <c r="M105" s="19" t="str">
        <f aca="false">IF($L105="","",IFERROR(INDEX(LevelBasic,MATCH($E105,LevelList,0))+INDEX(LevelHousing,MATCH($E105,LevelList,0))+INDEX(LevelTransport,MATCH($E105,LevelList,0))+INDEX(LevelBasic,MATCH($E105,LevelList,0))*INDEX(LevelBonus,MATCH($E105,LevelList,0))+(INDEX(LevelBasic,MATCH($E105,LevelList,0))+INDEX(LevelHousing,MATCH($E105,LevelList,0)))*GosiSaudi,0)*(1-$L105))</f>
        <v/>
      </c>
      <c r="N105" s="19" t="n">
        <f aca="false">IF($J105="Surrender to fund new asks",IFERROR(INDEX(LevelBasic,MATCH($E105,LevelList,0))+INDEX(LevelHousing,MATCH($E105,LevelList,0))+INDEX(LevelTransport,MATCH($E105,LevelList,0))+INDEX(LevelBasic,MATCH($E105,LevelList,0))*INDEX(LevelBonus,MATCH($E105,LevelList,0))+(INDEX(LevelBasic,MATCH($E105,LevelList,0))+INDEX(LevelHousing,MATCH($E105,LevelList,0)))*GosiSaudi,0),0)</f>
        <v>0</v>
      </c>
      <c r="O105" s="23" t="str">
        <f aca="false">IF($D105="","",MID(IF($C105="",", unit","")&amp;IF($E105="",", career level","")&amp;IF($H105="",", reason","")&amp;IF($I105="",", leaving quarter","")&amp;IF($J105="",", what happens to the seat","")&amp;IF(AND($J105="Defer backfill",$K105=""),", the backfill quarter","")&amp;IF(IFERROR(AND($K105&lt;&gt;"",$I105&lt;&gt;"",MATCH($K105,QuarterList,0)&lt;=MATCH($I105,QuarterList,0)),FALSE()),", a backfill quarter later than the leaving quarter","")&amp;IF(AND($C105&lt;&gt;"",COUNTIF(UnitList,$C105)=0),", a unit that is not in your structure",""),3,300))</f>
        <v/>
      </c>
    </row>
    <row r="106" customFormat="false" ht="15" hidden="false" customHeight="false" outlineLevel="0" collapsed="false">
      <c r="A106" s="17" t="n">
        <v>101</v>
      </c>
      <c r="B106" s="21"/>
      <c r="C106" s="21"/>
      <c r="D106" s="21"/>
      <c r="E106" s="21"/>
      <c r="F106" s="21"/>
      <c r="G106" s="21"/>
      <c r="H106" s="21"/>
      <c r="I106" s="21"/>
      <c r="J106" s="21"/>
      <c r="K106" s="21"/>
      <c r="L106" s="24" t="str">
        <f aca="false">IF(OR($D106="",$I106="",$J106=""),"",IF($J106="Surrender to fund new asks",MATCH($I106,QuarterList,0)/4,IF($J106="Defer backfill",IF($K106="",MATCH($I106,QuarterList,0)/4,MIN(1,MATCH($I106,QuarterList,0)/4+(5-MATCH($K106,QuarterList,0))/4)),1)))</f>
        <v/>
      </c>
      <c r="M106" s="19" t="str">
        <f aca="false">IF($L106="","",IFERROR(INDEX(LevelBasic,MATCH($E106,LevelList,0))+INDEX(LevelHousing,MATCH($E106,LevelList,0))+INDEX(LevelTransport,MATCH($E106,LevelList,0))+INDEX(LevelBasic,MATCH($E106,LevelList,0))*INDEX(LevelBonus,MATCH($E106,LevelList,0))+(INDEX(LevelBasic,MATCH($E106,LevelList,0))+INDEX(LevelHousing,MATCH($E106,LevelList,0)))*GosiSaudi,0)*(1-$L106))</f>
        <v/>
      </c>
      <c r="N106" s="19" t="n">
        <f aca="false">IF($J106="Surrender to fund new asks",IFERROR(INDEX(LevelBasic,MATCH($E106,LevelList,0))+INDEX(LevelHousing,MATCH($E106,LevelList,0))+INDEX(LevelTransport,MATCH($E106,LevelList,0))+INDEX(LevelBasic,MATCH($E106,LevelList,0))*INDEX(LevelBonus,MATCH($E106,LevelList,0))+(INDEX(LevelBasic,MATCH($E106,LevelList,0))+INDEX(LevelHousing,MATCH($E106,LevelList,0)))*GosiSaudi,0),0)</f>
        <v>0</v>
      </c>
      <c r="O106" s="23" t="str">
        <f aca="false">IF($D106="","",MID(IF($C106="",", unit","")&amp;IF($E106="",", career level","")&amp;IF($H106="",", reason","")&amp;IF($I106="",", leaving quarter","")&amp;IF($J106="",", what happens to the seat","")&amp;IF(AND($J106="Defer backfill",$K106=""),", the backfill quarter","")&amp;IF(IFERROR(AND($K106&lt;&gt;"",$I106&lt;&gt;"",MATCH($K106,QuarterList,0)&lt;=MATCH($I106,QuarterList,0)),FALSE()),", a backfill quarter later than the leaving quarter","")&amp;IF(AND($C106&lt;&gt;"",COUNTIF(UnitList,$C106)=0),", a unit that is not in your structure",""),3,300))</f>
        <v/>
      </c>
    </row>
    <row r="107" customFormat="false" ht="15" hidden="false" customHeight="false" outlineLevel="0" collapsed="false">
      <c r="A107" s="17" t="n">
        <v>102</v>
      </c>
      <c r="B107" s="21"/>
      <c r="C107" s="21"/>
      <c r="D107" s="21"/>
      <c r="E107" s="21"/>
      <c r="F107" s="21"/>
      <c r="G107" s="21"/>
      <c r="H107" s="21"/>
      <c r="I107" s="21"/>
      <c r="J107" s="21"/>
      <c r="K107" s="21"/>
      <c r="L107" s="24" t="str">
        <f aca="false">IF(OR($D107="",$I107="",$J107=""),"",IF($J107="Surrender to fund new asks",MATCH($I107,QuarterList,0)/4,IF($J107="Defer backfill",IF($K107="",MATCH($I107,QuarterList,0)/4,MIN(1,MATCH($I107,QuarterList,0)/4+(5-MATCH($K107,QuarterList,0))/4)),1)))</f>
        <v/>
      </c>
      <c r="M107" s="19" t="str">
        <f aca="false">IF($L107="","",IFERROR(INDEX(LevelBasic,MATCH($E107,LevelList,0))+INDEX(LevelHousing,MATCH($E107,LevelList,0))+INDEX(LevelTransport,MATCH($E107,LevelList,0))+INDEX(LevelBasic,MATCH($E107,LevelList,0))*INDEX(LevelBonus,MATCH($E107,LevelList,0))+(INDEX(LevelBasic,MATCH($E107,LevelList,0))+INDEX(LevelHousing,MATCH($E107,LevelList,0)))*GosiSaudi,0)*(1-$L107))</f>
        <v/>
      </c>
      <c r="N107" s="19" t="n">
        <f aca="false">IF($J107="Surrender to fund new asks",IFERROR(INDEX(LevelBasic,MATCH($E107,LevelList,0))+INDEX(LevelHousing,MATCH($E107,LevelList,0))+INDEX(LevelTransport,MATCH($E107,LevelList,0))+INDEX(LevelBasic,MATCH($E107,LevelList,0))*INDEX(LevelBonus,MATCH($E107,LevelList,0))+(INDEX(LevelBasic,MATCH($E107,LevelList,0))+INDEX(LevelHousing,MATCH($E107,LevelList,0)))*GosiSaudi,0),0)</f>
        <v>0</v>
      </c>
      <c r="O107" s="23" t="str">
        <f aca="false">IF($D107="","",MID(IF($C107="",", unit","")&amp;IF($E107="",", career level","")&amp;IF($H107="",", reason","")&amp;IF($I107="",", leaving quarter","")&amp;IF($J107="",", what happens to the seat","")&amp;IF(AND($J107="Defer backfill",$K107=""),", the backfill quarter","")&amp;IF(IFERROR(AND($K107&lt;&gt;"",$I107&lt;&gt;"",MATCH($K107,QuarterList,0)&lt;=MATCH($I107,QuarterList,0)),FALSE()),", a backfill quarter later than the leaving quarter","")&amp;IF(AND($C107&lt;&gt;"",COUNTIF(UnitList,$C107)=0),", a unit that is not in your structure",""),3,300))</f>
        <v/>
      </c>
    </row>
    <row r="108" customFormat="false" ht="15" hidden="false" customHeight="false" outlineLevel="0" collapsed="false">
      <c r="A108" s="17" t="n">
        <v>103</v>
      </c>
      <c r="B108" s="21"/>
      <c r="C108" s="21"/>
      <c r="D108" s="21"/>
      <c r="E108" s="21"/>
      <c r="F108" s="21"/>
      <c r="G108" s="21"/>
      <c r="H108" s="21"/>
      <c r="I108" s="21"/>
      <c r="J108" s="21"/>
      <c r="K108" s="21"/>
      <c r="L108" s="24" t="str">
        <f aca="false">IF(OR($D108="",$I108="",$J108=""),"",IF($J108="Surrender to fund new asks",MATCH($I108,QuarterList,0)/4,IF($J108="Defer backfill",IF($K108="",MATCH($I108,QuarterList,0)/4,MIN(1,MATCH($I108,QuarterList,0)/4+(5-MATCH($K108,QuarterList,0))/4)),1)))</f>
        <v/>
      </c>
      <c r="M108" s="19" t="str">
        <f aca="false">IF($L108="","",IFERROR(INDEX(LevelBasic,MATCH($E108,LevelList,0))+INDEX(LevelHousing,MATCH($E108,LevelList,0))+INDEX(LevelTransport,MATCH($E108,LevelList,0))+INDEX(LevelBasic,MATCH($E108,LevelList,0))*INDEX(LevelBonus,MATCH($E108,LevelList,0))+(INDEX(LevelBasic,MATCH($E108,LevelList,0))+INDEX(LevelHousing,MATCH($E108,LevelList,0)))*GosiSaudi,0)*(1-$L108))</f>
        <v/>
      </c>
      <c r="N108" s="19" t="n">
        <f aca="false">IF($J108="Surrender to fund new asks",IFERROR(INDEX(LevelBasic,MATCH($E108,LevelList,0))+INDEX(LevelHousing,MATCH($E108,LevelList,0))+INDEX(LevelTransport,MATCH($E108,LevelList,0))+INDEX(LevelBasic,MATCH($E108,LevelList,0))*INDEX(LevelBonus,MATCH($E108,LevelList,0))+(INDEX(LevelBasic,MATCH($E108,LevelList,0))+INDEX(LevelHousing,MATCH($E108,LevelList,0)))*GosiSaudi,0),0)</f>
        <v>0</v>
      </c>
      <c r="O108" s="23" t="str">
        <f aca="false">IF($D108="","",MID(IF($C108="",", unit","")&amp;IF($E108="",", career level","")&amp;IF($H108="",", reason","")&amp;IF($I108="",", leaving quarter","")&amp;IF($J108="",", what happens to the seat","")&amp;IF(AND($J108="Defer backfill",$K108=""),", the backfill quarter","")&amp;IF(IFERROR(AND($K108&lt;&gt;"",$I108&lt;&gt;"",MATCH($K108,QuarterList,0)&lt;=MATCH($I108,QuarterList,0)),FALSE()),", a backfill quarter later than the leaving quarter","")&amp;IF(AND($C108&lt;&gt;"",COUNTIF(UnitList,$C108)=0),", a unit that is not in your structure",""),3,300))</f>
        <v/>
      </c>
    </row>
    <row r="109" customFormat="false" ht="15" hidden="false" customHeight="false" outlineLevel="0" collapsed="false">
      <c r="A109" s="17" t="n">
        <v>104</v>
      </c>
      <c r="B109" s="21"/>
      <c r="C109" s="21"/>
      <c r="D109" s="21"/>
      <c r="E109" s="21"/>
      <c r="F109" s="21"/>
      <c r="G109" s="21"/>
      <c r="H109" s="21"/>
      <c r="I109" s="21"/>
      <c r="J109" s="21"/>
      <c r="K109" s="21"/>
      <c r="L109" s="24" t="str">
        <f aca="false">IF(OR($D109="",$I109="",$J109=""),"",IF($J109="Surrender to fund new asks",MATCH($I109,QuarterList,0)/4,IF($J109="Defer backfill",IF($K109="",MATCH($I109,QuarterList,0)/4,MIN(1,MATCH($I109,QuarterList,0)/4+(5-MATCH($K109,QuarterList,0))/4)),1)))</f>
        <v/>
      </c>
      <c r="M109" s="19" t="str">
        <f aca="false">IF($L109="","",IFERROR(INDEX(LevelBasic,MATCH($E109,LevelList,0))+INDEX(LevelHousing,MATCH($E109,LevelList,0))+INDEX(LevelTransport,MATCH($E109,LevelList,0))+INDEX(LevelBasic,MATCH($E109,LevelList,0))*INDEX(LevelBonus,MATCH($E109,LevelList,0))+(INDEX(LevelBasic,MATCH($E109,LevelList,0))+INDEX(LevelHousing,MATCH($E109,LevelList,0)))*GosiSaudi,0)*(1-$L109))</f>
        <v/>
      </c>
      <c r="N109" s="19" t="n">
        <f aca="false">IF($J109="Surrender to fund new asks",IFERROR(INDEX(LevelBasic,MATCH($E109,LevelList,0))+INDEX(LevelHousing,MATCH($E109,LevelList,0))+INDEX(LevelTransport,MATCH($E109,LevelList,0))+INDEX(LevelBasic,MATCH($E109,LevelList,0))*INDEX(LevelBonus,MATCH($E109,LevelList,0))+(INDEX(LevelBasic,MATCH($E109,LevelList,0))+INDEX(LevelHousing,MATCH($E109,LevelList,0)))*GosiSaudi,0),0)</f>
        <v>0</v>
      </c>
      <c r="O109" s="23" t="str">
        <f aca="false">IF($D109="","",MID(IF($C109="",", unit","")&amp;IF($E109="",", career level","")&amp;IF($H109="",", reason","")&amp;IF($I109="",", leaving quarter","")&amp;IF($J109="",", what happens to the seat","")&amp;IF(AND($J109="Defer backfill",$K109=""),", the backfill quarter","")&amp;IF(IFERROR(AND($K109&lt;&gt;"",$I109&lt;&gt;"",MATCH($K109,QuarterList,0)&lt;=MATCH($I109,QuarterList,0)),FALSE()),", a backfill quarter later than the leaving quarter","")&amp;IF(AND($C109&lt;&gt;"",COUNTIF(UnitList,$C109)=0),", a unit that is not in your structure",""),3,300))</f>
        <v/>
      </c>
    </row>
    <row r="110" customFormat="false" ht="15" hidden="false" customHeight="false" outlineLevel="0" collapsed="false">
      <c r="A110" s="17" t="n">
        <v>105</v>
      </c>
      <c r="B110" s="21"/>
      <c r="C110" s="21"/>
      <c r="D110" s="21"/>
      <c r="E110" s="21"/>
      <c r="F110" s="21"/>
      <c r="G110" s="21"/>
      <c r="H110" s="21"/>
      <c r="I110" s="21"/>
      <c r="J110" s="21"/>
      <c r="K110" s="21"/>
      <c r="L110" s="24" t="str">
        <f aca="false">IF(OR($D110="",$I110="",$J110=""),"",IF($J110="Surrender to fund new asks",MATCH($I110,QuarterList,0)/4,IF($J110="Defer backfill",IF($K110="",MATCH($I110,QuarterList,0)/4,MIN(1,MATCH($I110,QuarterList,0)/4+(5-MATCH($K110,QuarterList,0))/4)),1)))</f>
        <v/>
      </c>
      <c r="M110" s="19" t="str">
        <f aca="false">IF($L110="","",IFERROR(INDEX(LevelBasic,MATCH($E110,LevelList,0))+INDEX(LevelHousing,MATCH($E110,LevelList,0))+INDEX(LevelTransport,MATCH($E110,LevelList,0))+INDEX(LevelBasic,MATCH($E110,LevelList,0))*INDEX(LevelBonus,MATCH($E110,LevelList,0))+(INDEX(LevelBasic,MATCH($E110,LevelList,0))+INDEX(LevelHousing,MATCH($E110,LevelList,0)))*GosiSaudi,0)*(1-$L110))</f>
        <v/>
      </c>
      <c r="N110" s="19" t="n">
        <f aca="false">IF($J110="Surrender to fund new asks",IFERROR(INDEX(LevelBasic,MATCH($E110,LevelList,0))+INDEX(LevelHousing,MATCH($E110,LevelList,0))+INDEX(LevelTransport,MATCH($E110,LevelList,0))+INDEX(LevelBasic,MATCH($E110,LevelList,0))*INDEX(LevelBonus,MATCH($E110,LevelList,0))+(INDEX(LevelBasic,MATCH($E110,LevelList,0))+INDEX(LevelHousing,MATCH($E110,LevelList,0)))*GosiSaudi,0),0)</f>
        <v>0</v>
      </c>
      <c r="O110" s="23" t="str">
        <f aca="false">IF($D110="","",MID(IF($C110="",", unit","")&amp;IF($E110="",", career level","")&amp;IF($H110="",", reason","")&amp;IF($I110="",", leaving quarter","")&amp;IF($J110="",", what happens to the seat","")&amp;IF(AND($J110="Defer backfill",$K110=""),", the backfill quarter","")&amp;IF(IFERROR(AND($K110&lt;&gt;"",$I110&lt;&gt;"",MATCH($K110,QuarterList,0)&lt;=MATCH($I110,QuarterList,0)),FALSE()),", a backfill quarter later than the leaving quarter","")&amp;IF(AND($C110&lt;&gt;"",COUNTIF(UnitList,$C110)=0),", a unit that is not in your structure",""),3,300))</f>
        <v/>
      </c>
    </row>
    <row r="111" customFormat="false" ht="15" hidden="false" customHeight="false" outlineLevel="0" collapsed="false">
      <c r="A111" s="17" t="n">
        <v>106</v>
      </c>
      <c r="B111" s="21"/>
      <c r="C111" s="21"/>
      <c r="D111" s="21"/>
      <c r="E111" s="21"/>
      <c r="F111" s="21"/>
      <c r="G111" s="21"/>
      <c r="H111" s="21"/>
      <c r="I111" s="21"/>
      <c r="J111" s="21"/>
      <c r="K111" s="21"/>
      <c r="L111" s="24" t="str">
        <f aca="false">IF(OR($D111="",$I111="",$J111=""),"",IF($J111="Surrender to fund new asks",MATCH($I111,QuarterList,0)/4,IF($J111="Defer backfill",IF($K111="",MATCH($I111,QuarterList,0)/4,MIN(1,MATCH($I111,QuarterList,0)/4+(5-MATCH($K111,QuarterList,0))/4)),1)))</f>
        <v/>
      </c>
      <c r="M111" s="19" t="str">
        <f aca="false">IF($L111="","",IFERROR(INDEX(LevelBasic,MATCH($E111,LevelList,0))+INDEX(LevelHousing,MATCH($E111,LevelList,0))+INDEX(LevelTransport,MATCH($E111,LevelList,0))+INDEX(LevelBasic,MATCH($E111,LevelList,0))*INDEX(LevelBonus,MATCH($E111,LevelList,0))+(INDEX(LevelBasic,MATCH($E111,LevelList,0))+INDEX(LevelHousing,MATCH($E111,LevelList,0)))*GosiSaudi,0)*(1-$L111))</f>
        <v/>
      </c>
      <c r="N111" s="19" t="n">
        <f aca="false">IF($J111="Surrender to fund new asks",IFERROR(INDEX(LevelBasic,MATCH($E111,LevelList,0))+INDEX(LevelHousing,MATCH($E111,LevelList,0))+INDEX(LevelTransport,MATCH($E111,LevelList,0))+INDEX(LevelBasic,MATCH($E111,LevelList,0))*INDEX(LevelBonus,MATCH($E111,LevelList,0))+(INDEX(LevelBasic,MATCH($E111,LevelList,0))+INDEX(LevelHousing,MATCH($E111,LevelList,0)))*GosiSaudi,0),0)</f>
        <v>0</v>
      </c>
      <c r="O111" s="23" t="str">
        <f aca="false">IF($D111="","",MID(IF($C111="",", unit","")&amp;IF($E111="",", career level","")&amp;IF($H111="",", reason","")&amp;IF($I111="",", leaving quarter","")&amp;IF($J111="",", what happens to the seat","")&amp;IF(AND($J111="Defer backfill",$K111=""),", the backfill quarter","")&amp;IF(IFERROR(AND($K111&lt;&gt;"",$I111&lt;&gt;"",MATCH($K111,QuarterList,0)&lt;=MATCH($I111,QuarterList,0)),FALSE()),", a backfill quarter later than the leaving quarter","")&amp;IF(AND($C111&lt;&gt;"",COUNTIF(UnitList,$C111)=0),", a unit that is not in your structure",""),3,300))</f>
        <v/>
      </c>
    </row>
    <row r="112" customFormat="false" ht="15" hidden="false" customHeight="false" outlineLevel="0" collapsed="false">
      <c r="A112" s="17" t="n">
        <v>107</v>
      </c>
      <c r="B112" s="21"/>
      <c r="C112" s="21"/>
      <c r="D112" s="21"/>
      <c r="E112" s="21"/>
      <c r="F112" s="21"/>
      <c r="G112" s="21"/>
      <c r="H112" s="21"/>
      <c r="I112" s="21"/>
      <c r="J112" s="21"/>
      <c r="K112" s="21"/>
      <c r="L112" s="24" t="str">
        <f aca="false">IF(OR($D112="",$I112="",$J112=""),"",IF($J112="Surrender to fund new asks",MATCH($I112,QuarterList,0)/4,IF($J112="Defer backfill",IF($K112="",MATCH($I112,QuarterList,0)/4,MIN(1,MATCH($I112,QuarterList,0)/4+(5-MATCH($K112,QuarterList,0))/4)),1)))</f>
        <v/>
      </c>
      <c r="M112" s="19" t="str">
        <f aca="false">IF($L112="","",IFERROR(INDEX(LevelBasic,MATCH($E112,LevelList,0))+INDEX(LevelHousing,MATCH($E112,LevelList,0))+INDEX(LevelTransport,MATCH($E112,LevelList,0))+INDEX(LevelBasic,MATCH($E112,LevelList,0))*INDEX(LevelBonus,MATCH($E112,LevelList,0))+(INDEX(LevelBasic,MATCH($E112,LevelList,0))+INDEX(LevelHousing,MATCH($E112,LevelList,0)))*GosiSaudi,0)*(1-$L112))</f>
        <v/>
      </c>
      <c r="N112" s="19" t="n">
        <f aca="false">IF($J112="Surrender to fund new asks",IFERROR(INDEX(LevelBasic,MATCH($E112,LevelList,0))+INDEX(LevelHousing,MATCH($E112,LevelList,0))+INDEX(LevelTransport,MATCH($E112,LevelList,0))+INDEX(LevelBasic,MATCH($E112,LevelList,0))*INDEX(LevelBonus,MATCH($E112,LevelList,0))+(INDEX(LevelBasic,MATCH($E112,LevelList,0))+INDEX(LevelHousing,MATCH($E112,LevelList,0)))*GosiSaudi,0),0)</f>
        <v>0</v>
      </c>
      <c r="O112" s="23" t="str">
        <f aca="false">IF($D112="","",MID(IF($C112="",", unit","")&amp;IF($E112="",", career level","")&amp;IF($H112="",", reason","")&amp;IF($I112="",", leaving quarter","")&amp;IF($J112="",", what happens to the seat","")&amp;IF(AND($J112="Defer backfill",$K112=""),", the backfill quarter","")&amp;IF(IFERROR(AND($K112&lt;&gt;"",$I112&lt;&gt;"",MATCH($K112,QuarterList,0)&lt;=MATCH($I112,QuarterList,0)),FALSE()),", a backfill quarter later than the leaving quarter","")&amp;IF(AND($C112&lt;&gt;"",COUNTIF(UnitList,$C112)=0),", a unit that is not in your structure",""),3,300))</f>
        <v/>
      </c>
    </row>
    <row r="113" customFormat="false" ht="15" hidden="false" customHeight="false" outlineLevel="0" collapsed="false">
      <c r="A113" s="17" t="n">
        <v>108</v>
      </c>
      <c r="B113" s="21"/>
      <c r="C113" s="21"/>
      <c r="D113" s="21"/>
      <c r="E113" s="21"/>
      <c r="F113" s="21"/>
      <c r="G113" s="21"/>
      <c r="H113" s="21"/>
      <c r="I113" s="21"/>
      <c r="J113" s="21"/>
      <c r="K113" s="21"/>
      <c r="L113" s="24" t="str">
        <f aca="false">IF(OR($D113="",$I113="",$J113=""),"",IF($J113="Surrender to fund new asks",MATCH($I113,QuarterList,0)/4,IF($J113="Defer backfill",IF($K113="",MATCH($I113,QuarterList,0)/4,MIN(1,MATCH($I113,QuarterList,0)/4+(5-MATCH($K113,QuarterList,0))/4)),1)))</f>
        <v/>
      </c>
      <c r="M113" s="19" t="str">
        <f aca="false">IF($L113="","",IFERROR(INDEX(LevelBasic,MATCH($E113,LevelList,0))+INDEX(LevelHousing,MATCH($E113,LevelList,0))+INDEX(LevelTransport,MATCH($E113,LevelList,0))+INDEX(LevelBasic,MATCH($E113,LevelList,0))*INDEX(LevelBonus,MATCH($E113,LevelList,0))+(INDEX(LevelBasic,MATCH($E113,LevelList,0))+INDEX(LevelHousing,MATCH($E113,LevelList,0)))*GosiSaudi,0)*(1-$L113))</f>
        <v/>
      </c>
      <c r="N113" s="19" t="n">
        <f aca="false">IF($J113="Surrender to fund new asks",IFERROR(INDEX(LevelBasic,MATCH($E113,LevelList,0))+INDEX(LevelHousing,MATCH($E113,LevelList,0))+INDEX(LevelTransport,MATCH($E113,LevelList,0))+INDEX(LevelBasic,MATCH($E113,LevelList,0))*INDEX(LevelBonus,MATCH($E113,LevelList,0))+(INDEX(LevelBasic,MATCH($E113,LevelList,0))+INDEX(LevelHousing,MATCH($E113,LevelList,0)))*GosiSaudi,0),0)</f>
        <v>0</v>
      </c>
      <c r="O113" s="23" t="str">
        <f aca="false">IF($D113="","",MID(IF($C113="",", unit","")&amp;IF($E113="",", career level","")&amp;IF($H113="",", reason","")&amp;IF($I113="",", leaving quarter","")&amp;IF($J113="",", what happens to the seat","")&amp;IF(AND($J113="Defer backfill",$K113=""),", the backfill quarter","")&amp;IF(IFERROR(AND($K113&lt;&gt;"",$I113&lt;&gt;"",MATCH($K113,QuarterList,0)&lt;=MATCH($I113,QuarterList,0)),FALSE()),", a backfill quarter later than the leaving quarter","")&amp;IF(AND($C113&lt;&gt;"",COUNTIF(UnitList,$C113)=0),", a unit that is not in your structure",""),3,300))</f>
        <v/>
      </c>
    </row>
    <row r="114" customFormat="false" ht="15" hidden="false" customHeight="false" outlineLevel="0" collapsed="false">
      <c r="A114" s="17" t="n">
        <v>109</v>
      </c>
      <c r="B114" s="21"/>
      <c r="C114" s="21"/>
      <c r="D114" s="21"/>
      <c r="E114" s="21"/>
      <c r="F114" s="21"/>
      <c r="G114" s="21"/>
      <c r="H114" s="21"/>
      <c r="I114" s="21"/>
      <c r="J114" s="21"/>
      <c r="K114" s="21"/>
      <c r="L114" s="24" t="str">
        <f aca="false">IF(OR($D114="",$I114="",$J114=""),"",IF($J114="Surrender to fund new asks",MATCH($I114,QuarterList,0)/4,IF($J114="Defer backfill",IF($K114="",MATCH($I114,QuarterList,0)/4,MIN(1,MATCH($I114,QuarterList,0)/4+(5-MATCH($K114,QuarterList,0))/4)),1)))</f>
        <v/>
      </c>
      <c r="M114" s="19" t="str">
        <f aca="false">IF($L114="","",IFERROR(INDEX(LevelBasic,MATCH($E114,LevelList,0))+INDEX(LevelHousing,MATCH($E114,LevelList,0))+INDEX(LevelTransport,MATCH($E114,LevelList,0))+INDEX(LevelBasic,MATCH($E114,LevelList,0))*INDEX(LevelBonus,MATCH($E114,LevelList,0))+(INDEX(LevelBasic,MATCH($E114,LevelList,0))+INDEX(LevelHousing,MATCH($E114,LevelList,0)))*GosiSaudi,0)*(1-$L114))</f>
        <v/>
      </c>
      <c r="N114" s="19" t="n">
        <f aca="false">IF($J114="Surrender to fund new asks",IFERROR(INDEX(LevelBasic,MATCH($E114,LevelList,0))+INDEX(LevelHousing,MATCH($E114,LevelList,0))+INDEX(LevelTransport,MATCH($E114,LevelList,0))+INDEX(LevelBasic,MATCH($E114,LevelList,0))*INDEX(LevelBonus,MATCH($E114,LevelList,0))+(INDEX(LevelBasic,MATCH($E114,LevelList,0))+INDEX(LevelHousing,MATCH($E114,LevelList,0)))*GosiSaudi,0),0)</f>
        <v>0</v>
      </c>
      <c r="O114" s="23" t="str">
        <f aca="false">IF($D114="","",MID(IF($C114="",", unit","")&amp;IF($E114="",", career level","")&amp;IF($H114="",", reason","")&amp;IF($I114="",", leaving quarter","")&amp;IF($J114="",", what happens to the seat","")&amp;IF(AND($J114="Defer backfill",$K114=""),", the backfill quarter","")&amp;IF(IFERROR(AND($K114&lt;&gt;"",$I114&lt;&gt;"",MATCH($K114,QuarterList,0)&lt;=MATCH($I114,QuarterList,0)),FALSE()),", a backfill quarter later than the leaving quarter","")&amp;IF(AND($C114&lt;&gt;"",COUNTIF(UnitList,$C114)=0),", a unit that is not in your structure",""),3,300))</f>
        <v/>
      </c>
    </row>
    <row r="115" customFormat="false" ht="15" hidden="false" customHeight="false" outlineLevel="0" collapsed="false">
      <c r="A115" s="17" t="n">
        <v>110</v>
      </c>
      <c r="B115" s="21"/>
      <c r="C115" s="21"/>
      <c r="D115" s="21"/>
      <c r="E115" s="21"/>
      <c r="F115" s="21"/>
      <c r="G115" s="21"/>
      <c r="H115" s="21"/>
      <c r="I115" s="21"/>
      <c r="J115" s="21"/>
      <c r="K115" s="21"/>
      <c r="L115" s="24" t="str">
        <f aca="false">IF(OR($D115="",$I115="",$J115=""),"",IF($J115="Surrender to fund new asks",MATCH($I115,QuarterList,0)/4,IF($J115="Defer backfill",IF($K115="",MATCH($I115,QuarterList,0)/4,MIN(1,MATCH($I115,QuarterList,0)/4+(5-MATCH($K115,QuarterList,0))/4)),1)))</f>
        <v/>
      </c>
      <c r="M115" s="19" t="str">
        <f aca="false">IF($L115="","",IFERROR(INDEX(LevelBasic,MATCH($E115,LevelList,0))+INDEX(LevelHousing,MATCH($E115,LevelList,0))+INDEX(LevelTransport,MATCH($E115,LevelList,0))+INDEX(LevelBasic,MATCH($E115,LevelList,0))*INDEX(LevelBonus,MATCH($E115,LevelList,0))+(INDEX(LevelBasic,MATCH($E115,LevelList,0))+INDEX(LevelHousing,MATCH($E115,LevelList,0)))*GosiSaudi,0)*(1-$L115))</f>
        <v/>
      </c>
      <c r="N115" s="19" t="n">
        <f aca="false">IF($J115="Surrender to fund new asks",IFERROR(INDEX(LevelBasic,MATCH($E115,LevelList,0))+INDEX(LevelHousing,MATCH($E115,LevelList,0))+INDEX(LevelTransport,MATCH($E115,LevelList,0))+INDEX(LevelBasic,MATCH($E115,LevelList,0))*INDEX(LevelBonus,MATCH($E115,LevelList,0))+(INDEX(LevelBasic,MATCH($E115,LevelList,0))+INDEX(LevelHousing,MATCH($E115,LevelList,0)))*GosiSaudi,0),0)</f>
        <v>0</v>
      </c>
      <c r="O115" s="23" t="str">
        <f aca="false">IF($D115="","",MID(IF($C115="",", unit","")&amp;IF($E115="",", career level","")&amp;IF($H115="",", reason","")&amp;IF($I115="",", leaving quarter","")&amp;IF($J115="",", what happens to the seat","")&amp;IF(AND($J115="Defer backfill",$K115=""),", the backfill quarter","")&amp;IF(IFERROR(AND($K115&lt;&gt;"",$I115&lt;&gt;"",MATCH($K115,QuarterList,0)&lt;=MATCH($I115,QuarterList,0)),FALSE()),", a backfill quarter later than the leaving quarter","")&amp;IF(AND($C115&lt;&gt;"",COUNTIF(UnitList,$C115)=0),", a unit that is not in your structure",""),3,300))</f>
        <v/>
      </c>
    </row>
    <row r="116" customFormat="false" ht="15" hidden="false" customHeight="false" outlineLevel="0" collapsed="false">
      <c r="A116" s="17" t="n">
        <v>111</v>
      </c>
      <c r="B116" s="21"/>
      <c r="C116" s="21"/>
      <c r="D116" s="21"/>
      <c r="E116" s="21"/>
      <c r="F116" s="21"/>
      <c r="G116" s="21"/>
      <c r="H116" s="21"/>
      <c r="I116" s="21"/>
      <c r="J116" s="21"/>
      <c r="K116" s="21"/>
      <c r="L116" s="24" t="str">
        <f aca="false">IF(OR($D116="",$I116="",$J116=""),"",IF($J116="Surrender to fund new asks",MATCH($I116,QuarterList,0)/4,IF($J116="Defer backfill",IF($K116="",MATCH($I116,QuarterList,0)/4,MIN(1,MATCH($I116,QuarterList,0)/4+(5-MATCH($K116,QuarterList,0))/4)),1)))</f>
        <v/>
      </c>
      <c r="M116" s="19" t="str">
        <f aca="false">IF($L116="","",IFERROR(INDEX(LevelBasic,MATCH($E116,LevelList,0))+INDEX(LevelHousing,MATCH($E116,LevelList,0))+INDEX(LevelTransport,MATCH($E116,LevelList,0))+INDEX(LevelBasic,MATCH($E116,LevelList,0))*INDEX(LevelBonus,MATCH($E116,LevelList,0))+(INDEX(LevelBasic,MATCH($E116,LevelList,0))+INDEX(LevelHousing,MATCH($E116,LevelList,0)))*GosiSaudi,0)*(1-$L116))</f>
        <v/>
      </c>
      <c r="N116" s="19" t="n">
        <f aca="false">IF($J116="Surrender to fund new asks",IFERROR(INDEX(LevelBasic,MATCH($E116,LevelList,0))+INDEX(LevelHousing,MATCH($E116,LevelList,0))+INDEX(LevelTransport,MATCH($E116,LevelList,0))+INDEX(LevelBasic,MATCH($E116,LevelList,0))*INDEX(LevelBonus,MATCH($E116,LevelList,0))+(INDEX(LevelBasic,MATCH($E116,LevelList,0))+INDEX(LevelHousing,MATCH($E116,LevelList,0)))*GosiSaudi,0),0)</f>
        <v>0</v>
      </c>
      <c r="O116" s="23" t="str">
        <f aca="false">IF($D116="","",MID(IF($C116="",", unit","")&amp;IF($E116="",", career level","")&amp;IF($H116="",", reason","")&amp;IF($I116="",", leaving quarter","")&amp;IF($J116="",", what happens to the seat","")&amp;IF(AND($J116="Defer backfill",$K116=""),", the backfill quarter","")&amp;IF(IFERROR(AND($K116&lt;&gt;"",$I116&lt;&gt;"",MATCH($K116,QuarterList,0)&lt;=MATCH($I116,QuarterList,0)),FALSE()),", a backfill quarter later than the leaving quarter","")&amp;IF(AND($C116&lt;&gt;"",COUNTIF(UnitList,$C116)=0),", a unit that is not in your structure",""),3,300))</f>
        <v/>
      </c>
    </row>
    <row r="117" customFormat="false" ht="15" hidden="false" customHeight="false" outlineLevel="0" collapsed="false">
      <c r="A117" s="17" t="n">
        <v>112</v>
      </c>
      <c r="B117" s="21"/>
      <c r="C117" s="21"/>
      <c r="D117" s="21"/>
      <c r="E117" s="21"/>
      <c r="F117" s="21"/>
      <c r="G117" s="21"/>
      <c r="H117" s="21"/>
      <c r="I117" s="21"/>
      <c r="J117" s="21"/>
      <c r="K117" s="21"/>
      <c r="L117" s="24" t="str">
        <f aca="false">IF(OR($D117="",$I117="",$J117=""),"",IF($J117="Surrender to fund new asks",MATCH($I117,QuarterList,0)/4,IF($J117="Defer backfill",IF($K117="",MATCH($I117,QuarterList,0)/4,MIN(1,MATCH($I117,QuarterList,0)/4+(5-MATCH($K117,QuarterList,0))/4)),1)))</f>
        <v/>
      </c>
      <c r="M117" s="19" t="str">
        <f aca="false">IF($L117="","",IFERROR(INDEX(LevelBasic,MATCH($E117,LevelList,0))+INDEX(LevelHousing,MATCH($E117,LevelList,0))+INDEX(LevelTransport,MATCH($E117,LevelList,0))+INDEX(LevelBasic,MATCH($E117,LevelList,0))*INDEX(LevelBonus,MATCH($E117,LevelList,0))+(INDEX(LevelBasic,MATCH($E117,LevelList,0))+INDEX(LevelHousing,MATCH($E117,LevelList,0)))*GosiSaudi,0)*(1-$L117))</f>
        <v/>
      </c>
      <c r="N117" s="19" t="n">
        <f aca="false">IF($J117="Surrender to fund new asks",IFERROR(INDEX(LevelBasic,MATCH($E117,LevelList,0))+INDEX(LevelHousing,MATCH($E117,LevelList,0))+INDEX(LevelTransport,MATCH($E117,LevelList,0))+INDEX(LevelBasic,MATCH($E117,LevelList,0))*INDEX(LevelBonus,MATCH($E117,LevelList,0))+(INDEX(LevelBasic,MATCH($E117,LevelList,0))+INDEX(LevelHousing,MATCH($E117,LevelList,0)))*GosiSaudi,0),0)</f>
        <v>0</v>
      </c>
      <c r="O117" s="23" t="str">
        <f aca="false">IF($D117="","",MID(IF($C117="",", unit","")&amp;IF($E117="",", career level","")&amp;IF($H117="",", reason","")&amp;IF($I117="",", leaving quarter","")&amp;IF($J117="",", what happens to the seat","")&amp;IF(AND($J117="Defer backfill",$K117=""),", the backfill quarter","")&amp;IF(IFERROR(AND($K117&lt;&gt;"",$I117&lt;&gt;"",MATCH($K117,QuarterList,0)&lt;=MATCH($I117,QuarterList,0)),FALSE()),", a backfill quarter later than the leaving quarter","")&amp;IF(AND($C117&lt;&gt;"",COUNTIF(UnitList,$C117)=0),", a unit that is not in your structure",""),3,300))</f>
        <v/>
      </c>
    </row>
    <row r="118" customFormat="false" ht="15" hidden="false" customHeight="false" outlineLevel="0" collapsed="false">
      <c r="A118" s="17" t="n">
        <v>113</v>
      </c>
      <c r="B118" s="21"/>
      <c r="C118" s="21"/>
      <c r="D118" s="21"/>
      <c r="E118" s="21"/>
      <c r="F118" s="21"/>
      <c r="G118" s="21"/>
      <c r="H118" s="21"/>
      <c r="I118" s="21"/>
      <c r="J118" s="21"/>
      <c r="K118" s="21"/>
      <c r="L118" s="24" t="str">
        <f aca="false">IF(OR($D118="",$I118="",$J118=""),"",IF($J118="Surrender to fund new asks",MATCH($I118,QuarterList,0)/4,IF($J118="Defer backfill",IF($K118="",MATCH($I118,QuarterList,0)/4,MIN(1,MATCH($I118,QuarterList,0)/4+(5-MATCH($K118,QuarterList,0))/4)),1)))</f>
        <v/>
      </c>
      <c r="M118" s="19" t="str">
        <f aca="false">IF($L118="","",IFERROR(INDEX(LevelBasic,MATCH($E118,LevelList,0))+INDEX(LevelHousing,MATCH($E118,LevelList,0))+INDEX(LevelTransport,MATCH($E118,LevelList,0))+INDEX(LevelBasic,MATCH($E118,LevelList,0))*INDEX(LevelBonus,MATCH($E118,LevelList,0))+(INDEX(LevelBasic,MATCH($E118,LevelList,0))+INDEX(LevelHousing,MATCH($E118,LevelList,0)))*GosiSaudi,0)*(1-$L118))</f>
        <v/>
      </c>
      <c r="N118" s="19" t="n">
        <f aca="false">IF($J118="Surrender to fund new asks",IFERROR(INDEX(LevelBasic,MATCH($E118,LevelList,0))+INDEX(LevelHousing,MATCH($E118,LevelList,0))+INDEX(LevelTransport,MATCH($E118,LevelList,0))+INDEX(LevelBasic,MATCH($E118,LevelList,0))*INDEX(LevelBonus,MATCH($E118,LevelList,0))+(INDEX(LevelBasic,MATCH($E118,LevelList,0))+INDEX(LevelHousing,MATCH($E118,LevelList,0)))*GosiSaudi,0),0)</f>
        <v>0</v>
      </c>
      <c r="O118" s="23" t="str">
        <f aca="false">IF($D118="","",MID(IF($C118="",", unit","")&amp;IF($E118="",", career level","")&amp;IF($H118="",", reason","")&amp;IF($I118="",", leaving quarter","")&amp;IF($J118="",", what happens to the seat","")&amp;IF(AND($J118="Defer backfill",$K118=""),", the backfill quarter","")&amp;IF(IFERROR(AND($K118&lt;&gt;"",$I118&lt;&gt;"",MATCH($K118,QuarterList,0)&lt;=MATCH($I118,QuarterList,0)),FALSE()),", a backfill quarter later than the leaving quarter","")&amp;IF(AND($C118&lt;&gt;"",COUNTIF(UnitList,$C118)=0),", a unit that is not in your structure",""),3,300))</f>
        <v/>
      </c>
    </row>
    <row r="119" customFormat="false" ht="15" hidden="false" customHeight="false" outlineLevel="0" collapsed="false">
      <c r="A119" s="17" t="n">
        <v>114</v>
      </c>
      <c r="B119" s="21"/>
      <c r="C119" s="21"/>
      <c r="D119" s="21"/>
      <c r="E119" s="21"/>
      <c r="F119" s="21"/>
      <c r="G119" s="21"/>
      <c r="H119" s="21"/>
      <c r="I119" s="21"/>
      <c r="J119" s="21"/>
      <c r="K119" s="21"/>
      <c r="L119" s="24" t="str">
        <f aca="false">IF(OR($D119="",$I119="",$J119=""),"",IF($J119="Surrender to fund new asks",MATCH($I119,QuarterList,0)/4,IF($J119="Defer backfill",IF($K119="",MATCH($I119,QuarterList,0)/4,MIN(1,MATCH($I119,QuarterList,0)/4+(5-MATCH($K119,QuarterList,0))/4)),1)))</f>
        <v/>
      </c>
      <c r="M119" s="19" t="str">
        <f aca="false">IF($L119="","",IFERROR(INDEX(LevelBasic,MATCH($E119,LevelList,0))+INDEX(LevelHousing,MATCH($E119,LevelList,0))+INDEX(LevelTransport,MATCH($E119,LevelList,0))+INDEX(LevelBasic,MATCH($E119,LevelList,0))*INDEX(LevelBonus,MATCH($E119,LevelList,0))+(INDEX(LevelBasic,MATCH($E119,LevelList,0))+INDEX(LevelHousing,MATCH($E119,LevelList,0)))*GosiSaudi,0)*(1-$L119))</f>
        <v/>
      </c>
      <c r="N119" s="19" t="n">
        <f aca="false">IF($J119="Surrender to fund new asks",IFERROR(INDEX(LevelBasic,MATCH($E119,LevelList,0))+INDEX(LevelHousing,MATCH($E119,LevelList,0))+INDEX(LevelTransport,MATCH($E119,LevelList,0))+INDEX(LevelBasic,MATCH($E119,LevelList,0))*INDEX(LevelBonus,MATCH($E119,LevelList,0))+(INDEX(LevelBasic,MATCH($E119,LevelList,0))+INDEX(LevelHousing,MATCH($E119,LevelList,0)))*GosiSaudi,0),0)</f>
        <v>0</v>
      </c>
      <c r="O119" s="23" t="str">
        <f aca="false">IF($D119="","",MID(IF($C119="",", unit","")&amp;IF($E119="",", career level","")&amp;IF($H119="",", reason","")&amp;IF($I119="",", leaving quarter","")&amp;IF($J119="",", what happens to the seat","")&amp;IF(AND($J119="Defer backfill",$K119=""),", the backfill quarter","")&amp;IF(IFERROR(AND($K119&lt;&gt;"",$I119&lt;&gt;"",MATCH($K119,QuarterList,0)&lt;=MATCH($I119,QuarterList,0)),FALSE()),", a backfill quarter later than the leaving quarter","")&amp;IF(AND($C119&lt;&gt;"",COUNTIF(UnitList,$C119)=0),", a unit that is not in your structure",""),3,300))</f>
        <v/>
      </c>
    </row>
    <row r="120" customFormat="false" ht="15" hidden="false" customHeight="false" outlineLevel="0" collapsed="false">
      <c r="A120" s="17" t="n">
        <v>115</v>
      </c>
      <c r="B120" s="21"/>
      <c r="C120" s="21"/>
      <c r="D120" s="21"/>
      <c r="E120" s="21"/>
      <c r="F120" s="21"/>
      <c r="G120" s="21"/>
      <c r="H120" s="21"/>
      <c r="I120" s="21"/>
      <c r="J120" s="21"/>
      <c r="K120" s="21"/>
      <c r="L120" s="24" t="str">
        <f aca="false">IF(OR($D120="",$I120="",$J120=""),"",IF($J120="Surrender to fund new asks",MATCH($I120,QuarterList,0)/4,IF($J120="Defer backfill",IF($K120="",MATCH($I120,QuarterList,0)/4,MIN(1,MATCH($I120,QuarterList,0)/4+(5-MATCH($K120,QuarterList,0))/4)),1)))</f>
        <v/>
      </c>
      <c r="M120" s="19" t="str">
        <f aca="false">IF($L120="","",IFERROR(INDEX(LevelBasic,MATCH($E120,LevelList,0))+INDEX(LevelHousing,MATCH($E120,LevelList,0))+INDEX(LevelTransport,MATCH($E120,LevelList,0))+INDEX(LevelBasic,MATCH($E120,LevelList,0))*INDEX(LevelBonus,MATCH($E120,LevelList,0))+(INDEX(LevelBasic,MATCH($E120,LevelList,0))+INDEX(LevelHousing,MATCH($E120,LevelList,0)))*GosiSaudi,0)*(1-$L120))</f>
        <v/>
      </c>
      <c r="N120" s="19" t="n">
        <f aca="false">IF($J120="Surrender to fund new asks",IFERROR(INDEX(LevelBasic,MATCH($E120,LevelList,0))+INDEX(LevelHousing,MATCH($E120,LevelList,0))+INDEX(LevelTransport,MATCH($E120,LevelList,0))+INDEX(LevelBasic,MATCH($E120,LevelList,0))*INDEX(LevelBonus,MATCH($E120,LevelList,0))+(INDEX(LevelBasic,MATCH($E120,LevelList,0))+INDEX(LevelHousing,MATCH($E120,LevelList,0)))*GosiSaudi,0),0)</f>
        <v>0</v>
      </c>
      <c r="O120" s="23" t="str">
        <f aca="false">IF($D120="","",MID(IF($C120="",", unit","")&amp;IF($E120="",", career level","")&amp;IF($H120="",", reason","")&amp;IF($I120="",", leaving quarter","")&amp;IF($J120="",", what happens to the seat","")&amp;IF(AND($J120="Defer backfill",$K120=""),", the backfill quarter","")&amp;IF(IFERROR(AND($K120&lt;&gt;"",$I120&lt;&gt;"",MATCH($K120,QuarterList,0)&lt;=MATCH($I120,QuarterList,0)),FALSE()),", a backfill quarter later than the leaving quarter","")&amp;IF(AND($C120&lt;&gt;"",COUNTIF(UnitList,$C120)=0),", a unit that is not in your structure",""),3,300))</f>
        <v/>
      </c>
    </row>
    <row r="121" customFormat="false" ht="15" hidden="false" customHeight="false" outlineLevel="0" collapsed="false">
      <c r="A121" s="17" t="n">
        <v>116</v>
      </c>
      <c r="B121" s="21"/>
      <c r="C121" s="21"/>
      <c r="D121" s="21"/>
      <c r="E121" s="21"/>
      <c r="F121" s="21"/>
      <c r="G121" s="21"/>
      <c r="H121" s="21"/>
      <c r="I121" s="21"/>
      <c r="J121" s="21"/>
      <c r="K121" s="21"/>
      <c r="L121" s="24" t="str">
        <f aca="false">IF(OR($D121="",$I121="",$J121=""),"",IF($J121="Surrender to fund new asks",MATCH($I121,QuarterList,0)/4,IF($J121="Defer backfill",IF($K121="",MATCH($I121,QuarterList,0)/4,MIN(1,MATCH($I121,QuarterList,0)/4+(5-MATCH($K121,QuarterList,0))/4)),1)))</f>
        <v/>
      </c>
      <c r="M121" s="19" t="str">
        <f aca="false">IF($L121="","",IFERROR(INDEX(LevelBasic,MATCH($E121,LevelList,0))+INDEX(LevelHousing,MATCH($E121,LevelList,0))+INDEX(LevelTransport,MATCH($E121,LevelList,0))+INDEX(LevelBasic,MATCH($E121,LevelList,0))*INDEX(LevelBonus,MATCH($E121,LevelList,0))+(INDEX(LevelBasic,MATCH($E121,LevelList,0))+INDEX(LevelHousing,MATCH($E121,LevelList,0)))*GosiSaudi,0)*(1-$L121))</f>
        <v/>
      </c>
      <c r="N121" s="19" t="n">
        <f aca="false">IF($J121="Surrender to fund new asks",IFERROR(INDEX(LevelBasic,MATCH($E121,LevelList,0))+INDEX(LevelHousing,MATCH($E121,LevelList,0))+INDEX(LevelTransport,MATCH($E121,LevelList,0))+INDEX(LevelBasic,MATCH($E121,LevelList,0))*INDEX(LevelBonus,MATCH($E121,LevelList,0))+(INDEX(LevelBasic,MATCH($E121,LevelList,0))+INDEX(LevelHousing,MATCH($E121,LevelList,0)))*GosiSaudi,0),0)</f>
        <v>0</v>
      </c>
      <c r="O121" s="23" t="str">
        <f aca="false">IF($D121="","",MID(IF($C121="",", unit","")&amp;IF($E121="",", career level","")&amp;IF($H121="",", reason","")&amp;IF($I121="",", leaving quarter","")&amp;IF($J121="",", what happens to the seat","")&amp;IF(AND($J121="Defer backfill",$K121=""),", the backfill quarter","")&amp;IF(IFERROR(AND($K121&lt;&gt;"",$I121&lt;&gt;"",MATCH($K121,QuarterList,0)&lt;=MATCH($I121,QuarterList,0)),FALSE()),", a backfill quarter later than the leaving quarter","")&amp;IF(AND($C121&lt;&gt;"",COUNTIF(UnitList,$C121)=0),", a unit that is not in your structure",""),3,300))</f>
        <v/>
      </c>
    </row>
    <row r="122" customFormat="false" ht="15" hidden="false" customHeight="false" outlineLevel="0" collapsed="false">
      <c r="A122" s="17" t="n">
        <v>117</v>
      </c>
      <c r="B122" s="21"/>
      <c r="C122" s="21"/>
      <c r="D122" s="21"/>
      <c r="E122" s="21"/>
      <c r="F122" s="21"/>
      <c r="G122" s="21"/>
      <c r="H122" s="21"/>
      <c r="I122" s="21"/>
      <c r="J122" s="21"/>
      <c r="K122" s="21"/>
      <c r="L122" s="24" t="str">
        <f aca="false">IF(OR($D122="",$I122="",$J122=""),"",IF($J122="Surrender to fund new asks",MATCH($I122,QuarterList,0)/4,IF($J122="Defer backfill",IF($K122="",MATCH($I122,QuarterList,0)/4,MIN(1,MATCH($I122,QuarterList,0)/4+(5-MATCH($K122,QuarterList,0))/4)),1)))</f>
        <v/>
      </c>
      <c r="M122" s="19" t="str">
        <f aca="false">IF($L122="","",IFERROR(INDEX(LevelBasic,MATCH($E122,LevelList,0))+INDEX(LevelHousing,MATCH($E122,LevelList,0))+INDEX(LevelTransport,MATCH($E122,LevelList,0))+INDEX(LevelBasic,MATCH($E122,LevelList,0))*INDEX(LevelBonus,MATCH($E122,LevelList,0))+(INDEX(LevelBasic,MATCH($E122,LevelList,0))+INDEX(LevelHousing,MATCH($E122,LevelList,0)))*GosiSaudi,0)*(1-$L122))</f>
        <v/>
      </c>
      <c r="N122" s="19" t="n">
        <f aca="false">IF($J122="Surrender to fund new asks",IFERROR(INDEX(LevelBasic,MATCH($E122,LevelList,0))+INDEX(LevelHousing,MATCH($E122,LevelList,0))+INDEX(LevelTransport,MATCH($E122,LevelList,0))+INDEX(LevelBasic,MATCH($E122,LevelList,0))*INDEX(LevelBonus,MATCH($E122,LevelList,0))+(INDEX(LevelBasic,MATCH($E122,LevelList,0))+INDEX(LevelHousing,MATCH($E122,LevelList,0)))*GosiSaudi,0),0)</f>
        <v>0</v>
      </c>
      <c r="O122" s="23" t="str">
        <f aca="false">IF($D122="","",MID(IF($C122="",", unit","")&amp;IF($E122="",", career level","")&amp;IF($H122="",", reason","")&amp;IF($I122="",", leaving quarter","")&amp;IF($J122="",", what happens to the seat","")&amp;IF(AND($J122="Defer backfill",$K122=""),", the backfill quarter","")&amp;IF(IFERROR(AND($K122&lt;&gt;"",$I122&lt;&gt;"",MATCH($K122,QuarterList,0)&lt;=MATCH($I122,QuarterList,0)),FALSE()),", a backfill quarter later than the leaving quarter","")&amp;IF(AND($C122&lt;&gt;"",COUNTIF(UnitList,$C122)=0),", a unit that is not in your structure",""),3,300))</f>
        <v/>
      </c>
    </row>
    <row r="123" customFormat="false" ht="15" hidden="false" customHeight="false" outlineLevel="0" collapsed="false">
      <c r="A123" s="17" t="n">
        <v>118</v>
      </c>
      <c r="B123" s="21"/>
      <c r="C123" s="21"/>
      <c r="D123" s="21"/>
      <c r="E123" s="21"/>
      <c r="F123" s="21"/>
      <c r="G123" s="21"/>
      <c r="H123" s="21"/>
      <c r="I123" s="21"/>
      <c r="J123" s="21"/>
      <c r="K123" s="21"/>
      <c r="L123" s="24" t="str">
        <f aca="false">IF(OR($D123="",$I123="",$J123=""),"",IF($J123="Surrender to fund new asks",MATCH($I123,QuarterList,0)/4,IF($J123="Defer backfill",IF($K123="",MATCH($I123,QuarterList,0)/4,MIN(1,MATCH($I123,QuarterList,0)/4+(5-MATCH($K123,QuarterList,0))/4)),1)))</f>
        <v/>
      </c>
      <c r="M123" s="19" t="str">
        <f aca="false">IF($L123="","",IFERROR(INDEX(LevelBasic,MATCH($E123,LevelList,0))+INDEX(LevelHousing,MATCH($E123,LevelList,0))+INDEX(LevelTransport,MATCH($E123,LevelList,0))+INDEX(LevelBasic,MATCH($E123,LevelList,0))*INDEX(LevelBonus,MATCH($E123,LevelList,0))+(INDEX(LevelBasic,MATCH($E123,LevelList,0))+INDEX(LevelHousing,MATCH($E123,LevelList,0)))*GosiSaudi,0)*(1-$L123))</f>
        <v/>
      </c>
      <c r="N123" s="19" t="n">
        <f aca="false">IF($J123="Surrender to fund new asks",IFERROR(INDEX(LevelBasic,MATCH($E123,LevelList,0))+INDEX(LevelHousing,MATCH($E123,LevelList,0))+INDEX(LevelTransport,MATCH($E123,LevelList,0))+INDEX(LevelBasic,MATCH($E123,LevelList,0))*INDEX(LevelBonus,MATCH($E123,LevelList,0))+(INDEX(LevelBasic,MATCH($E123,LevelList,0))+INDEX(LevelHousing,MATCH($E123,LevelList,0)))*GosiSaudi,0),0)</f>
        <v>0</v>
      </c>
      <c r="O123" s="23" t="str">
        <f aca="false">IF($D123="","",MID(IF($C123="",", unit","")&amp;IF($E123="",", career level","")&amp;IF($H123="",", reason","")&amp;IF($I123="",", leaving quarter","")&amp;IF($J123="",", what happens to the seat","")&amp;IF(AND($J123="Defer backfill",$K123=""),", the backfill quarter","")&amp;IF(IFERROR(AND($K123&lt;&gt;"",$I123&lt;&gt;"",MATCH($K123,QuarterList,0)&lt;=MATCH($I123,QuarterList,0)),FALSE()),", a backfill quarter later than the leaving quarter","")&amp;IF(AND($C123&lt;&gt;"",COUNTIF(UnitList,$C123)=0),", a unit that is not in your structure",""),3,300))</f>
        <v/>
      </c>
    </row>
    <row r="124" customFormat="false" ht="15" hidden="false" customHeight="false" outlineLevel="0" collapsed="false">
      <c r="A124" s="17" t="n">
        <v>119</v>
      </c>
      <c r="B124" s="21"/>
      <c r="C124" s="21"/>
      <c r="D124" s="21"/>
      <c r="E124" s="21"/>
      <c r="F124" s="21"/>
      <c r="G124" s="21"/>
      <c r="H124" s="21"/>
      <c r="I124" s="21"/>
      <c r="J124" s="21"/>
      <c r="K124" s="21"/>
      <c r="L124" s="24" t="str">
        <f aca="false">IF(OR($D124="",$I124="",$J124=""),"",IF($J124="Surrender to fund new asks",MATCH($I124,QuarterList,0)/4,IF($J124="Defer backfill",IF($K124="",MATCH($I124,QuarterList,0)/4,MIN(1,MATCH($I124,QuarterList,0)/4+(5-MATCH($K124,QuarterList,0))/4)),1)))</f>
        <v/>
      </c>
      <c r="M124" s="19" t="str">
        <f aca="false">IF($L124="","",IFERROR(INDEX(LevelBasic,MATCH($E124,LevelList,0))+INDEX(LevelHousing,MATCH($E124,LevelList,0))+INDEX(LevelTransport,MATCH($E124,LevelList,0))+INDEX(LevelBasic,MATCH($E124,LevelList,0))*INDEX(LevelBonus,MATCH($E124,LevelList,0))+(INDEX(LevelBasic,MATCH($E124,LevelList,0))+INDEX(LevelHousing,MATCH($E124,LevelList,0)))*GosiSaudi,0)*(1-$L124))</f>
        <v/>
      </c>
      <c r="N124" s="19" t="n">
        <f aca="false">IF($J124="Surrender to fund new asks",IFERROR(INDEX(LevelBasic,MATCH($E124,LevelList,0))+INDEX(LevelHousing,MATCH($E124,LevelList,0))+INDEX(LevelTransport,MATCH($E124,LevelList,0))+INDEX(LevelBasic,MATCH($E124,LevelList,0))*INDEX(LevelBonus,MATCH($E124,LevelList,0))+(INDEX(LevelBasic,MATCH($E124,LevelList,0))+INDEX(LevelHousing,MATCH($E124,LevelList,0)))*GosiSaudi,0),0)</f>
        <v>0</v>
      </c>
      <c r="O124" s="23" t="str">
        <f aca="false">IF($D124="","",MID(IF($C124="",", unit","")&amp;IF($E124="",", career level","")&amp;IF($H124="",", reason","")&amp;IF($I124="",", leaving quarter","")&amp;IF($J124="",", what happens to the seat","")&amp;IF(AND($J124="Defer backfill",$K124=""),", the backfill quarter","")&amp;IF(IFERROR(AND($K124&lt;&gt;"",$I124&lt;&gt;"",MATCH($K124,QuarterList,0)&lt;=MATCH($I124,QuarterList,0)),FALSE()),", a backfill quarter later than the leaving quarter","")&amp;IF(AND($C124&lt;&gt;"",COUNTIF(UnitList,$C124)=0),", a unit that is not in your structure",""),3,300))</f>
        <v/>
      </c>
    </row>
    <row r="125" customFormat="false" ht="15" hidden="false" customHeight="false" outlineLevel="0" collapsed="false">
      <c r="A125" s="17" t="n">
        <v>120</v>
      </c>
      <c r="B125" s="21"/>
      <c r="C125" s="21"/>
      <c r="D125" s="21"/>
      <c r="E125" s="21"/>
      <c r="F125" s="21"/>
      <c r="G125" s="21"/>
      <c r="H125" s="21"/>
      <c r="I125" s="21"/>
      <c r="J125" s="21"/>
      <c r="K125" s="21"/>
      <c r="L125" s="24" t="str">
        <f aca="false">IF(OR($D125="",$I125="",$J125=""),"",IF($J125="Surrender to fund new asks",MATCH($I125,QuarterList,0)/4,IF($J125="Defer backfill",IF($K125="",MATCH($I125,QuarterList,0)/4,MIN(1,MATCH($I125,QuarterList,0)/4+(5-MATCH($K125,QuarterList,0))/4)),1)))</f>
        <v/>
      </c>
      <c r="M125" s="19" t="str">
        <f aca="false">IF($L125="","",IFERROR(INDEX(LevelBasic,MATCH($E125,LevelList,0))+INDEX(LevelHousing,MATCH($E125,LevelList,0))+INDEX(LevelTransport,MATCH($E125,LevelList,0))+INDEX(LevelBasic,MATCH($E125,LevelList,0))*INDEX(LevelBonus,MATCH($E125,LevelList,0))+(INDEX(LevelBasic,MATCH($E125,LevelList,0))+INDEX(LevelHousing,MATCH($E125,LevelList,0)))*GosiSaudi,0)*(1-$L125))</f>
        <v/>
      </c>
      <c r="N125" s="19" t="n">
        <f aca="false">IF($J125="Surrender to fund new asks",IFERROR(INDEX(LevelBasic,MATCH($E125,LevelList,0))+INDEX(LevelHousing,MATCH($E125,LevelList,0))+INDEX(LevelTransport,MATCH($E125,LevelList,0))+INDEX(LevelBasic,MATCH($E125,LevelList,0))*INDEX(LevelBonus,MATCH($E125,LevelList,0))+(INDEX(LevelBasic,MATCH($E125,LevelList,0))+INDEX(LevelHousing,MATCH($E125,LevelList,0)))*GosiSaudi,0),0)</f>
        <v>0</v>
      </c>
      <c r="O125" s="23" t="str">
        <f aca="false">IF($D125="","",MID(IF($C125="",", unit","")&amp;IF($E125="",", career level","")&amp;IF($H125="",", reason","")&amp;IF($I125="",", leaving quarter","")&amp;IF($J125="",", what happens to the seat","")&amp;IF(AND($J125="Defer backfill",$K125=""),", the backfill quarter","")&amp;IF(IFERROR(AND($K125&lt;&gt;"",$I125&lt;&gt;"",MATCH($K125,QuarterList,0)&lt;=MATCH($I125,QuarterList,0)),FALSE()),", a backfill quarter later than the leaving quarter","")&amp;IF(AND($C125&lt;&gt;"",COUNTIF(UnitList,$C125)=0),", a unit that is not in your structure",""),3,300))</f>
        <v/>
      </c>
    </row>
    <row r="127" customFormat="false" ht="25.5" hidden="false" customHeight="true" outlineLevel="0" collapsed="false">
      <c r="A127" s="11" t="s">
        <v>554</v>
      </c>
      <c r="B127" s="11"/>
      <c r="C127" s="11"/>
      <c r="D127" s="11"/>
      <c r="E127" s="11"/>
      <c r="F127" s="11"/>
      <c r="G127" s="11"/>
      <c r="H127" s="11"/>
      <c r="I127" s="11"/>
      <c r="J127" s="11"/>
      <c r="K127" s="11"/>
      <c r="L127" s="11"/>
      <c r="M127" s="11"/>
      <c r="N127" s="11"/>
      <c r="O127" s="11"/>
    </row>
  </sheetData>
  <sheetProtection sheet="true" sort="false" autoFilter="false"/>
  <autoFilter ref="A5:O125"/>
  <mergeCells count="2">
    <mergeCell ref="A2:J2"/>
    <mergeCell ref="A127:O127"/>
  </mergeCells>
  <conditionalFormatting sqref="J6:J125">
    <cfRule type="cellIs" priority="2" operator="equal" aboveAverage="0" equalAverage="0" bottom="0" percent="0" rank="0" text="" dxfId="0">
      <formula>"Surrender to fund new asks"</formula>
    </cfRule>
  </conditionalFormatting>
  <conditionalFormatting sqref="A6:O125">
    <cfRule type="expression" priority="3" aboveAverage="0" equalAverage="0" bottom="0" percent="0" rank="0" text="" dxfId="13">
      <formula>$O6&lt;&gt;""</formula>
    </cfRule>
  </conditionalFormatting>
  <dataValidations count="8">
    <dataValidation allowBlank="true" error="Pick a value from the list." errorStyle="stop" operator="between" showDropDown="false" showErrorMessage="true" showInputMessage="false" sqref="B6:B125" type="list">
      <formula1>DivisionList</formula1>
      <formula2>0</formula2>
    </dataValidation>
    <dataValidation allowBlank="true" error="Pick a value from the list." errorStyle="stop" operator="between" showDropDown="false" showErrorMessage="true" showInputMessage="false" sqref="C6:C125" type="list">
      <formula1>UnitList</formula1>
      <formula2>0</formula2>
    </dataValidation>
    <dataValidation allowBlank="true" error="Pick a value from the list." errorStyle="stop" operator="between" showDropDown="false" showErrorMessage="true" showInputMessage="false" sqref="E6:E125" type="list">
      <formula1>CareerLevels</formula1>
      <formula2>0</formula2>
    </dataValidation>
    <dataValidation allowBlank="true" error="Pick a value from the list." errorStyle="stop" operator="between" showDropDown="false" showErrorMessage="true" showInputMessage="false" sqref="F6:F125" type="list">
      <formula1>WorkerTypes</formula1>
      <formula2>0</formula2>
    </dataValidation>
    <dataValidation allowBlank="true" error="Pick a value from the list." errorStyle="stop" operator="between" showDropDown="false" showErrorMessage="true" showInputMessage="false" sqref="H6:H125" type="list">
      <formula1>LeavingReasons</formula1>
      <formula2>0</formula2>
    </dataValidation>
    <dataValidation allowBlank="true" error="Pick a value from the list." errorStyle="stop" operator="between" showDropDown="false" showErrorMessage="true" showInputMessage="false" sqref="I6:I125" type="list">
      <formula1>QuarterList</formula1>
      <formula2>0</formula2>
    </dataValidation>
    <dataValidation allowBlank="true" error="Pick a value from the list." errorStyle="stop" operator="between" showDropDown="false" showErrorMessage="true" showInputMessage="false" sqref="J6:J125" type="list">
      <formula1>DispositionList</formula1>
      <formula2>0</formula2>
    </dataValidation>
    <dataValidation allowBlank="true" error="Pick a value from the list." errorStyle="stop" operator="between" showDropDown="false" showErrorMessage="true" showInputMessage="false" sqref="K6:K125"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555</v>
      </c>
    </row>
    <row r="2" customFormat="false" ht="15" hidden="false" customHeight="false" outlineLevel="0" collapsed="false">
      <c r="A2" s="2" t="s">
        <v>556</v>
      </c>
      <c r="B2" s="2"/>
      <c r="C2" s="2"/>
      <c r="D2" s="2"/>
      <c r="E2" s="2"/>
      <c r="F2" s="2"/>
      <c r="G2" s="2"/>
      <c r="H2" s="2"/>
      <c r="I2" s="2"/>
      <c r="J2" s="2"/>
    </row>
    <row r="4" customFormat="false" ht="15" hidden="false" customHeight="false" outlineLevel="0" collapsed="false">
      <c r="L4" s="25" t="s">
        <v>557</v>
      </c>
      <c r="M4" s="25"/>
      <c r="N4" s="25"/>
      <c r="O4" s="25"/>
    </row>
    <row r="5" customFormat="false" ht="30" hidden="false" customHeight="true" outlineLevel="0" collapsed="false">
      <c r="A5" s="12" t="s">
        <v>545</v>
      </c>
      <c r="B5" s="12" t="s">
        <v>61</v>
      </c>
      <c r="C5" s="12" t="s">
        <v>64</v>
      </c>
      <c r="D5" s="12" t="s">
        <v>50</v>
      </c>
      <c r="E5" s="12" t="s">
        <v>375</v>
      </c>
      <c r="F5" s="12" t="s">
        <v>546</v>
      </c>
      <c r="G5" s="12" t="s">
        <v>18</v>
      </c>
      <c r="H5" s="12" t="s">
        <v>377</v>
      </c>
      <c r="I5" s="12" t="s">
        <v>379</v>
      </c>
      <c r="J5" s="12" t="s">
        <v>558</v>
      </c>
      <c r="K5" s="12" t="s">
        <v>559</v>
      </c>
      <c r="L5" s="12" t="s">
        <v>560</v>
      </c>
      <c r="M5" s="12" t="s">
        <v>561</v>
      </c>
      <c r="N5" s="12" t="s">
        <v>562</v>
      </c>
      <c r="O5" s="12" t="s">
        <v>563</v>
      </c>
      <c r="P5" s="12" t="s">
        <v>564</v>
      </c>
      <c r="Q5" s="12" t="s">
        <v>30</v>
      </c>
      <c r="R5" s="12" t="s">
        <v>32</v>
      </c>
      <c r="S5" s="12" t="s">
        <v>381</v>
      </c>
      <c r="T5" s="12" t="s">
        <v>565</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3">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566</v>
      </c>
    </row>
    <row r="2" customFormat="false" ht="15" hidden="false" customHeight="false" outlineLevel="0" collapsed="false">
      <c r="A2" s="2" t="s">
        <v>567</v>
      </c>
      <c r="B2" s="2"/>
      <c r="C2" s="2"/>
      <c r="D2" s="2"/>
      <c r="E2" s="2"/>
      <c r="F2" s="2"/>
      <c r="G2" s="2"/>
      <c r="H2" s="2"/>
      <c r="I2" s="2"/>
      <c r="J2" s="2"/>
    </row>
    <row r="4" customFormat="false" ht="15" hidden="false" customHeight="false" outlineLevel="0" collapsed="false">
      <c r="A4" s="3" t="s">
        <v>568</v>
      </c>
    </row>
    <row r="5" customFormat="false" ht="27.75" hidden="false" customHeight="true" outlineLevel="0" collapsed="false">
      <c r="A5" s="12" t="s">
        <v>61</v>
      </c>
      <c r="B5" s="12" t="s">
        <v>558</v>
      </c>
      <c r="C5" s="12" t="s">
        <v>569</v>
      </c>
      <c r="D5" s="12" t="s">
        <v>559</v>
      </c>
      <c r="E5" s="12" t="s">
        <v>570</v>
      </c>
      <c r="F5" s="12" t="s">
        <v>57</v>
      </c>
      <c r="G5" s="12"/>
    </row>
    <row r="6" customFormat="false" ht="15" hidden="false" customHeight="false" outlineLevel="0" collapsed="false">
      <c r="A6" s="9" t="s">
        <v>63</v>
      </c>
      <c r="B6" s="26" t="n">
        <f aca="false">SUMIFS(SeatApproved,SeatDivision,"Branch Network Division")</f>
        <v>110</v>
      </c>
      <c r="C6" s="26" t="n">
        <f aca="false">SUMIFS(SeatExits,SeatDivision,"Branch Network Division")</f>
        <v>0</v>
      </c>
      <c r="D6" s="26" t="n">
        <f aca="false">SUMIFS(AskTotal,AskDivision,"Branch Network Division")</f>
        <v>0</v>
      </c>
      <c r="E6" s="26" t="n">
        <f aca="false">$B6-$C6+$D6</f>
        <v>110</v>
      </c>
      <c r="F6" s="26" t="n">
        <f aca="false">$E6-$B6</f>
        <v>0</v>
      </c>
    </row>
    <row r="7" customFormat="false" ht="15" hidden="false" customHeight="false" outlineLevel="0" collapsed="false">
      <c r="A7" s="9" t="s">
        <v>158</v>
      </c>
      <c r="B7" s="26" t="n">
        <f aca="false">SUMIFS(SeatApproved,SeatDivision,"Customer Experience Division")</f>
        <v>72</v>
      </c>
      <c r="C7" s="26" t="n">
        <f aca="false">SUMIFS(SeatExits,SeatDivision,"Customer Experience Division")</f>
        <v>0</v>
      </c>
      <c r="D7" s="26" t="n">
        <f aca="false">SUMIFS(AskTotal,AskDivision,"Customer Experience Division")</f>
        <v>0</v>
      </c>
      <c r="E7" s="26" t="n">
        <f aca="false">$B7-$C7+$D7</f>
        <v>72</v>
      </c>
      <c r="F7" s="26" t="n">
        <f aca="false">$E7-$B7</f>
        <v>0</v>
      </c>
    </row>
    <row r="8" customFormat="false" ht="15" hidden="false" customHeight="false" outlineLevel="0" collapsed="false">
      <c r="A8" s="9" t="s">
        <v>220</v>
      </c>
      <c r="B8" s="26" t="n">
        <f aca="false">SUMIFS(SeatApproved,SeatDivision,"Products &amp; Cards Division")</f>
        <v>105</v>
      </c>
      <c r="C8" s="26" t="n">
        <f aca="false">SUMIFS(SeatExits,SeatDivision,"Products &amp; Cards Division")</f>
        <v>0</v>
      </c>
      <c r="D8" s="26" t="n">
        <f aca="false">SUMIFS(AskTotal,AskDivision,"Products &amp; Cards Division")</f>
        <v>0</v>
      </c>
      <c r="E8" s="26" t="n">
        <f aca="false">$B8-$C8+$D8</f>
        <v>105</v>
      </c>
      <c r="F8" s="26" t="n">
        <f aca="false">$E8-$B8</f>
        <v>0</v>
      </c>
    </row>
    <row r="9" customFormat="false" ht="15" hidden="false" customHeight="false" outlineLevel="0" collapsed="false">
      <c r="A9" s="9" t="s">
        <v>310</v>
      </c>
      <c r="B9" s="26" t="n">
        <f aca="false">SUMIFS(SeatApproved,SeatDivision,"Wealth &amp; Privilege Division")</f>
        <v>72</v>
      </c>
      <c r="C9" s="26" t="n">
        <f aca="false">SUMIFS(SeatExits,SeatDivision,"Wealth &amp; Privilege Division")</f>
        <v>0</v>
      </c>
      <c r="D9" s="26" t="n">
        <f aca="false">SUMIFS(AskTotal,AskDivision,"Wealth &amp; Privilege Division")</f>
        <v>0</v>
      </c>
      <c r="E9" s="26" t="n">
        <f aca="false">$B9-$C9+$D9</f>
        <v>72</v>
      </c>
      <c r="F9" s="26" t="n">
        <f aca="false">$E9-$B9</f>
        <v>0</v>
      </c>
    </row>
    <row r="10" customFormat="false" ht="15" hidden="false" customHeight="false" outlineLevel="0" collapsed="false">
      <c r="A10" s="9" t="s">
        <v>571</v>
      </c>
      <c r="B10" s="26" t="n">
        <f aca="false">SUMIFS(SeatApproved,SeatDivision,"")</f>
        <v>1</v>
      </c>
      <c r="C10" s="26" t="n">
        <f aca="false">SUMIFS(SeatExits,SeatDivision,"")</f>
        <v>0</v>
      </c>
      <c r="D10" s="26" t="n">
        <f aca="false">SUMIFS(AskTotal,AskDivision,"")</f>
        <v>0</v>
      </c>
      <c r="E10" s="26" t="n">
        <f aca="false">$B10-$C10+$D10</f>
        <v>1</v>
      </c>
      <c r="F10" s="26" t="n">
        <f aca="false">$E10-$B10</f>
        <v>0</v>
      </c>
    </row>
    <row r="11" customFormat="false" ht="15" hidden="false" customHeight="false" outlineLevel="0" collapsed="false">
      <c r="A11" s="27" t="s">
        <v>572</v>
      </c>
      <c r="B11" s="16" t="n">
        <f aca="false">SUM(B6:B10)</f>
        <v>360</v>
      </c>
      <c r="C11" s="16" t="n">
        <f aca="false">SUM(C6:C10)</f>
        <v>0</v>
      </c>
      <c r="D11" s="16" t="n">
        <f aca="false">SUM(D6:D10)</f>
        <v>0</v>
      </c>
      <c r="E11" s="16" t="n">
        <f aca="false">SUM(E6:E10)</f>
        <v>360</v>
      </c>
      <c r="F11" s="16" t="n">
        <f aca="false">SUM(F6:F10)</f>
        <v>0</v>
      </c>
    </row>
    <row r="13" customFormat="false" ht="15" hidden="false" customHeight="false" outlineLevel="0" collapsed="false">
      <c r="A13" s="3" t="s">
        <v>573</v>
      </c>
      <c r="G13" s="28" t="s">
        <v>574</v>
      </c>
    </row>
    <row r="14" customFormat="false" ht="27.75" hidden="false" customHeight="true" outlineLevel="0" collapsed="false">
      <c r="A14" s="12" t="s">
        <v>61</v>
      </c>
      <c r="B14" s="12" t="s">
        <v>558</v>
      </c>
      <c r="C14" s="12" t="s">
        <v>569</v>
      </c>
      <c r="D14" s="12" t="s">
        <v>559</v>
      </c>
      <c r="E14" s="12" t="s">
        <v>570</v>
      </c>
      <c r="F14" s="12" t="s">
        <v>57</v>
      </c>
      <c r="G14" s="12"/>
    </row>
    <row r="15" customFormat="false" ht="15" hidden="false" customHeight="false" outlineLevel="0" collapsed="false">
      <c r="A15" s="9" t="s">
        <v>63</v>
      </c>
      <c r="B15" s="29" t="n">
        <f aca="false">SUMIFS(SeatApproved,SeatDivision,"Branch Network Division",SeatLevel,INDEX(LevelList,1),SeatMandate,"Yes")*(INDEX(LevelBasic,1)+INDEX(LevelHousing,1)+INDEX(LevelTransport,1)+INDEX(LevelBasic,1)*INDEX(LevelBonus,1)+(INDEX(LevelBasic,1)+INDEX(LevelHousing,1))*GosiSaudi)+SUMIFS(SeatApproved,SeatDivision,"Branch Network Division",SeatLevel,INDEX(LevelList,1),SeatMandate,"No")*(INDEX(LevelBasic,1)+INDEX(LevelHousing,1)+INDEX(LevelTransport,1)+INDEX(LevelBasic,1)*INDEX(LevelBonus,1)+(INDEX(LevelBasic,1)+INDEX(LevelHousing,1))*GosiOther)+SUMIFS(SeatApproved,SeatDivision,"Branch Network Division",SeatLevel,INDEX(LevelList,2),SeatMandate,"Yes")*(INDEX(LevelBasic,2)+INDEX(LevelHousing,2)+INDEX(LevelTransport,2)+INDEX(LevelBasic,2)*INDEX(LevelBonus,2)+(INDEX(LevelBasic,2)+INDEX(LevelHousing,2))*GosiSaudi)+SUMIFS(SeatApproved,SeatDivision,"Branch Network Division",SeatLevel,INDEX(LevelList,2),SeatMandate,"No")*(INDEX(LevelBasic,2)+INDEX(LevelHousing,2)+INDEX(LevelTransport,2)+INDEX(LevelBasic,2)*INDEX(LevelBonus,2)+(INDEX(LevelBasic,2)+INDEX(LevelHousing,2))*GosiOther)+SUMIFS(SeatApproved,SeatDivision,"Branch Network Division",SeatLevel,INDEX(LevelList,3),SeatMandate,"Yes")*(INDEX(LevelBasic,3)+INDEX(LevelHousing,3)+INDEX(LevelTransport,3)+INDEX(LevelBasic,3)*INDEX(LevelBonus,3)+(INDEX(LevelBasic,3)+INDEX(LevelHousing,3))*GosiSaudi)+SUMIFS(SeatApproved,SeatDivision,"Branch Network Division",SeatLevel,INDEX(LevelList,3),SeatMandate,"No")*(INDEX(LevelBasic,3)+INDEX(LevelHousing,3)+INDEX(LevelTransport,3)+INDEX(LevelBasic,3)*INDEX(LevelBonus,3)+(INDEX(LevelBasic,3)+INDEX(LevelHousing,3))*GosiOther)+SUMIFS(SeatApproved,SeatDivision,"Branch Network Division",SeatLevel,INDEX(LevelList,4),SeatMandate,"Yes")*(INDEX(LevelBasic,4)+INDEX(LevelHousing,4)+INDEX(LevelTransport,4)+INDEX(LevelBasic,4)*INDEX(LevelBonus,4)+(INDEX(LevelBasic,4)+INDEX(LevelHousing,4))*GosiSaudi)+SUMIFS(SeatApproved,SeatDivision,"Branch Network Division",SeatLevel,INDEX(LevelList,4),SeatMandate,"No")*(INDEX(LevelBasic,4)+INDEX(LevelHousing,4)+INDEX(LevelTransport,4)+INDEX(LevelBasic,4)*INDEX(LevelBonus,4)+(INDEX(LevelBasic,4)+INDEX(LevelHousing,4))*GosiOther)+SUMIFS(SeatApproved,SeatDivision,"Branch Network Division",SeatLevel,INDEX(LevelList,5),SeatMandate,"Yes")*(INDEX(LevelBasic,5)+INDEX(LevelHousing,5)+INDEX(LevelTransport,5)+INDEX(LevelBasic,5)*INDEX(LevelBonus,5)+(INDEX(LevelBasic,5)+INDEX(LevelHousing,5))*GosiSaudi)+SUMIFS(SeatApproved,SeatDivision,"Branch Network Division",SeatLevel,INDEX(LevelList,5),SeatMandate,"No")*(INDEX(LevelBasic,5)+INDEX(LevelHousing,5)+INDEX(LevelTransport,5)+INDEX(LevelBasic,5)*INDEX(LevelBonus,5)+(INDEX(LevelBasic,5)+INDEX(LevelHousing,5))*GosiOther)+SUMIFS(SeatApproved,SeatDivision,"Branch Network Division",SeatLevel,INDEX(LevelList,6),SeatMandate,"Yes")*(INDEX(LevelBasic,6)+INDEX(LevelHousing,6)+INDEX(LevelTransport,6)+INDEX(LevelBasic,6)*INDEX(LevelBonus,6)+(INDEX(LevelBasic,6)+INDEX(LevelHousing,6))*GosiSaudi)+SUMIFS(SeatApproved,SeatDivision,"Branch Network Division",SeatLevel,INDEX(LevelList,6),SeatMandate,"No")*(INDEX(LevelBasic,6)+INDEX(LevelHousing,6)+INDEX(LevelTransport,6)+INDEX(LevelBasic,6)*INDEX(LevelBonus,6)+(INDEX(LevelBasic,6)+INDEX(LevelHousing,6))*GosiOther)</f>
        <v>0</v>
      </c>
      <c r="C15" s="29" t="n">
        <f aca="false">SUMIFS(SeatExits,SeatDivision,"Branch Network Division",SeatLevel,INDEX(LevelList,1),SeatMandate,"Yes")*(INDEX(LevelBasic,1)+INDEX(LevelHousing,1)+INDEX(LevelTransport,1)+INDEX(LevelBasic,1)*INDEX(LevelBonus,1)+(INDEX(LevelBasic,1)+INDEX(LevelHousing,1))*GosiSaudi)+SUMIFS(SeatExits,SeatDivision,"Branch Network Division",SeatLevel,INDEX(LevelList,1),SeatMandate,"No")*(INDEX(LevelBasic,1)+INDEX(LevelHousing,1)+INDEX(LevelTransport,1)+INDEX(LevelBasic,1)*INDEX(LevelBonus,1)+(INDEX(LevelBasic,1)+INDEX(LevelHousing,1))*GosiOther)+SUMIFS(SeatExits,SeatDivision,"Branch Network Division",SeatLevel,INDEX(LevelList,2),SeatMandate,"Yes")*(INDEX(LevelBasic,2)+INDEX(LevelHousing,2)+INDEX(LevelTransport,2)+INDEX(LevelBasic,2)*INDEX(LevelBonus,2)+(INDEX(LevelBasic,2)+INDEX(LevelHousing,2))*GosiSaudi)+SUMIFS(SeatExits,SeatDivision,"Branch Network Division",SeatLevel,INDEX(LevelList,2),SeatMandate,"No")*(INDEX(LevelBasic,2)+INDEX(LevelHousing,2)+INDEX(LevelTransport,2)+INDEX(LevelBasic,2)*INDEX(LevelBonus,2)+(INDEX(LevelBasic,2)+INDEX(LevelHousing,2))*GosiOther)+SUMIFS(SeatExits,SeatDivision,"Branch Network Division",SeatLevel,INDEX(LevelList,3),SeatMandate,"Yes")*(INDEX(LevelBasic,3)+INDEX(LevelHousing,3)+INDEX(LevelTransport,3)+INDEX(LevelBasic,3)*INDEX(LevelBonus,3)+(INDEX(LevelBasic,3)+INDEX(LevelHousing,3))*GosiSaudi)+SUMIFS(SeatExits,SeatDivision,"Branch Network Division",SeatLevel,INDEX(LevelList,3),SeatMandate,"No")*(INDEX(LevelBasic,3)+INDEX(LevelHousing,3)+INDEX(LevelTransport,3)+INDEX(LevelBasic,3)*INDEX(LevelBonus,3)+(INDEX(LevelBasic,3)+INDEX(LevelHousing,3))*GosiOther)+SUMIFS(SeatExits,SeatDivision,"Branch Network Division",SeatLevel,INDEX(LevelList,4),SeatMandate,"Yes")*(INDEX(LevelBasic,4)+INDEX(LevelHousing,4)+INDEX(LevelTransport,4)+INDEX(LevelBasic,4)*INDEX(LevelBonus,4)+(INDEX(LevelBasic,4)+INDEX(LevelHousing,4))*GosiSaudi)+SUMIFS(SeatExits,SeatDivision,"Branch Network Division",SeatLevel,INDEX(LevelList,4),SeatMandate,"No")*(INDEX(LevelBasic,4)+INDEX(LevelHousing,4)+INDEX(LevelTransport,4)+INDEX(LevelBasic,4)*INDEX(LevelBonus,4)+(INDEX(LevelBasic,4)+INDEX(LevelHousing,4))*GosiOther)+SUMIFS(SeatExits,SeatDivision,"Branch Network Division",SeatLevel,INDEX(LevelList,5),SeatMandate,"Yes")*(INDEX(LevelBasic,5)+INDEX(LevelHousing,5)+INDEX(LevelTransport,5)+INDEX(LevelBasic,5)*INDEX(LevelBonus,5)+(INDEX(LevelBasic,5)+INDEX(LevelHousing,5))*GosiSaudi)+SUMIFS(SeatExits,SeatDivision,"Branch Network Division",SeatLevel,INDEX(LevelList,5),SeatMandate,"No")*(INDEX(LevelBasic,5)+INDEX(LevelHousing,5)+INDEX(LevelTransport,5)+INDEX(LevelBasic,5)*INDEX(LevelBonus,5)+(INDEX(LevelBasic,5)+INDEX(LevelHousing,5))*GosiOther)+SUMIFS(SeatExits,SeatDivision,"Branch Network Division",SeatLevel,INDEX(LevelList,6),SeatMandate,"Yes")*(INDEX(LevelBasic,6)+INDEX(LevelHousing,6)+INDEX(LevelTransport,6)+INDEX(LevelBasic,6)*INDEX(LevelBonus,6)+(INDEX(LevelBasic,6)+INDEX(LevelHousing,6))*GosiSaudi)+SUMIFS(SeatExits,SeatDivision,"Branch Network Division",SeatLevel,INDEX(LevelList,6),SeatMandate,"No")*(INDEX(LevelBasic,6)+INDEX(LevelHousing,6)+INDEX(LevelTransport,6)+INDEX(LevelBasic,6)*INDEX(LevelBonus,6)+(INDEX(LevelBasic,6)+INDEX(LevelHousing,6))*GosiOther)</f>
        <v>0</v>
      </c>
      <c r="D15" s="29" t="n">
        <f aca="false">SUMIFS(AskTotal,AskDivision,"Branch Network Division",AskLevel,INDEX(LevelList,1))*(INDEX(LevelBasic,1)+INDEX(LevelHousing,1)+INDEX(LevelTransport,1)+INDEX(LevelBasic,1)*INDEX(LevelBonus,1)+(INDEX(LevelBasic,1)+INDEX(LevelHousing,1))*GosiSaudi)+SUMIFS(AskTotal,AskDivision,"Branch Network Division",AskLevel,INDEX(LevelList,2))*(INDEX(LevelBasic,2)+INDEX(LevelHousing,2)+INDEX(LevelTransport,2)+INDEX(LevelBasic,2)*INDEX(LevelBonus,2)+(INDEX(LevelBasic,2)+INDEX(LevelHousing,2))*GosiSaudi)+SUMIFS(AskTotal,AskDivision,"Branch Network Division",AskLevel,INDEX(LevelList,3))*(INDEX(LevelBasic,3)+INDEX(LevelHousing,3)+INDEX(LevelTransport,3)+INDEX(LevelBasic,3)*INDEX(LevelBonus,3)+(INDEX(LevelBasic,3)+INDEX(LevelHousing,3))*GosiSaudi)+SUMIFS(AskTotal,AskDivision,"Branch Network Division",AskLevel,INDEX(LevelList,4))*(INDEX(LevelBasic,4)+INDEX(LevelHousing,4)+INDEX(LevelTransport,4)+INDEX(LevelBasic,4)*INDEX(LevelBonus,4)+(INDEX(LevelBasic,4)+INDEX(LevelHousing,4))*GosiSaudi)+SUMIFS(AskTotal,AskDivision,"Branch Network Division",AskLevel,INDEX(LevelList,5))*(INDEX(LevelBasic,5)+INDEX(LevelHousing,5)+INDEX(LevelTransport,5)+INDEX(LevelBasic,5)*INDEX(LevelBonus,5)+(INDEX(LevelBasic,5)+INDEX(LevelHousing,5))*GosiSaudi)+SUMIFS(AskTotal,AskDivision,"Branch Network Division",AskLevel,INDEX(LevelList,6))*(INDEX(LevelBasic,6)+INDEX(LevelHousing,6)+INDEX(LevelTransport,6)+INDEX(LevelBasic,6)*INDEX(LevelBonus,6)+(INDEX(LevelBasic,6)+INDEX(LevelHousing,6))*GosiSaudi)</f>
        <v>0</v>
      </c>
      <c r="E15" s="29" t="n">
        <f aca="false">$B15-$C15+$D15</f>
        <v>0</v>
      </c>
      <c r="F15" s="29" t="n">
        <f aca="false">$E15-$B15</f>
        <v>0</v>
      </c>
    </row>
    <row r="16" customFormat="false" ht="15" hidden="false" customHeight="false" outlineLevel="0" collapsed="false">
      <c r="A16" s="9" t="s">
        <v>158</v>
      </c>
      <c r="B16" s="29" t="n">
        <f aca="false">SUMIFS(SeatApproved,SeatDivision,"Customer Experience Division",SeatLevel,INDEX(LevelList,1),SeatMandate,"Yes")*(INDEX(LevelBasic,1)+INDEX(LevelHousing,1)+INDEX(LevelTransport,1)+INDEX(LevelBasic,1)*INDEX(LevelBonus,1)+(INDEX(LevelBasic,1)+INDEX(LevelHousing,1))*GosiSaudi)+SUMIFS(SeatApproved,SeatDivision,"Customer Experience Division",SeatLevel,INDEX(LevelList,1),SeatMandate,"No")*(INDEX(LevelBasic,1)+INDEX(LevelHousing,1)+INDEX(LevelTransport,1)+INDEX(LevelBasic,1)*INDEX(LevelBonus,1)+(INDEX(LevelBasic,1)+INDEX(LevelHousing,1))*GosiOther)+SUMIFS(SeatApproved,SeatDivision,"Customer Experience Division",SeatLevel,INDEX(LevelList,2),SeatMandate,"Yes")*(INDEX(LevelBasic,2)+INDEX(LevelHousing,2)+INDEX(LevelTransport,2)+INDEX(LevelBasic,2)*INDEX(LevelBonus,2)+(INDEX(LevelBasic,2)+INDEX(LevelHousing,2))*GosiSaudi)+SUMIFS(SeatApproved,SeatDivision,"Customer Experience Division",SeatLevel,INDEX(LevelList,2),SeatMandate,"No")*(INDEX(LevelBasic,2)+INDEX(LevelHousing,2)+INDEX(LevelTransport,2)+INDEX(LevelBasic,2)*INDEX(LevelBonus,2)+(INDEX(LevelBasic,2)+INDEX(LevelHousing,2))*GosiOther)+SUMIFS(SeatApproved,SeatDivision,"Customer Experience Division",SeatLevel,INDEX(LevelList,3),SeatMandate,"Yes")*(INDEX(LevelBasic,3)+INDEX(LevelHousing,3)+INDEX(LevelTransport,3)+INDEX(LevelBasic,3)*INDEX(LevelBonus,3)+(INDEX(LevelBasic,3)+INDEX(LevelHousing,3))*GosiSaudi)+SUMIFS(SeatApproved,SeatDivision,"Customer Experience Division",SeatLevel,INDEX(LevelList,3),SeatMandate,"No")*(INDEX(LevelBasic,3)+INDEX(LevelHousing,3)+INDEX(LevelTransport,3)+INDEX(LevelBasic,3)*INDEX(LevelBonus,3)+(INDEX(LevelBasic,3)+INDEX(LevelHousing,3))*GosiOther)+SUMIFS(SeatApproved,SeatDivision,"Customer Experience Division",SeatLevel,INDEX(LevelList,4),SeatMandate,"Yes")*(INDEX(LevelBasic,4)+INDEX(LevelHousing,4)+INDEX(LevelTransport,4)+INDEX(LevelBasic,4)*INDEX(LevelBonus,4)+(INDEX(LevelBasic,4)+INDEX(LevelHousing,4))*GosiSaudi)+SUMIFS(SeatApproved,SeatDivision,"Customer Experience Division",SeatLevel,INDEX(LevelList,4),SeatMandate,"No")*(INDEX(LevelBasic,4)+INDEX(LevelHousing,4)+INDEX(LevelTransport,4)+INDEX(LevelBasic,4)*INDEX(LevelBonus,4)+(INDEX(LevelBasic,4)+INDEX(LevelHousing,4))*GosiOther)+SUMIFS(SeatApproved,SeatDivision,"Customer Experience Division",SeatLevel,INDEX(LevelList,5),SeatMandate,"Yes")*(INDEX(LevelBasic,5)+INDEX(LevelHousing,5)+INDEX(LevelTransport,5)+INDEX(LevelBasic,5)*INDEX(LevelBonus,5)+(INDEX(LevelBasic,5)+INDEX(LevelHousing,5))*GosiSaudi)+SUMIFS(SeatApproved,SeatDivision,"Customer Experience Division",SeatLevel,INDEX(LevelList,5),SeatMandate,"No")*(INDEX(LevelBasic,5)+INDEX(LevelHousing,5)+INDEX(LevelTransport,5)+INDEX(LevelBasic,5)*INDEX(LevelBonus,5)+(INDEX(LevelBasic,5)+INDEX(LevelHousing,5))*GosiOther)+SUMIFS(SeatApproved,SeatDivision,"Customer Experience Division",SeatLevel,INDEX(LevelList,6),SeatMandate,"Yes")*(INDEX(LevelBasic,6)+INDEX(LevelHousing,6)+INDEX(LevelTransport,6)+INDEX(LevelBasic,6)*INDEX(LevelBonus,6)+(INDEX(LevelBasic,6)+INDEX(LevelHousing,6))*GosiSaudi)+SUMIFS(SeatApproved,SeatDivision,"Customer Experience Division",SeatLevel,INDEX(LevelList,6),SeatMandate,"No")*(INDEX(LevelBasic,6)+INDEX(LevelHousing,6)+INDEX(LevelTransport,6)+INDEX(LevelBasic,6)*INDEX(LevelBonus,6)+(INDEX(LevelBasic,6)+INDEX(LevelHousing,6))*GosiOther)</f>
        <v>0</v>
      </c>
      <c r="C16" s="29" t="n">
        <f aca="false">SUMIFS(SeatExits,SeatDivision,"Customer Experience Division",SeatLevel,INDEX(LevelList,1),SeatMandate,"Yes")*(INDEX(LevelBasic,1)+INDEX(LevelHousing,1)+INDEX(LevelTransport,1)+INDEX(LevelBasic,1)*INDEX(LevelBonus,1)+(INDEX(LevelBasic,1)+INDEX(LevelHousing,1))*GosiSaudi)+SUMIFS(SeatExits,SeatDivision,"Customer Experience Division",SeatLevel,INDEX(LevelList,1),SeatMandate,"No")*(INDEX(LevelBasic,1)+INDEX(LevelHousing,1)+INDEX(LevelTransport,1)+INDEX(LevelBasic,1)*INDEX(LevelBonus,1)+(INDEX(LevelBasic,1)+INDEX(LevelHousing,1))*GosiOther)+SUMIFS(SeatExits,SeatDivision,"Customer Experience Division",SeatLevel,INDEX(LevelList,2),SeatMandate,"Yes")*(INDEX(LevelBasic,2)+INDEX(LevelHousing,2)+INDEX(LevelTransport,2)+INDEX(LevelBasic,2)*INDEX(LevelBonus,2)+(INDEX(LevelBasic,2)+INDEX(LevelHousing,2))*GosiSaudi)+SUMIFS(SeatExits,SeatDivision,"Customer Experience Division",SeatLevel,INDEX(LevelList,2),SeatMandate,"No")*(INDEX(LevelBasic,2)+INDEX(LevelHousing,2)+INDEX(LevelTransport,2)+INDEX(LevelBasic,2)*INDEX(LevelBonus,2)+(INDEX(LevelBasic,2)+INDEX(LevelHousing,2))*GosiOther)+SUMIFS(SeatExits,SeatDivision,"Customer Experience Division",SeatLevel,INDEX(LevelList,3),SeatMandate,"Yes")*(INDEX(LevelBasic,3)+INDEX(LevelHousing,3)+INDEX(LevelTransport,3)+INDEX(LevelBasic,3)*INDEX(LevelBonus,3)+(INDEX(LevelBasic,3)+INDEX(LevelHousing,3))*GosiSaudi)+SUMIFS(SeatExits,SeatDivision,"Customer Experience Division",SeatLevel,INDEX(LevelList,3),SeatMandate,"No")*(INDEX(LevelBasic,3)+INDEX(LevelHousing,3)+INDEX(LevelTransport,3)+INDEX(LevelBasic,3)*INDEX(LevelBonus,3)+(INDEX(LevelBasic,3)+INDEX(LevelHousing,3))*GosiOther)+SUMIFS(SeatExits,SeatDivision,"Customer Experience Division",SeatLevel,INDEX(LevelList,4),SeatMandate,"Yes")*(INDEX(LevelBasic,4)+INDEX(LevelHousing,4)+INDEX(LevelTransport,4)+INDEX(LevelBasic,4)*INDEX(LevelBonus,4)+(INDEX(LevelBasic,4)+INDEX(LevelHousing,4))*GosiSaudi)+SUMIFS(SeatExits,SeatDivision,"Customer Experience Division",SeatLevel,INDEX(LevelList,4),SeatMandate,"No")*(INDEX(LevelBasic,4)+INDEX(LevelHousing,4)+INDEX(LevelTransport,4)+INDEX(LevelBasic,4)*INDEX(LevelBonus,4)+(INDEX(LevelBasic,4)+INDEX(LevelHousing,4))*GosiOther)+SUMIFS(SeatExits,SeatDivision,"Customer Experience Division",SeatLevel,INDEX(LevelList,5),SeatMandate,"Yes")*(INDEX(LevelBasic,5)+INDEX(LevelHousing,5)+INDEX(LevelTransport,5)+INDEX(LevelBasic,5)*INDEX(LevelBonus,5)+(INDEX(LevelBasic,5)+INDEX(LevelHousing,5))*GosiSaudi)+SUMIFS(SeatExits,SeatDivision,"Customer Experience Division",SeatLevel,INDEX(LevelList,5),SeatMandate,"No")*(INDEX(LevelBasic,5)+INDEX(LevelHousing,5)+INDEX(LevelTransport,5)+INDEX(LevelBasic,5)*INDEX(LevelBonus,5)+(INDEX(LevelBasic,5)+INDEX(LevelHousing,5))*GosiOther)+SUMIFS(SeatExits,SeatDivision,"Customer Experience Division",SeatLevel,INDEX(LevelList,6),SeatMandate,"Yes")*(INDEX(LevelBasic,6)+INDEX(LevelHousing,6)+INDEX(LevelTransport,6)+INDEX(LevelBasic,6)*INDEX(LevelBonus,6)+(INDEX(LevelBasic,6)+INDEX(LevelHousing,6))*GosiSaudi)+SUMIFS(SeatExits,SeatDivision,"Customer Experience Division",SeatLevel,INDEX(LevelList,6),SeatMandate,"No")*(INDEX(LevelBasic,6)+INDEX(LevelHousing,6)+INDEX(LevelTransport,6)+INDEX(LevelBasic,6)*INDEX(LevelBonus,6)+(INDEX(LevelBasic,6)+INDEX(LevelHousing,6))*GosiOther)</f>
        <v>0</v>
      </c>
      <c r="D16" s="29" t="n">
        <f aca="false">SUMIFS(AskTotal,AskDivision,"Customer Experience Division",AskLevel,INDEX(LevelList,1))*(INDEX(LevelBasic,1)+INDEX(LevelHousing,1)+INDEX(LevelTransport,1)+INDEX(LevelBasic,1)*INDEX(LevelBonus,1)+(INDEX(LevelBasic,1)+INDEX(LevelHousing,1))*GosiSaudi)+SUMIFS(AskTotal,AskDivision,"Customer Experience Division",AskLevel,INDEX(LevelList,2))*(INDEX(LevelBasic,2)+INDEX(LevelHousing,2)+INDEX(LevelTransport,2)+INDEX(LevelBasic,2)*INDEX(LevelBonus,2)+(INDEX(LevelBasic,2)+INDEX(LevelHousing,2))*GosiSaudi)+SUMIFS(AskTotal,AskDivision,"Customer Experience Division",AskLevel,INDEX(LevelList,3))*(INDEX(LevelBasic,3)+INDEX(LevelHousing,3)+INDEX(LevelTransport,3)+INDEX(LevelBasic,3)*INDEX(LevelBonus,3)+(INDEX(LevelBasic,3)+INDEX(LevelHousing,3))*GosiSaudi)+SUMIFS(AskTotal,AskDivision,"Customer Experience Division",AskLevel,INDEX(LevelList,4))*(INDEX(LevelBasic,4)+INDEX(LevelHousing,4)+INDEX(LevelTransport,4)+INDEX(LevelBasic,4)*INDEX(LevelBonus,4)+(INDEX(LevelBasic,4)+INDEX(LevelHousing,4))*GosiSaudi)+SUMIFS(AskTotal,AskDivision,"Customer Experience Division",AskLevel,INDEX(LevelList,5))*(INDEX(LevelBasic,5)+INDEX(LevelHousing,5)+INDEX(LevelTransport,5)+INDEX(LevelBasic,5)*INDEX(LevelBonus,5)+(INDEX(LevelBasic,5)+INDEX(LevelHousing,5))*GosiSaudi)+SUMIFS(AskTotal,AskDivision,"Customer Experience Division",AskLevel,INDEX(LevelList,6))*(INDEX(LevelBasic,6)+INDEX(LevelHousing,6)+INDEX(LevelTransport,6)+INDEX(LevelBasic,6)*INDEX(LevelBonus,6)+(INDEX(LevelBasic,6)+INDEX(LevelHousing,6))*GosiSaudi)</f>
        <v>0</v>
      </c>
      <c r="E16" s="29" t="n">
        <f aca="false">$B16-$C16+$D16</f>
        <v>0</v>
      </c>
      <c r="F16" s="29" t="n">
        <f aca="false">$E16-$B16</f>
        <v>0</v>
      </c>
    </row>
    <row r="17" customFormat="false" ht="15" hidden="false" customHeight="false" outlineLevel="0" collapsed="false">
      <c r="A17" s="9" t="s">
        <v>220</v>
      </c>
      <c r="B17" s="29" t="n">
        <f aca="false">SUMIFS(SeatApproved,SeatDivision,"Products &amp; Cards Division",SeatLevel,INDEX(LevelList,1),SeatMandate,"Yes")*(INDEX(LevelBasic,1)+INDEX(LevelHousing,1)+INDEX(LevelTransport,1)+INDEX(LevelBasic,1)*INDEX(LevelBonus,1)+(INDEX(LevelBasic,1)+INDEX(LevelHousing,1))*GosiSaudi)+SUMIFS(SeatApproved,SeatDivision,"Products &amp; Cards Division",SeatLevel,INDEX(LevelList,1),SeatMandate,"No")*(INDEX(LevelBasic,1)+INDEX(LevelHousing,1)+INDEX(LevelTransport,1)+INDEX(LevelBasic,1)*INDEX(LevelBonus,1)+(INDEX(LevelBasic,1)+INDEX(LevelHousing,1))*GosiOther)+SUMIFS(SeatApproved,SeatDivision,"Products &amp; Cards Division",SeatLevel,INDEX(LevelList,2),SeatMandate,"Yes")*(INDEX(LevelBasic,2)+INDEX(LevelHousing,2)+INDEX(LevelTransport,2)+INDEX(LevelBasic,2)*INDEX(LevelBonus,2)+(INDEX(LevelBasic,2)+INDEX(LevelHousing,2))*GosiSaudi)+SUMIFS(SeatApproved,SeatDivision,"Products &amp; Cards Division",SeatLevel,INDEX(LevelList,2),SeatMandate,"No")*(INDEX(LevelBasic,2)+INDEX(LevelHousing,2)+INDEX(LevelTransport,2)+INDEX(LevelBasic,2)*INDEX(LevelBonus,2)+(INDEX(LevelBasic,2)+INDEX(LevelHousing,2))*GosiOther)+SUMIFS(SeatApproved,SeatDivision,"Products &amp; Cards Division",SeatLevel,INDEX(LevelList,3),SeatMandate,"Yes")*(INDEX(LevelBasic,3)+INDEX(LevelHousing,3)+INDEX(LevelTransport,3)+INDEX(LevelBasic,3)*INDEX(LevelBonus,3)+(INDEX(LevelBasic,3)+INDEX(LevelHousing,3))*GosiSaudi)+SUMIFS(SeatApproved,SeatDivision,"Products &amp; Cards Division",SeatLevel,INDEX(LevelList,3),SeatMandate,"No")*(INDEX(LevelBasic,3)+INDEX(LevelHousing,3)+INDEX(LevelTransport,3)+INDEX(LevelBasic,3)*INDEX(LevelBonus,3)+(INDEX(LevelBasic,3)+INDEX(LevelHousing,3))*GosiOther)+SUMIFS(SeatApproved,SeatDivision,"Products &amp; Cards Division",SeatLevel,INDEX(LevelList,4),SeatMandate,"Yes")*(INDEX(LevelBasic,4)+INDEX(LevelHousing,4)+INDEX(LevelTransport,4)+INDEX(LevelBasic,4)*INDEX(LevelBonus,4)+(INDEX(LevelBasic,4)+INDEX(LevelHousing,4))*GosiSaudi)+SUMIFS(SeatApproved,SeatDivision,"Products &amp; Cards Division",SeatLevel,INDEX(LevelList,4),SeatMandate,"No")*(INDEX(LevelBasic,4)+INDEX(LevelHousing,4)+INDEX(LevelTransport,4)+INDEX(LevelBasic,4)*INDEX(LevelBonus,4)+(INDEX(LevelBasic,4)+INDEX(LevelHousing,4))*GosiOther)+SUMIFS(SeatApproved,SeatDivision,"Products &amp; Cards Division",SeatLevel,INDEX(LevelList,5),SeatMandate,"Yes")*(INDEX(LevelBasic,5)+INDEX(LevelHousing,5)+INDEX(LevelTransport,5)+INDEX(LevelBasic,5)*INDEX(LevelBonus,5)+(INDEX(LevelBasic,5)+INDEX(LevelHousing,5))*GosiSaudi)+SUMIFS(SeatApproved,SeatDivision,"Products &amp; Cards Division",SeatLevel,INDEX(LevelList,5),SeatMandate,"No")*(INDEX(LevelBasic,5)+INDEX(LevelHousing,5)+INDEX(LevelTransport,5)+INDEX(LevelBasic,5)*INDEX(LevelBonus,5)+(INDEX(LevelBasic,5)+INDEX(LevelHousing,5))*GosiOther)+SUMIFS(SeatApproved,SeatDivision,"Products &amp; Cards Division",SeatLevel,INDEX(LevelList,6),SeatMandate,"Yes")*(INDEX(LevelBasic,6)+INDEX(LevelHousing,6)+INDEX(LevelTransport,6)+INDEX(LevelBasic,6)*INDEX(LevelBonus,6)+(INDEX(LevelBasic,6)+INDEX(LevelHousing,6))*GosiSaudi)+SUMIFS(SeatApproved,SeatDivision,"Products &amp; Cards Division",SeatLevel,INDEX(LevelList,6),SeatMandate,"No")*(INDEX(LevelBasic,6)+INDEX(LevelHousing,6)+INDEX(LevelTransport,6)+INDEX(LevelBasic,6)*INDEX(LevelBonus,6)+(INDEX(LevelBasic,6)+INDEX(LevelHousing,6))*GosiOther)</f>
        <v>0</v>
      </c>
      <c r="C17" s="29" t="n">
        <f aca="false">SUMIFS(SeatExits,SeatDivision,"Products &amp; Cards Division",SeatLevel,INDEX(LevelList,1),SeatMandate,"Yes")*(INDEX(LevelBasic,1)+INDEX(LevelHousing,1)+INDEX(LevelTransport,1)+INDEX(LevelBasic,1)*INDEX(LevelBonus,1)+(INDEX(LevelBasic,1)+INDEX(LevelHousing,1))*GosiSaudi)+SUMIFS(SeatExits,SeatDivision,"Products &amp; Cards Division",SeatLevel,INDEX(LevelList,1),SeatMandate,"No")*(INDEX(LevelBasic,1)+INDEX(LevelHousing,1)+INDEX(LevelTransport,1)+INDEX(LevelBasic,1)*INDEX(LevelBonus,1)+(INDEX(LevelBasic,1)+INDEX(LevelHousing,1))*GosiOther)+SUMIFS(SeatExits,SeatDivision,"Products &amp; Cards Division",SeatLevel,INDEX(LevelList,2),SeatMandate,"Yes")*(INDEX(LevelBasic,2)+INDEX(LevelHousing,2)+INDEX(LevelTransport,2)+INDEX(LevelBasic,2)*INDEX(LevelBonus,2)+(INDEX(LevelBasic,2)+INDEX(LevelHousing,2))*GosiSaudi)+SUMIFS(SeatExits,SeatDivision,"Products &amp; Cards Division",SeatLevel,INDEX(LevelList,2),SeatMandate,"No")*(INDEX(LevelBasic,2)+INDEX(LevelHousing,2)+INDEX(LevelTransport,2)+INDEX(LevelBasic,2)*INDEX(LevelBonus,2)+(INDEX(LevelBasic,2)+INDEX(LevelHousing,2))*GosiOther)+SUMIFS(SeatExits,SeatDivision,"Products &amp; Cards Division",SeatLevel,INDEX(LevelList,3),SeatMandate,"Yes")*(INDEX(LevelBasic,3)+INDEX(LevelHousing,3)+INDEX(LevelTransport,3)+INDEX(LevelBasic,3)*INDEX(LevelBonus,3)+(INDEX(LevelBasic,3)+INDEX(LevelHousing,3))*GosiSaudi)+SUMIFS(SeatExits,SeatDivision,"Products &amp; Cards Division",SeatLevel,INDEX(LevelList,3),SeatMandate,"No")*(INDEX(LevelBasic,3)+INDEX(LevelHousing,3)+INDEX(LevelTransport,3)+INDEX(LevelBasic,3)*INDEX(LevelBonus,3)+(INDEX(LevelBasic,3)+INDEX(LevelHousing,3))*GosiOther)+SUMIFS(SeatExits,SeatDivision,"Products &amp; Cards Division",SeatLevel,INDEX(LevelList,4),SeatMandate,"Yes")*(INDEX(LevelBasic,4)+INDEX(LevelHousing,4)+INDEX(LevelTransport,4)+INDEX(LevelBasic,4)*INDEX(LevelBonus,4)+(INDEX(LevelBasic,4)+INDEX(LevelHousing,4))*GosiSaudi)+SUMIFS(SeatExits,SeatDivision,"Products &amp; Cards Division",SeatLevel,INDEX(LevelList,4),SeatMandate,"No")*(INDEX(LevelBasic,4)+INDEX(LevelHousing,4)+INDEX(LevelTransport,4)+INDEX(LevelBasic,4)*INDEX(LevelBonus,4)+(INDEX(LevelBasic,4)+INDEX(LevelHousing,4))*GosiOther)+SUMIFS(SeatExits,SeatDivision,"Products &amp; Cards Division",SeatLevel,INDEX(LevelList,5),SeatMandate,"Yes")*(INDEX(LevelBasic,5)+INDEX(LevelHousing,5)+INDEX(LevelTransport,5)+INDEX(LevelBasic,5)*INDEX(LevelBonus,5)+(INDEX(LevelBasic,5)+INDEX(LevelHousing,5))*GosiSaudi)+SUMIFS(SeatExits,SeatDivision,"Products &amp; Cards Division",SeatLevel,INDEX(LevelList,5),SeatMandate,"No")*(INDEX(LevelBasic,5)+INDEX(LevelHousing,5)+INDEX(LevelTransport,5)+INDEX(LevelBasic,5)*INDEX(LevelBonus,5)+(INDEX(LevelBasic,5)+INDEX(LevelHousing,5))*GosiOther)+SUMIFS(SeatExits,SeatDivision,"Products &amp; Cards Division",SeatLevel,INDEX(LevelList,6),SeatMandate,"Yes")*(INDEX(LevelBasic,6)+INDEX(LevelHousing,6)+INDEX(LevelTransport,6)+INDEX(LevelBasic,6)*INDEX(LevelBonus,6)+(INDEX(LevelBasic,6)+INDEX(LevelHousing,6))*GosiSaudi)+SUMIFS(SeatExits,SeatDivision,"Products &amp; Cards Division",SeatLevel,INDEX(LevelList,6),SeatMandate,"No")*(INDEX(LevelBasic,6)+INDEX(LevelHousing,6)+INDEX(LevelTransport,6)+INDEX(LevelBasic,6)*INDEX(LevelBonus,6)+(INDEX(LevelBasic,6)+INDEX(LevelHousing,6))*GosiOther)</f>
        <v>0</v>
      </c>
      <c r="D17" s="29" t="n">
        <f aca="false">SUMIFS(AskTotal,AskDivision,"Products &amp; Cards Division",AskLevel,INDEX(LevelList,1))*(INDEX(LevelBasic,1)+INDEX(LevelHousing,1)+INDEX(LevelTransport,1)+INDEX(LevelBasic,1)*INDEX(LevelBonus,1)+(INDEX(LevelBasic,1)+INDEX(LevelHousing,1))*GosiSaudi)+SUMIFS(AskTotal,AskDivision,"Products &amp; Cards Division",AskLevel,INDEX(LevelList,2))*(INDEX(LevelBasic,2)+INDEX(LevelHousing,2)+INDEX(LevelTransport,2)+INDEX(LevelBasic,2)*INDEX(LevelBonus,2)+(INDEX(LevelBasic,2)+INDEX(LevelHousing,2))*GosiSaudi)+SUMIFS(AskTotal,AskDivision,"Products &amp; Cards Division",AskLevel,INDEX(LevelList,3))*(INDEX(LevelBasic,3)+INDEX(LevelHousing,3)+INDEX(LevelTransport,3)+INDEX(LevelBasic,3)*INDEX(LevelBonus,3)+(INDEX(LevelBasic,3)+INDEX(LevelHousing,3))*GosiSaudi)+SUMIFS(AskTotal,AskDivision,"Products &amp; Cards Division",AskLevel,INDEX(LevelList,4))*(INDEX(LevelBasic,4)+INDEX(LevelHousing,4)+INDEX(LevelTransport,4)+INDEX(LevelBasic,4)*INDEX(LevelBonus,4)+(INDEX(LevelBasic,4)+INDEX(LevelHousing,4))*GosiSaudi)+SUMIFS(AskTotal,AskDivision,"Products &amp; Cards Division",AskLevel,INDEX(LevelList,5))*(INDEX(LevelBasic,5)+INDEX(LevelHousing,5)+INDEX(LevelTransport,5)+INDEX(LevelBasic,5)*INDEX(LevelBonus,5)+(INDEX(LevelBasic,5)+INDEX(LevelHousing,5))*GosiSaudi)+SUMIFS(AskTotal,AskDivision,"Products &amp; Cards Division",AskLevel,INDEX(LevelList,6))*(INDEX(LevelBasic,6)+INDEX(LevelHousing,6)+INDEX(LevelTransport,6)+INDEX(LevelBasic,6)*INDEX(LevelBonus,6)+(INDEX(LevelBasic,6)+INDEX(LevelHousing,6))*GosiSaudi)</f>
        <v>0</v>
      </c>
      <c r="E17" s="29" t="n">
        <f aca="false">$B17-$C17+$D17</f>
        <v>0</v>
      </c>
      <c r="F17" s="29" t="n">
        <f aca="false">$E17-$B17</f>
        <v>0</v>
      </c>
    </row>
    <row r="18" customFormat="false" ht="15" hidden="false" customHeight="false" outlineLevel="0" collapsed="false">
      <c r="A18" s="9" t="s">
        <v>310</v>
      </c>
      <c r="B18" s="29" t="n">
        <f aca="false">SUMIFS(SeatApproved,SeatDivision,"Wealth &amp; Privilege Division",SeatLevel,INDEX(LevelList,1),SeatMandate,"Yes")*(INDEX(LevelBasic,1)+INDEX(LevelHousing,1)+INDEX(LevelTransport,1)+INDEX(LevelBasic,1)*INDEX(LevelBonus,1)+(INDEX(LevelBasic,1)+INDEX(LevelHousing,1))*GosiSaudi)+SUMIFS(SeatApproved,SeatDivision,"Wealth &amp; Privilege Division",SeatLevel,INDEX(LevelList,1),SeatMandate,"No")*(INDEX(LevelBasic,1)+INDEX(LevelHousing,1)+INDEX(LevelTransport,1)+INDEX(LevelBasic,1)*INDEX(LevelBonus,1)+(INDEX(LevelBasic,1)+INDEX(LevelHousing,1))*GosiOther)+SUMIFS(SeatApproved,SeatDivision,"Wealth &amp; Privilege Division",SeatLevel,INDEX(LevelList,2),SeatMandate,"Yes")*(INDEX(LevelBasic,2)+INDEX(LevelHousing,2)+INDEX(LevelTransport,2)+INDEX(LevelBasic,2)*INDEX(LevelBonus,2)+(INDEX(LevelBasic,2)+INDEX(LevelHousing,2))*GosiSaudi)+SUMIFS(SeatApproved,SeatDivision,"Wealth &amp; Privilege Division",SeatLevel,INDEX(LevelList,2),SeatMandate,"No")*(INDEX(LevelBasic,2)+INDEX(LevelHousing,2)+INDEX(LevelTransport,2)+INDEX(LevelBasic,2)*INDEX(LevelBonus,2)+(INDEX(LevelBasic,2)+INDEX(LevelHousing,2))*GosiOther)+SUMIFS(SeatApproved,SeatDivision,"Wealth &amp; Privilege Division",SeatLevel,INDEX(LevelList,3),SeatMandate,"Yes")*(INDEX(LevelBasic,3)+INDEX(LevelHousing,3)+INDEX(LevelTransport,3)+INDEX(LevelBasic,3)*INDEX(LevelBonus,3)+(INDEX(LevelBasic,3)+INDEX(LevelHousing,3))*GosiSaudi)+SUMIFS(SeatApproved,SeatDivision,"Wealth &amp; Privilege Division",SeatLevel,INDEX(LevelList,3),SeatMandate,"No")*(INDEX(LevelBasic,3)+INDEX(LevelHousing,3)+INDEX(LevelTransport,3)+INDEX(LevelBasic,3)*INDEX(LevelBonus,3)+(INDEX(LevelBasic,3)+INDEX(LevelHousing,3))*GosiOther)+SUMIFS(SeatApproved,SeatDivision,"Wealth &amp; Privilege Division",SeatLevel,INDEX(LevelList,4),SeatMandate,"Yes")*(INDEX(LevelBasic,4)+INDEX(LevelHousing,4)+INDEX(LevelTransport,4)+INDEX(LevelBasic,4)*INDEX(LevelBonus,4)+(INDEX(LevelBasic,4)+INDEX(LevelHousing,4))*GosiSaudi)+SUMIFS(SeatApproved,SeatDivision,"Wealth &amp; Privilege Division",SeatLevel,INDEX(LevelList,4),SeatMandate,"No")*(INDEX(LevelBasic,4)+INDEX(LevelHousing,4)+INDEX(LevelTransport,4)+INDEX(LevelBasic,4)*INDEX(LevelBonus,4)+(INDEX(LevelBasic,4)+INDEX(LevelHousing,4))*GosiOther)+SUMIFS(SeatApproved,SeatDivision,"Wealth &amp; Privilege Division",SeatLevel,INDEX(LevelList,5),SeatMandate,"Yes")*(INDEX(LevelBasic,5)+INDEX(LevelHousing,5)+INDEX(LevelTransport,5)+INDEX(LevelBasic,5)*INDEX(LevelBonus,5)+(INDEX(LevelBasic,5)+INDEX(LevelHousing,5))*GosiSaudi)+SUMIFS(SeatApproved,SeatDivision,"Wealth &amp; Privilege Division",SeatLevel,INDEX(LevelList,5),SeatMandate,"No")*(INDEX(LevelBasic,5)+INDEX(LevelHousing,5)+INDEX(LevelTransport,5)+INDEX(LevelBasic,5)*INDEX(LevelBonus,5)+(INDEX(LevelBasic,5)+INDEX(LevelHousing,5))*GosiOther)+SUMIFS(SeatApproved,SeatDivision,"Wealth &amp; Privilege Division",SeatLevel,INDEX(LevelList,6),SeatMandate,"Yes")*(INDEX(LevelBasic,6)+INDEX(LevelHousing,6)+INDEX(LevelTransport,6)+INDEX(LevelBasic,6)*INDEX(LevelBonus,6)+(INDEX(LevelBasic,6)+INDEX(LevelHousing,6))*GosiSaudi)+SUMIFS(SeatApproved,SeatDivision,"Wealth &amp; Privilege Division",SeatLevel,INDEX(LevelList,6),SeatMandate,"No")*(INDEX(LevelBasic,6)+INDEX(LevelHousing,6)+INDEX(LevelTransport,6)+INDEX(LevelBasic,6)*INDEX(LevelBonus,6)+(INDEX(LevelBasic,6)+INDEX(LevelHousing,6))*GosiOther)</f>
        <v>0</v>
      </c>
      <c r="C18" s="29" t="n">
        <f aca="false">SUMIFS(SeatExits,SeatDivision,"Wealth &amp; Privilege Division",SeatLevel,INDEX(LevelList,1),SeatMandate,"Yes")*(INDEX(LevelBasic,1)+INDEX(LevelHousing,1)+INDEX(LevelTransport,1)+INDEX(LevelBasic,1)*INDEX(LevelBonus,1)+(INDEX(LevelBasic,1)+INDEX(LevelHousing,1))*GosiSaudi)+SUMIFS(SeatExits,SeatDivision,"Wealth &amp; Privilege Division",SeatLevel,INDEX(LevelList,1),SeatMandate,"No")*(INDEX(LevelBasic,1)+INDEX(LevelHousing,1)+INDEX(LevelTransport,1)+INDEX(LevelBasic,1)*INDEX(LevelBonus,1)+(INDEX(LevelBasic,1)+INDEX(LevelHousing,1))*GosiOther)+SUMIFS(SeatExits,SeatDivision,"Wealth &amp; Privilege Division",SeatLevel,INDEX(LevelList,2),SeatMandate,"Yes")*(INDEX(LevelBasic,2)+INDEX(LevelHousing,2)+INDEX(LevelTransport,2)+INDEX(LevelBasic,2)*INDEX(LevelBonus,2)+(INDEX(LevelBasic,2)+INDEX(LevelHousing,2))*GosiSaudi)+SUMIFS(SeatExits,SeatDivision,"Wealth &amp; Privilege Division",SeatLevel,INDEX(LevelList,2),SeatMandate,"No")*(INDEX(LevelBasic,2)+INDEX(LevelHousing,2)+INDEX(LevelTransport,2)+INDEX(LevelBasic,2)*INDEX(LevelBonus,2)+(INDEX(LevelBasic,2)+INDEX(LevelHousing,2))*GosiOther)+SUMIFS(SeatExits,SeatDivision,"Wealth &amp; Privilege Division",SeatLevel,INDEX(LevelList,3),SeatMandate,"Yes")*(INDEX(LevelBasic,3)+INDEX(LevelHousing,3)+INDEX(LevelTransport,3)+INDEX(LevelBasic,3)*INDEX(LevelBonus,3)+(INDEX(LevelBasic,3)+INDEX(LevelHousing,3))*GosiSaudi)+SUMIFS(SeatExits,SeatDivision,"Wealth &amp; Privilege Division",SeatLevel,INDEX(LevelList,3),SeatMandate,"No")*(INDEX(LevelBasic,3)+INDEX(LevelHousing,3)+INDEX(LevelTransport,3)+INDEX(LevelBasic,3)*INDEX(LevelBonus,3)+(INDEX(LevelBasic,3)+INDEX(LevelHousing,3))*GosiOther)+SUMIFS(SeatExits,SeatDivision,"Wealth &amp; Privilege Division",SeatLevel,INDEX(LevelList,4),SeatMandate,"Yes")*(INDEX(LevelBasic,4)+INDEX(LevelHousing,4)+INDEX(LevelTransport,4)+INDEX(LevelBasic,4)*INDEX(LevelBonus,4)+(INDEX(LevelBasic,4)+INDEX(LevelHousing,4))*GosiSaudi)+SUMIFS(SeatExits,SeatDivision,"Wealth &amp; Privilege Division",SeatLevel,INDEX(LevelList,4),SeatMandate,"No")*(INDEX(LevelBasic,4)+INDEX(LevelHousing,4)+INDEX(LevelTransport,4)+INDEX(LevelBasic,4)*INDEX(LevelBonus,4)+(INDEX(LevelBasic,4)+INDEX(LevelHousing,4))*GosiOther)+SUMIFS(SeatExits,SeatDivision,"Wealth &amp; Privilege Division",SeatLevel,INDEX(LevelList,5),SeatMandate,"Yes")*(INDEX(LevelBasic,5)+INDEX(LevelHousing,5)+INDEX(LevelTransport,5)+INDEX(LevelBasic,5)*INDEX(LevelBonus,5)+(INDEX(LevelBasic,5)+INDEX(LevelHousing,5))*GosiSaudi)+SUMIFS(SeatExits,SeatDivision,"Wealth &amp; Privilege Division",SeatLevel,INDEX(LevelList,5),SeatMandate,"No")*(INDEX(LevelBasic,5)+INDEX(LevelHousing,5)+INDEX(LevelTransport,5)+INDEX(LevelBasic,5)*INDEX(LevelBonus,5)+(INDEX(LevelBasic,5)+INDEX(LevelHousing,5))*GosiOther)+SUMIFS(SeatExits,SeatDivision,"Wealth &amp; Privilege Division",SeatLevel,INDEX(LevelList,6),SeatMandate,"Yes")*(INDEX(LevelBasic,6)+INDEX(LevelHousing,6)+INDEX(LevelTransport,6)+INDEX(LevelBasic,6)*INDEX(LevelBonus,6)+(INDEX(LevelBasic,6)+INDEX(LevelHousing,6))*GosiSaudi)+SUMIFS(SeatExits,SeatDivision,"Wealth &amp; Privilege Division",SeatLevel,INDEX(LevelList,6),SeatMandate,"No")*(INDEX(LevelBasic,6)+INDEX(LevelHousing,6)+INDEX(LevelTransport,6)+INDEX(LevelBasic,6)*INDEX(LevelBonus,6)+(INDEX(LevelBasic,6)+INDEX(LevelHousing,6))*GosiOther)</f>
        <v>0</v>
      </c>
      <c r="D18" s="29" t="n">
        <f aca="false">SUMIFS(AskTotal,AskDivision,"Wealth &amp; Privilege Division",AskLevel,INDEX(LevelList,1))*(INDEX(LevelBasic,1)+INDEX(LevelHousing,1)+INDEX(LevelTransport,1)+INDEX(LevelBasic,1)*INDEX(LevelBonus,1)+(INDEX(LevelBasic,1)+INDEX(LevelHousing,1))*GosiSaudi)+SUMIFS(AskTotal,AskDivision,"Wealth &amp; Privilege Division",AskLevel,INDEX(LevelList,2))*(INDEX(LevelBasic,2)+INDEX(LevelHousing,2)+INDEX(LevelTransport,2)+INDEX(LevelBasic,2)*INDEX(LevelBonus,2)+(INDEX(LevelBasic,2)+INDEX(LevelHousing,2))*GosiSaudi)+SUMIFS(AskTotal,AskDivision,"Wealth &amp; Privilege Division",AskLevel,INDEX(LevelList,3))*(INDEX(LevelBasic,3)+INDEX(LevelHousing,3)+INDEX(LevelTransport,3)+INDEX(LevelBasic,3)*INDEX(LevelBonus,3)+(INDEX(LevelBasic,3)+INDEX(LevelHousing,3))*GosiSaudi)+SUMIFS(AskTotal,AskDivision,"Wealth &amp; Privilege Division",AskLevel,INDEX(LevelList,4))*(INDEX(LevelBasic,4)+INDEX(LevelHousing,4)+INDEX(LevelTransport,4)+INDEX(LevelBasic,4)*INDEX(LevelBonus,4)+(INDEX(LevelBasic,4)+INDEX(LevelHousing,4))*GosiSaudi)+SUMIFS(AskTotal,AskDivision,"Wealth &amp; Privilege Division",AskLevel,INDEX(LevelList,5))*(INDEX(LevelBasic,5)+INDEX(LevelHousing,5)+INDEX(LevelTransport,5)+INDEX(LevelBasic,5)*INDEX(LevelBonus,5)+(INDEX(LevelBasic,5)+INDEX(LevelHousing,5))*GosiSaudi)+SUMIFS(AskTotal,AskDivision,"Wealth &amp; Privilege Division",AskLevel,INDEX(LevelList,6))*(INDEX(LevelBasic,6)+INDEX(LevelHousing,6)+INDEX(LevelTransport,6)+INDEX(LevelBasic,6)*INDEX(LevelBonus,6)+(INDEX(LevelBasic,6)+INDEX(LevelHousing,6))*GosiSaudi)</f>
        <v>0</v>
      </c>
      <c r="E18" s="29" t="n">
        <f aca="false">$B18-$C18+$D18</f>
        <v>0</v>
      </c>
      <c r="F18" s="29" t="n">
        <f aca="false">$E18-$B18</f>
        <v>0</v>
      </c>
    </row>
    <row r="19" customFormat="false" ht="15" hidden="false" customHeight="false" outlineLevel="0" collapsed="false">
      <c r="A19" s="9" t="s">
        <v>571</v>
      </c>
      <c r="B19" s="29"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9" s="29"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9" s="29"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9" s="29" t="n">
        <f aca="false">$B19-$C19+$D19</f>
        <v>0</v>
      </c>
      <c r="F19" s="29" t="n">
        <f aca="false">$E19-$B19</f>
        <v>0</v>
      </c>
    </row>
    <row r="20" customFormat="false" ht="15" hidden="false" customHeight="false" outlineLevel="0" collapsed="false">
      <c r="A20" s="27" t="s">
        <v>572</v>
      </c>
      <c r="B20" s="15" t="n">
        <f aca="false">SUM(B15:B19)</f>
        <v>0</v>
      </c>
      <c r="C20" s="15" t="n">
        <f aca="false">SUM(C15:C19)</f>
        <v>0</v>
      </c>
      <c r="D20" s="15" t="n">
        <f aca="false">SUM(D15:D19)</f>
        <v>0</v>
      </c>
      <c r="E20" s="15" t="n">
        <f aca="false">SUM(E15:E19)</f>
        <v>0</v>
      </c>
      <c r="F20" s="15" t="n">
        <f aca="false">SUM(F15:F19)</f>
        <v>0</v>
      </c>
    </row>
    <row r="22" customFormat="false" ht="15" hidden="false" customHeight="false" outlineLevel="0" collapsed="false">
      <c r="A22" s="3" t="s">
        <v>575</v>
      </c>
    </row>
    <row r="23" customFormat="false" ht="15" hidden="false" customHeight="false" outlineLevel="0" collapsed="false">
      <c r="A23" s="6" t="s">
        <v>576</v>
      </c>
      <c r="B23"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23" s="30" t="s">
        <v>577</v>
      </c>
    </row>
    <row r="24" customFormat="false" ht="15" hidden="false" customHeight="false" outlineLevel="0" collapsed="false">
      <c r="A24" s="6" t="s">
        <v>578</v>
      </c>
      <c r="B24"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4" s="30" t="s">
        <v>579</v>
      </c>
    </row>
    <row r="25" customFormat="false" ht="15" hidden="false" customHeight="false" outlineLevel="0" collapsed="false">
      <c r="A25" s="6" t="s">
        <v>580</v>
      </c>
      <c r="B25" s="19" t="n">
        <f aca="false">-SUM(OutCash)</f>
        <v>-0</v>
      </c>
      <c r="C25" s="30" t="s">
        <v>581</v>
      </c>
    </row>
    <row r="26" customFormat="false" ht="15" hidden="false" customHeight="false" outlineLevel="0" collapsed="false">
      <c r="A26" s="27" t="s">
        <v>582</v>
      </c>
      <c r="B26" s="15" t="n">
        <f aca="false">$B$23+$B$24+$B$25</f>
        <v>0</v>
      </c>
      <c r="C26" s="30" t="s">
        <v>583</v>
      </c>
    </row>
    <row r="28" customFormat="false" ht="15" hidden="false" customHeight="false" outlineLevel="0" collapsed="false">
      <c r="A28" s="3" t="s">
        <v>584</v>
      </c>
    </row>
    <row r="29" customFormat="false" ht="27.75" hidden="false" customHeight="true" outlineLevel="0" collapsed="false">
      <c r="A29" s="12" t="s">
        <v>585</v>
      </c>
      <c r="B29" s="12" t="s">
        <v>586</v>
      </c>
      <c r="C29" s="12" t="s">
        <v>587</v>
      </c>
      <c r="D29" s="12" t="s">
        <v>588</v>
      </c>
      <c r="E29" s="12" t="s">
        <v>589</v>
      </c>
      <c r="F29" s="12"/>
      <c r="G29" s="12"/>
    </row>
    <row r="30" customFormat="false" ht="15" hidden="false" customHeight="false" outlineLevel="0" collapsed="false">
      <c r="A30" s="31" t="s">
        <v>590</v>
      </c>
      <c r="B30" s="32" t="n">
        <f aca="false">CostEnvelope</f>
        <v>4832</v>
      </c>
      <c r="C30" s="33" t="n">
        <f aca="false">$F$20</f>
        <v>0</v>
      </c>
      <c r="D30" s="29" t="n">
        <f aca="false">$B30-$C30</f>
        <v>4832</v>
      </c>
      <c r="E30" s="34" t="str">
        <f aca="false">IF($D30&gt;=0,"Within envelope","Over envelope")</f>
        <v>Within envelope</v>
      </c>
      <c r="G30" s="35" t="s">
        <v>591</v>
      </c>
    </row>
    <row r="31" customFormat="false" ht="15" hidden="false" customHeight="false" outlineLevel="0" collapsed="false">
      <c r="A31" s="31" t="s">
        <v>592</v>
      </c>
      <c r="B31" s="36" t="n">
        <f aca="false">HeadEnvelope</f>
        <v>18</v>
      </c>
      <c r="C31" s="37" t="n">
        <f aca="false">$F$11</f>
        <v>0</v>
      </c>
      <c r="D31" s="26" t="n">
        <f aca="false">$B31-$C31</f>
        <v>18</v>
      </c>
      <c r="E31" s="34" t="str">
        <f aca="false">IF($D31&gt;=0,"Within envelope","Over envelope")</f>
        <v>Within envelope</v>
      </c>
      <c r="G31" s="35" t="s">
        <v>593</v>
      </c>
    </row>
    <row r="32" customFormat="false" ht="15" hidden="false" customHeight="false" outlineLevel="0" collapsed="false">
      <c r="A32" s="31" t="s">
        <v>594</v>
      </c>
      <c r="B32" s="38" t="n">
        <f aca="false">SaudiTarget</f>
        <v>0.59</v>
      </c>
      <c r="C32" s="39" t="n">
        <f aca="false">IFERROR(SUMIFS(SeatApproved,SeatMandate,"Yes")/SUM(SeatApproved),0)</f>
        <v>0</v>
      </c>
      <c r="D32" s="40" t="n">
        <f aca="false">$C32-$B32</f>
        <v>-0.59</v>
      </c>
      <c r="E32" s="34" t="str">
        <f aca="false">IF($C32&gt;=$B32,"At or above target","Below target")</f>
        <v>Below target</v>
      </c>
      <c r="G32" s="35" t="s">
        <v>595</v>
      </c>
    </row>
    <row r="34" customFormat="false" ht="15" hidden="false" customHeight="false" outlineLevel="0" collapsed="false">
      <c r="A34" s="3" t="s">
        <v>596</v>
      </c>
      <c r="G34" s="28" t="s">
        <v>597</v>
      </c>
    </row>
    <row r="35" customFormat="false" ht="27.75" hidden="false" customHeight="true" outlineLevel="0" collapsed="false">
      <c r="A35" s="12" t="s">
        <v>598</v>
      </c>
      <c r="B35" s="12" t="s">
        <v>559</v>
      </c>
      <c r="C35" s="12" t="s">
        <v>599</v>
      </c>
      <c r="D35" s="12" t="s">
        <v>600</v>
      </c>
      <c r="E35" s="12" t="s">
        <v>601</v>
      </c>
      <c r="F35" s="12"/>
      <c r="G35" s="12"/>
    </row>
    <row r="36" customFormat="false" ht="15" hidden="false" customHeight="false" outlineLevel="0" collapsed="false">
      <c r="A36" s="9" t="s">
        <v>602</v>
      </c>
      <c r="B36" s="26" t="n">
        <f aca="false">SUMIFS(AskTotal,AskCategory,"Regulatory")</f>
        <v>0</v>
      </c>
      <c r="C36" s="29"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6" s="29" t="n">
        <f aca="false">SUM($C$36:$C36)</f>
        <v>0</v>
      </c>
      <c r="E36" s="34" t="str">
        <f aca="false">IF($D36&lt;=CostEnvelope,"Yes","No")</f>
        <v>Yes</v>
      </c>
      <c r="G36" s="35" t="s">
        <v>603</v>
      </c>
    </row>
    <row r="37" customFormat="false" ht="15" hidden="false" customHeight="false" outlineLevel="0" collapsed="false">
      <c r="A37" s="9" t="s">
        <v>604</v>
      </c>
      <c r="B37" s="26" t="n">
        <f aca="false">SUMIFS(AskTotal,AskCategory,"Strategic")</f>
        <v>0</v>
      </c>
      <c r="C37" s="29"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7" s="29" t="n">
        <f aca="false">SUM($C$36:$C37)</f>
        <v>0</v>
      </c>
      <c r="E37" s="34" t="str">
        <f aca="false">IF($D37&lt;=CostEnvelope,"Yes","No")</f>
        <v>Yes</v>
      </c>
      <c r="G37" s="35" t="s">
        <v>605</v>
      </c>
    </row>
    <row r="38" customFormat="false" ht="15" hidden="false" customHeight="false" outlineLevel="0" collapsed="false">
      <c r="A38" s="9" t="s">
        <v>606</v>
      </c>
      <c r="B38" s="26" t="n">
        <f aca="false">SUMIFS(AskTotal,AskCategory,"Control")</f>
        <v>0</v>
      </c>
      <c r="C38" s="29"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8" s="29" t="n">
        <f aca="false">SUM($C$36:$C38)</f>
        <v>0</v>
      </c>
      <c r="E38" s="34" t="str">
        <f aca="false">IF($D38&lt;=CostEnvelope,"Yes","No")</f>
        <v>Yes</v>
      </c>
      <c r="G38" s="35" t="s">
        <v>607</v>
      </c>
    </row>
    <row r="39" customFormat="false" ht="15" hidden="false" customHeight="false" outlineLevel="0" collapsed="false">
      <c r="A39" s="9" t="s">
        <v>608</v>
      </c>
      <c r="B39" s="26" t="n">
        <f aca="false">SUMIFS(AskTotal,AskCategory,"BAU")</f>
        <v>0</v>
      </c>
      <c r="C39" s="29"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9" s="29" t="n">
        <f aca="false">SUM($C$36:$C39)</f>
        <v>0</v>
      </c>
      <c r="E39" s="34" t="str">
        <f aca="false">IF($D39&lt;=CostEnvelope,"Yes","No")</f>
        <v>Yes</v>
      </c>
      <c r="G39" s="35" t="s">
        <v>609</v>
      </c>
    </row>
    <row r="41" customFormat="false" ht="15" hidden="false" customHeight="false" outlineLevel="0" collapsed="false">
      <c r="A41" s="3" t="s">
        <v>610</v>
      </c>
    </row>
    <row r="42" customFormat="false" ht="27.75" hidden="false" customHeight="true" outlineLevel="0" collapsed="false">
      <c r="A42" s="12" t="s">
        <v>557</v>
      </c>
      <c r="B42" s="12" t="s">
        <v>559</v>
      </c>
      <c r="C42" s="12" t="s">
        <v>611</v>
      </c>
      <c r="D42" s="12" t="s">
        <v>612</v>
      </c>
      <c r="E42" s="12"/>
      <c r="F42" s="12"/>
      <c r="G42" s="12"/>
    </row>
    <row r="43" customFormat="false" ht="15" hidden="false" customHeight="false" outlineLevel="0" collapsed="false">
      <c r="A43" s="9" t="s">
        <v>560</v>
      </c>
      <c r="B43" s="26" t="n">
        <f aca="false">SUM(AskQ1)</f>
        <v>0</v>
      </c>
      <c r="C43" s="41" t="n">
        <v>1</v>
      </c>
      <c r="D43" s="2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44" customFormat="false" ht="15" hidden="false" customHeight="false" outlineLevel="0" collapsed="false">
      <c r="A44" s="9" t="s">
        <v>561</v>
      </c>
      <c r="B44" s="26" t="n">
        <f aca="false">SUM(AskQ2)</f>
        <v>0</v>
      </c>
      <c r="C44" s="41" t="n">
        <v>0.75</v>
      </c>
      <c r="D44" s="29"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45" customFormat="false" ht="15" hidden="false" customHeight="false" outlineLevel="0" collapsed="false">
      <c r="A45" s="9" t="s">
        <v>562</v>
      </c>
      <c r="B45" s="26" t="n">
        <f aca="false">SUM(AskQ3)</f>
        <v>0</v>
      </c>
      <c r="C45" s="41" t="n">
        <v>0.5</v>
      </c>
      <c r="D45" s="29"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6" customFormat="false" ht="15" hidden="false" customHeight="false" outlineLevel="0" collapsed="false">
      <c r="A46" s="9" t="s">
        <v>563</v>
      </c>
      <c r="B46" s="26" t="n">
        <f aca="false">SUM(AskQ4)</f>
        <v>0</v>
      </c>
      <c r="C46" s="41" t="n">
        <v>0.25</v>
      </c>
      <c r="D46" s="29"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8" customFormat="false" ht="15" hidden="false" customHeight="false" outlineLevel="0" collapsed="false">
      <c r="A68" s="3" t="s">
        <v>613</v>
      </c>
      <c r="G68" s="28" t="s">
        <v>614</v>
      </c>
    </row>
    <row r="69" customFormat="false" ht="27.75" hidden="false" customHeight="true" outlineLevel="0" collapsed="false">
      <c r="A69" s="12" t="s">
        <v>61</v>
      </c>
      <c r="B69" s="12" t="s">
        <v>558</v>
      </c>
      <c r="C69" s="12" t="s">
        <v>380</v>
      </c>
      <c r="D69" s="12" t="s">
        <v>559</v>
      </c>
      <c r="E69" s="12" t="s">
        <v>570</v>
      </c>
      <c r="F69" s="12" t="s">
        <v>615</v>
      </c>
      <c r="G69" s="12" t="s">
        <v>599</v>
      </c>
      <c r="H69" s="12" t="s">
        <v>552</v>
      </c>
    </row>
    <row r="70" customFormat="false" ht="15" hidden="false" customHeight="false" outlineLevel="0" collapsed="false">
      <c r="A70" s="10" t="str">
        <f aca="false">$A6</f>
        <v>Branch Network Division</v>
      </c>
      <c r="B70" s="26" t="n">
        <f aca="false">$B6</f>
        <v>110</v>
      </c>
      <c r="C70" s="26" t="n">
        <f aca="false">$C6</f>
        <v>0</v>
      </c>
      <c r="D70" s="26" t="n">
        <f aca="false">$D6</f>
        <v>0</v>
      </c>
      <c r="E70" s="26" t="n">
        <f aca="false">$E6</f>
        <v>110</v>
      </c>
      <c r="F70" s="26" t="n">
        <f aca="false">SUMIFS(SeatApproved,SeatDivision,"Branch Network Division",SeatMandate,"Yes")</f>
        <v>0</v>
      </c>
      <c r="G70" s="29" t="n">
        <f aca="false">$E15</f>
        <v>0</v>
      </c>
      <c r="H70" s="29" t="n">
        <f aca="false">SUMIFS(OutCash,OutDivision,"Branch Network Division")</f>
        <v>0</v>
      </c>
    </row>
    <row r="71" customFormat="false" ht="15" hidden="false" customHeight="false" outlineLevel="0" collapsed="false">
      <c r="A71" s="10" t="str">
        <f aca="false">$A7</f>
        <v>Customer Experience Division</v>
      </c>
      <c r="B71" s="26" t="n">
        <f aca="false">$B7</f>
        <v>72</v>
      </c>
      <c r="C71" s="26" t="n">
        <f aca="false">$C7</f>
        <v>0</v>
      </c>
      <c r="D71" s="26" t="n">
        <f aca="false">$D7</f>
        <v>0</v>
      </c>
      <c r="E71" s="26" t="n">
        <f aca="false">$E7</f>
        <v>72</v>
      </c>
      <c r="F71" s="26" t="n">
        <f aca="false">SUMIFS(SeatApproved,SeatDivision,"Customer Experience Division",SeatMandate,"Yes")</f>
        <v>0</v>
      </c>
      <c r="G71" s="29" t="n">
        <f aca="false">$E16</f>
        <v>0</v>
      </c>
      <c r="H71" s="29" t="n">
        <f aca="false">SUMIFS(OutCash,OutDivision,"Customer Experience Division")</f>
        <v>0</v>
      </c>
    </row>
    <row r="72" customFormat="false" ht="15" hidden="false" customHeight="false" outlineLevel="0" collapsed="false">
      <c r="A72" s="10" t="str">
        <f aca="false">$A8</f>
        <v>Products &amp; Cards Division</v>
      </c>
      <c r="B72" s="26" t="n">
        <f aca="false">$B8</f>
        <v>105</v>
      </c>
      <c r="C72" s="26" t="n">
        <f aca="false">$C8</f>
        <v>0</v>
      </c>
      <c r="D72" s="26" t="n">
        <f aca="false">$D8</f>
        <v>0</v>
      </c>
      <c r="E72" s="26" t="n">
        <f aca="false">$E8</f>
        <v>105</v>
      </c>
      <c r="F72" s="26" t="n">
        <f aca="false">SUMIFS(SeatApproved,SeatDivision,"Products &amp; Cards Division",SeatMandate,"Yes")</f>
        <v>0</v>
      </c>
      <c r="G72" s="29" t="n">
        <f aca="false">$E17</f>
        <v>0</v>
      </c>
      <c r="H72" s="29" t="n">
        <f aca="false">SUMIFS(OutCash,OutDivision,"Products &amp; Cards Division")</f>
        <v>0</v>
      </c>
    </row>
    <row r="73" customFormat="false" ht="15" hidden="false" customHeight="false" outlineLevel="0" collapsed="false">
      <c r="A73" s="10" t="str">
        <f aca="false">$A9</f>
        <v>Wealth &amp; Privilege Division</v>
      </c>
      <c r="B73" s="26" t="n">
        <f aca="false">$B9</f>
        <v>72</v>
      </c>
      <c r="C73" s="26" t="n">
        <f aca="false">$C9</f>
        <v>0</v>
      </c>
      <c r="D73" s="26" t="n">
        <f aca="false">$D9</f>
        <v>0</v>
      </c>
      <c r="E73" s="26" t="n">
        <f aca="false">$E9</f>
        <v>72</v>
      </c>
      <c r="F73" s="26" t="n">
        <f aca="false">SUMIFS(SeatApproved,SeatDivision,"Wealth &amp; Privilege Division",SeatMandate,"Yes")</f>
        <v>0</v>
      </c>
      <c r="G73" s="29" t="n">
        <f aca="false">$E18</f>
        <v>0</v>
      </c>
      <c r="H73" s="29" t="n">
        <f aca="false">SUMIFS(OutCash,OutDivision,"Wealth &amp; Privilege Division")</f>
        <v>0</v>
      </c>
    </row>
    <row r="74" customFormat="false" ht="15" hidden="false" customHeight="false" outlineLevel="0" collapsed="false">
      <c r="A74" s="10" t="str">
        <f aca="false">$A10</f>
        <v>Reporting to the group directly</v>
      </c>
      <c r="B74" s="26" t="n">
        <f aca="false">$B10</f>
        <v>1</v>
      </c>
      <c r="C74" s="26" t="n">
        <f aca="false">$C10</f>
        <v>0</v>
      </c>
      <c r="D74" s="26" t="n">
        <f aca="false">$D10</f>
        <v>0</v>
      </c>
      <c r="E74" s="26" t="n">
        <f aca="false">$E10</f>
        <v>1</v>
      </c>
      <c r="F74" s="26" t="n">
        <f aca="false">SUMIFS(SeatApproved,SeatDivision,"",SeatMandate,"Yes")</f>
        <v>0</v>
      </c>
      <c r="G74" s="29" t="n">
        <f aca="false">$E19</f>
        <v>0</v>
      </c>
      <c r="H74" s="29" t="n">
        <f aca="false">SUMIFS(OutCash,OutDivision,"")</f>
        <v>0</v>
      </c>
    </row>
  </sheetData>
  <sheetProtection sheet="true" sort="false" autoFilter="false"/>
  <mergeCells count="1">
    <mergeCell ref="A2:J2"/>
  </mergeCells>
  <conditionalFormatting sqref="F6:F10">
    <cfRule type="cellIs" priority="2" operator="lessThan" aboveAverage="0" equalAverage="0" bottom="0" percent="0" rank="0" text="" dxfId="15">
      <formula>0</formula>
    </cfRule>
  </conditionalFormatting>
  <conditionalFormatting sqref="E30:E32">
    <cfRule type="expression" priority="3" aboveAverage="0" equalAverage="0" bottom="0" percent="0" rank="0" text="" dxfId="1">
      <formula>OR($E30="Over envelope",$E30="Below target")</formula>
    </cfRule>
    <cfRule type="expression" priority="4" aboveAverage="0" equalAverage="0" bottom="0" percent="0" rank="0" text="" dxfId="0">
      <formula>OR($E30="Within envelope",$E30="At or above target")</formula>
    </cfRule>
  </conditionalFormatting>
  <conditionalFormatting sqref="E36:E39">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616</v>
      </c>
    </row>
    <row r="2" customFormat="false" ht="15" hidden="false" customHeight="false" outlineLevel="0" collapsed="false">
      <c r="A2" s="2" t="s">
        <v>617</v>
      </c>
      <c r="B2" s="2"/>
      <c r="C2" s="2"/>
      <c r="D2" s="2"/>
      <c r="E2" s="2"/>
      <c r="F2" s="2"/>
      <c r="G2" s="2"/>
      <c r="H2" s="2"/>
      <c r="I2" s="2"/>
      <c r="J2" s="2"/>
    </row>
    <row r="4" customFormat="false" ht="15" hidden="false" customHeight="false" outlineLevel="0" collapsed="false">
      <c r="A4" s="3" t="s">
        <v>618</v>
      </c>
    </row>
    <row r="5" customFormat="false" ht="27.75" hidden="false" customHeight="true" outlineLevel="0" collapsed="false">
      <c r="A5" s="12" t="s">
        <v>619</v>
      </c>
      <c r="B5" s="12" t="s">
        <v>620</v>
      </c>
      <c r="C5" s="12" t="s">
        <v>589</v>
      </c>
      <c r="D5" s="12" t="s">
        <v>621</v>
      </c>
    </row>
    <row r="6" customFormat="false" ht="25.5" hidden="false" customHeight="true" outlineLevel="0" collapsed="false">
      <c r="A6" s="9" t="s">
        <v>622</v>
      </c>
      <c r="B6" s="29" t="n">
        <f aca="false">COUNTIF(SeatProblem,"?*")</f>
        <v>264</v>
      </c>
      <c r="C6" s="42" t="str">
        <f aca="false">IF($B6=0,"OK","Fix")</f>
        <v>Fix</v>
      </c>
      <c r="D6" s="43" t="s">
        <v>623</v>
      </c>
    </row>
    <row r="7" customFormat="false" ht="25.5" hidden="false" customHeight="true" outlineLevel="0" collapsed="false">
      <c r="A7" s="9" t="s">
        <v>624</v>
      </c>
      <c r="B7" s="29" t="n">
        <f aca="false">SUMPRODUCT((SeatTitle&lt;&gt;"")*(SeatLevel=""))</f>
        <v>264</v>
      </c>
      <c r="C7" s="42" t="str">
        <f aca="false">IF($B7=0,"OK","Fix")</f>
        <v>Fix</v>
      </c>
      <c r="D7" s="43" t="s">
        <v>625</v>
      </c>
    </row>
    <row r="8" customFormat="false" ht="25.5" hidden="false" customHeight="true" outlineLevel="0" collapsed="false">
      <c r="A8" s="9" t="s">
        <v>626</v>
      </c>
      <c r="B8" s="29" t="n">
        <f aca="false">SUMPRODUCT((SeatTitle&lt;&gt;"")*(SeatDirection=""))</f>
        <v>264</v>
      </c>
      <c r="C8" s="42" t="str">
        <f aca="false">IF($B8=0,"OK","Fix")</f>
        <v>Fix</v>
      </c>
      <c r="D8" s="43" t="s">
        <v>627</v>
      </c>
    </row>
    <row r="9" customFormat="false" ht="25.5" hidden="false" customHeight="true" outlineLevel="0" collapsed="false">
      <c r="A9" s="9" t="s">
        <v>628</v>
      </c>
      <c r="B9" s="29" t="n">
        <f aca="false">SUMPRODUCT((SeatDirection="Reduce")*(N(SeatSlated)&lt;=0))</f>
        <v>0</v>
      </c>
      <c r="C9" s="42" t="str">
        <f aca="false">IF($B9=0,"OK","Fix")</f>
        <v>OK</v>
      </c>
      <c r="D9" s="43" t="s">
        <v>629</v>
      </c>
    </row>
    <row r="10" customFormat="false" ht="25.5" hidden="false" customHeight="true" outlineLevel="0" collapsed="false">
      <c r="A10" s="9" t="s">
        <v>630</v>
      </c>
      <c r="B10" s="29" t="n">
        <f aca="false">SUMPRODUCT((N(SeatSlated)&gt;0)*(SeatDirection&lt;&gt;"Reduce"))</f>
        <v>0</v>
      </c>
      <c r="C10" s="42" t="str">
        <f aca="false">IF($B10=0,"OK","Fix")</f>
        <v>OK</v>
      </c>
      <c r="D10" s="43" t="s">
        <v>631</v>
      </c>
    </row>
    <row r="11" customFormat="false" ht="25.5" hidden="false" customHeight="true" outlineLevel="0" collapsed="false">
      <c r="A11" s="9" t="s">
        <v>632</v>
      </c>
      <c r="B11" s="29" t="n">
        <f aca="false">SUMPRODUCT((N(SeatSlated)&gt;N(SeatApproved))*1)</f>
        <v>0</v>
      </c>
      <c r="C11" s="42" t="str">
        <f aca="false">IF($B11=0,"OK","Fix")</f>
        <v>OK</v>
      </c>
      <c r="D11" s="43" t="s">
        <v>633</v>
      </c>
    </row>
    <row r="12" customFormat="false" ht="25.5" hidden="false" customHeight="true" outlineLevel="0" collapsed="false">
      <c r="A12" s="9" t="s">
        <v>634</v>
      </c>
      <c r="B12" s="29" t="n">
        <f aca="false">COUNTIF(OutProblem,"?*")</f>
        <v>0</v>
      </c>
      <c r="C12" s="42" t="str">
        <f aca="false">IF($B12=0,"OK","Fix")</f>
        <v>OK</v>
      </c>
      <c r="D12" s="43" t="s">
        <v>635</v>
      </c>
    </row>
    <row r="13" customFormat="false" ht="25.5" hidden="false" customHeight="true" outlineLevel="0" collapsed="false">
      <c r="A13" s="9" t="s">
        <v>636</v>
      </c>
      <c r="B13" s="29" t="n">
        <f aca="false">SUMPRODUCT((OutDisposition="Surrender to fund new asks")*(COUNTIFS(OutUnit,OutUnit,OutTitle,OutTitle,OutDisposition,"Surrender to fund new asks")&gt;SUMIFS(SeatSlated,SeatUnit,OutUnit,SeatTitle,OutTitle)))</f>
        <v>0</v>
      </c>
      <c r="C13" s="42" t="str">
        <f aca="false">IF($B13=0,"OK","Fix")</f>
        <v>OK</v>
      </c>
      <c r="D13" s="43" t="s">
        <v>637</v>
      </c>
    </row>
    <row r="14" customFormat="false" ht="25.5" hidden="false" customHeight="true" outlineLevel="0" collapsed="false">
      <c r="A14" s="9" t="s">
        <v>638</v>
      </c>
      <c r="B14" s="29" t="n">
        <f aca="false">COUNTIF(AskProblem,"?*")</f>
        <v>0</v>
      </c>
      <c r="C14" s="42" t="str">
        <f aca="false">IF($B14=0,"OK","Fix")</f>
        <v>OK</v>
      </c>
      <c r="D14" s="43" t="s">
        <v>639</v>
      </c>
    </row>
    <row r="15" customFormat="false" ht="25.5" hidden="false" customHeight="true" outlineLevel="0" collapsed="false">
      <c r="A15" s="9" t="s">
        <v>640</v>
      </c>
      <c r="B15" s="29" t="n">
        <f aca="false">SUMPRODUCT((AskTitle&lt;&gt;"")*(N(AskTotal)&lt;=0))</f>
        <v>0</v>
      </c>
      <c r="C15" s="42" t="str">
        <f aca="false">IF($B15=0,"OK","Fix")</f>
        <v>OK</v>
      </c>
      <c r="D15" s="43" t="s">
        <v>641</v>
      </c>
    </row>
    <row r="16" customFormat="false" ht="25.5" hidden="false" customHeight="true" outlineLevel="0" collapsed="false">
      <c r="A16" s="9" t="s">
        <v>642</v>
      </c>
      <c r="B16" s="29" t="n">
        <f aca="false">SUMPRODUCT((AskUnit&lt;&gt;"")*(COUNTIF(UnitList,AskUnit)=0))</f>
        <v>0</v>
      </c>
      <c r="C16" s="42" t="str">
        <f aca="false">IF($B16=0,"OK","Fix")</f>
        <v>OK</v>
      </c>
      <c r="D16" s="43" t="s">
        <v>643</v>
      </c>
    </row>
    <row r="18" customFormat="false" ht="15" hidden="false" customHeight="false" outlineLevel="0" collapsed="false">
      <c r="A18" s="3" t="s">
        <v>644</v>
      </c>
    </row>
    <row r="19" customFormat="false" ht="27.75" hidden="false" customHeight="true" outlineLevel="0" collapsed="false">
      <c r="A19" s="12" t="s">
        <v>619</v>
      </c>
      <c r="B19" s="12" t="s">
        <v>620</v>
      </c>
      <c r="C19" s="12" t="s">
        <v>589</v>
      </c>
      <c r="D19" s="12" t="s">
        <v>621</v>
      </c>
    </row>
    <row r="20" customFormat="false" ht="25.5" hidden="false" customHeight="true" outlineLevel="0" collapsed="false">
      <c r="A20" s="9" t="s">
        <v>645</v>
      </c>
      <c r="B20" s="29" t="n">
        <f aca="false">IF(CostMine&gt;CostLimit,1,0)</f>
        <v>0</v>
      </c>
      <c r="C20" s="42" t="str">
        <f aca="false">IF($B20=0,"OK","Review")</f>
        <v>OK</v>
      </c>
      <c r="D20" s="43" t="s">
        <v>646</v>
      </c>
    </row>
    <row r="21" customFormat="false" ht="25.5" hidden="false" customHeight="true" outlineLevel="0" collapsed="false">
      <c r="A21" s="9" t="s">
        <v>647</v>
      </c>
      <c r="B21" s="29" t="n">
        <f aca="false">IF(HeadMine&gt;HeadLimit,1,0)</f>
        <v>0</v>
      </c>
      <c r="C21" s="42" t="str">
        <f aca="false">IF($B21=0,"OK","Review")</f>
        <v>OK</v>
      </c>
      <c r="D21" s="43" t="s">
        <v>648</v>
      </c>
    </row>
    <row r="22" customFormat="false" ht="25.5" hidden="false" customHeight="true" outlineLevel="0" collapsed="false">
      <c r="A22" s="9" t="s">
        <v>649</v>
      </c>
      <c r="B22" s="29" t="n">
        <f aca="false">IF(MandateMine&lt;MandateLimit,1,0)</f>
        <v>1</v>
      </c>
      <c r="C22" s="42" t="str">
        <f aca="false">IF($B22=0,"OK","Review")</f>
        <v>Review</v>
      </c>
      <c r="D22" s="43" t="s">
        <v>650</v>
      </c>
    </row>
    <row r="24" customFormat="false" ht="15" hidden="false" customHeight="false" outlineLevel="0" collapsed="false">
      <c r="A24" s="3" t="s">
        <v>651</v>
      </c>
      <c r="D24" s="28" t="s">
        <v>652</v>
      </c>
    </row>
    <row r="25" customFormat="false" ht="27.75" hidden="false" customHeight="true" outlineLevel="0" collapsed="false">
      <c r="A25" s="12" t="s">
        <v>653</v>
      </c>
      <c r="B25" s="12" t="s">
        <v>50</v>
      </c>
      <c r="C25" s="12" t="s">
        <v>546</v>
      </c>
      <c r="D25" s="12" t="s">
        <v>654</v>
      </c>
    </row>
    <row r="26" customFormat="false" ht="15" hidden="false" customHeight="false" outlineLevel="0" collapsed="false">
      <c r="A26" s="9" t="str">
        <f aca="false">IFERROR(IF(INDEX(AskRef,MATCH(1,AskIssueNo,0))=0,"",INDEX(AskRef,MATCH(1,AskIssueNo,0))),"")</f>
        <v/>
      </c>
      <c r="B26" s="9" t="str">
        <f aca="false">IFERROR(IF(INDEX(AskUnit,MATCH(1,AskIssueNo,0))=0,"",INDEX(AskUnit,MATCH(1,AskIssueNo,0))),"")</f>
        <v/>
      </c>
      <c r="C26" s="9" t="str">
        <f aca="false">IFERROR(IF(INDEX(AskTitle,MATCH(1,AskIssueNo,0))=0,"",INDEX(AskTitle,MATCH(1,AskIssueNo,0))),"")</f>
        <v/>
      </c>
      <c r="D26" s="44" t="str">
        <f aca="false">IFERROR(IF(INDEX(AskProblem,MATCH(1,AskIssueNo,0))=0,"",INDEX(AskProblem,MATCH(1,AskIssueNo,0))),"")</f>
        <v/>
      </c>
    </row>
    <row r="27" customFormat="false" ht="15" hidden="false" customHeight="false" outlineLevel="0" collapsed="false">
      <c r="A27" s="9" t="str">
        <f aca="false">IFERROR(IF(INDEX(AskRef,MATCH(2,AskIssueNo,0))=0,"",INDEX(AskRef,MATCH(2,AskIssueNo,0))),"")</f>
        <v/>
      </c>
      <c r="B27" s="9" t="str">
        <f aca="false">IFERROR(IF(INDEX(AskUnit,MATCH(2,AskIssueNo,0))=0,"",INDEX(AskUnit,MATCH(2,AskIssueNo,0))),"")</f>
        <v/>
      </c>
      <c r="C27" s="9" t="str">
        <f aca="false">IFERROR(IF(INDEX(AskTitle,MATCH(2,AskIssueNo,0))=0,"",INDEX(AskTitle,MATCH(2,AskIssueNo,0))),"")</f>
        <v/>
      </c>
      <c r="D27" s="44" t="str">
        <f aca="false">IFERROR(IF(INDEX(AskProblem,MATCH(2,AskIssueNo,0))=0,"",INDEX(AskProblem,MATCH(2,AskIssueNo,0))),"")</f>
        <v/>
      </c>
    </row>
    <row r="28" customFormat="false" ht="15" hidden="false" customHeight="false" outlineLevel="0" collapsed="false">
      <c r="A28" s="9" t="str">
        <f aca="false">IFERROR(IF(INDEX(AskRef,MATCH(3,AskIssueNo,0))=0,"",INDEX(AskRef,MATCH(3,AskIssueNo,0))),"")</f>
        <v/>
      </c>
      <c r="B28" s="9" t="str">
        <f aca="false">IFERROR(IF(INDEX(AskUnit,MATCH(3,AskIssueNo,0))=0,"",INDEX(AskUnit,MATCH(3,AskIssueNo,0))),"")</f>
        <v/>
      </c>
      <c r="C28" s="9" t="str">
        <f aca="false">IFERROR(IF(INDEX(AskTitle,MATCH(3,AskIssueNo,0))=0,"",INDEX(AskTitle,MATCH(3,AskIssueNo,0))),"")</f>
        <v/>
      </c>
      <c r="D28" s="44" t="str">
        <f aca="false">IFERROR(IF(INDEX(AskProblem,MATCH(3,AskIssueNo,0))=0,"",INDEX(AskProblem,MATCH(3,AskIssueNo,0))),"")</f>
        <v/>
      </c>
    </row>
    <row r="29" customFormat="false" ht="15" hidden="false" customHeight="false" outlineLevel="0" collapsed="false">
      <c r="A29" s="9" t="str">
        <f aca="false">IFERROR(IF(INDEX(AskRef,MATCH(4,AskIssueNo,0))=0,"",INDEX(AskRef,MATCH(4,AskIssueNo,0))),"")</f>
        <v/>
      </c>
      <c r="B29" s="9" t="str">
        <f aca="false">IFERROR(IF(INDEX(AskUnit,MATCH(4,AskIssueNo,0))=0,"",INDEX(AskUnit,MATCH(4,AskIssueNo,0))),"")</f>
        <v/>
      </c>
      <c r="C29" s="9" t="str">
        <f aca="false">IFERROR(IF(INDEX(AskTitle,MATCH(4,AskIssueNo,0))=0,"",INDEX(AskTitle,MATCH(4,AskIssueNo,0))),"")</f>
        <v/>
      </c>
      <c r="D29" s="44" t="str">
        <f aca="false">IFERROR(IF(INDEX(AskProblem,MATCH(4,AskIssueNo,0))=0,"",INDEX(AskProblem,MATCH(4,AskIssueNo,0))),"")</f>
        <v/>
      </c>
    </row>
    <row r="30" customFormat="false" ht="15" hidden="false" customHeight="false" outlineLevel="0" collapsed="false">
      <c r="A30" s="9" t="str">
        <f aca="false">IFERROR(IF(INDEX(AskRef,MATCH(5,AskIssueNo,0))=0,"",INDEX(AskRef,MATCH(5,AskIssueNo,0))),"")</f>
        <v/>
      </c>
      <c r="B30" s="9" t="str">
        <f aca="false">IFERROR(IF(INDEX(AskUnit,MATCH(5,AskIssueNo,0))=0,"",INDEX(AskUnit,MATCH(5,AskIssueNo,0))),"")</f>
        <v/>
      </c>
      <c r="C30" s="9" t="str">
        <f aca="false">IFERROR(IF(INDEX(AskTitle,MATCH(5,AskIssueNo,0))=0,"",INDEX(AskTitle,MATCH(5,AskIssueNo,0))),"")</f>
        <v/>
      </c>
      <c r="D30" s="44" t="str">
        <f aca="false">IFERROR(IF(INDEX(AskProblem,MATCH(5,AskIssueNo,0))=0,"",INDEX(AskProblem,MATCH(5,AskIssueNo,0))),"")</f>
        <v/>
      </c>
    </row>
    <row r="31" customFormat="false" ht="15" hidden="false" customHeight="false" outlineLevel="0" collapsed="false">
      <c r="A31" s="9" t="str">
        <f aca="false">IFERROR(IF(INDEX(AskRef,MATCH(6,AskIssueNo,0))=0,"",INDEX(AskRef,MATCH(6,AskIssueNo,0))),"")</f>
        <v/>
      </c>
      <c r="B31" s="9" t="str">
        <f aca="false">IFERROR(IF(INDEX(AskUnit,MATCH(6,AskIssueNo,0))=0,"",INDEX(AskUnit,MATCH(6,AskIssueNo,0))),"")</f>
        <v/>
      </c>
      <c r="C31" s="9" t="str">
        <f aca="false">IFERROR(IF(INDEX(AskTitle,MATCH(6,AskIssueNo,0))=0,"",INDEX(AskTitle,MATCH(6,AskIssueNo,0))),"")</f>
        <v/>
      </c>
      <c r="D31" s="44" t="str">
        <f aca="false">IFERROR(IF(INDEX(AskProblem,MATCH(6,AskIssueNo,0))=0,"",INDEX(AskProblem,MATCH(6,AskIssueNo,0))),"")</f>
        <v/>
      </c>
    </row>
    <row r="32" customFormat="false" ht="15" hidden="false" customHeight="false" outlineLevel="0" collapsed="false">
      <c r="A32" s="9" t="str">
        <f aca="false">IFERROR(IF(INDEX(AskRef,MATCH(7,AskIssueNo,0))=0,"",INDEX(AskRef,MATCH(7,AskIssueNo,0))),"")</f>
        <v/>
      </c>
      <c r="B32" s="9" t="str">
        <f aca="false">IFERROR(IF(INDEX(AskUnit,MATCH(7,AskIssueNo,0))=0,"",INDEX(AskUnit,MATCH(7,AskIssueNo,0))),"")</f>
        <v/>
      </c>
      <c r="C32" s="9" t="str">
        <f aca="false">IFERROR(IF(INDEX(AskTitle,MATCH(7,AskIssueNo,0))=0,"",INDEX(AskTitle,MATCH(7,AskIssueNo,0))),"")</f>
        <v/>
      </c>
      <c r="D32" s="44" t="str">
        <f aca="false">IFERROR(IF(INDEX(AskProblem,MATCH(7,AskIssueNo,0))=0,"",INDEX(AskProblem,MATCH(7,AskIssueNo,0))),"")</f>
        <v/>
      </c>
    </row>
    <row r="33" customFormat="false" ht="15" hidden="false" customHeight="false" outlineLevel="0" collapsed="false">
      <c r="A33" s="9" t="str">
        <f aca="false">IFERROR(IF(INDEX(AskRef,MATCH(8,AskIssueNo,0))=0,"",INDEX(AskRef,MATCH(8,AskIssueNo,0))),"")</f>
        <v/>
      </c>
      <c r="B33" s="9" t="str">
        <f aca="false">IFERROR(IF(INDEX(AskUnit,MATCH(8,AskIssueNo,0))=0,"",INDEX(AskUnit,MATCH(8,AskIssueNo,0))),"")</f>
        <v/>
      </c>
      <c r="C33" s="9" t="str">
        <f aca="false">IFERROR(IF(INDEX(AskTitle,MATCH(8,AskIssueNo,0))=0,"",INDEX(AskTitle,MATCH(8,AskIssueNo,0))),"")</f>
        <v/>
      </c>
      <c r="D33" s="44" t="str">
        <f aca="false">IFERROR(IF(INDEX(AskProblem,MATCH(8,AskIssueNo,0))=0,"",INDEX(AskProblem,MATCH(8,AskIssueNo,0))),"")</f>
        <v/>
      </c>
    </row>
    <row r="34" customFormat="false" ht="15" hidden="false" customHeight="false" outlineLevel="0" collapsed="false">
      <c r="A34" s="9" t="str">
        <f aca="false">IFERROR(IF(INDEX(AskRef,MATCH(9,AskIssueNo,0))=0,"",INDEX(AskRef,MATCH(9,AskIssueNo,0))),"")</f>
        <v/>
      </c>
      <c r="B34" s="9" t="str">
        <f aca="false">IFERROR(IF(INDEX(AskUnit,MATCH(9,AskIssueNo,0))=0,"",INDEX(AskUnit,MATCH(9,AskIssueNo,0))),"")</f>
        <v/>
      </c>
      <c r="C34" s="9" t="str">
        <f aca="false">IFERROR(IF(INDEX(AskTitle,MATCH(9,AskIssueNo,0))=0,"",INDEX(AskTitle,MATCH(9,AskIssueNo,0))),"")</f>
        <v/>
      </c>
      <c r="D34" s="44" t="str">
        <f aca="false">IFERROR(IF(INDEX(AskProblem,MATCH(9,AskIssueNo,0))=0,"",INDEX(AskProblem,MATCH(9,AskIssueNo,0))),"")</f>
        <v/>
      </c>
    </row>
    <row r="35" customFormat="false" ht="15" hidden="false" customHeight="false" outlineLevel="0" collapsed="false">
      <c r="A35" s="9" t="str">
        <f aca="false">IFERROR(IF(INDEX(AskRef,MATCH(10,AskIssueNo,0))=0,"",INDEX(AskRef,MATCH(10,AskIssueNo,0))),"")</f>
        <v/>
      </c>
      <c r="B35" s="9" t="str">
        <f aca="false">IFERROR(IF(INDEX(AskUnit,MATCH(10,AskIssueNo,0))=0,"",INDEX(AskUnit,MATCH(10,AskIssueNo,0))),"")</f>
        <v/>
      </c>
      <c r="C35" s="9" t="str">
        <f aca="false">IFERROR(IF(INDEX(AskTitle,MATCH(10,AskIssueNo,0))=0,"",INDEX(AskTitle,MATCH(10,AskIssueNo,0))),"")</f>
        <v/>
      </c>
      <c r="D35" s="44" t="str">
        <f aca="false">IFERROR(IF(INDEX(AskProblem,MATCH(10,AskIssueNo,0))=0,"",INDEX(AskProblem,MATCH(10,AskIssueNo,0))),"")</f>
        <v/>
      </c>
    </row>
    <row r="36" customFormat="false" ht="15" hidden="false" customHeight="false" outlineLevel="0" collapsed="false">
      <c r="A36" s="9" t="str">
        <f aca="false">IFERROR(IF(INDEX(AskRef,MATCH(11,AskIssueNo,0))=0,"",INDEX(AskRef,MATCH(11,AskIssueNo,0))),"")</f>
        <v/>
      </c>
      <c r="B36" s="9" t="str">
        <f aca="false">IFERROR(IF(INDEX(AskUnit,MATCH(11,AskIssueNo,0))=0,"",INDEX(AskUnit,MATCH(11,AskIssueNo,0))),"")</f>
        <v/>
      </c>
      <c r="C36" s="9" t="str">
        <f aca="false">IFERROR(IF(INDEX(AskTitle,MATCH(11,AskIssueNo,0))=0,"",INDEX(AskTitle,MATCH(11,AskIssueNo,0))),"")</f>
        <v/>
      </c>
      <c r="D36" s="44" t="str">
        <f aca="false">IFERROR(IF(INDEX(AskProblem,MATCH(11,AskIssueNo,0))=0,"",INDEX(AskProblem,MATCH(11,AskIssueNo,0))),"")</f>
        <v/>
      </c>
    </row>
    <row r="37" customFormat="false" ht="15" hidden="false" customHeight="false" outlineLevel="0" collapsed="false">
      <c r="A37" s="9" t="str">
        <f aca="false">IFERROR(IF(INDEX(AskRef,MATCH(12,AskIssueNo,0))=0,"",INDEX(AskRef,MATCH(12,AskIssueNo,0))),"")</f>
        <v/>
      </c>
      <c r="B37" s="9" t="str">
        <f aca="false">IFERROR(IF(INDEX(AskUnit,MATCH(12,AskIssueNo,0))=0,"",INDEX(AskUnit,MATCH(12,AskIssueNo,0))),"")</f>
        <v/>
      </c>
      <c r="C37" s="9" t="str">
        <f aca="false">IFERROR(IF(INDEX(AskTitle,MATCH(12,AskIssueNo,0))=0,"",INDEX(AskTitle,MATCH(12,AskIssueNo,0))),"")</f>
        <v/>
      </c>
      <c r="D37" s="44" t="str">
        <f aca="false">IFERROR(IF(INDEX(AskProblem,MATCH(12,AskIssueNo,0))=0,"",INDEX(AskProblem,MATCH(12,AskIssueNo,0))),"")</f>
        <v/>
      </c>
    </row>
    <row r="38" customFormat="false" ht="15" hidden="false" customHeight="false" outlineLevel="0" collapsed="false">
      <c r="A38" s="9" t="str">
        <f aca="false">IFERROR(IF(INDEX(AskRef,MATCH(13,AskIssueNo,0))=0,"",INDEX(AskRef,MATCH(13,AskIssueNo,0))),"")</f>
        <v/>
      </c>
      <c r="B38" s="9" t="str">
        <f aca="false">IFERROR(IF(INDEX(AskUnit,MATCH(13,AskIssueNo,0))=0,"",INDEX(AskUnit,MATCH(13,AskIssueNo,0))),"")</f>
        <v/>
      </c>
      <c r="C38" s="9" t="str">
        <f aca="false">IFERROR(IF(INDEX(AskTitle,MATCH(13,AskIssueNo,0))=0,"",INDEX(AskTitle,MATCH(13,AskIssueNo,0))),"")</f>
        <v/>
      </c>
      <c r="D38" s="44" t="str">
        <f aca="false">IFERROR(IF(INDEX(AskProblem,MATCH(13,AskIssueNo,0))=0,"",INDEX(AskProblem,MATCH(13,AskIssueNo,0))),"")</f>
        <v/>
      </c>
    </row>
    <row r="39" customFormat="false" ht="15" hidden="false" customHeight="false" outlineLevel="0" collapsed="false">
      <c r="A39" s="9" t="str">
        <f aca="false">IFERROR(IF(INDEX(AskRef,MATCH(14,AskIssueNo,0))=0,"",INDEX(AskRef,MATCH(14,AskIssueNo,0))),"")</f>
        <v/>
      </c>
      <c r="B39" s="9" t="str">
        <f aca="false">IFERROR(IF(INDEX(AskUnit,MATCH(14,AskIssueNo,0))=0,"",INDEX(AskUnit,MATCH(14,AskIssueNo,0))),"")</f>
        <v/>
      </c>
      <c r="C39" s="9" t="str">
        <f aca="false">IFERROR(IF(INDEX(AskTitle,MATCH(14,AskIssueNo,0))=0,"",INDEX(AskTitle,MATCH(14,AskIssueNo,0))),"")</f>
        <v/>
      </c>
      <c r="D39" s="44" t="str">
        <f aca="false">IFERROR(IF(INDEX(AskProblem,MATCH(14,AskIssueNo,0))=0,"",INDEX(AskProblem,MATCH(14,AskIssueNo,0))),"")</f>
        <v/>
      </c>
    </row>
    <row r="40" customFormat="false" ht="15" hidden="false" customHeight="false" outlineLevel="0" collapsed="false">
      <c r="A40" s="9" t="str">
        <f aca="false">IFERROR(IF(INDEX(AskRef,MATCH(15,AskIssueNo,0))=0,"",INDEX(AskRef,MATCH(15,AskIssueNo,0))),"")</f>
        <v/>
      </c>
      <c r="B40" s="9" t="str">
        <f aca="false">IFERROR(IF(INDEX(AskUnit,MATCH(15,AskIssueNo,0))=0,"",INDEX(AskUnit,MATCH(15,AskIssueNo,0))),"")</f>
        <v/>
      </c>
      <c r="C40" s="9" t="str">
        <f aca="false">IFERROR(IF(INDEX(AskTitle,MATCH(15,AskIssueNo,0))=0,"",INDEX(AskTitle,MATCH(15,AskIssueNo,0))),"")</f>
        <v/>
      </c>
      <c r="D40" s="44" t="str">
        <f aca="false">IFERROR(IF(INDEX(AskProblem,MATCH(15,AskIssueNo,0))=0,"",INDEX(AskProblem,MATCH(15,AskIssueNo,0))),"")</f>
        <v/>
      </c>
    </row>
    <row r="41" customFormat="false" ht="15" hidden="false" customHeight="false" outlineLevel="0" collapsed="false">
      <c r="A41" s="9" t="str">
        <f aca="false">IFERROR(IF(INDEX(AskRef,MATCH(16,AskIssueNo,0))=0,"",INDEX(AskRef,MATCH(16,AskIssueNo,0))),"")</f>
        <v/>
      </c>
      <c r="B41" s="9" t="str">
        <f aca="false">IFERROR(IF(INDEX(AskUnit,MATCH(16,AskIssueNo,0))=0,"",INDEX(AskUnit,MATCH(16,AskIssueNo,0))),"")</f>
        <v/>
      </c>
      <c r="C41" s="9" t="str">
        <f aca="false">IFERROR(IF(INDEX(AskTitle,MATCH(16,AskIssueNo,0))=0,"",INDEX(AskTitle,MATCH(16,AskIssueNo,0))),"")</f>
        <v/>
      </c>
      <c r="D41" s="44" t="str">
        <f aca="false">IFERROR(IF(INDEX(AskProblem,MATCH(16,AskIssueNo,0))=0,"",INDEX(AskProblem,MATCH(16,AskIssueNo,0))),"")</f>
        <v/>
      </c>
    </row>
    <row r="42" customFormat="false" ht="15" hidden="false" customHeight="false" outlineLevel="0" collapsed="false">
      <c r="A42" s="9" t="str">
        <f aca="false">IFERROR(IF(INDEX(AskRef,MATCH(17,AskIssueNo,0))=0,"",INDEX(AskRef,MATCH(17,AskIssueNo,0))),"")</f>
        <v/>
      </c>
      <c r="B42" s="9" t="str">
        <f aca="false">IFERROR(IF(INDEX(AskUnit,MATCH(17,AskIssueNo,0))=0,"",INDEX(AskUnit,MATCH(17,AskIssueNo,0))),"")</f>
        <v/>
      </c>
      <c r="C42" s="9" t="str">
        <f aca="false">IFERROR(IF(INDEX(AskTitle,MATCH(17,AskIssueNo,0))=0,"",INDEX(AskTitle,MATCH(17,AskIssueNo,0))),"")</f>
        <v/>
      </c>
      <c r="D42" s="44" t="str">
        <f aca="false">IFERROR(IF(INDEX(AskProblem,MATCH(17,AskIssueNo,0))=0,"",INDEX(AskProblem,MATCH(17,AskIssueNo,0))),"")</f>
        <v/>
      </c>
    </row>
    <row r="43" customFormat="false" ht="15" hidden="false" customHeight="false" outlineLevel="0" collapsed="false">
      <c r="A43" s="9" t="str">
        <f aca="false">IFERROR(IF(INDEX(AskRef,MATCH(18,AskIssueNo,0))=0,"",INDEX(AskRef,MATCH(18,AskIssueNo,0))),"")</f>
        <v/>
      </c>
      <c r="B43" s="9" t="str">
        <f aca="false">IFERROR(IF(INDEX(AskUnit,MATCH(18,AskIssueNo,0))=0,"",INDEX(AskUnit,MATCH(18,AskIssueNo,0))),"")</f>
        <v/>
      </c>
      <c r="C43" s="9" t="str">
        <f aca="false">IFERROR(IF(INDEX(AskTitle,MATCH(18,AskIssueNo,0))=0,"",INDEX(AskTitle,MATCH(18,AskIssueNo,0))),"")</f>
        <v/>
      </c>
      <c r="D43" s="44" t="str">
        <f aca="false">IFERROR(IF(INDEX(AskProblem,MATCH(18,AskIssueNo,0))=0,"",INDEX(AskProblem,MATCH(18,AskIssueNo,0))),"")</f>
        <v/>
      </c>
    </row>
    <row r="44" customFormat="false" ht="15" hidden="false" customHeight="false" outlineLevel="0" collapsed="false">
      <c r="A44" s="9" t="str">
        <f aca="false">IFERROR(IF(INDEX(AskRef,MATCH(19,AskIssueNo,0))=0,"",INDEX(AskRef,MATCH(19,AskIssueNo,0))),"")</f>
        <v/>
      </c>
      <c r="B44" s="9" t="str">
        <f aca="false">IFERROR(IF(INDEX(AskUnit,MATCH(19,AskIssueNo,0))=0,"",INDEX(AskUnit,MATCH(19,AskIssueNo,0))),"")</f>
        <v/>
      </c>
      <c r="C44" s="9" t="str">
        <f aca="false">IFERROR(IF(INDEX(AskTitle,MATCH(19,AskIssueNo,0))=0,"",INDEX(AskTitle,MATCH(19,AskIssueNo,0))),"")</f>
        <v/>
      </c>
      <c r="D44" s="44" t="str">
        <f aca="false">IFERROR(IF(INDEX(AskProblem,MATCH(19,AskIssueNo,0))=0,"",INDEX(AskProblem,MATCH(19,AskIssueNo,0))),"")</f>
        <v/>
      </c>
    </row>
    <row r="45" customFormat="false" ht="15" hidden="false" customHeight="false" outlineLevel="0" collapsed="false">
      <c r="A45" s="9" t="str">
        <f aca="false">IFERROR(IF(INDEX(AskRef,MATCH(20,AskIssueNo,0))=0,"",INDEX(AskRef,MATCH(20,AskIssueNo,0))),"")</f>
        <v/>
      </c>
      <c r="B45" s="9" t="str">
        <f aca="false">IFERROR(IF(INDEX(AskUnit,MATCH(20,AskIssueNo,0))=0,"",INDEX(AskUnit,MATCH(20,AskIssueNo,0))),"")</f>
        <v/>
      </c>
      <c r="C45" s="9" t="str">
        <f aca="false">IFERROR(IF(INDEX(AskTitle,MATCH(20,AskIssueNo,0))=0,"",INDEX(AskTitle,MATCH(20,AskIssueNo,0))),"")</f>
        <v/>
      </c>
      <c r="D45" s="44" t="str">
        <f aca="false">IFERROR(IF(INDEX(AskProblem,MATCH(20,AskIssueNo,0))=0,"",INDEX(AskProblem,MATCH(20,AskIssueNo,0))),"")</f>
        <v/>
      </c>
    </row>
    <row r="47" customFormat="false" ht="15" hidden="false" customHeight="false" outlineLevel="0" collapsed="false">
      <c r="A47" s="3" t="s">
        <v>655</v>
      </c>
    </row>
    <row r="48" customFormat="false" ht="15" hidden="false" customHeight="false" outlineLevel="0" collapsed="false">
      <c r="A48" s="6" t="s">
        <v>656</v>
      </c>
      <c r="B48" s="45" t="str">
        <f aca="false">IF(SUM($B$6:$B$16)=0,"Yes","No")</f>
        <v>No</v>
      </c>
      <c r="C48" s="30" t="s">
        <v>657</v>
      </c>
    </row>
    <row r="49" customFormat="false" ht="15" hidden="false" customHeight="false" outlineLevel="0" collapsed="false">
      <c r="A49" s="6" t="s">
        <v>658</v>
      </c>
      <c r="B49" s="21"/>
    </row>
    <row r="50" customFormat="false" ht="15" hidden="false" customHeight="false" outlineLevel="0" collapsed="false">
      <c r="A50" s="6" t="s">
        <v>659</v>
      </c>
      <c r="B50" s="21"/>
    </row>
    <row r="51" customFormat="false" ht="15" hidden="false" customHeight="false" outlineLevel="0" collapsed="false">
      <c r="A51" s="6" t="s">
        <v>660</v>
      </c>
      <c r="B51" s="21"/>
    </row>
    <row r="52" customFormat="false" ht="15" hidden="false" customHeight="false" outlineLevel="0" collapsed="false">
      <c r="A52" s="3" t="s">
        <v>661</v>
      </c>
      <c r="B52" s="46" t="s">
        <v>662</v>
      </c>
      <c r="C52" s="30" t="s">
        <v>663</v>
      </c>
    </row>
    <row r="54" customFormat="false" ht="25.5" hidden="false" customHeight="true" outlineLevel="0" collapsed="false">
      <c r="A54" s="11" t="s">
        <v>664</v>
      </c>
      <c r="B54" s="11"/>
      <c r="C54" s="11"/>
      <c r="D54" s="11"/>
    </row>
  </sheetData>
  <sheetProtection sheet="true" sort="false" autoFilter="false"/>
  <mergeCells count="2">
    <mergeCell ref="A2:J2"/>
    <mergeCell ref="A54:D54"/>
  </mergeCells>
  <conditionalFormatting sqref="C6:C16">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2">
      <formula>"Review"</formula>
    </cfRule>
  </conditionalFormatting>
  <conditionalFormatting sqref="C20:C22">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2">
      <formula>"Review"</formula>
    </cfRule>
  </conditionalFormatting>
  <conditionalFormatting sqref="B48">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2" type="custom">
      <formula1>AND(OR($B$52="Draft",$B$52="Submitted"),OR($B$52="Draft",$B$48="Yes"))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4" hidden="false" customHeight="true" outlineLevel="0" collapsed="false">
      <c r="A1" s="1" t="s">
        <v>15</v>
      </c>
    </row>
    <row r="2" customFormat="false" ht="15" hidden="false" customHeight="false" outlineLevel="0" collapsed="false">
      <c r="A2" s="2" t="s">
        <v>665</v>
      </c>
      <c r="B2" s="2"/>
      <c r="C2" s="2"/>
      <c r="D2" s="2"/>
      <c r="E2" s="2"/>
      <c r="F2" s="2"/>
      <c r="G2" s="2"/>
      <c r="H2" s="2"/>
      <c r="I2" s="2"/>
      <c r="J2" s="2"/>
    </row>
    <row r="4" customFormat="false" ht="30" hidden="false" customHeight="true" outlineLevel="0" collapsed="false">
      <c r="A4" s="12" t="s">
        <v>666</v>
      </c>
      <c r="B4" s="12" t="s">
        <v>667</v>
      </c>
    </row>
    <row r="5" customFormat="false" ht="27.75" hidden="false" customHeight="true" outlineLevel="0" collapsed="false">
      <c r="A5" s="47" t="s">
        <v>668</v>
      </c>
      <c r="B5" s="48" t="s">
        <v>669</v>
      </c>
    </row>
    <row r="6" customFormat="false" ht="27.75" hidden="false" customHeight="true" outlineLevel="0" collapsed="false">
      <c r="A6" s="47" t="s">
        <v>378</v>
      </c>
      <c r="B6" s="48" t="s">
        <v>670</v>
      </c>
    </row>
    <row r="7" customFormat="false" ht="27.75" hidden="false" customHeight="true" outlineLevel="0" collapsed="false">
      <c r="A7" s="47" t="s">
        <v>671</v>
      </c>
      <c r="B7" s="48" t="s">
        <v>672</v>
      </c>
    </row>
    <row r="8" customFormat="false" ht="27.75" hidden="false" customHeight="true" outlineLevel="0" collapsed="false">
      <c r="A8" s="47" t="s">
        <v>673</v>
      </c>
      <c r="B8" s="48" t="s">
        <v>674</v>
      </c>
    </row>
    <row r="9" customFormat="false" ht="27.75" hidden="false" customHeight="true" outlineLevel="0" collapsed="false">
      <c r="A9" s="47" t="s">
        <v>675</v>
      </c>
      <c r="B9" s="48" t="s">
        <v>676</v>
      </c>
    </row>
    <row r="10" customFormat="false" ht="27.75" hidden="false" customHeight="true" outlineLevel="0" collapsed="false">
      <c r="A10" s="47" t="s">
        <v>379</v>
      </c>
      <c r="B10" s="48" t="s">
        <v>677</v>
      </c>
    </row>
    <row r="11" customFormat="false" ht="27.75" hidden="false" customHeight="true" outlineLevel="0" collapsed="false">
      <c r="A11" s="47" t="s">
        <v>678</v>
      </c>
      <c r="B11" s="48" t="s">
        <v>679</v>
      </c>
    </row>
    <row r="12" customFormat="false" ht="27.75" hidden="false" customHeight="true" outlineLevel="0" collapsed="false">
      <c r="A12" s="47" t="s">
        <v>680</v>
      </c>
      <c r="B12" s="48" t="s">
        <v>681</v>
      </c>
    </row>
    <row r="13" customFormat="false" ht="27.75" hidden="false" customHeight="true" outlineLevel="0" collapsed="false">
      <c r="A13" s="47" t="s">
        <v>682</v>
      </c>
      <c r="B13" s="48" t="s">
        <v>683</v>
      </c>
    </row>
    <row r="14" customFormat="false" ht="27.75" hidden="false" customHeight="true" outlineLevel="0" collapsed="false">
      <c r="A14" s="47" t="s">
        <v>684</v>
      </c>
      <c r="B14" s="48" t="s">
        <v>685</v>
      </c>
    </row>
    <row r="15" customFormat="false" ht="27.75" hidden="false" customHeight="true" outlineLevel="0" collapsed="false">
      <c r="A15" s="47" t="s">
        <v>24</v>
      </c>
      <c r="B15" s="48" t="s">
        <v>686</v>
      </c>
    </row>
    <row r="16" customFormat="false" ht="27.75" hidden="false" customHeight="true" outlineLevel="0" collapsed="false">
      <c r="A16" s="47" t="s">
        <v>543</v>
      </c>
      <c r="B16" s="48" t="s">
        <v>687</v>
      </c>
    </row>
    <row r="17" customFormat="false" ht="27.75" hidden="false" customHeight="true" outlineLevel="0" collapsed="false">
      <c r="A17" s="47" t="s">
        <v>688</v>
      </c>
      <c r="B17" s="48" t="s">
        <v>689</v>
      </c>
    </row>
    <row r="18" customFormat="false" ht="27.75" hidden="false" customHeight="true" outlineLevel="0" collapsed="false">
      <c r="A18" s="47" t="s">
        <v>690</v>
      </c>
      <c r="B18" s="48" t="s">
        <v>691</v>
      </c>
    </row>
    <row r="19" customFormat="false" ht="27.75" hidden="false" customHeight="true" outlineLevel="0" collapsed="false">
      <c r="A19" s="47" t="s">
        <v>692</v>
      </c>
      <c r="B19" s="48" t="s">
        <v>693</v>
      </c>
    </row>
    <row r="20" customFormat="false" ht="27.75" hidden="false" customHeight="true" outlineLevel="0" collapsed="false">
      <c r="A20" s="47" t="s">
        <v>599</v>
      </c>
      <c r="B20" s="48" t="s">
        <v>694</v>
      </c>
    </row>
    <row r="21" customFormat="false" ht="27.75" hidden="false" customHeight="true" outlineLevel="0" collapsed="false">
      <c r="A21" s="47" t="s">
        <v>695</v>
      </c>
      <c r="B21" s="48" t="s">
        <v>696</v>
      </c>
    </row>
    <row r="22" customFormat="false" ht="27.75" hidden="false" customHeight="true" outlineLevel="0" collapsed="false">
      <c r="A22" s="47" t="s">
        <v>697</v>
      </c>
      <c r="B22" s="48" t="s">
        <v>698</v>
      </c>
    </row>
    <row r="23" customFormat="false" ht="27.75" hidden="false" customHeight="true" outlineLevel="0" collapsed="false">
      <c r="A23" s="47" t="s">
        <v>699</v>
      </c>
      <c r="B23" s="48" t="s">
        <v>700</v>
      </c>
    </row>
    <row r="24" customFormat="false" ht="27.75" hidden="false" customHeight="true" outlineLevel="0" collapsed="false">
      <c r="A24" s="47" t="s">
        <v>701</v>
      </c>
      <c r="B24" s="48" t="s">
        <v>702</v>
      </c>
    </row>
    <row r="25" customFormat="false" ht="27.75" hidden="false" customHeight="true" outlineLevel="0" collapsed="false">
      <c r="A25" s="47" t="s">
        <v>598</v>
      </c>
      <c r="B25" s="48" t="s">
        <v>703</v>
      </c>
    </row>
    <row r="26" customFormat="false" ht="27.75" hidden="false" customHeight="true" outlineLevel="0" collapsed="false">
      <c r="A26" s="47" t="s">
        <v>30</v>
      </c>
      <c r="B26" s="48" t="s">
        <v>704</v>
      </c>
    </row>
    <row r="27" customFormat="false" ht="27.75" hidden="false" customHeight="true" outlineLevel="0" collapsed="false">
      <c r="A27" s="47" t="s">
        <v>705</v>
      </c>
      <c r="B27" s="48" t="s">
        <v>706</v>
      </c>
    </row>
  </sheetData>
  <sheetProtection sheet="true" sort="false" autoFilter="false"/>
  <mergeCells count="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707</v>
      </c>
    </row>
    <row r="2" customFormat="false" ht="15" hidden="false" customHeight="false" outlineLevel="0" collapsed="false">
      <c r="A2" s="2" t="s">
        <v>708</v>
      </c>
      <c r="B2" s="2"/>
      <c r="C2" s="2"/>
      <c r="D2" s="2"/>
      <c r="E2" s="2"/>
      <c r="F2" s="2"/>
      <c r="G2" s="2"/>
      <c r="H2" s="2"/>
      <c r="I2" s="2"/>
      <c r="J2" s="2"/>
    </row>
    <row r="4" customFormat="false" ht="15" hidden="false" customHeight="false" outlineLevel="0" collapsed="false">
      <c r="A4" s="3" t="s">
        <v>709</v>
      </c>
    </row>
    <row r="5" customFormat="false" ht="15" hidden="false" customHeight="false" outlineLevel="0" collapsed="false">
      <c r="A5" s="6" t="s">
        <v>710</v>
      </c>
      <c r="B5" s="49" t="n">
        <v>2027</v>
      </c>
    </row>
    <row r="6" customFormat="false" ht="15" hidden="false" customHeight="false" outlineLevel="0" collapsed="false">
      <c r="A6" s="6" t="s">
        <v>711</v>
      </c>
      <c r="B6" s="49" t="n">
        <v>2026</v>
      </c>
    </row>
    <row r="7" customFormat="false" ht="15" hidden="false" customHeight="false" outlineLevel="0" collapsed="false">
      <c r="A7" s="6" t="s">
        <v>712</v>
      </c>
      <c r="B7" s="50" t="n">
        <v>0.09</v>
      </c>
    </row>
    <row r="8" customFormat="false" ht="15" hidden="false" customHeight="false" outlineLevel="0" collapsed="false">
      <c r="A8" s="6" t="s">
        <v>713</v>
      </c>
      <c r="B8" s="50" t="n">
        <v>0.03</v>
      </c>
    </row>
    <row r="9" customFormat="false" ht="15" hidden="false" customHeight="false" outlineLevel="0" collapsed="false">
      <c r="A9" s="6" t="s">
        <v>714</v>
      </c>
      <c r="B9" s="50" t="n">
        <v>0.04</v>
      </c>
    </row>
    <row r="10" customFormat="false" ht="15" hidden="false" customHeight="false" outlineLevel="0" collapsed="false">
      <c r="A10" s="6" t="s">
        <v>715</v>
      </c>
      <c r="B10" s="50" t="n">
        <v>0.1175</v>
      </c>
    </row>
    <row r="11" customFormat="false" ht="15" hidden="false" customHeight="false" outlineLevel="0" collapsed="false">
      <c r="A11" s="6" t="s">
        <v>716</v>
      </c>
      <c r="B11" s="50" t="n">
        <v>0.02</v>
      </c>
    </row>
    <row r="12" customFormat="false" ht="15" hidden="false" customHeight="false" outlineLevel="0" collapsed="false">
      <c r="A12" s="6" t="s">
        <v>59</v>
      </c>
      <c r="B12" s="49" t="s">
        <v>60</v>
      </c>
    </row>
    <row r="14" customFormat="false" ht="15" hidden="false" customHeight="false" outlineLevel="0" collapsed="false">
      <c r="A14" s="3" t="s">
        <v>717</v>
      </c>
    </row>
    <row r="15" customFormat="false" ht="15" hidden="false" customHeight="false" outlineLevel="0" collapsed="false">
      <c r="A15" s="6" t="s">
        <v>718</v>
      </c>
      <c r="B15" s="51" t="n">
        <v>4832</v>
      </c>
      <c r="C15" s="30" t="s">
        <v>719</v>
      </c>
    </row>
    <row r="16" customFormat="false" ht="15" hidden="false" customHeight="false" outlineLevel="0" collapsed="false">
      <c r="A16" s="6" t="s">
        <v>720</v>
      </c>
      <c r="B16" s="51" t="n">
        <v>18</v>
      </c>
      <c r="C16" s="30" t="s">
        <v>721</v>
      </c>
    </row>
    <row r="17" customFormat="false" ht="15" hidden="false" customHeight="false" outlineLevel="0" collapsed="false">
      <c r="A17" s="6" t="s">
        <v>722</v>
      </c>
      <c r="B17" s="50" t="n">
        <v>0.59</v>
      </c>
      <c r="C17" s="30" t="s">
        <v>723</v>
      </c>
    </row>
    <row r="19" customFormat="false" ht="15" hidden="false" customHeight="false" outlineLevel="0" collapsed="false">
      <c r="A19" s="3" t="s">
        <v>724</v>
      </c>
      <c r="G19" s="28" t="s">
        <v>725</v>
      </c>
    </row>
    <row r="20" customFormat="false" ht="30" hidden="false" customHeight="true" outlineLevel="0" collapsed="false">
      <c r="A20" s="12" t="s">
        <v>673</v>
      </c>
      <c r="B20" s="12" t="s">
        <v>726</v>
      </c>
      <c r="C20" s="12" t="s">
        <v>727</v>
      </c>
      <c r="D20" s="12" t="s">
        <v>728</v>
      </c>
      <c r="E20" s="12" t="s">
        <v>729</v>
      </c>
      <c r="F20" s="12" t="s">
        <v>730</v>
      </c>
      <c r="G20" s="12" t="s">
        <v>731</v>
      </c>
    </row>
    <row r="21" customFormat="false" ht="15" hidden="false" customHeight="false" outlineLevel="0" collapsed="false">
      <c r="A21" s="0" t="s">
        <v>384</v>
      </c>
      <c r="B21" s="52" t="n">
        <v>900</v>
      </c>
      <c r="C21" s="52" t="n">
        <v>225</v>
      </c>
      <c r="D21" s="52" t="n">
        <v>36</v>
      </c>
      <c r="E21" s="53" t="n">
        <v>0.3</v>
      </c>
      <c r="F21" s="52" t="n">
        <v>45</v>
      </c>
      <c r="G21" s="52" t="n">
        <f aca="false">$B21+$C21+$D21+$B21*$E21+($B21+$C21)*GosiSaudi</f>
        <v>1563.1875</v>
      </c>
    </row>
    <row r="22" customFormat="false" ht="15" hidden="false" customHeight="false" outlineLevel="0" collapsed="false">
      <c r="A22" s="0" t="s">
        <v>732</v>
      </c>
      <c r="B22" s="52" t="n">
        <v>540</v>
      </c>
      <c r="C22" s="52" t="n">
        <v>135</v>
      </c>
      <c r="D22" s="52" t="n">
        <v>30</v>
      </c>
      <c r="E22" s="53" t="n">
        <v>0.22</v>
      </c>
      <c r="F22" s="52" t="n">
        <v>45</v>
      </c>
      <c r="G22" s="52" t="n">
        <f aca="false">$B22+$C22+$D22+$B22*$E22+($B22+$C22)*GosiSaudi</f>
        <v>903.1125</v>
      </c>
    </row>
    <row r="23" customFormat="false" ht="15" hidden="false" customHeight="false" outlineLevel="0" collapsed="false">
      <c r="A23" s="0" t="s">
        <v>394</v>
      </c>
      <c r="B23" s="52" t="n">
        <v>336</v>
      </c>
      <c r="C23" s="52" t="n">
        <v>84</v>
      </c>
      <c r="D23" s="52" t="n">
        <v>18</v>
      </c>
      <c r="E23" s="53" t="n">
        <v>0.15</v>
      </c>
      <c r="F23" s="52" t="n">
        <v>30</v>
      </c>
      <c r="G23" s="52" t="n">
        <f aca="false">$B23+$C23+$D23+$B23*$E23+($B23+$C23)*GosiSaudi</f>
        <v>537.75</v>
      </c>
    </row>
    <row r="24" customFormat="false" ht="15" hidden="false" customHeight="false" outlineLevel="0" collapsed="false">
      <c r="A24" s="0" t="s">
        <v>396</v>
      </c>
      <c r="B24" s="52" t="n">
        <v>216</v>
      </c>
      <c r="C24" s="52" t="n">
        <v>54</v>
      </c>
      <c r="D24" s="52" t="n">
        <v>14</v>
      </c>
      <c r="E24" s="53" t="n">
        <v>0.1</v>
      </c>
      <c r="F24" s="52" t="n">
        <v>18</v>
      </c>
      <c r="G24" s="52" t="n">
        <f aca="false">$B24+$C24+$D24+$B24*$E24+($B24+$C24)*GosiSaudi</f>
        <v>337.325</v>
      </c>
    </row>
    <row r="25" customFormat="false" ht="15" hidden="false" customHeight="false" outlineLevel="0" collapsed="false">
      <c r="A25" s="0" t="s">
        <v>733</v>
      </c>
      <c r="B25" s="52" t="n">
        <v>138</v>
      </c>
      <c r="C25" s="52" t="n">
        <v>35</v>
      </c>
      <c r="D25" s="52" t="n">
        <v>12</v>
      </c>
      <c r="E25" s="53" t="n">
        <v>0.07</v>
      </c>
      <c r="F25" s="52" t="n">
        <v>12</v>
      </c>
      <c r="G25" s="52" t="n">
        <f aca="false">$B25+$C25+$D25+$B25*$E25+($B25+$C25)*GosiSaudi</f>
        <v>214.9875</v>
      </c>
    </row>
    <row r="26" customFormat="false" ht="15" hidden="false" customHeight="false" outlineLevel="0" collapsed="false">
      <c r="A26" s="0" t="s">
        <v>734</v>
      </c>
      <c r="B26" s="52" t="n">
        <v>96</v>
      </c>
      <c r="C26" s="52" t="n">
        <v>24</v>
      </c>
      <c r="D26" s="52" t="n">
        <v>12</v>
      </c>
      <c r="E26" s="53" t="n">
        <v>0.05</v>
      </c>
      <c r="F26" s="52" t="n">
        <v>12</v>
      </c>
      <c r="G26" s="52" t="n">
        <f aca="false">$B26+$C26+$D26+$B26*$E26+($B26+$C26)*GosiSaudi</f>
        <v>150.9</v>
      </c>
    </row>
    <row r="28" customFormat="false" ht="15" hidden="false" customHeight="false" outlineLevel="0" collapsed="false">
      <c r="A28" s="3" t="s">
        <v>735</v>
      </c>
    </row>
    <row r="29" customFormat="false" ht="30" hidden="false" customHeight="true" outlineLevel="0" collapsed="false">
      <c r="A29" s="12" t="s">
        <v>30</v>
      </c>
      <c r="B29" s="12" t="s">
        <v>564</v>
      </c>
      <c r="C29" s="12" t="s">
        <v>736</v>
      </c>
    </row>
    <row r="30" customFormat="false" ht="15" hidden="false" customHeight="false" outlineLevel="0" collapsed="false">
      <c r="A30" s="0" t="s">
        <v>737</v>
      </c>
      <c r="B30" s="0" t="s">
        <v>738</v>
      </c>
      <c r="C30" s="0" t="n">
        <v>1</v>
      </c>
    </row>
    <row r="31" customFormat="false" ht="15" hidden="false" customHeight="false" outlineLevel="0" collapsed="false">
      <c r="A31" s="0" t="s">
        <v>739</v>
      </c>
      <c r="B31" s="0" t="s">
        <v>738</v>
      </c>
      <c r="C31" s="0" t="n">
        <v>1</v>
      </c>
    </row>
    <row r="32" customFormat="false" ht="15" hidden="false" customHeight="false" outlineLevel="0" collapsed="false">
      <c r="A32" s="0" t="s">
        <v>740</v>
      </c>
      <c r="B32" s="0" t="s">
        <v>738</v>
      </c>
      <c r="C32" s="0" t="n">
        <v>1</v>
      </c>
    </row>
    <row r="33" customFormat="false" ht="15" hidden="false" customHeight="false" outlineLevel="0" collapsed="false">
      <c r="A33" s="0" t="s">
        <v>741</v>
      </c>
      <c r="B33" s="0" t="s">
        <v>738</v>
      </c>
      <c r="C33" s="0" t="n">
        <v>1</v>
      </c>
    </row>
    <row r="34" customFormat="false" ht="15" hidden="false" customHeight="false" outlineLevel="0" collapsed="false">
      <c r="A34" s="0" t="s">
        <v>742</v>
      </c>
      <c r="B34" s="0" t="s">
        <v>743</v>
      </c>
      <c r="C34" s="0" t="n">
        <v>2</v>
      </c>
    </row>
    <row r="35" customFormat="false" ht="15" hidden="false" customHeight="false" outlineLevel="0" collapsed="false">
      <c r="A35" s="0" t="s">
        <v>744</v>
      </c>
      <c r="B35" s="0" t="s">
        <v>743</v>
      </c>
      <c r="C35" s="0" t="n">
        <v>2</v>
      </c>
    </row>
    <row r="36" customFormat="false" ht="15" hidden="false" customHeight="false" outlineLevel="0" collapsed="false">
      <c r="A36" s="0" t="s">
        <v>745</v>
      </c>
      <c r="B36" s="0" t="s">
        <v>743</v>
      </c>
      <c r="C36" s="0" t="n">
        <v>2</v>
      </c>
    </row>
    <row r="37" customFormat="false" ht="15" hidden="false" customHeight="false" outlineLevel="0" collapsed="false">
      <c r="A37" s="0" t="s">
        <v>746</v>
      </c>
      <c r="B37" s="0" t="s">
        <v>743</v>
      </c>
      <c r="C37" s="0" t="n">
        <v>2</v>
      </c>
    </row>
    <row r="38" customFormat="false" ht="15" hidden="false" customHeight="false" outlineLevel="0" collapsed="false">
      <c r="A38" s="0" t="s">
        <v>747</v>
      </c>
      <c r="B38" s="0" t="s">
        <v>743</v>
      </c>
      <c r="C38" s="0" t="n">
        <v>2</v>
      </c>
    </row>
    <row r="39" customFormat="false" ht="15" hidden="false" customHeight="false" outlineLevel="0" collapsed="false">
      <c r="A39" s="0" t="s">
        <v>748</v>
      </c>
      <c r="B39" s="0" t="s">
        <v>749</v>
      </c>
      <c r="C39" s="0" t="n">
        <v>3</v>
      </c>
    </row>
    <row r="40" customFormat="false" ht="15" hidden="false" customHeight="false" outlineLevel="0" collapsed="false">
      <c r="A40" s="0" t="s">
        <v>750</v>
      </c>
      <c r="B40" s="0" t="s">
        <v>749</v>
      </c>
      <c r="C40" s="0" t="n">
        <v>3</v>
      </c>
    </row>
    <row r="41" customFormat="false" ht="15" hidden="false" customHeight="false" outlineLevel="0" collapsed="false">
      <c r="A41" s="0" t="s">
        <v>751</v>
      </c>
      <c r="B41" s="0" t="s">
        <v>749</v>
      </c>
      <c r="C41" s="0" t="n">
        <v>3</v>
      </c>
    </row>
    <row r="42" customFormat="false" ht="15" hidden="false" customHeight="false" outlineLevel="0" collapsed="false">
      <c r="A42" s="0" t="s">
        <v>752</v>
      </c>
      <c r="B42" s="0" t="s">
        <v>753</v>
      </c>
      <c r="C42" s="0" t="n">
        <v>4</v>
      </c>
    </row>
    <row r="43" customFormat="false" ht="15" hidden="false" customHeight="false" outlineLevel="0" collapsed="false">
      <c r="A43" s="0" t="s">
        <v>754</v>
      </c>
      <c r="B43" s="0" t="s">
        <v>753</v>
      </c>
      <c r="C43" s="0" t="n">
        <v>4</v>
      </c>
    </row>
    <row r="44" customFormat="false" ht="15" hidden="false" customHeight="false" outlineLevel="0" collapsed="false">
      <c r="A44" s="0" t="s">
        <v>755</v>
      </c>
      <c r="B44" s="0" t="s">
        <v>753</v>
      </c>
      <c r="C44" s="0" t="n">
        <v>4</v>
      </c>
    </row>
    <row r="45" customFormat="false" ht="15" hidden="false" customHeight="false" outlineLevel="0" collapsed="false">
      <c r="A45" s="0" t="s">
        <v>756</v>
      </c>
      <c r="B45" s="0" t="s">
        <v>753</v>
      </c>
      <c r="C45" s="0" t="n">
        <v>4</v>
      </c>
    </row>
    <row r="46" customFormat="false" ht="15" hidden="false" customHeight="false" outlineLevel="0" collapsed="false">
      <c r="A46" s="0" t="s">
        <v>757</v>
      </c>
      <c r="B46" s="0" t="s">
        <v>753</v>
      </c>
      <c r="C46" s="0" t="n">
        <v>4</v>
      </c>
    </row>
    <row r="47" customFormat="false" ht="15" hidden="false" customHeight="false" outlineLevel="0" collapsed="false">
      <c r="A47" s="0" t="s">
        <v>758</v>
      </c>
      <c r="B47" s="0" t="s">
        <v>753</v>
      </c>
      <c r="C47" s="0" t="n">
        <v>4</v>
      </c>
    </row>
    <row r="48" customFormat="false" ht="15" hidden="false" customHeight="false" outlineLevel="0" collapsed="false">
      <c r="A48" s="0" t="s">
        <v>759</v>
      </c>
      <c r="B48" s="0" t="s">
        <v>753</v>
      </c>
      <c r="C48" s="0" t="n">
        <v>4</v>
      </c>
    </row>
    <row r="50" customFormat="false" ht="15" hidden="false" customHeight="false" outlineLevel="0" collapsed="false">
      <c r="A50" s="6" t="s">
        <v>760</v>
      </c>
      <c r="C50" s="6" t="s">
        <v>761</v>
      </c>
      <c r="E50" s="6" t="s">
        <v>762</v>
      </c>
      <c r="G50" s="6" t="s">
        <v>763</v>
      </c>
      <c r="I50" s="6" t="s">
        <v>764</v>
      </c>
      <c r="K50" s="6" t="s">
        <v>765</v>
      </c>
      <c r="M50" s="6" t="s">
        <v>564</v>
      </c>
      <c r="O50" s="6" t="s">
        <v>766</v>
      </c>
      <c r="Q50" s="6" t="s">
        <v>767</v>
      </c>
      <c r="S50" s="6" t="s">
        <v>768</v>
      </c>
      <c r="U50" s="6" t="s">
        <v>769</v>
      </c>
      <c r="W50" s="6" t="s">
        <v>770</v>
      </c>
    </row>
    <row r="51" customFormat="false" ht="15" hidden="false" customHeight="false" outlineLevel="0" collapsed="false">
      <c r="A51" s="0" t="s">
        <v>560</v>
      </c>
      <c r="C51" s="0" t="s">
        <v>385</v>
      </c>
      <c r="E51" s="0" t="s">
        <v>680</v>
      </c>
      <c r="G51" s="0" t="s">
        <v>771</v>
      </c>
      <c r="I51" s="0" t="s">
        <v>688</v>
      </c>
      <c r="K51" s="0" t="s">
        <v>59</v>
      </c>
      <c r="M51" s="0" t="s">
        <v>738</v>
      </c>
      <c r="O51" s="0" t="s">
        <v>772</v>
      </c>
      <c r="Q51" s="0" t="s">
        <v>384</v>
      </c>
      <c r="S51" s="0" t="s">
        <v>384</v>
      </c>
      <c r="U51" s="0" t="s">
        <v>63</v>
      </c>
      <c r="W51" s="0" t="s">
        <v>66</v>
      </c>
    </row>
    <row r="52" customFormat="false" ht="15" hidden="false" customHeight="false" outlineLevel="0" collapsed="false">
      <c r="A52" s="0" t="s">
        <v>561</v>
      </c>
      <c r="C52" s="0" t="s">
        <v>389</v>
      </c>
      <c r="E52" s="0" t="s">
        <v>682</v>
      </c>
      <c r="G52" s="0" t="s">
        <v>773</v>
      </c>
      <c r="I52" s="0" t="s">
        <v>690</v>
      </c>
      <c r="K52" s="0" t="s">
        <v>61</v>
      </c>
      <c r="M52" s="0" t="s">
        <v>743</v>
      </c>
      <c r="O52" s="0" t="s">
        <v>774</v>
      </c>
      <c r="Q52" s="0" t="s">
        <v>732</v>
      </c>
      <c r="S52" s="0" t="s">
        <v>388</v>
      </c>
      <c r="U52" s="0" t="s">
        <v>158</v>
      </c>
      <c r="W52" s="0" t="s">
        <v>68</v>
      </c>
    </row>
    <row r="53" customFormat="false" ht="15" hidden="false" customHeight="false" outlineLevel="0" collapsed="false">
      <c r="A53" s="0" t="s">
        <v>562</v>
      </c>
      <c r="C53" s="0" t="s">
        <v>775</v>
      </c>
      <c r="E53" s="0" t="s">
        <v>684</v>
      </c>
      <c r="G53" s="0" t="s">
        <v>776</v>
      </c>
      <c r="I53" s="0" t="s">
        <v>692</v>
      </c>
      <c r="K53" s="0" t="s">
        <v>64</v>
      </c>
      <c r="M53" s="0" t="s">
        <v>749</v>
      </c>
      <c r="Q53" s="0" t="s">
        <v>394</v>
      </c>
      <c r="S53" s="0" t="s">
        <v>394</v>
      </c>
      <c r="U53" s="0" t="s">
        <v>220</v>
      </c>
      <c r="W53" s="0" t="s">
        <v>71</v>
      </c>
    </row>
    <row r="54" customFormat="false" ht="15" hidden="false" customHeight="false" outlineLevel="0" collapsed="false">
      <c r="A54" s="0" t="s">
        <v>563</v>
      </c>
      <c r="G54" s="0" t="s">
        <v>777</v>
      </c>
      <c r="K54" s="0" t="s">
        <v>50</v>
      </c>
      <c r="M54" s="0" t="s">
        <v>753</v>
      </c>
      <c r="Q54" s="0" t="s">
        <v>396</v>
      </c>
      <c r="S54" s="0" t="s">
        <v>396</v>
      </c>
      <c r="U54" s="0" t="s">
        <v>310</v>
      </c>
      <c r="W54" s="0" t="s">
        <v>74</v>
      </c>
    </row>
    <row r="55" customFormat="false" ht="15" hidden="false" customHeight="false" outlineLevel="0" collapsed="false">
      <c r="G55" s="0" t="s">
        <v>759</v>
      </c>
      <c r="K55" s="0" t="s">
        <v>69</v>
      </c>
      <c r="Q55" s="0" t="s">
        <v>733</v>
      </c>
      <c r="W55" s="0" t="s">
        <v>76</v>
      </c>
    </row>
    <row r="56" customFormat="false" ht="15" hidden="false" customHeight="false" outlineLevel="0" collapsed="false">
      <c r="K56" s="0" t="s">
        <v>72</v>
      </c>
      <c r="Q56" s="0" t="s">
        <v>734</v>
      </c>
      <c r="W56" s="0" t="s">
        <v>78</v>
      </c>
    </row>
    <row r="57" customFormat="false" ht="15" hidden="false" customHeight="false" outlineLevel="0" collapsed="false">
      <c r="W57" s="0" t="s">
        <v>80</v>
      </c>
    </row>
    <row r="58" customFormat="false" ht="15" hidden="false" customHeight="false" outlineLevel="0" collapsed="false">
      <c r="W58" s="0" t="s">
        <v>82</v>
      </c>
    </row>
    <row r="59" customFormat="false" ht="15" hidden="false" customHeight="false" outlineLevel="0" collapsed="false">
      <c r="W59" s="0" t="s">
        <v>84</v>
      </c>
    </row>
    <row r="60" customFormat="false" ht="15" hidden="false" customHeight="false" outlineLevel="0" collapsed="false">
      <c r="W60" s="0" t="s">
        <v>86</v>
      </c>
    </row>
    <row r="61" customFormat="false" ht="15" hidden="false" customHeight="false" outlineLevel="0" collapsed="false">
      <c r="W61" s="0" t="s">
        <v>88</v>
      </c>
    </row>
    <row r="62" customFormat="false" ht="15" hidden="false" customHeight="false" outlineLevel="0" collapsed="false">
      <c r="W62" s="0" t="s">
        <v>90</v>
      </c>
    </row>
    <row r="63" customFormat="false" ht="15" hidden="false" customHeight="false" outlineLevel="0" collapsed="false">
      <c r="W63" s="0" t="s">
        <v>92</v>
      </c>
    </row>
    <row r="64" customFormat="false" ht="15" hidden="false" customHeight="false" outlineLevel="0" collapsed="false">
      <c r="W64" s="0" t="s">
        <v>94</v>
      </c>
    </row>
    <row r="65" customFormat="false" ht="15" hidden="false" customHeight="false" outlineLevel="0" collapsed="false">
      <c r="W65" s="0" t="s">
        <v>96</v>
      </c>
    </row>
    <row r="66" customFormat="false" ht="15" hidden="false" customHeight="false" outlineLevel="0" collapsed="false">
      <c r="W66" s="0" t="s">
        <v>98</v>
      </c>
    </row>
    <row r="67" customFormat="false" ht="15" hidden="false" customHeight="false" outlineLevel="0" collapsed="false">
      <c r="W67" s="0" t="s">
        <v>100</v>
      </c>
    </row>
    <row r="68" customFormat="false" ht="15" hidden="false" customHeight="false" outlineLevel="0" collapsed="false">
      <c r="W68" s="0" t="s">
        <v>102</v>
      </c>
    </row>
    <row r="69" customFormat="false" ht="15" hidden="false" customHeight="false" outlineLevel="0" collapsed="false">
      <c r="W69" s="0" t="s">
        <v>104</v>
      </c>
    </row>
    <row r="70" customFormat="false" ht="15" hidden="false" customHeight="false" outlineLevel="0" collapsed="false">
      <c r="W70" s="0" t="s">
        <v>106</v>
      </c>
    </row>
    <row r="71" customFormat="false" ht="15" hidden="false" customHeight="false" outlineLevel="0" collapsed="false">
      <c r="W71" s="0" t="s">
        <v>108</v>
      </c>
    </row>
    <row r="72" customFormat="false" ht="15" hidden="false" customHeight="false" outlineLevel="0" collapsed="false">
      <c r="W72" s="0" t="s">
        <v>110</v>
      </c>
    </row>
    <row r="73" customFormat="false" ht="15" hidden="false" customHeight="false" outlineLevel="0" collapsed="false">
      <c r="W73" s="0" t="s">
        <v>112</v>
      </c>
    </row>
    <row r="74" customFormat="false" ht="15" hidden="false" customHeight="false" outlineLevel="0" collapsed="false">
      <c r="W74" s="0" t="s">
        <v>114</v>
      </c>
    </row>
    <row r="75" customFormat="false" ht="15" hidden="false" customHeight="false" outlineLevel="0" collapsed="false">
      <c r="W75" s="0" t="s">
        <v>116</v>
      </c>
    </row>
    <row r="76" customFormat="false" ht="15" hidden="false" customHeight="false" outlineLevel="0" collapsed="false">
      <c r="W76" s="0" t="s">
        <v>118</v>
      </c>
    </row>
    <row r="77" customFormat="false" ht="15" hidden="false" customHeight="false" outlineLevel="0" collapsed="false">
      <c r="W77" s="0" t="s">
        <v>120</v>
      </c>
    </row>
    <row r="78" customFormat="false" ht="15" hidden="false" customHeight="false" outlineLevel="0" collapsed="false">
      <c r="W78" s="0" t="s">
        <v>122</v>
      </c>
    </row>
    <row r="79" customFormat="false" ht="15" hidden="false" customHeight="false" outlineLevel="0" collapsed="false">
      <c r="W79" s="0" t="s">
        <v>124</v>
      </c>
    </row>
    <row r="80" customFormat="false" ht="15" hidden="false" customHeight="false" outlineLevel="0" collapsed="false">
      <c r="W80" s="0" t="s">
        <v>126</v>
      </c>
    </row>
    <row r="81" customFormat="false" ht="15" hidden="false" customHeight="false" outlineLevel="0" collapsed="false">
      <c r="W81" s="0" t="s">
        <v>128</v>
      </c>
    </row>
    <row r="82" customFormat="false" ht="15" hidden="false" customHeight="false" outlineLevel="0" collapsed="false">
      <c r="W82" s="0" t="s">
        <v>130</v>
      </c>
    </row>
    <row r="83" customFormat="false" ht="15" hidden="false" customHeight="false" outlineLevel="0" collapsed="false">
      <c r="W83" s="0" t="s">
        <v>132</v>
      </c>
    </row>
    <row r="84" customFormat="false" ht="15" hidden="false" customHeight="false" outlineLevel="0" collapsed="false">
      <c r="W84" s="0" t="s">
        <v>134</v>
      </c>
    </row>
    <row r="85" customFormat="false" ht="15" hidden="false" customHeight="false" outlineLevel="0" collapsed="false">
      <c r="W85" s="0" t="s">
        <v>136</v>
      </c>
    </row>
    <row r="86" customFormat="false" ht="15" hidden="false" customHeight="false" outlineLevel="0" collapsed="false">
      <c r="W86" s="0" t="s">
        <v>138</v>
      </c>
    </row>
    <row r="87" customFormat="false" ht="15" hidden="false" customHeight="false" outlineLevel="0" collapsed="false">
      <c r="W87" s="0" t="s">
        <v>140</v>
      </c>
    </row>
    <row r="88" customFormat="false" ht="15" hidden="false" customHeight="false" outlineLevel="0" collapsed="false">
      <c r="W88" s="0" t="s">
        <v>142</v>
      </c>
    </row>
    <row r="89" customFormat="false" ht="15" hidden="false" customHeight="false" outlineLevel="0" collapsed="false">
      <c r="W89" s="0" t="s">
        <v>144</v>
      </c>
    </row>
    <row r="90" customFormat="false" ht="15" hidden="false" customHeight="false" outlineLevel="0" collapsed="false">
      <c r="W90" s="0" t="s">
        <v>146</v>
      </c>
    </row>
    <row r="91" customFormat="false" ht="15" hidden="false" customHeight="false" outlineLevel="0" collapsed="false">
      <c r="W91" s="0" t="s">
        <v>148</v>
      </c>
    </row>
    <row r="92" customFormat="false" ht="15" hidden="false" customHeight="false" outlineLevel="0" collapsed="false">
      <c r="W92" s="0" t="s">
        <v>150</v>
      </c>
    </row>
    <row r="93" customFormat="false" ht="15" hidden="false" customHeight="false" outlineLevel="0" collapsed="false">
      <c r="W93" s="0" t="s">
        <v>152</v>
      </c>
    </row>
    <row r="94" customFormat="false" ht="15" hidden="false" customHeight="false" outlineLevel="0" collapsed="false">
      <c r="W94" s="0" t="s">
        <v>154</v>
      </c>
    </row>
    <row r="95" customFormat="false" ht="15" hidden="false" customHeight="false" outlineLevel="0" collapsed="false">
      <c r="W95" s="0" t="s">
        <v>156</v>
      </c>
    </row>
    <row r="96" customFormat="false" ht="15" hidden="false" customHeight="false" outlineLevel="0" collapsed="false">
      <c r="W96" s="0" t="s">
        <v>160</v>
      </c>
    </row>
    <row r="97" customFormat="false" ht="15" hidden="false" customHeight="false" outlineLevel="0" collapsed="false">
      <c r="W97" s="0" t="s">
        <v>162</v>
      </c>
    </row>
    <row r="98" customFormat="false" ht="15" hidden="false" customHeight="false" outlineLevel="0" collapsed="false">
      <c r="W98" s="0" t="s">
        <v>164</v>
      </c>
    </row>
    <row r="99" customFormat="false" ht="15" hidden="false" customHeight="false" outlineLevel="0" collapsed="false">
      <c r="W99" s="0" t="s">
        <v>166</v>
      </c>
    </row>
    <row r="100" customFormat="false" ht="15" hidden="false" customHeight="false" outlineLevel="0" collapsed="false">
      <c r="W100" s="0" t="s">
        <v>168</v>
      </c>
    </row>
    <row r="101" customFormat="false" ht="15" hidden="false" customHeight="false" outlineLevel="0" collapsed="false">
      <c r="W101" s="0" t="s">
        <v>170</v>
      </c>
    </row>
    <row r="102" customFormat="false" ht="15" hidden="false" customHeight="false" outlineLevel="0" collapsed="false">
      <c r="W102" s="0" t="s">
        <v>172</v>
      </c>
    </row>
    <row r="103" customFormat="false" ht="15" hidden="false" customHeight="false" outlineLevel="0" collapsed="false">
      <c r="W103" s="0" t="s">
        <v>174</v>
      </c>
    </row>
    <row r="104" customFormat="false" ht="15" hidden="false" customHeight="false" outlineLevel="0" collapsed="false">
      <c r="W104" s="0" t="s">
        <v>176</v>
      </c>
    </row>
    <row r="105" customFormat="false" ht="15" hidden="false" customHeight="false" outlineLevel="0" collapsed="false">
      <c r="W105" s="0" t="s">
        <v>178</v>
      </c>
    </row>
    <row r="106" customFormat="false" ht="15" hidden="false" customHeight="false" outlineLevel="0" collapsed="false">
      <c r="W106" s="0" t="s">
        <v>180</v>
      </c>
    </row>
    <row r="107" customFormat="false" ht="15" hidden="false" customHeight="false" outlineLevel="0" collapsed="false">
      <c r="W107" s="0" t="s">
        <v>182</v>
      </c>
    </row>
    <row r="108" customFormat="false" ht="15" hidden="false" customHeight="false" outlineLevel="0" collapsed="false">
      <c r="W108" s="0" t="s">
        <v>184</v>
      </c>
    </row>
    <row r="109" customFormat="false" ht="15" hidden="false" customHeight="false" outlineLevel="0" collapsed="false">
      <c r="W109" s="0" t="s">
        <v>186</v>
      </c>
    </row>
    <row r="110" customFormat="false" ht="15" hidden="false" customHeight="false" outlineLevel="0" collapsed="false">
      <c r="W110" s="0" t="s">
        <v>188</v>
      </c>
    </row>
    <row r="111" customFormat="false" ht="15" hidden="false" customHeight="false" outlineLevel="0" collapsed="false">
      <c r="W111" s="0" t="s">
        <v>190</v>
      </c>
    </row>
    <row r="112" customFormat="false" ht="15" hidden="false" customHeight="false" outlineLevel="0" collapsed="false">
      <c r="W112" s="0" t="s">
        <v>192</v>
      </c>
    </row>
    <row r="113" customFormat="false" ht="15" hidden="false" customHeight="false" outlineLevel="0" collapsed="false">
      <c r="W113" s="0" t="s">
        <v>194</v>
      </c>
    </row>
    <row r="114" customFormat="false" ht="15" hidden="false" customHeight="false" outlineLevel="0" collapsed="false">
      <c r="W114" s="0" t="s">
        <v>196</v>
      </c>
    </row>
    <row r="115" customFormat="false" ht="15" hidden="false" customHeight="false" outlineLevel="0" collapsed="false">
      <c r="W115" s="0" t="s">
        <v>198</v>
      </c>
    </row>
    <row r="116" customFormat="false" ht="15" hidden="false" customHeight="false" outlineLevel="0" collapsed="false">
      <c r="W116" s="0" t="s">
        <v>200</v>
      </c>
    </row>
    <row r="117" customFormat="false" ht="15" hidden="false" customHeight="false" outlineLevel="0" collapsed="false">
      <c r="W117" s="0" t="s">
        <v>202</v>
      </c>
    </row>
    <row r="118" customFormat="false" ht="15" hidden="false" customHeight="false" outlineLevel="0" collapsed="false">
      <c r="W118" s="0" t="s">
        <v>204</v>
      </c>
    </row>
    <row r="119" customFormat="false" ht="15" hidden="false" customHeight="false" outlineLevel="0" collapsed="false">
      <c r="W119" s="0" t="s">
        <v>206</v>
      </c>
    </row>
    <row r="120" customFormat="false" ht="15" hidden="false" customHeight="false" outlineLevel="0" collapsed="false">
      <c r="W120" s="0" t="s">
        <v>208</v>
      </c>
    </row>
    <row r="121" customFormat="false" ht="15" hidden="false" customHeight="false" outlineLevel="0" collapsed="false">
      <c r="W121" s="0" t="s">
        <v>210</v>
      </c>
    </row>
    <row r="122" customFormat="false" ht="15" hidden="false" customHeight="false" outlineLevel="0" collapsed="false">
      <c r="W122" s="0" t="s">
        <v>212</v>
      </c>
    </row>
    <row r="123" customFormat="false" ht="15" hidden="false" customHeight="false" outlineLevel="0" collapsed="false">
      <c r="W123" s="0" t="s">
        <v>214</v>
      </c>
    </row>
    <row r="124" customFormat="false" ht="15" hidden="false" customHeight="false" outlineLevel="0" collapsed="false">
      <c r="W124" s="0" t="s">
        <v>216</v>
      </c>
    </row>
    <row r="125" customFormat="false" ht="15" hidden="false" customHeight="false" outlineLevel="0" collapsed="false">
      <c r="W125" s="0" t="s">
        <v>218</v>
      </c>
    </row>
    <row r="126" customFormat="false" ht="15" hidden="false" customHeight="false" outlineLevel="0" collapsed="false">
      <c r="W126" s="0" t="s">
        <v>222</v>
      </c>
    </row>
    <row r="127" customFormat="false" ht="15" hidden="false" customHeight="false" outlineLevel="0" collapsed="false">
      <c r="W127" s="0" t="s">
        <v>224</v>
      </c>
    </row>
    <row r="128" customFormat="false" ht="15" hidden="false" customHeight="false" outlineLevel="0" collapsed="false">
      <c r="W128" s="0" t="s">
        <v>226</v>
      </c>
    </row>
    <row r="129" customFormat="false" ht="15" hidden="false" customHeight="false" outlineLevel="0" collapsed="false">
      <c r="W129" s="0" t="s">
        <v>228</v>
      </c>
    </row>
    <row r="130" customFormat="false" ht="15" hidden="false" customHeight="false" outlineLevel="0" collapsed="false">
      <c r="W130" s="0" t="s">
        <v>230</v>
      </c>
    </row>
    <row r="131" customFormat="false" ht="15" hidden="false" customHeight="false" outlineLevel="0" collapsed="false">
      <c r="W131" s="0" t="s">
        <v>232</v>
      </c>
    </row>
    <row r="132" customFormat="false" ht="15" hidden="false" customHeight="false" outlineLevel="0" collapsed="false">
      <c r="W132" s="0" t="s">
        <v>234</v>
      </c>
    </row>
    <row r="133" customFormat="false" ht="15" hidden="false" customHeight="false" outlineLevel="0" collapsed="false">
      <c r="W133" s="0" t="s">
        <v>236</v>
      </c>
    </row>
    <row r="134" customFormat="false" ht="15" hidden="false" customHeight="false" outlineLevel="0" collapsed="false">
      <c r="W134" s="0" t="s">
        <v>238</v>
      </c>
    </row>
    <row r="135" customFormat="false" ht="15" hidden="false" customHeight="false" outlineLevel="0" collapsed="false">
      <c r="W135" s="0" t="s">
        <v>240</v>
      </c>
    </row>
    <row r="136" customFormat="false" ht="15" hidden="false" customHeight="false" outlineLevel="0" collapsed="false">
      <c r="W136" s="0" t="s">
        <v>242</v>
      </c>
    </row>
    <row r="137" customFormat="false" ht="15" hidden="false" customHeight="false" outlineLevel="0" collapsed="false">
      <c r="W137" s="0" t="s">
        <v>244</v>
      </c>
    </row>
    <row r="138" customFormat="false" ht="15" hidden="false" customHeight="false" outlineLevel="0" collapsed="false">
      <c r="W138" s="0" t="s">
        <v>246</v>
      </c>
    </row>
    <row r="139" customFormat="false" ht="15" hidden="false" customHeight="false" outlineLevel="0" collapsed="false">
      <c r="W139" s="0" t="s">
        <v>248</v>
      </c>
    </row>
    <row r="140" customFormat="false" ht="15" hidden="false" customHeight="false" outlineLevel="0" collapsed="false">
      <c r="W140" s="0" t="s">
        <v>250</v>
      </c>
    </row>
    <row r="141" customFormat="false" ht="15" hidden="false" customHeight="false" outlineLevel="0" collapsed="false">
      <c r="W141" s="0" t="s">
        <v>252</v>
      </c>
    </row>
    <row r="142" customFormat="false" ht="15" hidden="false" customHeight="false" outlineLevel="0" collapsed="false">
      <c r="W142" s="0" t="s">
        <v>254</v>
      </c>
    </row>
    <row r="143" customFormat="false" ht="15" hidden="false" customHeight="false" outlineLevel="0" collapsed="false">
      <c r="W143" s="0" t="s">
        <v>256</v>
      </c>
    </row>
    <row r="144" customFormat="false" ht="15" hidden="false" customHeight="false" outlineLevel="0" collapsed="false">
      <c r="W144" s="0" t="s">
        <v>258</v>
      </c>
    </row>
    <row r="145" customFormat="false" ht="15" hidden="false" customHeight="false" outlineLevel="0" collapsed="false">
      <c r="W145" s="0" t="s">
        <v>260</v>
      </c>
    </row>
    <row r="146" customFormat="false" ht="15" hidden="false" customHeight="false" outlineLevel="0" collapsed="false">
      <c r="W146" s="0" t="s">
        <v>262</v>
      </c>
    </row>
    <row r="147" customFormat="false" ht="15" hidden="false" customHeight="false" outlineLevel="0" collapsed="false">
      <c r="W147" s="0" t="s">
        <v>264</v>
      </c>
    </row>
    <row r="148" customFormat="false" ht="15" hidden="false" customHeight="false" outlineLevel="0" collapsed="false">
      <c r="W148" s="0" t="s">
        <v>266</v>
      </c>
    </row>
    <row r="149" customFormat="false" ht="15" hidden="false" customHeight="false" outlineLevel="0" collapsed="false">
      <c r="W149" s="0" t="s">
        <v>268</v>
      </c>
    </row>
    <row r="150" customFormat="false" ht="15" hidden="false" customHeight="false" outlineLevel="0" collapsed="false">
      <c r="W150" s="0" t="s">
        <v>270</v>
      </c>
    </row>
    <row r="151" customFormat="false" ht="15" hidden="false" customHeight="false" outlineLevel="0" collapsed="false">
      <c r="W151" s="0" t="s">
        <v>272</v>
      </c>
    </row>
    <row r="152" customFormat="false" ht="15" hidden="false" customHeight="false" outlineLevel="0" collapsed="false">
      <c r="W152" s="0" t="s">
        <v>274</v>
      </c>
    </row>
    <row r="153" customFormat="false" ht="15" hidden="false" customHeight="false" outlineLevel="0" collapsed="false">
      <c r="W153" s="0" t="s">
        <v>276</v>
      </c>
    </row>
    <row r="154" customFormat="false" ht="15" hidden="false" customHeight="false" outlineLevel="0" collapsed="false">
      <c r="W154" s="0" t="s">
        <v>278</v>
      </c>
    </row>
    <row r="155" customFormat="false" ht="15" hidden="false" customHeight="false" outlineLevel="0" collapsed="false">
      <c r="W155" s="0" t="s">
        <v>280</v>
      </c>
    </row>
    <row r="156" customFormat="false" ht="15" hidden="false" customHeight="false" outlineLevel="0" collapsed="false">
      <c r="W156" s="0" t="s">
        <v>282</v>
      </c>
    </row>
    <row r="157" customFormat="false" ht="15" hidden="false" customHeight="false" outlineLevel="0" collapsed="false">
      <c r="W157" s="0" t="s">
        <v>284</v>
      </c>
    </row>
    <row r="158" customFormat="false" ht="15" hidden="false" customHeight="false" outlineLevel="0" collapsed="false">
      <c r="W158" s="0" t="s">
        <v>286</v>
      </c>
    </row>
    <row r="159" customFormat="false" ht="15" hidden="false" customHeight="false" outlineLevel="0" collapsed="false">
      <c r="W159" s="0" t="s">
        <v>288</v>
      </c>
    </row>
    <row r="160" customFormat="false" ht="15" hidden="false" customHeight="false" outlineLevel="0" collapsed="false">
      <c r="W160" s="0" t="s">
        <v>290</v>
      </c>
    </row>
    <row r="161" customFormat="false" ht="15" hidden="false" customHeight="false" outlineLevel="0" collapsed="false">
      <c r="W161" s="0" t="s">
        <v>292</v>
      </c>
    </row>
    <row r="162" customFormat="false" ht="15" hidden="false" customHeight="false" outlineLevel="0" collapsed="false">
      <c r="W162" s="0" t="s">
        <v>294</v>
      </c>
    </row>
    <row r="163" customFormat="false" ht="15" hidden="false" customHeight="false" outlineLevel="0" collapsed="false">
      <c r="W163" s="0" t="s">
        <v>296</v>
      </c>
    </row>
    <row r="164" customFormat="false" ht="15" hidden="false" customHeight="false" outlineLevel="0" collapsed="false">
      <c r="W164" s="0" t="s">
        <v>298</v>
      </c>
    </row>
    <row r="165" customFormat="false" ht="15" hidden="false" customHeight="false" outlineLevel="0" collapsed="false">
      <c r="W165" s="0" t="s">
        <v>300</v>
      </c>
    </row>
    <row r="166" customFormat="false" ht="15" hidden="false" customHeight="false" outlineLevel="0" collapsed="false">
      <c r="W166" s="0" t="s">
        <v>302</v>
      </c>
    </row>
    <row r="167" customFormat="false" ht="15" hidden="false" customHeight="false" outlineLevel="0" collapsed="false">
      <c r="W167" s="0" t="s">
        <v>304</v>
      </c>
    </row>
    <row r="168" customFormat="false" ht="15" hidden="false" customHeight="false" outlineLevel="0" collapsed="false">
      <c r="W168" s="0" t="s">
        <v>306</v>
      </c>
    </row>
    <row r="169" customFormat="false" ht="15" hidden="false" customHeight="false" outlineLevel="0" collapsed="false">
      <c r="W169" s="0" t="s">
        <v>308</v>
      </c>
    </row>
    <row r="170" customFormat="false" ht="15" hidden="false" customHeight="false" outlineLevel="0" collapsed="false">
      <c r="W170" s="0" t="s">
        <v>312</v>
      </c>
    </row>
    <row r="171" customFormat="false" ht="15" hidden="false" customHeight="false" outlineLevel="0" collapsed="false">
      <c r="W171" s="0" t="s">
        <v>314</v>
      </c>
    </row>
    <row r="172" customFormat="false" ht="15" hidden="false" customHeight="false" outlineLevel="0" collapsed="false">
      <c r="W172" s="0" t="s">
        <v>316</v>
      </c>
    </row>
    <row r="173" customFormat="false" ht="15" hidden="false" customHeight="false" outlineLevel="0" collapsed="false">
      <c r="W173" s="0" t="s">
        <v>318</v>
      </c>
    </row>
    <row r="174" customFormat="false" ht="15" hidden="false" customHeight="false" outlineLevel="0" collapsed="false">
      <c r="W174" s="0" t="s">
        <v>320</v>
      </c>
    </row>
    <row r="175" customFormat="false" ht="15" hidden="false" customHeight="false" outlineLevel="0" collapsed="false">
      <c r="W175" s="0" t="s">
        <v>322</v>
      </c>
    </row>
    <row r="176" customFormat="false" ht="15" hidden="false" customHeight="false" outlineLevel="0" collapsed="false">
      <c r="W176" s="0" t="s">
        <v>324</v>
      </c>
    </row>
    <row r="177" customFormat="false" ht="15" hidden="false" customHeight="false" outlineLevel="0" collapsed="false">
      <c r="W177" s="0" t="s">
        <v>326</v>
      </c>
    </row>
    <row r="178" customFormat="false" ht="15" hidden="false" customHeight="false" outlineLevel="0" collapsed="false">
      <c r="W178" s="0" t="s">
        <v>328</v>
      </c>
    </row>
    <row r="179" customFormat="false" ht="15" hidden="false" customHeight="false" outlineLevel="0" collapsed="false">
      <c r="W179" s="0" t="s">
        <v>330</v>
      </c>
    </row>
    <row r="180" customFormat="false" ht="15" hidden="false" customHeight="false" outlineLevel="0" collapsed="false">
      <c r="W180" s="0" t="s">
        <v>332</v>
      </c>
    </row>
    <row r="181" customFormat="false" ht="15" hidden="false" customHeight="false" outlineLevel="0" collapsed="false">
      <c r="W181" s="0" t="s">
        <v>334</v>
      </c>
    </row>
    <row r="182" customFormat="false" ht="15" hidden="false" customHeight="false" outlineLevel="0" collapsed="false">
      <c r="W182" s="0" t="s">
        <v>336</v>
      </c>
    </row>
    <row r="183" customFormat="false" ht="15" hidden="false" customHeight="false" outlineLevel="0" collapsed="false">
      <c r="W183" s="0" t="s">
        <v>338</v>
      </c>
    </row>
    <row r="184" customFormat="false" ht="15" hidden="false" customHeight="false" outlineLevel="0" collapsed="false">
      <c r="W184" s="0" t="s">
        <v>340</v>
      </c>
    </row>
    <row r="185" customFormat="false" ht="15" hidden="false" customHeight="false" outlineLevel="0" collapsed="false">
      <c r="W185" s="0" t="s">
        <v>342</v>
      </c>
    </row>
    <row r="186" customFormat="false" ht="15" hidden="false" customHeight="false" outlineLevel="0" collapsed="false">
      <c r="W186" s="0" t="s">
        <v>344</v>
      </c>
    </row>
    <row r="187" customFormat="false" ht="15" hidden="false" customHeight="false" outlineLevel="0" collapsed="false">
      <c r="W187" s="0" t="s">
        <v>346</v>
      </c>
    </row>
    <row r="188" customFormat="false" ht="15" hidden="false" customHeight="false" outlineLevel="0" collapsed="false">
      <c r="W188" s="0" t="s">
        <v>348</v>
      </c>
    </row>
    <row r="189" customFormat="false" ht="15" hidden="false" customHeight="false" outlineLevel="0" collapsed="false">
      <c r="W189" s="0" t="s">
        <v>350</v>
      </c>
    </row>
    <row r="190" customFormat="false" ht="15" hidden="false" customHeight="false" outlineLevel="0" collapsed="false">
      <c r="W190" s="0" t="s">
        <v>352</v>
      </c>
    </row>
    <row r="191" customFormat="false" ht="15" hidden="false" customHeight="false" outlineLevel="0" collapsed="false">
      <c r="W191" s="0" t="s">
        <v>354</v>
      </c>
    </row>
    <row r="192" customFormat="false" ht="15" hidden="false" customHeight="false" outlineLevel="0" collapsed="false">
      <c r="W192" s="0" t="s">
        <v>356</v>
      </c>
    </row>
    <row r="193" customFormat="false" ht="15" hidden="false" customHeight="false" outlineLevel="0" collapsed="false">
      <c r="W193" s="0" t="s">
        <v>358</v>
      </c>
    </row>
    <row r="194" customFormat="false" ht="15" hidden="false" customHeight="false" outlineLevel="0" collapsed="false">
      <c r="W194" s="0" t="s">
        <v>360</v>
      </c>
    </row>
    <row r="195" customFormat="false" ht="15" hidden="false" customHeight="false" outlineLevel="0" collapsed="false">
      <c r="W195" s="0" t="s">
        <v>362</v>
      </c>
    </row>
    <row r="196" customFormat="false" ht="15" hidden="false" customHeight="false" outlineLevel="0" collapsed="false">
      <c r="W196" s="0" t="s">
        <v>364</v>
      </c>
    </row>
    <row r="197" customFormat="false" ht="15" hidden="false" customHeight="false" outlineLevel="0" collapsed="false">
      <c r="W197" s="0" t="s">
        <v>366</v>
      </c>
    </row>
    <row r="198" customFormat="false" ht="15" hidden="false" customHeight="false" outlineLevel="0" collapsed="false">
      <c r="W198" s="0" t="s">
        <v>368</v>
      </c>
    </row>
    <row r="199" customFormat="false" ht="15" hidden="false" customHeight="false" outlineLevel="0" collapsed="false">
      <c r="W199" s="0" t="s">
        <v>370</v>
      </c>
    </row>
    <row r="202" customFormat="false" ht="15" hidden="false" customHeight="false" outlineLevel="0" collapsed="false">
      <c r="A202" s="3" t="s">
        <v>778</v>
      </c>
    </row>
    <row r="203" customFormat="false" ht="15" hidden="false" customHeight="false" outlineLevel="0" collapsed="false">
      <c r="A203" s="6" t="s">
        <v>680</v>
      </c>
      <c r="B203" s="17" t="s">
        <v>779</v>
      </c>
    </row>
    <row r="204" customFormat="false" ht="15" hidden="false" customHeight="false" outlineLevel="0" collapsed="false">
      <c r="A204" s="6" t="s">
        <v>682</v>
      </c>
      <c r="B204" s="17" t="s">
        <v>683</v>
      </c>
    </row>
    <row r="205" customFormat="false" ht="15" hidden="false" customHeight="false" outlineLevel="0" collapsed="false">
      <c r="A205" s="6" t="s">
        <v>684</v>
      </c>
      <c r="B205" s="17" t="s">
        <v>780</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2026-09-07T13:45:49Z</dcterms:created>
  <dc:creator>Capacity exercise toolkit</dc:creator>
  <dc:description/>
  <dc:language>en-US</dc:language>
  <cp:lastModifiedBy/>
  <dcterms:modified xsi:type="dcterms:W3CDTF">2026-09-07T13:46:15Z</dcterms:modified>
  <cp:revision>1</cp:revision>
  <dc:subject/>
  <dc:title>2027 Capacity Exercise - Retail Banking Group</dc:title>
</cp:coreProperties>
</file>

<file path=docProps/custom.xml><?xml version="1.0" encoding="utf-8"?>
<Properties xmlns="http://schemas.openxmlformats.org/officeDocument/2006/custom-properties" xmlns:vt="http://schemas.openxmlformats.org/officeDocument/2006/docPropsVTypes"/>
</file>