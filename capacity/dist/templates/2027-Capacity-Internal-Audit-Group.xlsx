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My structure" sheetId="2" state="visible" r:id="rId4"/>
    <sheet name="2. Current capacity" sheetId="3" state="visible" r:id="rId5"/>
    <sheet name="3. Capacity asks" sheetId="4" state="visible" r:id="rId6"/>
    <sheet name="4. My position" sheetId="5" state="visible" r:id="rId7"/>
    <sheet name="5. Check &amp; submit" sheetId="6" state="visible" r:id="rId8"/>
    <sheet name="Ref" sheetId="7" state="hidden" r:id="rId9"/>
  </sheets>
  <definedNames>
    <definedName function="false" hidden="false" localSheetId="1" name="_xlnm.Print_Titles" vbProcedure="false">'1. My structure'!$4:$4</definedName>
    <definedName function="false" hidden="false" localSheetId="2" name="_xlnm.Print_Titles" vbProcedure="false">'2. Current capacity'!$5:$5</definedName>
    <definedName function="false" hidden="true" localSheetId="2" name="_xlnm._FilterDatabase" vbProcedure="false">'2. Current capacity'!$A$5:$P$186</definedName>
    <definedName function="false" hidden="false" localSheetId="3" name="_xlnm.Print_Titles" vbProcedure="false">'3. Capacity asks'!$5:$5</definedName>
    <definedName function="false" hidden="true" localSheetId="3" name="_xlnm._FilterDatabase" vbProcedure="false">'3. Capacity asks'!$A$5:$T$205</definedName>
    <definedName function="false" hidden="false" name="AskCategory" vbProcedure="false">'3. Capacity asks'!$P$6:$P$205</definedName>
    <definedName function="false" hidden="false" name="AskDepartment" vbProcedure="false">'3. Capacity asks'!$C$6:$C$205</definedName>
    <definedName function="false" hidden="false" name="AskDivision" vbProcedure="false">'3. Capacity asks'!$B$6:$B$205</definedName>
    <definedName function="false" hidden="false" name="AskDriver" vbProcedure="false">'3. Capacity asks'!$Q$6:$Q$205</definedName>
    <definedName function="false" hidden="false" name="AskFamily" vbProcedure="false">'3. Capacity asks'!$H$6:$H$205</definedName>
    <definedName function="false" hidden="false" name="AskIssueNo" vbProcedure="false">'3. Capacity asks'!$T$6:$T$205</definedName>
    <definedName function="false" hidden="false" name="AskLevel" vbProcedure="false">'3. Capacity asks'!$G$6:$G$205</definedName>
    <definedName function="false" hidden="false" name="AskProblem" vbProcedure="false">'3. Capacity asks'!$S$6:$S$205</definedName>
    <definedName function="false" hidden="false" name="AskQ1" vbProcedure="false">'3. Capacity asks'!$L$6:$L$205</definedName>
    <definedName function="false" hidden="false" name="AskQ2" vbProcedure="false">'3. Capacity asks'!$M$6:$M$205</definedName>
    <definedName function="false" hidden="false" name="AskQ3" vbProcedure="false">'3. Capacity asks'!$N$6:$N$205</definedName>
    <definedName function="false" hidden="false" name="AskQ4" vbProcedure="false">'3. Capacity asks'!$O$6:$O$205</definedName>
    <definedName function="false" hidden="false" name="AskRef" vbProcedure="false">'3. Capacity asks'!$A$6:$A$205</definedName>
    <definedName function="false" hidden="false" name="AskSubUnit" vbProcedure="false">'3. Capacity asks'!$E$6:$E$205</definedName>
    <definedName function="false" hidden="false" name="AskTitle" vbProcedure="false">'3. Capacity asks'!$F$6:$F$205</definedName>
    <definedName function="false" hidden="false" name="AskTotal" vbProcedure="false">'3. Capacity asks'!$K$6:$K$205</definedName>
    <definedName function="false" hidden="false" name="AskUnit" vbProcedure="false">'3. Capacity asks'!$D$6:$D$205</definedName>
    <definedName function="false" hidden="false" name="AskWorkerType" vbProcedure="false">'3. Capacity asks'!$I$6:$I$205</definedName>
    <definedName function="false" hidden="false" name="AttritionDefault" vbProcedure="false">Ref!$B$7</definedName>
    <definedName function="false" hidden="false" name="BaseYear" vbProcedure="false">Ref!$B$6</definedName>
    <definedName function="false" hidden="false" name="CareerLevels" vbProcedure="false">Ref!$M$51:$M$56</definedName>
    <definedName function="false" hidden="false" name="CategoryList" vbProcedure="false">Ref!$I$51:$I$54</definedName>
    <definedName function="false" hidden="false" name="CostEnvelope" vbProcedure="false">Ref!$B$15</definedName>
    <definedName function="false" hidden="false" name="CostLimit" vbProcedure="false">'4. My position'!$B$24</definedName>
    <definedName function="false" hidden="false" name="CostMine" vbProcedure="false">'4. My position'!$C$24</definedName>
    <definedName function="false" hidden="false" name="DirectionList" vbProcedure="false">Ref!$E$51:$E$54</definedName>
    <definedName function="false" hidden="false" name="DivisionList" vbProcedure="false">Ref!$Q$51:$Q$52</definedName>
    <definedName function="false" hidden="false" name="DriverCategory" vbProcedure="false">Ref!$B$30:$B$48</definedName>
    <definedName function="false" hidden="false" name="DriverList" vbProcedure="false">Ref!$A$30:$A$48</definedName>
    <definedName function="false" hidden="false" name="DriverRank" vbProcedure="false">Ref!$C$30:$C$48</definedName>
    <definedName function="false" hidden="false" name="GosiOther" vbProcedure="false">Ref!$B$11</definedName>
    <definedName function="false" hidden="false" name="GosiSaudi" vbProcedure="false">Ref!$B$10</definedName>
    <definedName function="false" hidden="false" name="GroupName" vbProcedure="false">Ref!$B$12</definedName>
    <definedName function="false" hidden="false" name="HeadEnvelope" vbProcedure="false">Ref!$B$16</definedName>
    <definedName function="false" hidden="false" name="HeadLimit" vbProcedure="false">'4. My position'!$B$25</definedName>
    <definedName function="false" hidden="false" name="HeadMine" vbProcedure="false">'4. My position'!$C$25</definedName>
    <definedName function="false" hidden="false" name="JobFamilies" vbProcedure="false">Ref!$O$51:$O$54</definedName>
    <definedName function="false" hidden="false" name="LadderLevels" vbProcedure="false">Ref!$G$51:$G$56</definedName>
    <definedName function="false" hidden="false" name="LevelBasic" vbProcedure="false">Ref!$B$21:$B$26</definedName>
    <definedName function="false" hidden="false" name="LevelBonus" vbProcedure="false">Ref!$E$21:$E$26</definedName>
    <definedName function="false" hidden="false" name="LevelHousing" vbProcedure="false">Ref!$C$21:$C$26</definedName>
    <definedName function="false" hidden="false" name="LevelList" vbProcedure="false">Ref!$A$21:$A$26</definedName>
    <definedName function="false" hidden="false" name="LevelOneOff" vbProcedure="false">Ref!$F$21:$F$26</definedName>
    <definedName function="false" hidden="false" name="LevelTransport" vbProcedure="false">Ref!$D$21:$D$26</definedName>
    <definedName function="false" hidden="false" name="MandateLimit" vbProcedure="false">'4. My position'!$B$26</definedName>
    <definedName function="false" hidden="false" name="MandateMine" vbProcedure="false">'4. My position'!$C$26</definedName>
    <definedName function="false" hidden="false" name="PlanYear" vbProcedure="false">Ref!$B$5</definedName>
    <definedName function="false" hidden="false" name="ProductivityDefault" vbProcedure="false">Ref!$B$8</definedName>
    <definedName function="false" hidden="false" name="QuarterList" vbProcedure="false">Ref!$A$51:$A$54</definedName>
    <definedName function="false" hidden="false" name="SalaryInflation" vbProcedure="false">Ref!$B$9</definedName>
    <definedName function="false" hidden="false" name="SaudiTarget" vbProcedure="false">Ref!$B$17</definedName>
    <definedName function="false" hidden="false" name="SeatApproved" vbProcedure="false">'2. Current capacity'!$J$6:$J$186</definedName>
    <definedName function="false" hidden="false" name="SeatDepartment" vbProcedure="false">'2. Current capacity'!$C$6:$C$186</definedName>
    <definedName function="false" hidden="false" name="SeatDirection" vbProcedure="false">'2. Current capacity'!$N$6:$N$186</definedName>
    <definedName function="false" hidden="false" name="SeatDivision" vbProcedure="false">'2. Current capacity'!$B$6:$B$186</definedName>
    <definedName function="false" hidden="false" name="SeatExits" vbProcedure="false">'2. Current capacity'!$O$6:$O$186</definedName>
    <definedName function="false" hidden="false" name="SeatFilled" vbProcedure="false">'2. Current capacity'!$K$6:$K$186</definedName>
    <definedName function="false" hidden="false" name="SeatLevel" vbProcedure="false">'2. Current capacity'!$G$6:$G$186</definedName>
    <definedName function="false" hidden="false" name="SeatMandate" vbProcedure="false">'2. Current capacity'!$I$6:$I$186</definedName>
    <definedName function="false" hidden="false" name="SeatProblem" vbProcedure="false">'2. Current capacity'!$P$6:$P$186</definedName>
    <definedName function="false" hidden="false" name="SeatSubUnit" vbProcedure="false">'2. Current capacity'!$E$6:$E$186</definedName>
    <definedName function="false" hidden="false" name="SeatTitle" vbProcedure="false">'2. Current capacity'!$F$6:$F$186</definedName>
    <definedName function="false" hidden="false" name="SeatUnit" vbProcedure="false">'2. Current capacity'!$D$6:$D$186</definedName>
    <definedName function="false" hidden="false" name="SeatVacant" vbProcedure="false">'2. Current capacity'!$L$6:$L$186</definedName>
    <definedName function="false" hidden="false" name="SeatWorkerType" vbProcedure="false">'2. Current capacity'!$M$6:$M$186</definedName>
    <definedName function="false" hidden="false" name="UnitList" vbProcedure="false">Ref!$S$51:$S$78</definedName>
    <definedName function="false" hidden="false" name="WorkerTypes" vbProcedure="false">Ref!$C$51:$C$53</definedName>
    <definedName function="false" hidden="false" name="YesNo" vbProcedure="false">Ref!$K$51:$K$52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<sst xmlns="http://schemas.openxmlformats.org/spreadsheetml/2006/main" count="1552" uniqueCount="393">
  <si>
    <t xml:space="preserve">2027 Capacity Exercise</t>
  </si>
  <si>
    <t xml:space="preserve">Internal Audit Group — what to do, in the order to do it</t>
  </si>
  <si>
    <t xml:space="preserve">What to do</t>
  </si>
  <si>
    <t xml:space="preserve">1. My structure</t>
  </si>
  <si>
    <t xml:space="preserve">Your group as it stands today. Collapse and expand with the +/- buttons in the left margin. Nothing to fill in — the 2027 columns fill themselves from the two sheets after it.</t>
  </si>
  <si>
    <t xml:space="preserve">2. Current capacity</t>
  </si>
  <si>
    <t xml:space="preserve">Every position you have today, already listed. Three columns are yours: the career level, whether the seat is mandated Saudi, and what you intend to do with it next year. Correct anything that is wrong and add anything missing.</t>
  </si>
  <si>
    <t xml:space="preserve">3. Capacity asks</t>
  </si>
  <si>
    <t xml:space="preserve">One row per position you want. Put the numbers in the quarter you want them to start — New Asks adds itself up. Every row needs a driver, because that is what decides the order things get funded in.</t>
  </si>
  <si>
    <t xml:space="preserve">4. My position</t>
  </si>
  <si>
    <t xml:space="preserve">Your headcount and your cost by division, and where they land against your envelopes. Read this before you submit, not after.</t>
  </si>
  <si>
    <t xml:space="preserve">5. Check &amp; submit</t>
  </si>
  <si>
    <t xml:space="preserve">Everything still missing or invalid, listed row by row. When it is clear, set the state to Submitted and return the file.</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</si>
  <si>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</si>
  <si>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</si>
  <si>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</si>
  <si>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</si>
  <si>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</si>
  <si>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</si>
  <si>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</si>
  <si>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Three things worth knowing</t>
  </si>
  <si>
    <t xml:space="preserve">Capacity Direction on sheet 2 is the only place a seat can be given up. Exit means the seat lapses and comes out of next year's establishment — a vacancy you no longer need is an Exit. Reduce keeps the seat and puts it on the mid-year watch list. Grow and Hold change nothing by themselves; growth arrives as a row on sheet 3.</t>
  </si>
  <si>
    <t xml:space="preserve">Cost is shown by division, not by position, and on a full-year run-rate basis so it sits alongside headcount. The part-year cash cost of next year is a separate line underneath, because the two answer different questions and approving both at once is how a capacity paper gets counted twice.</t>
  </si>
  <si>
    <t xml:space="preserve">A position starting in Q1 is paid for four quarters; one starting in Q4 for a single quarter. Moving a start later is the cheapest concession you can offer, and it is usually the first thing you will be asked for.</t>
  </si>
  <si>
    <t xml:space="preserve">My structure</t>
  </si>
  <si>
    <t xml:space="preserve">Internal Audit Group as it stands in 2026. Use the +/- buttons on the left to collapse and expand. The 2027 columns fill in from sheets 2 and 3.</t>
  </si>
  <si>
    <t xml:space="preserve">Level</t>
  </si>
  <si>
    <t xml:space="preserve">Unit</t>
  </si>
  <si>
    <t xml:space="preserve">2026 approved</t>
  </si>
  <si>
    <t xml:space="preserve">Filled</t>
  </si>
  <si>
    <t xml:space="preserve">Vacant</t>
  </si>
  <si>
    <t xml:space="preserve">2027 exits</t>
  </si>
  <si>
    <t xml:space="preserve">2027 asked</t>
  </si>
  <si>
    <t xml:space="preserve">2027 total</t>
  </si>
  <si>
    <t xml:space="preserve">Change</t>
  </si>
  <si>
    <t xml:space="preserve">Name</t>
  </si>
  <si>
    <t xml:space="preserve">Group</t>
  </si>
  <si>
    <t xml:space="preserve">Internal Audit Group</t>
  </si>
  <si>
    <t xml:space="preserve">Division</t>
  </si>
  <si>
    <t xml:space="preserve">    Business Audit Division</t>
  </si>
  <si>
    <t xml:space="preserve">Business Audit Division</t>
  </si>
  <si>
    <t xml:space="preserve">Department</t>
  </si>
  <si>
    <t xml:space="preserve">        Audit - Retail &amp; Corporate</t>
  </si>
  <si>
    <t xml:space="preserve">Audit - Retail &amp; Corporate</t>
  </si>
  <si>
    <t xml:space="preserve">            Audit - Retail &amp; Corporate Unit 1</t>
  </si>
  <si>
    <t xml:space="preserve">Audit - Retail &amp; Corporate Unit 1</t>
  </si>
  <si>
    <t xml:space="preserve">Sub-unit</t>
  </si>
  <si>
    <t xml:space="preserve">                Audit - Retail &amp; Corporate Unit 1 - Team A</t>
  </si>
  <si>
    <t xml:space="preserve">Audit - Retail &amp; Corporate Unit 1 - Team A</t>
  </si>
  <si>
    <t xml:space="preserve">                Audit - Retail &amp; Corporate Unit 1 - Team B</t>
  </si>
  <si>
    <t xml:space="preserve">Audit - Retail &amp; Corporate Unit 1 - Team B</t>
  </si>
  <si>
    <t xml:space="preserve">            Audit - Retail &amp; Corporate Unit 2</t>
  </si>
  <si>
    <t xml:space="preserve">Audit - Retail &amp; Corporate Unit 2</t>
  </si>
  <si>
    <t xml:space="preserve">                Audit - Retail &amp; Corporate Unit 2 - Team A</t>
  </si>
  <si>
    <t xml:space="preserve">Audit - Retail &amp; Corporate Unit 2 - Team A</t>
  </si>
  <si>
    <t xml:space="preserve">                Audit - Retail &amp; Corporate Unit 2 - Team B</t>
  </si>
  <si>
    <t xml:space="preserve">Audit - Retail &amp; Corporate Unit 2 - Team B</t>
  </si>
  <si>
    <t xml:space="preserve">        Audit - Treasury</t>
  </si>
  <si>
    <t xml:space="preserve">Audit - Treasury</t>
  </si>
  <si>
    <t xml:space="preserve">            Audit - Treasury Unit 1</t>
  </si>
  <si>
    <t xml:space="preserve">Audit - Treasury Unit 1</t>
  </si>
  <si>
    <t xml:space="preserve">                Audit - Treasury Unit 1 - Team A</t>
  </si>
  <si>
    <t xml:space="preserve">Audit - Treasury Unit 1 - Team A</t>
  </si>
  <si>
    <t xml:space="preserve">                Audit - Treasury Unit 1 - Team B</t>
  </si>
  <si>
    <t xml:space="preserve">Audit - Treasury Unit 1 - Team B</t>
  </si>
  <si>
    <t xml:space="preserve">            Audit - Treasury Unit 2</t>
  </si>
  <si>
    <t xml:space="preserve">Audit - Treasury Unit 2</t>
  </si>
  <si>
    <t xml:space="preserve">                Audit - Treasury Unit 2 - Team A</t>
  </si>
  <si>
    <t xml:space="preserve">Audit - Treasury Unit 2 - Team A</t>
  </si>
  <si>
    <t xml:space="preserve">                Audit - Treasury Unit 2 - Team B</t>
  </si>
  <si>
    <t xml:space="preserve">Audit - Treasury Unit 2 - Team B</t>
  </si>
  <si>
    <t xml:space="preserve">    Technology Audit Division</t>
  </si>
  <si>
    <t xml:space="preserve">Technology Audit Division</t>
  </si>
  <si>
    <t xml:space="preserve">        Audit - Data</t>
  </si>
  <si>
    <t xml:space="preserve">Audit - Data</t>
  </si>
  <si>
    <t xml:space="preserve">            Audit - Data Unit 1</t>
  </si>
  <si>
    <t xml:space="preserve">Audit - Data Unit 1</t>
  </si>
  <si>
    <t xml:space="preserve">                Audit - Data Unit 1 - Team A</t>
  </si>
  <si>
    <t xml:space="preserve">Audit - Data Unit 1 - Team A</t>
  </si>
  <si>
    <t xml:space="preserve">                Audit - Data Unit 1 - Team B</t>
  </si>
  <si>
    <t xml:space="preserve">Audit - Data Unit 1 - Team B</t>
  </si>
  <si>
    <t xml:space="preserve">            Audit - Data Unit 2</t>
  </si>
  <si>
    <t xml:space="preserve">Audit - Data Unit 2</t>
  </si>
  <si>
    <t xml:space="preserve">                Audit - Data Unit 2 - Team A</t>
  </si>
  <si>
    <t xml:space="preserve">Audit - Data Unit 2 - Team A</t>
  </si>
  <si>
    <t xml:space="preserve">                Audit - Data Unit 2 - Team B</t>
  </si>
  <si>
    <t xml:space="preserve">Audit - Data Unit 2 - Team B</t>
  </si>
  <si>
    <t xml:space="preserve">        Audit - Technology</t>
  </si>
  <si>
    <t xml:space="preserve">Audit - Technology</t>
  </si>
  <si>
    <t xml:space="preserve">            Audit - Technology Unit 1</t>
  </si>
  <si>
    <t xml:space="preserve">Audit - Technology Unit 1</t>
  </si>
  <si>
    <t xml:space="preserve">                Audit - Technology Unit 1 - Team A</t>
  </si>
  <si>
    <t xml:space="preserve">Audit - Technology Unit 1 - Team A</t>
  </si>
  <si>
    <t xml:space="preserve">                Audit - Technology Unit 1 - Team B</t>
  </si>
  <si>
    <t xml:space="preserve">Audit - Technology Unit 1 - Team B</t>
  </si>
  <si>
    <t xml:space="preserve">            Audit - Technology Unit 2</t>
  </si>
  <si>
    <t xml:space="preserve">Audit - Technology Unit 2</t>
  </si>
  <si>
    <t xml:space="preserve">                Audit - Technology Unit 2 - Team A</t>
  </si>
  <si>
    <t xml:space="preserve">Audit - Technology Unit 2 - Team A</t>
  </si>
  <si>
    <t xml:space="preserve">                Audit - Technology Unit 2 - Team B</t>
  </si>
  <si>
    <t xml:space="preserve">Audit - Technology Unit 2 - Team B</t>
  </si>
  <si>
    <t xml:space="preserve">Each row counts what names it, and the group and division rows sum everything beneath them. Exits come from Capacity Direction on 2. Current capacity; asks come from 3. Capacity asks.</t>
  </si>
  <si>
    <t xml:space="preserve">Current capacity</t>
  </si>
  <si>
    <t xml:space="preserve">Every position you have today, already filled in. The columns that need you are career level, whether the seat is mandated Saudi, and what you intend to do with it in 2027.</t>
  </si>
  <si>
    <t xml:space="preserve">Mis Code</t>
  </si>
  <si>
    <t xml:space="preserve">Sub-Unit</t>
  </si>
  <si>
    <t xml:space="preserve">Job Title</t>
  </si>
  <si>
    <t xml:space="preserve">Career Level</t>
  </si>
  <si>
    <t xml:space="preserve">Job Family</t>
  </si>
  <si>
    <t xml:space="preserve">Nationality Mandate?</t>
  </si>
  <si>
    <t xml:space="preserve">Approved HC</t>
  </si>
  <si>
    <t xml:space="preserve">Worker type</t>
  </si>
  <si>
    <t xml:space="preserve">Capacity Direction</t>
  </si>
  <si>
    <t xml:space="preserve">Exits</t>
  </si>
  <si>
    <t xml:space="preserve">What's missing</t>
  </si>
  <si>
    <t xml:space="preserve">CC-1040</t>
  </si>
  <si>
    <t xml:space="preserve">Chief Audit Executive</t>
  </si>
  <si>
    <t xml:space="preserve">Executive</t>
  </si>
  <si>
    <t xml:space="preserve">Permanent</t>
  </si>
  <si>
    <t xml:space="preserve">CC-1059</t>
  </si>
  <si>
    <t xml:space="preserve">General Manager - Business Audit</t>
  </si>
  <si>
    <t xml:space="preserve">Leadership</t>
  </si>
  <si>
    <t xml:space="preserve">CC-1058</t>
  </si>
  <si>
    <t xml:space="preserve">Head of Audit - Retail &amp; Corporate</t>
  </si>
  <si>
    <t xml:space="preserve">CC-1015</t>
  </si>
  <si>
    <t xml:space="preserve">Manager Audit - Retail &amp; Corporate</t>
  </si>
  <si>
    <t xml:space="preserve">Management</t>
  </si>
  <si>
    <t xml:space="preserve">CC-1014</t>
  </si>
  <si>
    <t xml:space="preserve">Associate Audit - Retail &amp; Corporate</t>
  </si>
  <si>
    <t xml:space="preserve">Professional</t>
  </si>
  <si>
    <t xml:space="preserve">CC-1029</t>
  </si>
  <si>
    <t xml:space="preserve">Officer Audit - Retail &amp; Corporate</t>
  </si>
  <si>
    <t xml:space="preserve">CC-1043</t>
  </si>
  <si>
    <t xml:space="preserve">Senior Analyst Audit - Retail &amp; Corporate</t>
  </si>
  <si>
    <t xml:space="preserve">CC-1041</t>
  </si>
  <si>
    <t xml:space="preserve">CC-1055</t>
  </si>
  <si>
    <t xml:space="preserve">Senior Officer Audit - Retail &amp; Corporate</t>
  </si>
  <si>
    <t xml:space="preserve">CC-1044</t>
  </si>
  <si>
    <t xml:space="preserve">Team Lead Audit - Retail &amp; Corporate</t>
  </si>
  <si>
    <t xml:space="preserve">CC-1023</t>
  </si>
  <si>
    <t xml:space="preserve">CC-1054</t>
  </si>
  <si>
    <t xml:space="preserve">Insourced</t>
  </si>
  <si>
    <t xml:space="preserve">CC-1053</t>
  </si>
  <si>
    <t xml:space="preserve">CC-1031</t>
  </si>
  <si>
    <t xml:space="preserve">CC-1006</t>
  </si>
  <si>
    <t xml:space="preserve">Specialist Audit - Retail &amp; Corporate</t>
  </si>
  <si>
    <t xml:space="preserve">CC-1020</t>
  </si>
  <si>
    <t xml:space="preserve">CC-1004</t>
  </si>
  <si>
    <t xml:space="preserve">CC-1034</t>
  </si>
  <si>
    <t xml:space="preserve">Analyst Audit - Retail &amp; Corporate</t>
  </si>
  <si>
    <t xml:space="preserve">CC-1052</t>
  </si>
  <si>
    <t xml:space="preserve">CC-1007</t>
  </si>
  <si>
    <t xml:space="preserve">CC-1033</t>
  </si>
  <si>
    <t xml:space="preserve">CC-1011</t>
  </si>
  <si>
    <t xml:space="preserve">CC-1038</t>
  </si>
  <si>
    <t xml:space="preserve">CC-1019</t>
  </si>
  <si>
    <t xml:space="preserve">CC-1049</t>
  </si>
  <si>
    <t xml:space="preserve">CC-1021</t>
  </si>
  <si>
    <t xml:space="preserve">Head of Audit - Treasury</t>
  </si>
  <si>
    <t xml:space="preserve">Manager Audit - Treasury</t>
  </si>
  <si>
    <t xml:space="preserve">CC-1060</t>
  </si>
  <si>
    <t xml:space="preserve">Officer Audit - Treasury</t>
  </si>
  <si>
    <t xml:space="preserve">CC-1026</t>
  </si>
  <si>
    <t xml:space="preserve">CC-1045</t>
  </si>
  <si>
    <t xml:space="preserve">Senior Analyst Audit - Treasury</t>
  </si>
  <si>
    <t xml:space="preserve">CC-1017</t>
  </si>
  <si>
    <t xml:space="preserve">Senior Officer Audit - Treasury</t>
  </si>
  <si>
    <t xml:space="preserve">CC-1025</t>
  </si>
  <si>
    <t xml:space="preserve">Team Lead Audit - Treasury</t>
  </si>
  <si>
    <t xml:space="preserve">Analyst Audit - Treasury</t>
  </si>
  <si>
    <t xml:space="preserve">Associate Audit - Treasury</t>
  </si>
  <si>
    <t xml:space="preserve">CC-1046</t>
  </si>
  <si>
    <t xml:space="preserve">CC-1030</t>
  </si>
  <si>
    <t xml:space="preserve">CC-1003</t>
  </si>
  <si>
    <t xml:space="preserve">CC-1001</t>
  </si>
  <si>
    <t xml:space="preserve">CC-1047</t>
  </si>
  <si>
    <t xml:space="preserve">CC-1035</t>
  </si>
  <si>
    <t xml:space="preserve">CC-1010</t>
  </si>
  <si>
    <t xml:space="preserve">CC-1018</t>
  </si>
  <si>
    <t xml:space="preserve">CC-1039</t>
  </si>
  <si>
    <t xml:space="preserve">Duplicate Seat</t>
  </si>
  <si>
    <t xml:space="preserve">Specialist Audit - Treasury</t>
  </si>
  <si>
    <t xml:space="preserve">General Manager - Technology Audit</t>
  </si>
  <si>
    <t xml:space="preserve">Head of Audit - Data</t>
  </si>
  <si>
    <t xml:space="preserve">Manager Audit - Data</t>
  </si>
  <si>
    <t xml:space="preserve">Analyst Audit - Data</t>
  </si>
  <si>
    <t xml:space="preserve">Associate Audit - Data</t>
  </si>
  <si>
    <t xml:space="preserve">CC-1002</t>
  </si>
  <si>
    <t xml:space="preserve">Senior Analyst Audit - Data</t>
  </si>
  <si>
    <t xml:space="preserve">CC-1022</t>
  </si>
  <si>
    <t xml:space="preserve">Specialist Audit - Data</t>
  </si>
  <si>
    <t xml:space="preserve">CC-1056</t>
  </si>
  <si>
    <t xml:space="preserve">CC-1057</t>
  </si>
  <si>
    <t xml:space="preserve">CC-1042</t>
  </si>
  <si>
    <t xml:space="preserve">Team Lead Audit - Data</t>
  </si>
  <si>
    <t xml:space="preserve">CC-1027</t>
  </si>
  <si>
    <t xml:space="preserve">CC-1037</t>
  </si>
  <si>
    <t xml:space="preserve">Senior Officer Audit - Data</t>
  </si>
  <si>
    <t xml:space="preserve">Officer Audit - Data</t>
  </si>
  <si>
    <t xml:space="preserve">CC-1000</t>
  </si>
  <si>
    <t xml:space="preserve">CC-1009</t>
  </si>
  <si>
    <t xml:space="preserve">CC-1012</t>
  </si>
  <si>
    <t xml:space="preserve">Head of Audit - Technology</t>
  </si>
  <si>
    <t xml:space="preserve">Manager Audit - Technology</t>
  </si>
  <si>
    <t xml:space="preserve">Analyst Audit - Technology</t>
  </si>
  <si>
    <t xml:space="preserve">Associate Audit - Technology</t>
  </si>
  <si>
    <t xml:space="preserve">CC-1024</t>
  </si>
  <si>
    <t xml:space="preserve">Team Lead Audit - Technology</t>
  </si>
  <si>
    <t xml:space="preserve">CC-1036</t>
  </si>
  <si>
    <t xml:space="preserve">Specialist Audit - Technology</t>
  </si>
  <si>
    <t xml:space="preserve">CC-1005</t>
  </si>
  <si>
    <t xml:space="preserve">CC-1013</t>
  </si>
  <si>
    <t xml:space="preserve">CC-1050</t>
  </si>
  <si>
    <t xml:space="preserve">Senior Analyst Audit - Technology</t>
  </si>
  <si>
    <t xml:space="preserve">CC-1008</t>
  </si>
  <si>
    <t xml:space="preserve">Senior Officer Audit - Technology</t>
  </si>
  <si>
    <t xml:space="preserve">CC-1016</t>
  </si>
  <si>
    <t xml:space="preserve">CC-1048</t>
  </si>
  <si>
    <t xml:space="preserve">CC-1051</t>
  </si>
  <si>
    <t xml:space="preserve">Capacity asks</t>
  </si>
  <si>
    <t xml:space="preserve">One row per position you want in 2027. Put each one in the quarter you want it to start — the total adds itself up.</t>
  </si>
  <si>
    <t xml:space="preserve">Start quarter</t>
  </si>
  <si>
    <t xml:space="preserve">Ref</t>
  </si>
  <si>
    <t xml:space="preserve">Job title</t>
  </si>
  <si>
    <t xml:space="preserve">Current Capacity</t>
  </si>
  <si>
    <t xml:space="preserve">New Asks</t>
  </si>
  <si>
    <t xml:space="preserve">Q1</t>
  </si>
  <si>
    <t xml:space="preserve">Q2</t>
  </si>
  <si>
    <t xml:space="preserve">Q3</t>
  </si>
  <si>
    <t xml:space="preserve">Q4</t>
  </si>
  <si>
    <t xml:space="preserve">Category</t>
  </si>
  <si>
    <t xml:space="preserve">Driver</t>
  </si>
  <si>
    <t xml:space="preserve">Alternatives considered</t>
  </si>
  <si>
    <t xml:space="preserve">Issue no.</t>
  </si>
  <si>
    <t xml:space="preserve">My position</t>
  </si>
  <si>
    <t xml:space="preserve">Your headcount and your cost by division, and where they land against your envelopes. Nothing here is typed in.</t>
  </si>
  <si>
    <t xml:space="preserve">Headcount</t>
  </si>
  <si>
    <t xml:space="preserve">New Capacity</t>
  </si>
  <si>
    <t xml:space="preserve">Reporting to the group directly</t>
  </si>
  <si>
    <t xml:space="preserve">Total</t>
  </si>
  <si>
    <t xml:space="preserve">Cost (SAR '000, full-year run-rate)</t>
  </si>
  <si>
    <t xml:space="preserve">Priced off the career-level rate card. A seat with no career level cannot be priced and reads as a dash.</t>
  </si>
  <si>
    <t xml:space="preserve">The 2027 cash cost, separately</t>
  </si>
  <si>
    <t xml:space="preserve">In-year cost of the new asks (SAR '000)</t>
  </si>
  <si>
    <t xml:space="preserve">Part-year: a Q1 start is paid four quarters, a Q4 start one.</t>
  </si>
  <si>
    <t xml:space="preserve">One-off cost of those hires (SAR '000)</t>
  </si>
  <si>
    <t xml:space="preserve">Recognised in the year of joining only.</t>
  </si>
  <si>
    <t xml:space="preserve">Against your envelopes</t>
  </si>
  <si>
    <t xml:space="preserve">Test</t>
  </si>
  <si>
    <t xml:space="preserve">Your limit</t>
  </si>
  <si>
    <t xml:space="preserve">Your number</t>
  </si>
  <si>
    <t xml:space="preserve">Headroom</t>
  </si>
  <si>
    <t xml:space="preserve">Status</t>
  </si>
  <si>
    <t xml:space="preserve">Cost (SAR '000, run-rate)</t>
  </si>
  <si>
    <t xml:space="preserve">The change in run-rate, not the whole pay bill.</t>
  </si>
  <si>
    <t xml:space="preserve">Net establishment change</t>
  </si>
  <si>
    <t xml:space="preserve">New asks less the seats you have marked Exit.</t>
  </si>
  <si>
    <t xml:space="preserve">Mandated-seat share</t>
  </si>
  <si>
    <t xml:space="preserve">Seats you have marked as having to be Saudi, over the establishment.</t>
  </si>
  <si>
    <t xml:space="preserve">What the ranking rule funds first</t>
  </si>
  <si>
    <t xml:space="preserve">Cut order runs bottom-up: BAU goes first, regulatory last.</t>
  </si>
  <si>
    <t xml:space="preserve">Priority</t>
  </si>
  <si>
    <t xml:space="preserve">Run-rate cost</t>
  </si>
  <si>
    <t xml:space="preserve">Cumulative cost</t>
  </si>
  <si>
    <t xml:space="preserve">Inside envelope?</t>
  </si>
  <si>
    <t xml:space="preserve">1. Regulatory</t>
  </si>
  <si>
    <t xml:space="preserve">Mandated by SAMA or another regulator; not discretionary.</t>
  </si>
  <si>
    <t xml:space="preserve">2. Strategic</t>
  </si>
  <si>
    <t xml:space="preserve">The growth agenda — volume, new products, coverage, automation.</t>
  </si>
  <si>
    <t xml:space="preserve">3. Control</t>
  </si>
  <si>
    <t xml:space="preserve">Risk and control capacity, including audit finding remediation.</t>
  </si>
  <si>
    <t xml:space="preserve">4. BAU</t>
  </si>
  <si>
    <t xml:space="preserve">Running the bank. First to be cut when the envelope binds.</t>
  </si>
  <si>
    <t xml:space="preserve">When the new capacity starts</t>
  </si>
  <si>
    <t xml:space="preserve">Share of the year paid</t>
  </si>
  <si>
    <t xml:space="preserve">2027 cash cost</t>
  </si>
  <si>
    <t xml:space="preserve">For the capacity team</t>
  </si>
  <si>
    <t xml:space="preserve">Copy these rows into the consolidator's return area. Nothing to fill in.</t>
  </si>
  <si>
    <t xml:space="preserve">Mandated seats</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</si>
  <si>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</si>
  <si>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</si>
  <si>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</si>
  <si>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</si>
  <si>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</si>
  <si>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Positions with something missing</t>
  </si>
  <si>
    <t xml:space="preserve">2. Current capacity spells out what each row is missing in its last column. Filter on it to find them.</t>
  </si>
  <si>
    <t xml:space="preserve">Positions with no career level</t>
  </si>
  <si>
    <t xml:space="preserve">2. Current capacity. Until every seat has a career level, none of the cost on 4. My position can be worked out and it reads as a dash.</t>
  </si>
  <si>
    <t xml:space="preserve">Positions with no capacity direction</t>
  </si>
  <si>
    <t xml:space="preserve">2. Current capacity. Say what you intend to do with each seat: Grow, Hold, Reduce or Exit.</t>
  </si>
  <si>
    <t xml:space="preserve">Ask rows with something missing</t>
  </si>
  <si>
    <t xml:space="preserve">3. Capacity asks lists what each row is missing in its last two columns.</t>
  </si>
  <si>
    <t xml:space="preserve">Ask rows with nothing in any quarter</t>
  </si>
  <si>
    <t xml:space="preserve">3. Capacity asks. Put the position in the quarter you want it to start.</t>
  </si>
  <si>
    <t xml:space="preserve">Ask rows naming a unit that is not in your structure</t>
  </si>
  <si>
    <t xml:space="preserve">3. Capacity asks. Pick the unit from the list — a unit that does not exist cannot be costed or consolidated.</t>
  </si>
  <si>
    <t xml:space="preserve">Worth a look — these do not block you</t>
  </si>
  <si>
    <t xml:space="preserve">Run-rate cost above your envelope</t>
  </si>
  <si>
    <t xml:space="preserve">Move start quarters later, mark more seats Exit, or say why the envelope has to move.</t>
  </si>
  <si>
    <t xml:space="preserve">Net establishment change above your envelope</t>
  </si>
  <si>
    <t xml:space="preserve">Convert, insource or exit somewhere else to pay for it.</t>
  </si>
  <si>
    <t xml:space="preserve">Mandated-seat share below your target</t>
  </si>
  <si>
    <t xml:space="preserve">Review which seats have to be Saudi on 2. Current capacity, or explain the gap when you submit.</t>
  </si>
  <si>
    <t xml:space="preserve">The ask rows that need attention</t>
  </si>
  <si>
    <t xml:space="preserve">The first 20.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</si>
  <si>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</si>
  <si>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</si>
  <si>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</si>
  <si>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</si>
  <si>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</si>
  <si>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</si>
  <si>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Contact</t>
  </si>
  <si>
    <t xml:space="preserve">Date</t>
  </si>
  <si>
    <t xml:space="preserve">State</t>
  </si>
  <si>
    <t xml:space="preserve">Draft</t>
  </si>
  <si>
    <t xml:space="preserve">Draft or Submitted.</t>
  </si>
  <si>
    <t xml:space="preserve">Return the file to the capacity team with the state set to Submitted. The centre prices it again on the same rate card, challenges it line by line where it has to, and sends back the approved 2027 establishment for Internal Audit Group.</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</si>
  <si>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</si>
  <si>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</si>
  <si>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</si>
  <si>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</si>
  <si>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</si>
  <si>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</si>
  <si>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</si>
  <si>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</si>
  <si>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</si>
  <si>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</si>
  <si>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Envelope for this group</t>
  </si>
  <si>
    <t xml:space="preserve">Cost envelope (SAR '000, run-rate)</t>
  </si>
  <si>
    <t xml:space="preserve">Illustrative: six per cent of the group's current pay bill.</t>
  </si>
  <si>
    <t xml:space="preserve">Headcount envelope (net adds)</t>
  </si>
  <si>
    <t xml:space="preserve">Illustrative: five per cent of the group's current establishment.</t>
  </si>
  <si>
    <t xml:space="preserve">Mandated-seat target</t>
  </si>
  <si>
    <t xml:space="preserve">Illustrative: two points above where the group stands today.</t>
  </si>
  <si>
    <t xml:space="preserve">Rate card by career level (SAR '000 per annum)</t>
  </si>
  <si>
    <t xml:space="preserve">Illustrative rates — replace with Finance's own before use.</t>
  </si>
  <si>
    <t xml:space="preserve">Career level</t>
  </si>
  <si>
    <t xml:space="preserve">Basic</t>
  </si>
  <si>
    <t xml:space="preserve">Housing</t>
  </si>
  <si>
    <t xml:space="preserve">Transport</t>
  </si>
  <si>
    <t xml:space="preserve">Bonus %</t>
  </si>
  <si>
    <t xml:space="preserve">One-off of a hire</t>
  </si>
  <si>
    <t xml:space="preserve">Full-year loaded cost</t>
  </si>
  <si>
    <t xml:space="preserve">Senior Management</t>
  </si>
  <si>
    <t xml:space="preserve">Officer</t>
  </si>
  <si>
    <t xml:space="preserve">Support</t>
  </si>
  <si>
    <t xml:space="preserve">Ask drivers</t>
  </si>
  <si>
    <t xml:space="preserve">Rank</t>
  </si>
  <si>
    <t xml:space="preserve">SAMA regulatory requirement</t>
  </si>
  <si>
    <t xml:space="preserve">Regulatory</t>
  </si>
  <si>
    <t xml:space="preserve">New regulation implementation</t>
  </si>
  <si>
    <t xml:space="preserve">Regulatory audit finding</t>
  </si>
  <si>
    <t xml:space="preserve">Risk framework uplift</t>
  </si>
  <si>
    <t xml:space="preserve">Volume growth - existing product</t>
  </si>
  <si>
    <t xml:space="preserve">Strategic</t>
  </si>
  <si>
    <t xml:space="preserve">New product launch</t>
  </si>
  <si>
    <t xml:space="preserve">Branch or channel expansion</t>
  </si>
  <si>
    <t xml:space="preserve">Client coverage expansion</t>
  </si>
  <si>
    <t xml:space="preserve">Automation enablement</t>
  </si>
  <si>
    <t xml:space="preserve">Control gap closure</t>
  </si>
  <si>
    <t xml:space="preserve">Control</t>
  </si>
  <si>
    <t xml:space="preserve">Internal audit finding</t>
  </si>
  <si>
    <t xml:space="preserve">Business continuity / resilience</t>
  </si>
  <si>
    <t xml:space="preserve">Backfill - resignation</t>
  </si>
  <si>
    <t xml:space="preserve">BAU</t>
  </si>
  <si>
    <t xml:space="preserve">Backfill - retirement</t>
  </si>
  <si>
    <t xml:space="preserve">Backfill - internal move</t>
  </si>
  <si>
    <t xml:space="preserve">Process centralisation</t>
  </si>
  <si>
    <t xml:space="preserve">Insourcing from vendor</t>
  </si>
  <si>
    <t xml:space="preserve">Service level improvement</t>
  </si>
  <si>
    <t xml:space="preserve">Other - see note</t>
  </si>
  <si>
    <t xml:space="preserve">Quarter</t>
  </si>
  <si>
    <t xml:space="preserve">WorkerTypes</t>
  </si>
  <si>
    <t xml:space="preserve">Direction</t>
  </si>
  <si>
    <t xml:space="preserve">LadderLevels</t>
  </si>
  <si>
    <t xml:space="preserve">YesNo</t>
  </si>
  <si>
    <t xml:space="preserve">CareerLevels</t>
  </si>
  <si>
    <t xml:space="preserve">JobFamilies</t>
  </si>
  <si>
    <t xml:space="preserve">Divisions</t>
  </si>
  <si>
    <t xml:space="preserve">Units</t>
  </si>
  <si>
    <t xml:space="preserve">Grow</t>
  </si>
  <si>
    <t xml:space="preserve">Yes</t>
  </si>
  <si>
    <t xml:space="preserve">Hold</t>
  </si>
  <si>
    <t xml:space="preserve">No</t>
  </si>
  <si>
    <t xml:space="preserve">Outsourced</t>
  </si>
  <si>
    <t xml:space="preserve">Reduce</t>
  </si>
  <si>
    <t xml:space="preserve">Exit</t>
  </si>
  <si>
    <t xml:space="preserve">Section</t>
  </si>
  <si>
    <t xml:space="preserve">What each capacity direction means</t>
  </si>
  <si>
    <t xml:space="preserve">More capacity needed here. The growth arrives as a row on the asks sheet.</t>
  </si>
  <si>
    <t xml:space="preserve">Stays as it is.</t>
  </si>
  <si>
    <t xml:space="preserve">Under review. The seat stays for now and is revisited mid-year.</t>
  </si>
  <si>
    <t xml:space="preserve">The seat lapses and comes out of the plan-year establishment.</t>
  </si>
</sst>
</file>

<file path=xl/styles.xml><?xml version="1.0" encoding="utf-8"?>
<styleSheet xmlns="http://schemas.openxmlformats.org/spreadsheetml/2006/main">
  <numFmts count="5">
    <numFmt numFmtId="164" formatCode="General"/>
    <numFmt numFmtId="165" formatCode="#,##0;\(#,##0\);\-"/>
    <numFmt numFmtId="166" formatCode="#,##0.0;\(#,##0.0\);\-"/>
    <numFmt numFmtId="167" formatCode="0.0%;\(0.0%\);\-"/>
    <numFmt numFmtId="168" formatCode="0%;\(0%\);\-"/>
  </numFmts>
  <fonts count="21">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sz val="9"/>
      <color rgb="FFA4262C"/>
      <name val="Arial"/>
      <family val="0"/>
      <charset val="1"/>
    </font>
    <font>
      <b val="true"/>
      <sz val="10"/>
      <color rgb="FF24466B"/>
      <name val="Arial"/>
      <family val="0"/>
      <charset val="1"/>
    </font>
    <font>
      <b val="true"/>
      <sz val="9"/>
      <color rgb="FF8A5300"/>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2" borderId="1" xfId="0" applyFont="true" applyBorder="true" applyAlignment="false" applyProtection="true">
      <alignment horizontal="general" vertical="bottom" textRotation="0" wrapText="false" indent="0" shrinkToFit="false"/>
      <protection locked="fals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name val="Arial"/>
        <charset val="1"/>
        <family val="0"/>
        <b val="1"/>
        <color rgb="FF1A6B45"/>
        <sz val="10"/>
      </font>
    </dxf>
    <dxf>
      <font>
        <name val="Arial"/>
        <charset val="1"/>
        <family val="0"/>
        <b val="1"/>
        <color rgb="FFA4262C"/>
        <sz val="10"/>
      </font>
    </dxf>
    <dxf>
      <font>
        <name val="Arial"/>
        <charset val="1"/>
        <family val="0"/>
        <color rgb="FF8A5300"/>
        <sz val="10"/>
      </font>
    </dxf>
    <dxf>
      <fill>
        <patternFill patternType="solid">
          <fgColor rgb="FF24466B"/>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1A1A1A"/>
          <bgColor rgb="FF000000"/>
        </patternFill>
      </fill>
    </dxf>
    <dxf>
      <fill>
        <patternFill patternType="solid">
          <fgColor rgb="FFFDE7E9"/>
          <bgColor rgb="FF000000"/>
        </patternFill>
      </fill>
    </dxf>
    <dxf>
      <fill>
        <patternFill patternType="solid">
          <fgColor rgb="FFA4262C"/>
          <bgColor rgb="FF000000"/>
        </patternFill>
      </fill>
    </dxf>
    <dxf>
      <font>
        <name val="Arial"/>
        <charset val="1"/>
        <family val="0"/>
        <color rgb="FF7B8694"/>
        <sz val="10"/>
      </font>
    </dxf>
    <dxf>
      <fill>
        <patternFill>
          <bgColor rgb="FFFDE7E9"/>
        </patternFill>
      </fill>
    </dxf>
    <dxf>
      <fill>
        <patternFill patternType="solid">
          <fgColor rgb="FF7B8694"/>
          <bgColor rgb="FF000000"/>
        </patternFill>
      </fill>
    </dxf>
    <dxf>
      <font>
        <name val="Arial"/>
        <charset val="1"/>
        <family val="0"/>
        <color rgb="FF1A6B45"/>
        <sz val="10"/>
      </font>
    </dxf>
    <dxf>
      <font>
        <name val="Arial"/>
        <charset val="1"/>
        <family val="0"/>
        <b val="1"/>
        <color rgb="FF8A5300"/>
        <sz val="10"/>
      </font>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run-rate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My position'!$A$30:$A$33</c:f>
              <c:strCache>
                <c:ptCount val="4"/>
                <c:pt idx="0">
                  <c:v>1. Regulatory</c:v>
                </c:pt>
                <c:pt idx="1">
                  <c:v>2. Strategic</c:v>
                </c:pt>
                <c:pt idx="2">
                  <c:v>3. Control</c:v>
                </c:pt>
                <c:pt idx="3">
                  <c:v>4. BAU</c:v>
                </c:pt>
              </c:strCache>
            </c:strRef>
          </c:cat>
          <c:val>
            <c:numRef>
              <c:f>'4. My position'!$C$30:$C$33</c:f>
              <c:numCache>
                <c:formatCode>#,##0;\(#,##0\);\-</c:formatCode>
                <c:ptCount val="4"/>
                <c:pt idx="0">
                  <c:v>0</c:v>
                </c:pt>
                <c:pt idx="1">
                  <c:v>0</c:v>
                </c:pt>
                <c:pt idx="2">
                  <c:v>0</c:v>
                </c:pt>
                <c:pt idx="3">
                  <c:v>0</c:v>
                </c:pt>
              </c:numCache>
            </c:numRef>
          </c:val>
        </c:ser>
        <c:gapWidth val="150"/>
        <c:overlap val="0"/>
        <c:axId val="40040180"/>
        <c:axId val="89165364"/>
      </c:barChart>
      <c:catAx>
        <c:axId val="40040180"/>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165364"/>
        <c:crosses val="autoZero"/>
        <c:auto val="1"/>
        <c:lblAlgn val="ctr"/>
        <c:lblOffset val="100"/>
        <c:noMultiLvlLbl val="0"/>
      </c:catAx>
      <c:valAx>
        <c:axId val="89165364"/>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040180"/>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New capacity by start quarter</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My position'!$A$37:$A$40</c:f>
              <c:strCache>
                <c:ptCount val="4"/>
                <c:pt idx="0">
                  <c:v>Q1</c:v>
                </c:pt>
                <c:pt idx="1">
                  <c:v>Q2</c:v>
                </c:pt>
                <c:pt idx="2">
                  <c:v>Q3</c:v>
                </c:pt>
                <c:pt idx="3">
                  <c:v>Q4</c:v>
                </c:pt>
              </c:strCache>
            </c:strRef>
          </c:cat>
          <c:val>
            <c:numRef>
              <c:f>'4. My position'!$B$37:$B$40</c:f>
              <c:numCache>
                <c:formatCode>#,##0.0;\(#,##0.0\);\-</c:formatCode>
                <c:ptCount val="4"/>
                <c:pt idx="0">
                  <c:v>0</c:v>
                </c:pt>
                <c:pt idx="1">
                  <c:v>0</c:v>
                </c:pt>
                <c:pt idx="2">
                  <c:v>0</c:v>
                </c:pt>
                <c:pt idx="3">
                  <c:v>0</c:v>
                </c:pt>
              </c:numCache>
            </c:numRef>
          </c:val>
        </c:ser>
        <c:gapWidth val="150"/>
        <c:overlap val="0"/>
        <c:axId val="64562847"/>
        <c:axId val="26619209"/>
      </c:barChart>
      <c:catAx>
        <c:axId val="645628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619209"/>
        <c:crosses val="autoZero"/>
        <c:auto val="1"/>
        <c:lblAlgn val="ctr"/>
        <c:lblOffset val="100"/>
        <c:noMultiLvlLbl val="0"/>
      </c:catAx>
      <c:valAx>
        <c:axId val="26619209"/>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56284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42</xdr:row>
      <xdr:rowOff>0</xdr:rowOff>
    </xdr:from>
    <xdr:to>
      <xdr:col>3</xdr:col>
      <xdr:colOff>247680</xdr:colOff>
      <xdr:row>57</xdr:row>
      <xdr:rowOff>21960</xdr:rowOff>
    </xdr:to>
    <xdr:graphicFrame>
      <xdr:nvGraphicFramePr>
        <xdr:cNvPr id="0" name="Chart 1"/>
        <xdr:cNvGraphicFramePr/>
      </xdr:nvGraphicFramePr>
      <xdr:xfrm>
        <a:off x="0" y="892476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42</xdr:row>
      <xdr:rowOff>0</xdr:rowOff>
    </xdr:from>
    <xdr:to>
      <xdr:col>6</xdr:col>
      <xdr:colOff>1652760</xdr:colOff>
      <xdr:row>57</xdr:row>
      <xdr:rowOff>21960</xdr:rowOff>
    </xdr:to>
    <xdr:graphicFrame>
      <xdr:nvGraphicFramePr>
        <xdr:cNvPr id="1" name="Chart 2"/>
        <xdr:cNvGraphicFramePr/>
      </xdr:nvGraphicFramePr>
      <xdr:xfrm>
        <a:off x="6756480" y="892476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9.75" hidden="false" customHeight="true" outlineLevel="0" collapsed="false">
      <c r="A5" s="4" t="s">
        <v>3</v>
      </c>
      <c r="B5" s="5" t="s">
        <v>4</v>
      </c>
      <c r="C5" s="5"/>
      <c r="D5" s="5"/>
      <c r="E5" s="5"/>
      <c r="F5" s="5"/>
      <c r="G5" s="5"/>
      <c r="H5" s="5"/>
    </row>
    <row r="6" customFormat="false" ht="39.75" hidden="false" customHeight="true" outlineLevel="0" collapsed="false">
      <c r="A6" s="4" t="s">
        <v>5</v>
      </c>
      <c r="B6" s="5" t="s">
        <v>6</v>
      </c>
      <c r="C6" s="5"/>
      <c r="D6" s="5"/>
      <c r="E6" s="5"/>
      <c r="F6" s="5"/>
      <c r="G6" s="5"/>
      <c r="H6" s="5"/>
    </row>
    <row r="7" customFormat="false" ht="39.75" hidden="false" customHeight="true" outlineLevel="0" collapsed="false">
      <c r="A7" s="4" t="s">
        <v>7</v>
      </c>
      <c r="B7" s="5" t="s">
        <v>8</v>
      </c>
      <c r="C7" s="5"/>
      <c r="D7" s="5"/>
      <c r="E7" s="5"/>
      <c r="F7" s="5"/>
      <c r="G7" s="5"/>
      <c r="H7" s="5"/>
    </row>
    <row r="8" customFormat="false" ht="39.75" hidden="false" customHeight="true" outlineLevel="0" collapsed="false">
      <c r="A8" s="4" t="s">
        <v>9</v>
      </c>
      <c r="B8" s="5" t="s">
        <v>10</v>
      </c>
      <c r="C8" s="5"/>
      <c r="D8" s="5"/>
      <c r="E8" s="5"/>
      <c r="F8" s="5"/>
      <c r="G8" s="5"/>
      <c r="H8" s="5"/>
    </row>
    <row r="9" customFormat="false" ht="39.75" hidden="false" customHeight="true" outlineLevel="0" collapsed="false">
      <c r="A9" s="4" t="s">
        <v>11</v>
      </c>
      <c r="B9" s="5" t="s">
        <v>12</v>
      </c>
      <c r="C9" s="5"/>
      <c r="D9" s="5"/>
      <c r="E9" s="5"/>
      <c r="F9" s="5"/>
      <c r="G9" s="5"/>
      <c r="H9" s="5"/>
    </row>
    <row r="11" customFormat="false" ht="15" hidden="false" customHeight="false" outlineLevel="0" collapsed="false">
      <c r="A11" s="6" t="s">
        <v>13</v>
      </c>
    </row>
    <row r="12" customFormat="false" ht="15" hidden="false" customHeight="false" outlineLevel="0" collapsed="false">
      <c r="A12" s="7" t="s">
        <v>14</v>
      </c>
      <c r="B12" s="8" t="s">
        <v>15</v>
      </c>
      <c r="C12" s="8"/>
      <c r="D12" s="8"/>
      <c r="E12" s="8"/>
      <c r="F12" s="8"/>
      <c r="G12" s="8"/>
    </row>
    <row r="13" customFormat="false" ht="15" hidden="false" customHeight="false" outlineLevel="0" collapsed="false">
      <c r="A13" s="9" t="s">
        <v>16</v>
      </c>
      <c r="B13" s="8" t="s">
        <v>17</v>
      </c>
      <c r="C13" s="8"/>
      <c r="D13" s="8"/>
      <c r="E13" s="8"/>
      <c r="F13" s="8"/>
      <c r="G13" s="8"/>
    </row>
    <row r="14" customFormat="false" ht="15" hidden="false" customHeight="false" outlineLevel="0" collapsed="false">
      <c r="A14" s="10" t="s">
        <v>18</v>
      </c>
      <c r="B14" s="8" t="s">
        <v>19</v>
      </c>
      <c r="C14" s="8"/>
      <c r="D14" s="8"/>
      <c r="E14" s="8"/>
      <c r="F14" s="8"/>
      <c r="G14" s="8"/>
    </row>
    <row r="16" customFormat="false" ht="15" hidden="false" customHeight="false" outlineLevel="0" collapsed="false">
      <c r="A16" s="3" t="s">
        <v>20</v>
      </c>
    </row>
    <row r="17" customFormat="false" ht="25.5" hidden="false" customHeight="true" outlineLevel="0" collapsed="false">
      <c r="A17" s="11" t="s">
        <v>21</v>
      </c>
      <c r="B17" s="11"/>
      <c r="C17" s="11"/>
      <c r="D17" s="11"/>
      <c r="E17" s="11"/>
      <c r="F17" s="11"/>
      <c r="G17" s="11"/>
      <c r="H17" s="11"/>
    </row>
    <row r="18" customFormat="false" ht="25.5" hidden="false" customHeight="true" outlineLevel="0" collapsed="false">
      <c r="A18" s="11" t="s">
        <v>22</v>
      </c>
      <c r="B18" s="11"/>
      <c r="C18" s="11"/>
      <c r="D18" s="11"/>
      <c r="E18" s="11"/>
      <c r="F18" s="11"/>
      <c r="G18" s="11"/>
      <c r="H18" s="11"/>
    </row>
    <row r="19" customFormat="false" ht="25.5" hidden="false" customHeight="true" outlineLevel="0" collapsed="false">
      <c r="A19" s="11" t="s">
        <v>23</v>
      </c>
      <c r="B19" s="11"/>
      <c r="C19" s="11"/>
      <c r="D19" s="11"/>
      <c r="E19" s="11"/>
      <c r="F19" s="11"/>
      <c r="G19" s="11"/>
      <c r="H19" s="11"/>
    </row>
  </sheetData>
  <sheetProtection sheet="true" sort="false" autoFilter="false"/>
  <mergeCells count="12">
    <mergeCell ref="A2:J2"/>
    <mergeCell ref="B5:H5"/>
    <mergeCell ref="B6:H6"/>
    <mergeCell ref="B7:H7"/>
    <mergeCell ref="B8:H8"/>
    <mergeCell ref="B9:H9"/>
    <mergeCell ref="B12:G12"/>
    <mergeCell ref="B13:G13"/>
    <mergeCell ref="B14:G14"/>
    <mergeCell ref="A17:H17"/>
    <mergeCell ref="A18:H18"/>
    <mergeCell ref="A19:H19"/>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4"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8" min="6" style="0" width="13"/>
    <col collapsed="false" customWidth="true" hidden="false" outlineLevel="0" max="9" min="9" style="0" width="11"/>
    <col collapsed="false" customWidth="true" hidden="true" outlineLevel="0" max="10" min="10" style="0" width="30"/>
  </cols>
  <sheetData>
    <row r="1" customFormat="false" ht="24" hidden="false" customHeight="true" outlineLevel="0" collapsed="false">
      <c r="A1" s="1" t="s">
        <v>24</v>
      </c>
    </row>
    <row r="2" customFormat="false" ht="15" hidden="false" customHeight="false" outlineLevel="0" collapsed="false">
      <c r="A2" s="2" t="s">
        <v>25</v>
      </c>
      <c r="B2" s="2"/>
      <c r="C2" s="2"/>
      <c r="D2" s="2"/>
      <c r="E2" s="2"/>
      <c r="F2" s="2"/>
      <c r="G2" s="2"/>
      <c r="H2" s="2"/>
      <c r="I2" s="2"/>
      <c r="J2" s="2"/>
    </row>
    <row r="4" customFormat="false" ht="30" hidden="false" customHeight="true" outlineLevel="0" collapsed="false">
      <c r="A4" s="12" t="s">
        <v>26</v>
      </c>
      <c r="B4" s="12" t="s">
        <v>27</v>
      </c>
      <c r="C4" s="12" t="s">
        <v>28</v>
      </c>
      <c r="D4" s="12" t="s">
        <v>29</v>
      </c>
      <c r="E4" s="12" t="s">
        <v>30</v>
      </c>
      <c r="F4" s="12" t="s">
        <v>31</v>
      </c>
      <c r="G4" s="12" t="s">
        <v>32</v>
      </c>
      <c r="H4" s="12" t="s">
        <v>33</v>
      </c>
      <c r="I4" s="12" t="s">
        <v>34</v>
      </c>
      <c r="J4" s="12" t="s">
        <v>35</v>
      </c>
    </row>
    <row r="5" customFormat="false" ht="15" hidden="false" customHeight="false" outlineLevel="0" collapsed="false">
      <c r="A5" s="13" t="s">
        <v>36</v>
      </c>
      <c r="B5" s="14" t="s">
        <v>37</v>
      </c>
      <c r="C5" s="15" t="n">
        <v>141</v>
      </c>
      <c r="D5" s="15" t="n">
        <v>131</v>
      </c>
      <c r="E5" s="15" t="n">
        <v>10</v>
      </c>
      <c r="F5" s="16" t="n">
        <f aca="false">SUMIFS(SeatExits,SeatDivision,$J5)+SUMIFS(SeatExits,SeatDepartment,$J5)+SUMIFS(SeatExits,SeatUnit,$J5)+SUMIFS(SeatExits,SeatSubUnit,$J5)</f>
        <v>0</v>
      </c>
      <c r="G5" s="16" t="n">
        <f aca="false">SUMIFS(AskTotal,AskDivision,$J5)+SUMIFS(AskTotal,AskDepartment,$J5)+SUMIFS(AskTotal,AskUnit,$J5)+SUMIFS(AskTotal,AskSubUnit,$J5)</f>
        <v>0</v>
      </c>
      <c r="H5" s="16" t="n">
        <f aca="false">$C5-$F5+$G5</f>
        <v>141</v>
      </c>
      <c r="I5" s="16" t="n">
        <f aca="false">$H5-$C5</f>
        <v>0</v>
      </c>
      <c r="J5" s="17" t="s">
        <v>37</v>
      </c>
    </row>
    <row r="6" customFormat="false" ht="15" hidden="false" customHeight="false" outlineLevel="1" collapsed="false">
      <c r="A6" s="13" t="s">
        <v>38</v>
      </c>
      <c r="B6" s="14" t="s">
        <v>39</v>
      </c>
      <c r="C6" s="15" t="n">
        <v>70</v>
      </c>
      <c r="D6" s="15" t="n">
        <v>66</v>
      </c>
      <c r="E6" s="15" t="n">
        <v>4</v>
      </c>
      <c r="F6" s="16" t="n">
        <f aca="false">SUMIFS(SeatExits,SeatDivision,$J6)+SUMIFS(SeatExits,SeatDepartment,$J6)+SUMIFS(SeatExits,SeatUnit,$J6)+SUMIFS(SeatExits,SeatSubUnit,$J6)</f>
        <v>0</v>
      </c>
      <c r="G6" s="16" t="n">
        <f aca="false">SUMIFS(AskTotal,AskDivision,$J6)+SUMIFS(AskTotal,AskDepartment,$J6)+SUMIFS(AskTotal,AskUnit,$J6)+SUMIFS(AskTotal,AskSubUnit,$J6)</f>
        <v>0</v>
      </c>
      <c r="H6" s="16" t="n">
        <f aca="false">$C6-$F6+$G6</f>
        <v>70</v>
      </c>
      <c r="I6" s="16" t="n">
        <f aca="false">$H6-$C6</f>
        <v>0</v>
      </c>
      <c r="J6" s="17" t="s">
        <v>40</v>
      </c>
    </row>
    <row r="7" customFormat="false" ht="15" hidden="false" customHeight="false" outlineLevel="2" collapsed="false">
      <c r="A7" s="17" t="s">
        <v>41</v>
      </c>
      <c r="B7" s="18" t="s">
        <v>42</v>
      </c>
      <c r="C7" s="19" t="n">
        <v>35</v>
      </c>
      <c r="D7" s="19" t="n">
        <v>34</v>
      </c>
      <c r="E7" s="19" t="n">
        <v>1</v>
      </c>
      <c r="F7" s="20" t="n">
        <f aca="false">SUMIFS(SeatExits,SeatDivision,$J7)+SUMIFS(SeatExits,SeatDepartment,$J7)+SUMIFS(SeatExits,SeatUnit,$J7)+SUMIFS(SeatExits,SeatSubUnit,$J7)</f>
        <v>0</v>
      </c>
      <c r="G7" s="20" t="n">
        <f aca="false">SUMIFS(AskTotal,AskDivision,$J7)+SUMIFS(AskTotal,AskDepartment,$J7)+SUMIFS(AskTotal,AskUnit,$J7)+SUMIFS(AskTotal,AskSubUnit,$J7)</f>
        <v>0</v>
      </c>
      <c r="H7" s="20" t="n">
        <f aca="false">$C7-$F7+$G7</f>
        <v>35</v>
      </c>
      <c r="I7" s="20" t="n">
        <f aca="false">$H7-$C7</f>
        <v>0</v>
      </c>
      <c r="J7" s="17" t="s">
        <v>43</v>
      </c>
    </row>
    <row r="8" customFormat="false" ht="15" hidden="false" customHeight="false" outlineLevel="3" collapsed="false">
      <c r="A8" s="17" t="s">
        <v>27</v>
      </c>
      <c r="B8" s="18" t="s">
        <v>44</v>
      </c>
      <c r="C8" s="19" t="n">
        <v>16</v>
      </c>
      <c r="D8" s="19" t="n">
        <v>16</v>
      </c>
      <c r="E8" s="19" t="n">
        <v>0</v>
      </c>
      <c r="F8" s="20" t="n">
        <f aca="false">SUMIFS(SeatExits,SeatDivision,$J8)+SUMIFS(SeatExits,SeatDepartment,$J8)+SUMIFS(SeatExits,SeatUnit,$J8)+SUMIFS(SeatExits,SeatSubUnit,$J8)</f>
        <v>0</v>
      </c>
      <c r="G8" s="20" t="n">
        <f aca="false">SUMIFS(AskTotal,AskDivision,$J8)+SUMIFS(AskTotal,AskDepartment,$J8)+SUMIFS(AskTotal,AskUnit,$J8)+SUMIFS(AskTotal,AskSubUnit,$J8)</f>
        <v>0</v>
      </c>
      <c r="H8" s="20" t="n">
        <f aca="false">$C8-$F8+$G8</f>
        <v>16</v>
      </c>
      <c r="I8" s="20" t="n">
        <f aca="false">$H8-$C8</f>
        <v>0</v>
      </c>
      <c r="J8" s="17" t="s">
        <v>45</v>
      </c>
    </row>
    <row r="9" customFormat="false" ht="15" hidden="false" customHeight="false" outlineLevel="4" collapsed="false">
      <c r="A9" s="17" t="s">
        <v>46</v>
      </c>
      <c r="B9" s="18" t="s">
        <v>47</v>
      </c>
      <c r="C9" s="19" t="n">
        <v>6</v>
      </c>
      <c r="D9" s="19" t="n">
        <v>6</v>
      </c>
      <c r="E9" s="19" t="n">
        <v>0</v>
      </c>
      <c r="F9" s="20" t="n">
        <f aca="false">SUMIFS(SeatExits,SeatDivision,$J9)+SUMIFS(SeatExits,SeatDepartment,$J9)+SUMIFS(SeatExits,SeatUnit,$J9)+SUMIFS(SeatExits,SeatSubUnit,$J9)</f>
        <v>0</v>
      </c>
      <c r="G9" s="20" t="n">
        <f aca="false">SUMIFS(AskTotal,AskDivision,$J9)+SUMIFS(AskTotal,AskDepartment,$J9)+SUMIFS(AskTotal,AskUnit,$J9)+SUMIFS(AskTotal,AskSubUnit,$J9)</f>
        <v>0</v>
      </c>
      <c r="H9" s="20" t="n">
        <f aca="false">$C9-$F9+$G9</f>
        <v>6</v>
      </c>
      <c r="I9" s="20" t="n">
        <f aca="false">$H9-$C9</f>
        <v>0</v>
      </c>
      <c r="J9" s="17" t="s">
        <v>48</v>
      </c>
    </row>
    <row r="10" customFormat="false" ht="15" hidden="false" customHeight="false" outlineLevel="4" collapsed="false">
      <c r="A10" s="17" t="s">
        <v>46</v>
      </c>
      <c r="B10" s="18" t="s">
        <v>49</v>
      </c>
      <c r="C10" s="19" t="n">
        <v>9</v>
      </c>
      <c r="D10" s="19" t="n">
        <v>9</v>
      </c>
      <c r="E10" s="19" t="n">
        <v>0</v>
      </c>
      <c r="F10" s="20" t="n">
        <f aca="false">SUMIFS(SeatExits,SeatDivision,$J10)+SUMIFS(SeatExits,SeatDepartment,$J10)+SUMIFS(SeatExits,SeatUnit,$J10)+SUMIFS(SeatExits,SeatSubUnit,$J10)</f>
        <v>0</v>
      </c>
      <c r="G10" s="20" t="n">
        <f aca="false">SUMIFS(AskTotal,AskDivision,$J10)+SUMIFS(AskTotal,AskDepartment,$J10)+SUMIFS(AskTotal,AskUnit,$J10)+SUMIFS(AskTotal,AskSubUnit,$J10)</f>
        <v>0</v>
      </c>
      <c r="H10" s="20" t="n">
        <f aca="false">$C10-$F10+$G10</f>
        <v>9</v>
      </c>
      <c r="I10" s="20" t="n">
        <f aca="false">$H10-$C10</f>
        <v>0</v>
      </c>
      <c r="J10" s="17" t="s">
        <v>50</v>
      </c>
    </row>
    <row r="11" customFormat="false" ht="15" hidden="false" customHeight="false" outlineLevel="3" collapsed="false">
      <c r="A11" s="17" t="s">
        <v>27</v>
      </c>
      <c r="B11" s="18" t="s">
        <v>51</v>
      </c>
      <c r="C11" s="19" t="n">
        <v>18</v>
      </c>
      <c r="D11" s="19" t="n">
        <v>17</v>
      </c>
      <c r="E11" s="19" t="n">
        <v>1</v>
      </c>
      <c r="F11" s="20" t="n">
        <f aca="false">SUMIFS(SeatExits,SeatDivision,$J11)+SUMIFS(SeatExits,SeatDepartment,$J11)+SUMIFS(SeatExits,SeatUnit,$J11)+SUMIFS(SeatExits,SeatSubUnit,$J11)</f>
        <v>0</v>
      </c>
      <c r="G11" s="20" t="n">
        <f aca="false">SUMIFS(AskTotal,AskDivision,$J11)+SUMIFS(AskTotal,AskDepartment,$J11)+SUMIFS(AskTotal,AskUnit,$J11)+SUMIFS(AskTotal,AskSubUnit,$J11)</f>
        <v>0</v>
      </c>
      <c r="H11" s="20" t="n">
        <f aca="false">$C11-$F11+$G11</f>
        <v>18</v>
      </c>
      <c r="I11" s="20" t="n">
        <f aca="false">$H11-$C11</f>
        <v>0</v>
      </c>
      <c r="J11" s="17" t="s">
        <v>52</v>
      </c>
    </row>
    <row r="12" customFormat="false" ht="15" hidden="false" customHeight="false" outlineLevel="4" collapsed="false">
      <c r="A12" s="17" t="s">
        <v>46</v>
      </c>
      <c r="B12" s="18" t="s">
        <v>53</v>
      </c>
      <c r="C12" s="19" t="n">
        <v>8</v>
      </c>
      <c r="D12" s="19" t="n">
        <v>7</v>
      </c>
      <c r="E12" s="19" t="n">
        <v>1</v>
      </c>
      <c r="F12" s="20" t="n">
        <f aca="false">SUMIFS(SeatExits,SeatDivision,$J12)+SUMIFS(SeatExits,SeatDepartment,$J12)+SUMIFS(SeatExits,SeatUnit,$J12)+SUMIFS(SeatExits,SeatSubUnit,$J12)</f>
        <v>0</v>
      </c>
      <c r="G12" s="20" t="n">
        <f aca="false">SUMIFS(AskTotal,AskDivision,$J12)+SUMIFS(AskTotal,AskDepartment,$J12)+SUMIFS(AskTotal,AskUnit,$J12)+SUMIFS(AskTotal,AskSubUnit,$J12)</f>
        <v>0</v>
      </c>
      <c r="H12" s="20" t="n">
        <f aca="false">$C12-$F12+$G12</f>
        <v>8</v>
      </c>
      <c r="I12" s="20" t="n">
        <f aca="false">$H12-$C12</f>
        <v>0</v>
      </c>
      <c r="J12" s="17" t="s">
        <v>54</v>
      </c>
    </row>
    <row r="13" customFormat="false" ht="15" hidden="false" customHeight="false" outlineLevel="4" collapsed="false">
      <c r="A13" s="17" t="s">
        <v>46</v>
      </c>
      <c r="B13" s="18" t="s">
        <v>55</v>
      </c>
      <c r="C13" s="19" t="n">
        <v>9</v>
      </c>
      <c r="D13" s="19" t="n">
        <v>9</v>
      </c>
      <c r="E13" s="19" t="n">
        <v>0</v>
      </c>
      <c r="F13" s="20" t="n">
        <f aca="false">SUMIFS(SeatExits,SeatDivision,$J13)+SUMIFS(SeatExits,SeatDepartment,$J13)+SUMIFS(SeatExits,SeatUnit,$J13)+SUMIFS(SeatExits,SeatSubUnit,$J13)</f>
        <v>0</v>
      </c>
      <c r="G13" s="20" t="n">
        <f aca="false">SUMIFS(AskTotal,AskDivision,$J13)+SUMIFS(AskTotal,AskDepartment,$J13)+SUMIFS(AskTotal,AskUnit,$J13)+SUMIFS(AskTotal,AskSubUnit,$J13)</f>
        <v>0</v>
      </c>
      <c r="H13" s="20" t="n">
        <f aca="false">$C13-$F13+$G13</f>
        <v>9</v>
      </c>
      <c r="I13" s="20" t="n">
        <f aca="false">$H13-$C13</f>
        <v>0</v>
      </c>
      <c r="J13" s="17" t="s">
        <v>56</v>
      </c>
    </row>
    <row r="14" customFormat="false" ht="15" hidden="false" customHeight="false" outlineLevel="2" collapsed="false">
      <c r="A14" s="17" t="s">
        <v>41</v>
      </c>
      <c r="B14" s="18" t="s">
        <v>57</v>
      </c>
      <c r="C14" s="19" t="n">
        <v>34</v>
      </c>
      <c r="D14" s="19" t="n">
        <v>31</v>
      </c>
      <c r="E14" s="19" t="n">
        <v>3</v>
      </c>
      <c r="F14" s="20" t="n">
        <f aca="false">SUMIFS(SeatExits,SeatDivision,$J14)+SUMIFS(SeatExits,SeatDepartment,$J14)+SUMIFS(SeatExits,SeatUnit,$J14)+SUMIFS(SeatExits,SeatSubUnit,$J14)</f>
        <v>0</v>
      </c>
      <c r="G14" s="20" t="n">
        <f aca="false">SUMIFS(AskTotal,AskDivision,$J14)+SUMIFS(AskTotal,AskDepartment,$J14)+SUMIFS(AskTotal,AskUnit,$J14)+SUMIFS(AskTotal,AskSubUnit,$J14)</f>
        <v>0</v>
      </c>
      <c r="H14" s="20" t="n">
        <f aca="false">$C14-$F14+$G14</f>
        <v>34</v>
      </c>
      <c r="I14" s="20" t="n">
        <f aca="false">$H14-$C14</f>
        <v>0</v>
      </c>
      <c r="J14" s="17" t="s">
        <v>58</v>
      </c>
    </row>
    <row r="15" customFormat="false" ht="15" hidden="false" customHeight="false" outlineLevel="3" collapsed="false">
      <c r="A15" s="17" t="s">
        <v>27</v>
      </c>
      <c r="B15" s="18" t="s">
        <v>59</v>
      </c>
      <c r="C15" s="19" t="n">
        <v>16</v>
      </c>
      <c r="D15" s="19" t="n">
        <v>15</v>
      </c>
      <c r="E15" s="19" t="n">
        <v>1</v>
      </c>
      <c r="F15" s="20" t="n">
        <f aca="false">SUMIFS(SeatExits,SeatDivision,$J15)+SUMIFS(SeatExits,SeatDepartment,$J15)+SUMIFS(SeatExits,SeatUnit,$J15)+SUMIFS(SeatExits,SeatSubUnit,$J15)</f>
        <v>0</v>
      </c>
      <c r="G15" s="20" t="n">
        <f aca="false">SUMIFS(AskTotal,AskDivision,$J15)+SUMIFS(AskTotal,AskDepartment,$J15)+SUMIFS(AskTotal,AskUnit,$J15)+SUMIFS(AskTotal,AskSubUnit,$J15)</f>
        <v>0</v>
      </c>
      <c r="H15" s="20" t="n">
        <f aca="false">$C15-$F15+$G15</f>
        <v>16</v>
      </c>
      <c r="I15" s="20" t="n">
        <f aca="false">$H15-$C15</f>
        <v>0</v>
      </c>
      <c r="J15" s="17" t="s">
        <v>60</v>
      </c>
    </row>
    <row r="16" customFormat="false" ht="15" hidden="false" customHeight="false" outlineLevel="4" collapsed="false">
      <c r="A16" s="17" t="s">
        <v>46</v>
      </c>
      <c r="B16" s="18" t="s">
        <v>61</v>
      </c>
      <c r="C16" s="19" t="n">
        <v>9</v>
      </c>
      <c r="D16" s="19" t="n">
        <v>8</v>
      </c>
      <c r="E16" s="19" t="n">
        <v>1</v>
      </c>
      <c r="F16" s="20" t="n">
        <f aca="false">SUMIFS(SeatExits,SeatDivision,$J16)+SUMIFS(SeatExits,SeatDepartment,$J16)+SUMIFS(SeatExits,SeatUnit,$J16)+SUMIFS(SeatExits,SeatSubUnit,$J16)</f>
        <v>0</v>
      </c>
      <c r="G16" s="20" t="n">
        <f aca="false">SUMIFS(AskTotal,AskDivision,$J16)+SUMIFS(AskTotal,AskDepartment,$J16)+SUMIFS(AskTotal,AskUnit,$J16)+SUMIFS(AskTotal,AskSubUnit,$J16)</f>
        <v>0</v>
      </c>
      <c r="H16" s="20" t="n">
        <f aca="false">$C16-$F16+$G16</f>
        <v>9</v>
      </c>
      <c r="I16" s="20" t="n">
        <f aca="false">$H16-$C16</f>
        <v>0</v>
      </c>
      <c r="J16" s="17" t="s">
        <v>62</v>
      </c>
    </row>
    <row r="17" customFormat="false" ht="15" hidden="false" customHeight="false" outlineLevel="4" collapsed="false">
      <c r="A17" s="17" t="s">
        <v>46</v>
      </c>
      <c r="B17" s="18" t="s">
        <v>63</v>
      </c>
      <c r="C17" s="19" t="n">
        <v>6</v>
      </c>
      <c r="D17" s="19" t="n">
        <v>6</v>
      </c>
      <c r="E17" s="19" t="n">
        <v>0</v>
      </c>
      <c r="F17" s="20" t="n">
        <f aca="false">SUMIFS(SeatExits,SeatDivision,$J17)+SUMIFS(SeatExits,SeatDepartment,$J17)+SUMIFS(SeatExits,SeatUnit,$J17)+SUMIFS(SeatExits,SeatSubUnit,$J17)</f>
        <v>0</v>
      </c>
      <c r="G17" s="20" t="n">
        <f aca="false">SUMIFS(AskTotal,AskDivision,$J17)+SUMIFS(AskTotal,AskDepartment,$J17)+SUMIFS(AskTotal,AskUnit,$J17)+SUMIFS(AskTotal,AskSubUnit,$J17)</f>
        <v>0</v>
      </c>
      <c r="H17" s="20" t="n">
        <f aca="false">$C17-$F17+$G17</f>
        <v>6</v>
      </c>
      <c r="I17" s="20" t="n">
        <f aca="false">$H17-$C17</f>
        <v>0</v>
      </c>
      <c r="J17" s="17" t="s">
        <v>64</v>
      </c>
    </row>
    <row r="18" customFormat="false" ht="15" hidden="false" customHeight="false" outlineLevel="3" collapsed="false">
      <c r="A18" s="17" t="s">
        <v>27</v>
      </c>
      <c r="B18" s="18" t="s">
        <v>65</v>
      </c>
      <c r="C18" s="19" t="n">
        <v>17</v>
      </c>
      <c r="D18" s="19" t="n">
        <v>15</v>
      </c>
      <c r="E18" s="19" t="n">
        <v>2</v>
      </c>
      <c r="F18" s="20" t="n">
        <f aca="false">SUMIFS(SeatExits,SeatDivision,$J18)+SUMIFS(SeatExits,SeatDepartment,$J18)+SUMIFS(SeatExits,SeatUnit,$J18)+SUMIFS(SeatExits,SeatSubUnit,$J18)</f>
        <v>0</v>
      </c>
      <c r="G18" s="20" t="n">
        <f aca="false">SUMIFS(AskTotal,AskDivision,$J18)+SUMIFS(AskTotal,AskDepartment,$J18)+SUMIFS(AskTotal,AskUnit,$J18)+SUMIFS(AskTotal,AskSubUnit,$J18)</f>
        <v>0</v>
      </c>
      <c r="H18" s="20" t="n">
        <f aca="false">$C18-$F18+$G18</f>
        <v>17</v>
      </c>
      <c r="I18" s="20" t="n">
        <f aca="false">$H18-$C18</f>
        <v>0</v>
      </c>
      <c r="J18" s="17" t="s">
        <v>66</v>
      </c>
    </row>
    <row r="19" customFormat="false" ht="15" hidden="false" customHeight="false" outlineLevel="4" collapsed="false">
      <c r="A19" s="17" t="s">
        <v>46</v>
      </c>
      <c r="B19" s="18" t="s">
        <v>67</v>
      </c>
      <c r="C19" s="19" t="n">
        <v>9</v>
      </c>
      <c r="D19" s="19" t="n">
        <v>8</v>
      </c>
      <c r="E19" s="19" t="n">
        <v>1</v>
      </c>
      <c r="F19" s="20" t="n">
        <f aca="false">SUMIFS(SeatExits,SeatDivision,$J19)+SUMIFS(SeatExits,SeatDepartment,$J19)+SUMIFS(SeatExits,SeatUnit,$J19)+SUMIFS(SeatExits,SeatSubUnit,$J19)</f>
        <v>0</v>
      </c>
      <c r="G19" s="20" t="n">
        <f aca="false">SUMIFS(AskTotal,AskDivision,$J19)+SUMIFS(AskTotal,AskDepartment,$J19)+SUMIFS(AskTotal,AskUnit,$J19)+SUMIFS(AskTotal,AskSubUnit,$J19)</f>
        <v>0</v>
      </c>
      <c r="H19" s="20" t="n">
        <f aca="false">$C19-$F19+$G19</f>
        <v>9</v>
      </c>
      <c r="I19" s="20" t="n">
        <f aca="false">$H19-$C19</f>
        <v>0</v>
      </c>
      <c r="J19" s="17" t="s">
        <v>68</v>
      </c>
    </row>
    <row r="20" customFormat="false" ht="15" hidden="false" customHeight="false" outlineLevel="4" collapsed="false">
      <c r="A20" s="17" t="s">
        <v>46</v>
      </c>
      <c r="B20" s="18" t="s">
        <v>69</v>
      </c>
      <c r="C20" s="19" t="n">
        <v>7</v>
      </c>
      <c r="D20" s="19" t="n">
        <v>6</v>
      </c>
      <c r="E20" s="19" t="n">
        <v>1</v>
      </c>
      <c r="F20" s="20" t="n">
        <f aca="false">SUMIFS(SeatExits,SeatDivision,$J20)+SUMIFS(SeatExits,SeatDepartment,$J20)+SUMIFS(SeatExits,SeatUnit,$J20)+SUMIFS(SeatExits,SeatSubUnit,$J20)</f>
        <v>0</v>
      </c>
      <c r="G20" s="20" t="n">
        <f aca="false">SUMIFS(AskTotal,AskDivision,$J20)+SUMIFS(AskTotal,AskDepartment,$J20)+SUMIFS(AskTotal,AskUnit,$J20)+SUMIFS(AskTotal,AskSubUnit,$J20)</f>
        <v>0</v>
      </c>
      <c r="H20" s="20" t="n">
        <f aca="false">$C20-$F20+$G20</f>
        <v>7</v>
      </c>
      <c r="I20" s="20" t="n">
        <f aca="false">$H20-$C20</f>
        <v>0</v>
      </c>
      <c r="J20" s="17" t="s">
        <v>70</v>
      </c>
    </row>
    <row r="21" customFormat="false" ht="15" hidden="false" customHeight="false" outlineLevel="1" collapsed="false">
      <c r="A21" s="13" t="s">
        <v>38</v>
      </c>
      <c r="B21" s="14" t="s">
        <v>71</v>
      </c>
      <c r="C21" s="15" t="n">
        <v>70</v>
      </c>
      <c r="D21" s="15" t="n">
        <v>64</v>
      </c>
      <c r="E21" s="15" t="n">
        <v>6</v>
      </c>
      <c r="F21" s="16" t="n">
        <f aca="false">SUMIFS(SeatExits,SeatDivision,$J21)+SUMIFS(SeatExits,SeatDepartment,$J21)+SUMIFS(SeatExits,SeatUnit,$J21)+SUMIFS(SeatExits,SeatSubUnit,$J21)</f>
        <v>0</v>
      </c>
      <c r="G21" s="16" t="n">
        <f aca="false">SUMIFS(AskTotal,AskDivision,$J21)+SUMIFS(AskTotal,AskDepartment,$J21)+SUMIFS(AskTotal,AskUnit,$J21)+SUMIFS(AskTotal,AskSubUnit,$J21)</f>
        <v>0</v>
      </c>
      <c r="H21" s="16" t="n">
        <f aca="false">$C21-$F21+$G21</f>
        <v>70</v>
      </c>
      <c r="I21" s="16" t="n">
        <f aca="false">$H21-$C21</f>
        <v>0</v>
      </c>
      <c r="J21" s="17" t="s">
        <v>72</v>
      </c>
    </row>
    <row r="22" customFormat="false" ht="15" hidden="false" customHeight="false" outlineLevel="2" collapsed="false">
      <c r="A22" s="17" t="s">
        <v>41</v>
      </c>
      <c r="B22" s="18" t="s">
        <v>73</v>
      </c>
      <c r="C22" s="19" t="n">
        <v>36</v>
      </c>
      <c r="D22" s="19" t="n">
        <v>32</v>
      </c>
      <c r="E22" s="19" t="n">
        <v>4</v>
      </c>
      <c r="F22" s="20" t="n">
        <f aca="false">SUMIFS(SeatExits,SeatDivision,$J22)+SUMIFS(SeatExits,SeatDepartment,$J22)+SUMIFS(SeatExits,SeatUnit,$J22)+SUMIFS(SeatExits,SeatSubUnit,$J22)</f>
        <v>0</v>
      </c>
      <c r="G22" s="20" t="n">
        <f aca="false">SUMIFS(AskTotal,AskDivision,$J22)+SUMIFS(AskTotal,AskDepartment,$J22)+SUMIFS(AskTotal,AskUnit,$J22)+SUMIFS(AskTotal,AskSubUnit,$J22)</f>
        <v>0</v>
      </c>
      <c r="H22" s="20" t="n">
        <f aca="false">$C22-$F22+$G22</f>
        <v>36</v>
      </c>
      <c r="I22" s="20" t="n">
        <f aca="false">$H22-$C22</f>
        <v>0</v>
      </c>
      <c r="J22" s="17" t="s">
        <v>74</v>
      </c>
    </row>
    <row r="23" customFormat="false" ht="15" hidden="false" customHeight="false" outlineLevel="3" collapsed="false">
      <c r="A23" s="17" t="s">
        <v>27</v>
      </c>
      <c r="B23" s="18" t="s">
        <v>75</v>
      </c>
      <c r="C23" s="19" t="n">
        <v>16</v>
      </c>
      <c r="D23" s="19" t="n">
        <v>15</v>
      </c>
      <c r="E23" s="19" t="n">
        <v>1</v>
      </c>
      <c r="F23" s="20" t="n">
        <f aca="false">SUMIFS(SeatExits,SeatDivision,$J23)+SUMIFS(SeatExits,SeatDepartment,$J23)+SUMIFS(SeatExits,SeatUnit,$J23)+SUMIFS(SeatExits,SeatSubUnit,$J23)</f>
        <v>0</v>
      </c>
      <c r="G23" s="20" t="n">
        <f aca="false">SUMIFS(AskTotal,AskDivision,$J23)+SUMIFS(AskTotal,AskDepartment,$J23)+SUMIFS(AskTotal,AskUnit,$J23)+SUMIFS(AskTotal,AskSubUnit,$J23)</f>
        <v>0</v>
      </c>
      <c r="H23" s="20" t="n">
        <f aca="false">$C23-$F23+$G23</f>
        <v>16</v>
      </c>
      <c r="I23" s="20" t="n">
        <f aca="false">$H23-$C23</f>
        <v>0</v>
      </c>
      <c r="J23" s="17" t="s">
        <v>76</v>
      </c>
    </row>
    <row r="24" customFormat="false" ht="15" hidden="false" customHeight="false" outlineLevel="4" collapsed="false">
      <c r="A24" s="17" t="s">
        <v>46</v>
      </c>
      <c r="B24" s="18" t="s">
        <v>77</v>
      </c>
      <c r="C24" s="19" t="n">
        <v>8</v>
      </c>
      <c r="D24" s="19" t="n">
        <v>7</v>
      </c>
      <c r="E24" s="19" t="n">
        <v>1</v>
      </c>
      <c r="F24" s="20" t="n">
        <f aca="false">SUMIFS(SeatExits,SeatDivision,$J24)+SUMIFS(SeatExits,SeatDepartment,$J24)+SUMIFS(SeatExits,SeatUnit,$J24)+SUMIFS(SeatExits,SeatSubUnit,$J24)</f>
        <v>0</v>
      </c>
      <c r="G24" s="20" t="n">
        <f aca="false">SUMIFS(AskTotal,AskDivision,$J24)+SUMIFS(AskTotal,AskDepartment,$J24)+SUMIFS(AskTotal,AskUnit,$J24)+SUMIFS(AskTotal,AskSubUnit,$J24)</f>
        <v>0</v>
      </c>
      <c r="H24" s="20" t="n">
        <f aca="false">$C24-$F24+$G24</f>
        <v>8</v>
      </c>
      <c r="I24" s="20" t="n">
        <f aca="false">$H24-$C24</f>
        <v>0</v>
      </c>
      <c r="J24" s="17" t="s">
        <v>78</v>
      </c>
    </row>
    <row r="25" customFormat="false" ht="15" hidden="false" customHeight="false" outlineLevel="4" collapsed="false">
      <c r="A25" s="17" t="s">
        <v>46</v>
      </c>
      <c r="B25" s="18" t="s">
        <v>79</v>
      </c>
      <c r="C25" s="19" t="n">
        <v>7</v>
      </c>
      <c r="D25" s="19" t="n">
        <v>7</v>
      </c>
      <c r="E25" s="19" t="n">
        <v>0</v>
      </c>
      <c r="F25" s="20" t="n">
        <f aca="false">SUMIFS(SeatExits,SeatDivision,$J25)+SUMIFS(SeatExits,SeatDepartment,$J25)+SUMIFS(SeatExits,SeatUnit,$J25)+SUMIFS(SeatExits,SeatSubUnit,$J25)</f>
        <v>0</v>
      </c>
      <c r="G25" s="20" t="n">
        <f aca="false">SUMIFS(AskTotal,AskDivision,$J25)+SUMIFS(AskTotal,AskDepartment,$J25)+SUMIFS(AskTotal,AskUnit,$J25)+SUMIFS(AskTotal,AskSubUnit,$J25)</f>
        <v>0</v>
      </c>
      <c r="H25" s="20" t="n">
        <f aca="false">$C25-$F25+$G25</f>
        <v>7</v>
      </c>
      <c r="I25" s="20" t="n">
        <f aca="false">$H25-$C25</f>
        <v>0</v>
      </c>
      <c r="J25" s="17" t="s">
        <v>80</v>
      </c>
    </row>
    <row r="26" customFormat="false" ht="15" hidden="false" customHeight="false" outlineLevel="3" collapsed="false">
      <c r="A26" s="17" t="s">
        <v>27</v>
      </c>
      <c r="B26" s="18" t="s">
        <v>81</v>
      </c>
      <c r="C26" s="19" t="n">
        <v>19</v>
      </c>
      <c r="D26" s="19" t="n">
        <v>16</v>
      </c>
      <c r="E26" s="19" t="n">
        <v>3</v>
      </c>
      <c r="F26" s="20" t="n">
        <f aca="false">SUMIFS(SeatExits,SeatDivision,$J26)+SUMIFS(SeatExits,SeatDepartment,$J26)+SUMIFS(SeatExits,SeatUnit,$J26)+SUMIFS(SeatExits,SeatSubUnit,$J26)</f>
        <v>0</v>
      </c>
      <c r="G26" s="20" t="n">
        <f aca="false">SUMIFS(AskTotal,AskDivision,$J26)+SUMIFS(AskTotal,AskDepartment,$J26)+SUMIFS(AskTotal,AskUnit,$J26)+SUMIFS(AskTotal,AskSubUnit,$J26)</f>
        <v>0</v>
      </c>
      <c r="H26" s="20" t="n">
        <f aca="false">$C26-$F26+$G26</f>
        <v>19</v>
      </c>
      <c r="I26" s="20" t="n">
        <f aca="false">$H26-$C26</f>
        <v>0</v>
      </c>
      <c r="J26" s="17" t="s">
        <v>82</v>
      </c>
    </row>
    <row r="27" customFormat="false" ht="15" hidden="false" customHeight="false" outlineLevel="4" collapsed="false">
      <c r="A27" s="17" t="s">
        <v>46</v>
      </c>
      <c r="B27" s="18" t="s">
        <v>83</v>
      </c>
      <c r="C27" s="19" t="n">
        <v>10</v>
      </c>
      <c r="D27" s="19" t="n">
        <v>7</v>
      </c>
      <c r="E27" s="19" t="n">
        <v>3</v>
      </c>
      <c r="F27" s="20" t="n">
        <f aca="false">SUMIFS(SeatExits,SeatDivision,$J27)+SUMIFS(SeatExits,SeatDepartment,$J27)+SUMIFS(SeatExits,SeatUnit,$J27)+SUMIFS(SeatExits,SeatSubUnit,$J27)</f>
        <v>0</v>
      </c>
      <c r="G27" s="20" t="n">
        <f aca="false">SUMIFS(AskTotal,AskDivision,$J27)+SUMIFS(AskTotal,AskDepartment,$J27)+SUMIFS(AskTotal,AskUnit,$J27)+SUMIFS(AskTotal,AskSubUnit,$J27)</f>
        <v>0</v>
      </c>
      <c r="H27" s="20" t="n">
        <f aca="false">$C27-$F27+$G27</f>
        <v>10</v>
      </c>
      <c r="I27" s="20" t="n">
        <f aca="false">$H27-$C27</f>
        <v>0</v>
      </c>
      <c r="J27" s="17" t="s">
        <v>84</v>
      </c>
    </row>
    <row r="28" customFormat="false" ht="15" hidden="false" customHeight="false" outlineLevel="4" collapsed="false">
      <c r="A28" s="17" t="s">
        <v>46</v>
      </c>
      <c r="B28" s="18" t="s">
        <v>85</v>
      </c>
      <c r="C28" s="19" t="n">
        <v>8</v>
      </c>
      <c r="D28" s="19" t="n">
        <v>8</v>
      </c>
      <c r="E28" s="19" t="n">
        <v>0</v>
      </c>
      <c r="F28" s="20" t="n">
        <f aca="false">SUMIFS(SeatExits,SeatDivision,$J28)+SUMIFS(SeatExits,SeatDepartment,$J28)+SUMIFS(SeatExits,SeatUnit,$J28)+SUMIFS(SeatExits,SeatSubUnit,$J28)</f>
        <v>0</v>
      </c>
      <c r="G28" s="20" t="n">
        <f aca="false">SUMIFS(AskTotal,AskDivision,$J28)+SUMIFS(AskTotal,AskDepartment,$J28)+SUMIFS(AskTotal,AskUnit,$J28)+SUMIFS(AskTotal,AskSubUnit,$J28)</f>
        <v>0</v>
      </c>
      <c r="H28" s="20" t="n">
        <f aca="false">$C28-$F28+$G28</f>
        <v>8</v>
      </c>
      <c r="I28" s="20" t="n">
        <f aca="false">$H28-$C28</f>
        <v>0</v>
      </c>
      <c r="J28" s="17" t="s">
        <v>86</v>
      </c>
    </row>
    <row r="29" customFormat="false" ht="15" hidden="false" customHeight="false" outlineLevel="2" collapsed="false">
      <c r="A29" s="17" t="s">
        <v>41</v>
      </c>
      <c r="B29" s="18" t="s">
        <v>87</v>
      </c>
      <c r="C29" s="19" t="n">
        <v>33</v>
      </c>
      <c r="D29" s="19" t="n">
        <v>31</v>
      </c>
      <c r="E29" s="19" t="n">
        <v>2</v>
      </c>
      <c r="F29" s="20" t="n">
        <f aca="false">SUMIFS(SeatExits,SeatDivision,$J29)+SUMIFS(SeatExits,SeatDepartment,$J29)+SUMIFS(SeatExits,SeatUnit,$J29)+SUMIFS(SeatExits,SeatSubUnit,$J29)</f>
        <v>0</v>
      </c>
      <c r="G29" s="20" t="n">
        <f aca="false">SUMIFS(AskTotal,AskDivision,$J29)+SUMIFS(AskTotal,AskDepartment,$J29)+SUMIFS(AskTotal,AskUnit,$J29)+SUMIFS(AskTotal,AskSubUnit,$J29)</f>
        <v>0</v>
      </c>
      <c r="H29" s="20" t="n">
        <f aca="false">$C29-$F29+$G29</f>
        <v>33</v>
      </c>
      <c r="I29" s="20" t="n">
        <f aca="false">$H29-$C29</f>
        <v>0</v>
      </c>
      <c r="J29" s="17" t="s">
        <v>88</v>
      </c>
    </row>
    <row r="30" customFormat="false" ht="15" hidden="false" customHeight="false" outlineLevel="3" collapsed="false">
      <c r="A30" s="17" t="s">
        <v>27</v>
      </c>
      <c r="B30" s="18" t="s">
        <v>89</v>
      </c>
      <c r="C30" s="19" t="n">
        <v>13</v>
      </c>
      <c r="D30" s="19" t="n">
        <v>12</v>
      </c>
      <c r="E30" s="19" t="n">
        <v>1</v>
      </c>
      <c r="F30" s="20" t="n">
        <f aca="false">SUMIFS(SeatExits,SeatDivision,$J30)+SUMIFS(SeatExits,SeatDepartment,$J30)+SUMIFS(SeatExits,SeatUnit,$J30)+SUMIFS(SeatExits,SeatSubUnit,$J30)</f>
        <v>0</v>
      </c>
      <c r="G30" s="20" t="n">
        <f aca="false">SUMIFS(AskTotal,AskDivision,$J30)+SUMIFS(AskTotal,AskDepartment,$J30)+SUMIFS(AskTotal,AskUnit,$J30)+SUMIFS(AskTotal,AskSubUnit,$J30)</f>
        <v>0</v>
      </c>
      <c r="H30" s="20" t="n">
        <f aca="false">$C30-$F30+$G30</f>
        <v>13</v>
      </c>
      <c r="I30" s="20" t="n">
        <f aca="false">$H30-$C30</f>
        <v>0</v>
      </c>
      <c r="J30" s="17" t="s">
        <v>90</v>
      </c>
    </row>
    <row r="31" customFormat="false" ht="15" hidden="false" customHeight="false" outlineLevel="4" collapsed="false">
      <c r="A31" s="17" t="s">
        <v>46</v>
      </c>
      <c r="B31" s="18" t="s">
        <v>91</v>
      </c>
      <c r="C31" s="19" t="n">
        <v>6</v>
      </c>
      <c r="D31" s="19" t="n">
        <v>5</v>
      </c>
      <c r="E31" s="19" t="n">
        <v>1</v>
      </c>
      <c r="F31" s="20" t="n">
        <f aca="false">SUMIFS(SeatExits,SeatDivision,$J31)+SUMIFS(SeatExits,SeatDepartment,$J31)+SUMIFS(SeatExits,SeatUnit,$J31)+SUMIFS(SeatExits,SeatSubUnit,$J31)</f>
        <v>0</v>
      </c>
      <c r="G31" s="20" t="n">
        <f aca="false">SUMIFS(AskTotal,AskDivision,$J31)+SUMIFS(AskTotal,AskDepartment,$J31)+SUMIFS(AskTotal,AskUnit,$J31)+SUMIFS(AskTotal,AskSubUnit,$J31)</f>
        <v>0</v>
      </c>
      <c r="H31" s="20" t="n">
        <f aca="false">$C31-$F31+$G31</f>
        <v>6</v>
      </c>
      <c r="I31" s="20" t="n">
        <f aca="false">$H31-$C31</f>
        <v>0</v>
      </c>
      <c r="J31" s="17" t="s">
        <v>92</v>
      </c>
    </row>
    <row r="32" customFormat="false" ht="15" hidden="false" customHeight="false" outlineLevel="4" collapsed="false">
      <c r="A32" s="17" t="s">
        <v>46</v>
      </c>
      <c r="B32" s="18" t="s">
        <v>93</v>
      </c>
      <c r="C32" s="19" t="n">
        <v>6</v>
      </c>
      <c r="D32" s="19" t="n">
        <v>6</v>
      </c>
      <c r="E32" s="19" t="n">
        <v>0</v>
      </c>
      <c r="F32" s="20" t="n">
        <f aca="false">SUMIFS(SeatExits,SeatDivision,$J32)+SUMIFS(SeatExits,SeatDepartment,$J32)+SUMIFS(SeatExits,SeatUnit,$J32)+SUMIFS(SeatExits,SeatSubUnit,$J32)</f>
        <v>0</v>
      </c>
      <c r="G32" s="20" t="n">
        <f aca="false">SUMIFS(AskTotal,AskDivision,$J32)+SUMIFS(AskTotal,AskDepartment,$J32)+SUMIFS(AskTotal,AskUnit,$J32)+SUMIFS(AskTotal,AskSubUnit,$J32)</f>
        <v>0</v>
      </c>
      <c r="H32" s="20" t="n">
        <f aca="false">$C32-$F32+$G32</f>
        <v>6</v>
      </c>
      <c r="I32" s="20" t="n">
        <f aca="false">$H32-$C32</f>
        <v>0</v>
      </c>
      <c r="J32" s="17" t="s">
        <v>94</v>
      </c>
    </row>
    <row r="33" customFormat="false" ht="15" hidden="false" customHeight="false" outlineLevel="3" collapsed="false">
      <c r="A33" s="17" t="s">
        <v>27</v>
      </c>
      <c r="B33" s="18" t="s">
        <v>95</v>
      </c>
      <c r="C33" s="19" t="n">
        <v>19</v>
      </c>
      <c r="D33" s="19" t="n">
        <v>18</v>
      </c>
      <c r="E33" s="19" t="n">
        <v>1</v>
      </c>
      <c r="F33" s="20" t="n">
        <f aca="false">SUMIFS(SeatExits,SeatDivision,$J33)+SUMIFS(SeatExits,SeatDepartment,$J33)+SUMIFS(SeatExits,SeatUnit,$J33)+SUMIFS(SeatExits,SeatSubUnit,$J33)</f>
        <v>0</v>
      </c>
      <c r="G33" s="20" t="n">
        <f aca="false">SUMIFS(AskTotal,AskDivision,$J33)+SUMIFS(AskTotal,AskDepartment,$J33)+SUMIFS(AskTotal,AskUnit,$J33)+SUMIFS(AskTotal,AskSubUnit,$J33)</f>
        <v>0</v>
      </c>
      <c r="H33" s="20" t="n">
        <f aca="false">$C33-$F33+$G33</f>
        <v>19</v>
      </c>
      <c r="I33" s="20" t="n">
        <f aca="false">$H33-$C33</f>
        <v>0</v>
      </c>
      <c r="J33" s="17" t="s">
        <v>96</v>
      </c>
    </row>
    <row r="34" customFormat="false" ht="15" hidden="false" customHeight="false" outlineLevel="4" collapsed="false">
      <c r="A34" s="17" t="s">
        <v>46</v>
      </c>
      <c r="B34" s="18" t="s">
        <v>97</v>
      </c>
      <c r="C34" s="19" t="n">
        <v>8</v>
      </c>
      <c r="D34" s="19" t="n">
        <v>8</v>
      </c>
      <c r="E34" s="19" t="n">
        <v>0</v>
      </c>
      <c r="F34" s="20" t="n">
        <f aca="false">SUMIFS(SeatExits,SeatDivision,$J34)+SUMIFS(SeatExits,SeatDepartment,$J34)+SUMIFS(SeatExits,SeatUnit,$J34)+SUMIFS(SeatExits,SeatSubUnit,$J34)</f>
        <v>0</v>
      </c>
      <c r="G34" s="20" t="n">
        <f aca="false">SUMIFS(AskTotal,AskDivision,$J34)+SUMIFS(AskTotal,AskDepartment,$J34)+SUMIFS(AskTotal,AskUnit,$J34)+SUMIFS(AskTotal,AskSubUnit,$J34)</f>
        <v>0</v>
      </c>
      <c r="H34" s="20" t="n">
        <f aca="false">$C34-$F34+$G34</f>
        <v>8</v>
      </c>
      <c r="I34" s="20" t="n">
        <f aca="false">$H34-$C34</f>
        <v>0</v>
      </c>
      <c r="J34" s="17" t="s">
        <v>98</v>
      </c>
    </row>
    <row r="35" customFormat="false" ht="15" hidden="false" customHeight="false" outlineLevel="4" collapsed="false">
      <c r="A35" s="17" t="s">
        <v>46</v>
      </c>
      <c r="B35" s="18" t="s">
        <v>99</v>
      </c>
      <c r="C35" s="19" t="n">
        <v>10</v>
      </c>
      <c r="D35" s="19" t="n">
        <v>9</v>
      </c>
      <c r="E35" s="19" t="n">
        <v>1</v>
      </c>
      <c r="F35" s="20" t="n">
        <f aca="false">SUMIFS(SeatExits,SeatDivision,$J35)+SUMIFS(SeatExits,SeatDepartment,$J35)+SUMIFS(SeatExits,SeatUnit,$J35)+SUMIFS(SeatExits,SeatSubUnit,$J35)</f>
        <v>0</v>
      </c>
      <c r="G35" s="20" t="n">
        <f aca="false">SUMIFS(AskTotal,AskDivision,$J35)+SUMIFS(AskTotal,AskDepartment,$J35)+SUMIFS(AskTotal,AskUnit,$J35)+SUMIFS(AskTotal,AskSubUnit,$J35)</f>
        <v>0</v>
      </c>
      <c r="H35" s="20" t="n">
        <f aca="false">$C35-$F35+$G35</f>
        <v>10</v>
      </c>
      <c r="I35" s="20" t="n">
        <f aca="false">$H35-$C35</f>
        <v>0</v>
      </c>
      <c r="J35" s="17" t="s">
        <v>100</v>
      </c>
    </row>
    <row r="37" customFormat="false" ht="25.5" hidden="false" customHeight="true" outlineLevel="0" collapsed="false">
      <c r="A37" s="11" t="s">
        <v>101</v>
      </c>
      <c r="B37" s="11"/>
      <c r="C37" s="11"/>
      <c r="D37" s="11"/>
      <c r="E37" s="11"/>
      <c r="F37" s="11"/>
      <c r="G37" s="11"/>
      <c r="H37" s="11"/>
      <c r="I37" s="11"/>
    </row>
  </sheetData>
  <mergeCells count="2">
    <mergeCell ref="A2:J2"/>
    <mergeCell ref="A37:I37"/>
  </mergeCells>
  <conditionalFormatting sqref="I5:I35">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E5:E35">
    <cfRule type="cellIs" priority="4"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6"/>
    <col collapsed="false" customWidth="true" hidden="false" outlineLevel="0" max="10" min="10" style="0" width="12"/>
    <col collapsed="false" customWidth="true" hidden="false" outlineLevel="0" max="12" min="11" style="0" width="9"/>
    <col collapsed="false" customWidth="true" hidden="false" outlineLevel="0" max="13" min="13" style="0" width="14"/>
    <col collapsed="false" customWidth="true" hidden="false" outlineLevel="0" max="14" min="14" style="0" width="17"/>
    <col collapsed="false" customWidth="true" hidden="false" outlineLevel="0" max="15" min="15" style="0" width="9"/>
    <col collapsed="false" customWidth="true" hidden="false" outlineLevel="0" max="16" min="16" style="0" width="34"/>
  </cols>
  <sheetData>
    <row r="1" customFormat="false" ht="24" hidden="false" customHeight="true" outlineLevel="0" collapsed="false">
      <c r="A1" s="1" t="s">
        <v>102</v>
      </c>
    </row>
    <row r="2" customFormat="false" ht="15" hidden="false" customHeight="false" outlineLevel="0" collapsed="false">
      <c r="A2" s="2" t="s">
        <v>103</v>
      </c>
      <c r="B2" s="2"/>
      <c r="C2" s="2"/>
      <c r="D2" s="2"/>
      <c r="E2" s="2"/>
      <c r="F2" s="2"/>
      <c r="G2" s="2"/>
      <c r="H2" s="2"/>
      <c r="I2" s="2"/>
      <c r="J2" s="2"/>
    </row>
    <row r="5" customFormat="false" ht="30" hidden="false" customHeight="true" outlineLevel="0" collapsed="false">
      <c r="A5" s="12" t="s">
        <v>104</v>
      </c>
      <c r="B5" s="12" t="s">
        <v>38</v>
      </c>
      <c r="C5" s="12" t="s">
        <v>41</v>
      </c>
      <c r="D5" s="12" t="s">
        <v>27</v>
      </c>
      <c r="E5" s="12" t="s">
        <v>105</v>
      </c>
      <c r="F5" s="12" t="s">
        <v>106</v>
      </c>
      <c r="G5" s="12" t="s">
        <v>107</v>
      </c>
      <c r="H5" s="12" t="s">
        <v>108</v>
      </c>
      <c r="I5" s="12" t="s">
        <v>109</v>
      </c>
      <c r="J5" s="12" t="s">
        <v>110</v>
      </c>
      <c r="K5" s="12" t="s">
        <v>29</v>
      </c>
      <c r="L5" s="12" t="s">
        <v>30</v>
      </c>
      <c r="M5" s="12" t="s">
        <v>111</v>
      </c>
      <c r="N5" s="12" t="s">
        <v>112</v>
      </c>
      <c r="O5" s="12" t="s">
        <v>113</v>
      </c>
      <c r="P5" s="12" t="s">
        <v>114</v>
      </c>
    </row>
    <row r="6" customFormat="false" ht="15" hidden="false" customHeight="false" outlineLevel="0" collapsed="false">
      <c r="A6" s="21" t="s">
        <v>115</v>
      </c>
      <c r="B6" s="21"/>
      <c r="C6" s="21"/>
      <c r="D6" s="21"/>
      <c r="E6" s="21"/>
      <c r="F6" s="21" t="s">
        <v>116</v>
      </c>
      <c r="G6" s="21"/>
      <c r="H6" s="21" t="s">
        <v>117</v>
      </c>
      <c r="I6" s="21"/>
      <c r="J6" s="22" t="n">
        <v>1</v>
      </c>
      <c r="K6" s="22" t="n">
        <v>1</v>
      </c>
      <c r="L6" s="22" t="n">
        <v>0</v>
      </c>
      <c r="M6" s="21" t="s">
        <v>118</v>
      </c>
      <c r="N6" s="21"/>
      <c r="O6" s="20" t="n">
        <f aca="false">IF($N6="Exit",N($J6),0)</f>
        <v>0</v>
      </c>
      <c r="P6" s="23" t="str">
        <f aca="false">IF($F6="","",MID(IF($G6="",", career level","")&amp;IF($I6="",", nationality mandate","")&amp;IF($N6="",", capacity direction","")&amp;IF(N($J6)&lt;=0,", approved HC","")&amp;IF(AND($G6&lt;&gt;"",COUNTIF(CareerLevels,$G6)=0),", a career level that is not on the ladder",""),3,200))</f>
        <v>career level, nationality mandate, capacity direction</v>
      </c>
    </row>
    <row r="7" customFormat="false" ht="15" hidden="false" customHeight="false" outlineLevel="0" collapsed="false">
      <c r="A7" s="21" t="s">
        <v>119</v>
      </c>
      <c r="B7" s="21" t="s">
        <v>40</v>
      </c>
      <c r="C7" s="21"/>
      <c r="D7" s="21"/>
      <c r="E7" s="21"/>
      <c r="F7" s="21" t="s">
        <v>120</v>
      </c>
      <c r="G7" s="21"/>
      <c r="H7" s="21" t="s">
        <v>121</v>
      </c>
      <c r="I7" s="21"/>
      <c r="J7" s="22" t="n">
        <v>1</v>
      </c>
      <c r="K7" s="22" t="n">
        <v>1</v>
      </c>
      <c r="L7" s="22" t="n">
        <v>0</v>
      </c>
      <c r="M7" s="21" t="s">
        <v>118</v>
      </c>
      <c r="N7" s="21"/>
      <c r="O7" s="20" t="n">
        <f aca="false">IF($N7="Exit",N($J7),0)</f>
        <v>0</v>
      </c>
      <c r="P7" s="23" t="str">
        <f aca="false">IF($F7="","",MID(IF($G7="",", career level","")&amp;IF($I7="",", nationality mandate","")&amp;IF($N7="",", capacity direction","")&amp;IF(N($J7)&lt;=0,", approved HC","")&amp;IF(AND($G7&lt;&gt;"",COUNTIF(CareerLevels,$G7)=0),", a career level that is not on the ladder",""),3,200))</f>
        <v>career level, nationality mandate, capacity direction</v>
      </c>
    </row>
    <row r="8" customFormat="false" ht="15" hidden="false" customHeight="false" outlineLevel="0" collapsed="false">
      <c r="A8" s="21" t="s">
        <v>122</v>
      </c>
      <c r="B8" s="21" t="s">
        <v>40</v>
      </c>
      <c r="C8" s="21" t="s">
        <v>43</v>
      </c>
      <c r="D8" s="21"/>
      <c r="E8" s="21"/>
      <c r="F8" s="21" t="s">
        <v>123</v>
      </c>
      <c r="G8" s="21"/>
      <c r="H8" s="21" t="s">
        <v>121</v>
      </c>
      <c r="I8" s="21"/>
      <c r="J8" s="22" t="n">
        <v>1</v>
      </c>
      <c r="K8" s="22" t="n">
        <v>1</v>
      </c>
      <c r="L8" s="22" t="n">
        <v>0</v>
      </c>
      <c r="M8" s="21" t="s">
        <v>118</v>
      </c>
      <c r="N8" s="21"/>
      <c r="O8" s="20" t="n">
        <f aca="false">IF($N8="Exit",N($J8),0)</f>
        <v>0</v>
      </c>
      <c r="P8" s="23" t="str">
        <f aca="false">IF($F8="","",MID(IF($G8="",", career level","")&amp;IF($I8="",", nationality mandate","")&amp;IF($N8="",", capacity direction","")&amp;IF(N($J8)&lt;=0,", approved HC","")&amp;IF(AND($G8&lt;&gt;"",COUNTIF(CareerLevels,$G8)=0),", a career level that is not on the ladder",""),3,200))</f>
        <v>career level, nationality mandate, capacity direction</v>
      </c>
    </row>
    <row r="9" customFormat="false" ht="15" hidden="false" customHeight="false" outlineLevel="0" collapsed="false">
      <c r="A9" s="21" t="s">
        <v>124</v>
      </c>
      <c r="B9" s="21" t="s">
        <v>40</v>
      </c>
      <c r="C9" s="21" t="s">
        <v>43</v>
      </c>
      <c r="D9" s="21" t="s">
        <v>45</v>
      </c>
      <c r="E9" s="21"/>
      <c r="F9" s="21" t="s">
        <v>125</v>
      </c>
      <c r="G9" s="21"/>
      <c r="H9" s="21" t="s">
        <v>126</v>
      </c>
      <c r="I9" s="21"/>
      <c r="J9" s="22" t="n">
        <v>1</v>
      </c>
      <c r="K9" s="22" t="n">
        <v>1</v>
      </c>
      <c r="L9" s="22" t="n">
        <v>0</v>
      </c>
      <c r="M9" s="21" t="s">
        <v>118</v>
      </c>
      <c r="N9" s="21"/>
      <c r="O9" s="20" t="n">
        <f aca="false">IF($N9="Exit",N($J9),0)</f>
        <v>0</v>
      </c>
      <c r="P9" s="23" t="str">
        <f aca="false">IF($F9="","",MID(IF($G9="",", career level","")&amp;IF($I9="",", nationality mandate","")&amp;IF($N9="",", capacity direction","")&amp;IF(N($J9)&lt;=0,", approved HC","")&amp;IF(AND($G9&lt;&gt;"",COUNTIF(CareerLevels,$G9)=0),", a career level that is not on the ladder",""),3,200))</f>
        <v>career level, nationality mandate, capacity direction</v>
      </c>
    </row>
    <row r="10" customFormat="false" ht="15" hidden="false" customHeight="false" outlineLevel="0" collapsed="false">
      <c r="A10" s="21" t="s">
        <v>127</v>
      </c>
      <c r="B10" s="21" t="s">
        <v>40</v>
      </c>
      <c r="C10" s="21" t="s">
        <v>43</v>
      </c>
      <c r="D10" s="21" t="s">
        <v>45</v>
      </c>
      <c r="E10" s="21" t="s">
        <v>48</v>
      </c>
      <c r="F10" s="21" t="s">
        <v>128</v>
      </c>
      <c r="G10" s="21"/>
      <c r="H10" s="21" t="s">
        <v>129</v>
      </c>
      <c r="I10" s="21"/>
      <c r="J10" s="22" t="n">
        <v>1</v>
      </c>
      <c r="K10" s="22" t="n">
        <v>1</v>
      </c>
      <c r="L10" s="22" t="n">
        <v>0</v>
      </c>
      <c r="M10" s="21" t="s">
        <v>118</v>
      </c>
      <c r="N10" s="21"/>
      <c r="O10" s="20" t="n">
        <f aca="false">IF($N10="Exit",N($J10),0)</f>
        <v>0</v>
      </c>
      <c r="P10" s="23" t="str">
        <f aca="false">IF($F10="","",MID(IF($G10="",", career level","")&amp;IF($I10="",", nationality mandate","")&amp;IF($N10="",", capacity direction","")&amp;IF(N($J10)&lt;=0,", approved HC","")&amp;IF(AND($G10&lt;&gt;"",COUNTIF(CareerLevels,$G10)=0),", a career level that is not on the ladder",""),3,200))</f>
        <v>career level, nationality mandate, capacity direction</v>
      </c>
    </row>
    <row r="11" customFormat="false" ht="15" hidden="false" customHeight="false" outlineLevel="0" collapsed="false">
      <c r="A11" s="21" t="s">
        <v>130</v>
      </c>
      <c r="B11" s="21" t="s">
        <v>40</v>
      </c>
      <c r="C11" s="21" t="s">
        <v>43</v>
      </c>
      <c r="D11" s="21" t="s">
        <v>45</v>
      </c>
      <c r="E11" s="21" t="s">
        <v>48</v>
      </c>
      <c r="F11" s="21" t="s">
        <v>131</v>
      </c>
      <c r="G11" s="21"/>
      <c r="H11" s="21" t="s">
        <v>129</v>
      </c>
      <c r="I11" s="21"/>
      <c r="J11" s="22" t="n">
        <v>1</v>
      </c>
      <c r="K11" s="22" t="n">
        <v>1</v>
      </c>
      <c r="L11" s="22" t="n">
        <v>0</v>
      </c>
      <c r="M11" s="21" t="s">
        <v>118</v>
      </c>
      <c r="N11" s="21"/>
      <c r="O11" s="20" t="n">
        <f aca="false">IF($N11="Exit",N($J11),0)</f>
        <v>0</v>
      </c>
      <c r="P11" s="23" t="str">
        <f aca="false">IF($F11="","",MID(IF($G11="",", career level","")&amp;IF($I11="",", nationality mandate","")&amp;IF($N11="",", capacity direction","")&amp;IF(N($J11)&lt;=0,", approved HC","")&amp;IF(AND($G11&lt;&gt;"",COUNTIF(CareerLevels,$G11)=0),", a career level that is not on the ladder",""),3,200))</f>
        <v>career level, nationality mandate, capacity direction</v>
      </c>
    </row>
    <row r="12" customFormat="false" ht="15" hidden="false" customHeight="false" outlineLevel="0" collapsed="false">
      <c r="A12" s="21" t="s">
        <v>132</v>
      </c>
      <c r="B12" s="21" t="s">
        <v>40</v>
      </c>
      <c r="C12" s="21" t="s">
        <v>43</v>
      </c>
      <c r="D12" s="21" t="s">
        <v>45</v>
      </c>
      <c r="E12" s="21" t="s">
        <v>48</v>
      </c>
      <c r="F12" s="21" t="s">
        <v>133</v>
      </c>
      <c r="G12" s="21"/>
      <c r="H12" s="21" t="s">
        <v>129</v>
      </c>
      <c r="I12" s="21"/>
      <c r="J12" s="22" t="n">
        <v>1</v>
      </c>
      <c r="K12" s="22" t="n">
        <v>1</v>
      </c>
      <c r="L12" s="22" t="n">
        <v>0</v>
      </c>
      <c r="M12" s="21" t="s">
        <v>118</v>
      </c>
      <c r="N12" s="21"/>
      <c r="O12" s="20" t="n">
        <f aca="false">IF($N12="Exit",N($J12),0)</f>
        <v>0</v>
      </c>
      <c r="P12" s="23" t="str">
        <f aca="false">IF($F12="","",MID(IF($G12="",", career level","")&amp;IF($I12="",", nationality mandate","")&amp;IF($N12="",", capacity direction","")&amp;IF(N($J12)&lt;=0,", approved HC","")&amp;IF(AND($G12&lt;&gt;"",COUNTIF(CareerLevels,$G12)=0),", a career level that is not on the ladder",""),3,200))</f>
        <v>career level, nationality mandate, capacity direction</v>
      </c>
    </row>
    <row r="13" customFormat="false" ht="15" hidden="false" customHeight="false" outlineLevel="0" collapsed="false">
      <c r="A13" s="21" t="s">
        <v>134</v>
      </c>
      <c r="B13" s="21" t="s">
        <v>40</v>
      </c>
      <c r="C13" s="21" t="s">
        <v>43</v>
      </c>
      <c r="D13" s="21" t="s">
        <v>45</v>
      </c>
      <c r="E13" s="21" t="s">
        <v>48</v>
      </c>
      <c r="F13" s="21" t="s">
        <v>133</v>
      </c>
      <c r="G13" s="21"/>
      <c r="H13" s="21" t="s">
        <v>129</v>
      </c>
      <c r="I13" s="21"/>
      <c r="J13" s="22" t="n">
        <v>1</v>
      </c>
      <c r="K13" s="22" t="n">
        <v>1</v>
      </c>
      <c r="L13" s="22" t="n">
        <v>0</v>
      </c>
      <c r="M13" s="21" t="s">
        <v>118</v>
      </c>
      <c r="N13" s="21"/>
      <c r="O13" s="20" t="n">
        <f aca="false">IF($N13="Exit",N($J13),0)</f>
        <v>0</v>
      </c>
      <c r="P13" s="23" t="str">
        <f aca="false">IF($F13="","",MID(IF($G13="",", career level","")&amp;IF($I13="",", nationality mandate","")&amp;IF($N13="",", capacity direction","")&amp;IF(N($J13)&lt;=0,", approved HC","")&amp;IF(AND($G13&lt;&gt;"",COUNTIF(CareerLevels,$G13)=0),", a career level that is not on the ladder",""),3,200))</f>
        <v>career level, nationality mandate, capacity direction</v>
      </c>
    </row>
    <row r="14" customFormat="false" ht="15" hidden="false" customHeight="false" outlineLevel="0" collapsed="false">
      <c r="A14" s="21" t="s">
        <v>135</v>
      </c>
      <c r="B14" s="21" t="s">
        <v>40</v>
      </c>
      <c r="C14" s="21" t="s">
        <v>43</v>
      </c>
      <c r="D14" s="21" t="s">
        <v>45</v>
      </c>
      <c r="E14" s="21" t="s">
        <v>48</v>
      </c>
      <c r="F14" s="21" t="s">
        <v>136</v>
      </c>
      <c r="G14" s="21"/>
      <c r="H14" s="21" t="s">
        <v>129</v>
      </c>
      <c r="I14" s="21"/>
      <c r="J14" s="22" t="n">
        <v>1</v>
      </c>
      <c r="K14" s="22" t="n">
        <v>1</v>
      </c>
      <c r="L14" s="22" t="n">
        <v>0</v>
      </c>
      <c r="M14" s="21" t="s">
        <v>118</v>
      </c>
      <c r="N14" s="21"/>
      <c r="O14" s="20" t="n">
        <f aca="false">IF($N14="Exit",N($J14),0)</f>
        <v>0</v>
      </c>
      <c r="P14" s="23" t="str">
        <f aca="false">IF($F14="","",MID(IF($G14="",", career level","")&amp;IF($I14="",", nationality mandate","")&amp;IF($N14="",", capacity direction","")&amp;IF(N($J14)&lt;=0,", approved HC","")&amp;IF(AND($G14&lt;&gt;"",COUNTIF(CareerLevels,$G14)=0),", a career level that is not on the ladder",""),3,200))</f>
        <v>career level, nationality mandate, capacity direction</v>
      </c>
    </row>
    <row r="15" customFormat="false" ht="15" hidden="false" customHeight="false" outlineLevel="0" collapsed="false">
      <c r="A15" s="21" t="s">
        <v>137</v>
      </c>
      <c r="B15" s="21" t="s">
        <v>40</v>
      </c>
      <c r="C15" s="21" t="s">
        <v>43</v>
      </c>
      <c r="D15" s="21" t="s">
        <v>45</v>
      </c>
      <c r="E15" s="21" t="s">
        <v>48</v>
      </c>
      <c r="F15" s="21" t="s">
        <v>138</v>
      </c>
      <c r="G15" s="21"/>
      <c r="H15" s="21" t="s">
        <v>126</v>
      </c>
      <c r="I15" s="21"/>
      <c r="J15" s="22" t="n">
        <v>1</v>
      </c>
      <c r="K15" s="22" t="n">
        <v>1</v>
      </c>
      <c r="L15" s="22" t="n">
        <v>0</v>
      </c>
      <c r="M15" s="21" t="s">
        <v>118</v>
      </c>
      <c r="N15" s="21"/>
      <c r="O15" s="20" t="n">
        <f aca="false">IF($N15="Exit",N($J15),0)</f>
        <v>0</v>
      </c>
      <c r="P15" s="23" t="str">
        <f aca="false">IF($F15="","",MID(IF($G15="",", career level","")&amp;IF($I15="",", nationality mandate","")&amp;IF($N15="",", capacity direction","")&amp;IF(N($J15)&lt;=0,", approved HC","")&amp;IF(AND($G15&lt;&gt;"",COUNTIF(CareerLevels,$G15)=0),", a career level that is not on the ladder",""),3,200))</f>
        <v>career level, nationality mandate, capacity direction</v>
      </c>
    </row>
    <row r="16" customFormat="false" ht="15" hidden="false" customHeight="false" outlineLevel="0" collapsed="false">
      <c r="A16" s="21" t="s">
        <v>139</v>
      </c>
      <c r="B16" s="21" t="s">
        <v>40</v>
      </c>
      <c r="C16" s="21" t="s">
        <v>43</v>
      </c>
      <c r="D16" s="21" t="s">
        <v>45</v>
      </c>
      <c r="E16" s="21" t="s">
        <v>50</v>
      </c>
      <c r="F16" s="21" t="s">
        <v>128</v>
      </c>
      <c r="G16" s="21"/>
      <c r="H16" s="21" t="s">
        <v>129</v>
      </c>
      <c r="I16" s="21"/>
      <c r="J16" s="22" t="n">
        <v>1</v>
      </c>
      <c r="K16" s="22" t="n">
        <v>1</v>
      </c>
      <c r="L16" s="22" t="n">
        <v>0</v>
      </c>
      <c r="M16" s="21" t="s">
        <v>118</v>
      </c>
      <c r="N16" s="21"/>
      <c r="O16" s="20" t="n">
        <f aca="false">IF($N16="Exit",N($J16),0)</f>
        <v>0</v>
      </c>
      <c r="P16" s="23" t="str">
        <f aca="false">IF($F16="","",MID(IF($G16="",", career level","")&amp;IF($I16="",", nationality mandate","")&amp;IF($N16="",", capacity direction","")&amp;IF(N($J16)&lt;=0,", approved HC","")&amp;IF(AND($G16&lt;&gt;"",COUNTIF(CareerLevels,$G16)=0),", a career level that is not on the ladder",""),3,200))</f>
        <v>career level, nationality mandate, capacity direction</v>
      </c>
    </row>
    <row r="17" customFormat="false" ht="15" hidden="false" customHeight="false" outlineLevel="0" collapsed="false">
      <c r="A17" s="21" t="s">
        <v>135</v>
      </c>
      <c r="B17" s="21" t="s">
        <v>40</v>
      </c>
      <c r="C17" s="21" t="s">
        <v>43</v>
      </c>
      <c r="D17" s="21" t="s">
        <v>45</v>
      </c>
      <c r="E17" s="21" t="s">
        <v>50</v>
      </c>
      <c r="F17" s="21" t="s">
        <v>131</v>
      </c>
      <c r="G17" s="21"/>
      <c r="H17" s="21" t="s">
        <v>129</v>
      </c>
      <c r="I17" s="21"/>
      <c r="J17" s="22" t="n">
        <v>1</v>
      </c>
      <c r="K17" s="22" t="n">
        <v>1</v>
      </c>
      <c r="L17" s="22" t="n">
        <v>0</v>
      </c>
      <c r="M17" s="21" t="s">
        <v>118</v>
      </c>
      <c r="N17" s="21"/>
      <c r="O17" s="20" t="n">
        <f aca="false">IF($N17="Exit",N($J17),0)</f>
        <v>0</v>
      </c>
      <c r="P17" s="23" t="str">
        <f aca="false">IF($F17="","",MID(IF($G17="",", career level","")&amp;IF($I17="",", nationality mandate","")&amp;IF($N17="",", capacity direction","")&amp;IF(N($J17)&lt;=0,", approved HC","")&amp;IF(AND($G17&lt;&gt;"",COUNTIF(CareerLevels,$G17)=0),", a career level that is not on the ladder",""),3,200))</f>
        <v>career level, nationality mandate, capacity direction</v>
      </c>
    </row>
    <row r="18" customFormat="false" ht="15" hidden="false" customHeight="false" outlineLevel="0" collapsed="false">
      <c r="A18" s="21" t="s">
        <v>140</v>
      </c>
      <c r="B18" s="21" t="s">
        <v>40</v>
      </c>
      <c r="C18" s="21" t="s">
        <v>43</v>
      </c>
      <c r="D18" s="21" t="s">
        <v>45</v>
      </c>
      <c r="E18" s="21" t="s">
        <v>50</v>
      </c>
      <c r="F18" s="21" t="s">
        <v>133</v>
      </c>
      <c r="G18" s="21"/>
      <c r="H18" s="21" t="s">
        <v>129</v>
      </c>
      <c r="I18" s="21"/>
      <c r="J18" s="22" t="n">
        <v>1</v>
      </c>
      <c r="K18" s="22" t="n">
        <v>1</v>
      </c>
      <c r="L18" s="22" t="n">
        <v>0</v>
      </c>
      <c r="M18" s="21" t="s">
        <v>118</v>
      </c>
      <c r="N18" s="21"/>
      <c r="O18" s="20" t="n">
        <f aca="false">IF($N18="Exit",N($J18),0)</f>
        <v>0</v>
      </c>
      <c r="P18" s="23" t="str">
        <f aca="false">IF($F18="","",MID(IF($G18="",", career level","")&amp;IF($I18="",", nationality mandate","")&amp;IF($N18="",", capacity direction","")&amp;IF(N($J18)&lt;=0,", approved HC","")&amp;IF(AND($G18&lt;&gt;"",COUNTIF(CareerLevels,$G18)=0),", a career level that is not on the ladder",""),3,200))</f>
        <v>career level, nationality mandate, capacity direction</v>
      </c>
    </row>
    <row r="19" customFormat="false" ht="15" hidden="false" customHeight="false" outlineLevel="0" collapsed="false">
      <c r="A19" s="21" t="s">
        <v>115</v>
      </c>
      <c r="B19" s="21" t="s">
        <v>40</v>
      </c>
      <c r="C19" s="21" t="s">
        <v>43</v>
      </c>
      <c r="D19" s="21" t="s">
        <v>45</v>
      </c>
      <c r="E19" s="21" t="s">
        <v>50</v>
      </c>
      <c r="F19" s="21" t="s">
        <v>133</v>
      </c>
      <c r="G19" s="21"/>
      <c r="H19" s="21" t="s">
        <v>129</v>
      </c>
      <c r="I19" s="21"/>
      <c r="J19" s="22" t="n">
        <v>1</v>
      </c>
      <c r="K19" s="22" t="n">
        <v>1</v>
      </c>
      <c r="L19" s="22" t="n">
        <v>0</v>
      </c>
      <c r="M19" s="21" t="s">
        <v>141</v>
      </c>
      <c r="N19" s="21"/>
      <c r="O19" s="20" t="n">
        <f aca="false">IF($N19="Exit",N($J19),0)</f>
        <v>0</v>
      </c>
      <c r="P19" s="23" t="str">
        <f aca="false">IF($F19="","",MID(IF($G19="",", career level","")&amp;IF($I19="",", nationality mandate","")&amp;IF($N19="",", capacity direction","")&amp;IF(N($J19)&lt;=0,", approved HC","")&amp;IF(AND($G19&lt;&gt;"",COUNTIF(CareerLevels,$G19)=0),", a career level that is not on the ladder",""),3,200))</f>
        <v>career level, nationality mandate, capacity direction</v>
      </c>
    </row>
    <row r="20" customFormat="false" ht="15" hidden="false" customHeight="false" outlineLevel="0" collapsed="false">
      <c r="A20" s="21" t="s">
        <v>142</v>
      </c>
      <c r="B20" s="21" t="s">
        <v>40</v>
      </c>
      <c r="C20" s="21" t="s">
        <v>43</v>
      </c>
      <c r="D20" s="21" t="s">
        <v>45</v>
      </c>
      <c r="E20" s="21" t="s">
        <v>50</v>
      </c>
      <c r="F20" s="21" t="s">
        <v>136</v>
      </c>
      <c r="G20" s="21"/>
      <c r="H20" s="21" t="s">
        <v>129</v>
      </c>
      <c r="I20" s="21"/>
      <c r="J20" s="22" t="n">
        <v>1</v>
      </c>
      <c r="K20" s="22" t="n">
        <v>1</v>
      </c>
      <c r="L20" s="22" t="n">
        <v>0</v>
      </c>
      <c r="M20" s="21" t="s">
        <v>118</v>
      </c>
      <c r="N20" s="21"/>
      <c r="O20" s="20" t="n">
        <f aca="false">IF($N20="Exit",N($J20),0)</f>
        <v>0</v>
      </c>
      <c r="P20" s="23" t="str">
        <f aca="false">IF($F20="","",MID(IF($G20="",", career level","")&amp;IF($I20="",", nationality mandate","")&amp;IF($N20="",", capacity direction","")&amp;IF(N($J20)&lt;=0,", approved HC","")&amp;IF(AND($G20&lt;&gt;"",COUNTIF(CareerLevels,$G20)=0),", a career level that is not on the ladder",""),3,200))</f>
        <v>career level, nationality mandate, capacity direction</v>
      </c>
    </row>
    <row r="21" customFormat="false" ht="15" hidden="false" customHeight="false" outlineLevel="0" collapsed="false">
      <c r="A21" s="21" t="s">
        <v>143</v>
      </c>
      <c r="B21" s="21" t="s">
        <v>40</v>
      </c>
      <c r="C21" s="21" t="s">
        <v>43</v>
      </c>
      <c r="D21" s="21" t="s">
        <v>45</v>
      </c>
      <c r="E21" s="21" t="s">
        <v>50</v>
      </c>
      <c r="F21" s="21" t="s">
        <v>136</v>
      </c>
      <c r="G21" s="21"/>
      <c r="H21" s="21" t="s">
        <v>129</v>
      </c>
      <c r="I21" s="21"/>
      <c r="J21" s="22" t="n">
        <v>1</v>
      </c>
      <c r="K21" s="22" t="n">
        <v>1</v>
      </c>
      <c r="L21" s="22" t="n">
        <v>0</v>
      </c>
      <c r="M21" s="21" t="s">
        <v>118</v>
      </c>
      <c r="N21" s="21"/>
      <c r="O21" s="20" t="n">
        <f aca="false">IF($N21="Exit",N($J21),0)</f>
        <v>0</v>
      </c>
      <c r="P21" s="23" t="str">
        <f aca="false">IF($F21="","",MID(IF($G21="",", career level","")&amp;IF($I21="",", nationality mandate","")&amp;IF($N21="",", capacity direction","")&amp;IF(N($J21)&lt;=0,", approved HC","")&amp;IF(AND($G21&lt;&gt;"",COUNTIF(CareerLevels,$G21)=0),", a career level that is not on the ladder",""),3,200))</f>
        <v>career level, nationality mandate, capacity direction</v>
      </c>
    </row>
    <row r="22" customFormat="false" ht="15" hidden="false" customHeight="false" outlineLevel="0" collapsed="false">
      <c r="A22" s="21" t="s">
        <v>144</v>
      </c>
      <c r="B22" s="21" t="s">
        <v>40</v>
      </c>
      <c r="C22" s="21" t="s">
        <v>43</v>
      </c>
      <c r="D22" s="21" t="s">
        <v>45</v>
      </c>
      <c r="E22" s="21" t="s">
        <v>50</v>
      </c>
      <c r="F22" s="21" t="s">
        <v>145</v>
      </c>
      <c r="G22" s="21"/>
      <c r="H22" s="21" t="s">
        <v>129</v>
      </c>
      <c r="I22" s="21"/>
      <c r="J22" s="22" t="n">
        <v>1</v>
      </c>
      <c r="K22" s="22" t="n">
        <v>1</v>
      </c>
      <c r="L22" s="22" t="n">
        <v>0</v>
      </c>
      <c r="M22" s="21" t="s">
        <v>118</v>
      </c>
      <c r="N22" s="21"/>
      <c r="O22" s="20" t="n">
        <f aca="false">IF($N22="Exit",N($J22),0)</f>
        <v>0</v>
      </c>
      <c r="P22" s="23" t="str">
        <f aca="false">IF($F22="","",MID(IF($G22="",", career level","")&amp;IF($I22="",", nationality mandate","")&amp;IF($N22="",", capacity direction","")&amp;IF(N($J22)&lt;=0,", approved HC","")&amp;IF(AND($G22&lt;&gt;"",COUNTIF(CareerLevels,$G22)=0),", a career level that is not on the ladder",""),3,200))</f>
        <v>career level, nationality mandate, capacity direction</v>
      </c>
    </row>
    <row r="23" customFormat="false" ht="15" hidden="false" customHeight="false" outlineLevel="0" collapsed="false">
      <c r="A23" s="21" t="s">
        <v>146</v>
      </c>
      <c r="B23" s="21" t="s">
        <v>40</v>
      </c>
      <c r="C23" s="21" t="s">
        <v>43</v>
      </c>
      <c r="D23" s="21" t="s">
        <v>45</v>
      </c>
      <c r="E23" s="21" t="s">
        <v>50</v>
      </c>
      <c r="F23" s="21" t="s">
        <v>145</v>
      </c>
      <c r="G23" s="21"/>
      <c r="H23" s="21" t="s">
        <v>129</v>
      </c>
      <c r="I23" s="21"/>
      <c r="J23" s="22" t="n">
        <v>1</v>
      </c>
      <c r="K23" s="22" t="n">
        <v>1</v>
      </c>
      <c r="L23" s="22" t="n">
        <v>0</v>
      </c>
      <c r="M23" s="21" t="s">
        <v>118</v>
      </c>
      <c r="N23" s="21"/>
      <c r="O23" s="20" t="n">
        <f aca="false">IF($N23="Exit",N($J23),0)</f>
        <v>0</v>
      </c>
      <c r="P23" s="23" t="str">
        <f aca="false">IF($F23="","",MID(IF($G23="",", career level","")&amp;IF($I23="",", nationality mandate","")&amp;IF($N23="",", capacity direction","")&amp;IF(N($J23)&lt;=0,", approved HC","")&amp;IF(AND($G23&lt;&gt;"",COUNTIF(CareerLevels,$G23)=0),", a career level that is not on the ladder",""),3,200))</f>
        <v>career level, nationality mandate, capacity direction</v>
      </c>
    </row>
    <row r="24" customFormat="false" ht="15" hidden="false" customHeight="false" outlineLevel="0" collapsed="false">
      <c r="A24" s="21" t="s">
        <v>147</v>
      </c>
      <c r="B24" s="21" t="s">
        <v>40</v>
      </c>
      <c r="C24" s="21" t="s">
        <v>43</v>
      </c>
      <c r="D24" s="21" t="s">
        <v>45</v>
      </c>
      <c r="E24" s="21" t="s">
        <v>50</v>
      </c>
      <c r="F24" s="21" t="s">
        <v>138</v>
      </c>
      <c r="G24" s="21"/>
      <c r="H24" s="21" t="s">
        <v>126</v>
      </c>
      <c r="I24" s="21"/>
      <c r="J24" s="22" t="n">
        <v>1</v>
      </c>
      <c r="K24" s="22" t="n">
        <v>1</v>
      </c>
      <c r="L24" s="22" t="n">
        <v>0</v>
      </c>
      <c r="M24" s="21" t="s">
        <v>118</v>
      </c>
      <c r="N24" s="21"/>
      <c r="O24" s="20" t="n">
        <f aca="false">IF($N24="Exit",N($J24),0)</f>
        <v>0</v>
      </c>
      <c r="P24" s="23" t="str">
        <f aca="false">IF($F24="","",MID(IF($G24="",", career level","")&amp;IF($I24="",", nationality mandate","")&amp;IF($N24="",", capacity direction","")&amp;IF(N($J24)&lt;=0,", approved HC","")&amp;IF(AND($G24&lt;&gt;"",COUNTIF(CareerLevels,$G24)=0),", a career level that is not on the ladder",""),3,200))</f>
        <v>career level, nationality mandate, capacity direction</v>
      </c>
    </row>
    <row r="25" customFormat="false" ht="15" hidden="false" customHeight="false" outlineLevel="0" collapsed="false">
      <c r="A25" s="21" t="s">
        <v>135</v>
      </c>
      <c r="B25" s="21" t="s">
        <v>40</v>
      </c>
      <c r="C25" s="21" t="s">
        <v>43</v>
      </c>
      <c r="D25" s="21" t="s">
        <v>52</v>
      </c>
      <c r="E25" s="21"/>
      <c r="F25" s="21" t="s">
        <v>125</v>
      </c>
      <c r="G25" s="21"/>
      <c r="H25" s="21" t="s">
        <v>126</v>
      </c>
      <c r="I25" s="21"/>
      <c r="J25" s="22" t="n">
        <v>1</v>
      </c>
      <c r="K25" s="22" t="n">
        <v>1</v>
      </c>
      <c r="L25" s="22" t="n">
        <v>0</v>
      </c>
      <c r="M25" s="21" t="s">
        <v>118</v>
      </c>
      <c r="N25" s="21"/>
      <c r="O25" s="20" t="n">
        <f aca="false">IF($N25="Exit",N($J25),0)</f>
        <v>0</v>
      </c>
      <c r="P25" s="23" t="str">
        <f aca="false">IF($F25="","",MID(IF($G25="",", career level","")&amp;IF($I25="",", nationality mandate","")&amp;IF($N25="",", capacity direction","")&amp;IF(N($J25)&lt;=0,", approved HC","")&amp;IF(AND($G25&lt;&gt;"",COUNTIF(CareerLevels,$G25)=0),", a career level that is not on the ladder",""),3,200))</f>
        <v>career level, nationality mandate, capacity direction</v>
      </c>
    </row>
    <row r="26" customFormat="false" ht="15" hidden="false" customHeight="false" outlineLevel="0" collapsed="false">
      <c r="A26" s="21" t="s">
        <v>148</v>
      </c>
      <c r="B26" s="21" t="s">
        <v>40</v>
      </c>
      <c r="C26" s="21" t="s">
        <v>43</v>
      </c>
      <c r="D26" s="21" t="s">
        <v>52</v>
      </c>
      <c r="E26" s="21" t="s">
        <v>54</v>
      </c>
      <c r="F26" s="21" t="s">
        <v>149</v>
      </c>
      <c r="G26" s="21"/>
      <c r="H26" s="21" t="s">
        <v>129</v>
      </c>
      <c r="I26" s="21"/>
      <c r="J26" s="22" t="n">
        <v>1</v>
      </c>
      <c r="K26" s="22" t="n">
        <v>1</v>
      </c>
      <c r="L26" s="22" t="n">
        <v>0</v>
      </c>
      <c r="M26" s="21" t="s">
        <v>118</v>
      </c>
      <c r="N26" s="21"/>
      <c r="O26" s="20" t="n">
        <f aca="false">IF($N26="Exit",N($J26),0)</f>
        <v>0</v>
      </c>
      <c r="P26" s="23" t="str">
        <f aca="false">IF($F26="","",MID(IF($G26="",", career level","")&amp;IF($I26="",", nationality mandate","")&amp;IF($N26="",", capacity direction","")&amp;IF(N($J26)&lt;=0,", approved HC","")&amp;IF(AND($G26&lt;&gt;"",COUNTIF(CareerLevels,$G26)=0),", a career level that is not on the ladder",""),3,200))</f>
        <v>career level, nationality mandate, capacity direction</v>
      </c>
    </row>
    <row r="27" customFormat="false" ht="15" hidden="false" customHeight="false" outlineLevel="0" collapsed="false">
      <c r="A27" s="21" t="s">
        <v>127</v>
      </c>
      <c r="B27" s="21" t="s">
        <v>40</v>
      </c>
      <c r="C27" s="21" t="s">
        <v>43</v>
      </c>
      <c r="D27" s="21" t="s">
        <v>52</v>
      </c>
      <c r="E27" s="21" t="s">
        <v>54</v>
      </c>
      <c r="F27" s="21" t="s">
        <v>128</v>
      </c>
      <c r="G27" s="21"/>
      <c r="H27" s="21" t="s">
        <v>129</v>
      </c>
      <c r="I27" s="21"/>
      <c r="J27" s="22" t="n">
        <v>1</v>
      </c>
      <c r="K27" s="22" t="n">
        <v>1</v>
      </c>
      <c r="L27" s="22" t="n">
        <v>0</v>
      </c>
      <c r="M27" s="21" t="s">
        <v>118</v>
      </c>
      <c r="N27" s="21"/>
      <c r="O27" s="20" t="n">
        <f aca="false">IF($N27="Exit",N($J27),0)</f>
        <v>0</v>
      </c>
      <c r="P27" s="23" t="str">
        <f aca="false">IF($F27="","",MID(IF($G27="",", career level","")&amp;IF($I27="",", nationality mandate","")&amp;IF($N27="",", capacity direction","")&amp;IF(N($J27)&lt;=0,", approved HC","")&amp;IF(AND($G27&lt;&gt;"",COUNTIF(CareerLevels,$G27)=0),", a career level that is not on the ladder",""),3,200))</f>
        <v>career level, nationality mandate, capacity direction</v>
      </c>
    </row>
    <row r="28" customFormat="false" ht="15" hidden="false" customHeight="false" outlineLevel="0" collapsed="false">
      <c r="A28" s="21" t="s">
        <v>150</v>
      </c>
      <c r="B28" s="21" t="s">
        <v>40</v>
      </c>
      <c r="C28" s="21" t="s">
        <v>43</v>
      </c>
      <c r="D28" s="21" t="s">
        <v>52</v>
      </c>
      <c r="E28" s="21" t="s">
        <v>54</v>
      </c>
      <c r="F28" s="21" t="s">
        <v>131</v>
      </c>
      <c r="G28" s="21"/>
      <c r="H28" s="21" t="s">
        <v>129</v>
      </c>
      <c r="I28" s="21"/>
      <c r="J28" s="22" t="n">
        <v>1</v>
      </c>
      <c r="K28" s="22" t="n">
        <v>1</v>
      </c>
      <c r="L28" s="22" t="n">
        <v>0</v>
      </c>
      <c r="M28" s="21" t="s">
        <v>118</v>
      </c>
      <c r="N28" s="21"/>
      <c r="O28" s="20" t="n">
        <f aca="false">IF($N28="Exit",N($J28),0)</f>
        <v>0</v>
      </c>
      <c r="P28" s="23" t="str">
        <f aca="false">IF($F28="","",MID(IF($G28="",", career level","")&amp;IF($I28="",", nationality mandate","")&amp;IF($N28="",", capacity direction","")&amp;IF(N($J28)&lt;=0,", approved HC","")&amp;IF(AND($G28&lt;&gt;"",COUNTIF(CareerLevels,$G28)=0),", a career level that is not on the ladder",""),3,200))</f>
        <v>career level, nationality mandate, capacity direction</v>
      </c>
    </row>
    <row r="29" customFormat="false" ht="15" hidden="false" customHeight="false" outlineLevel="0" collapsed="false">
      <c r="A29" s="21" t="s">
        <v>148</v>
      </c>
      <c r="B29" s="21" t="s">
        <v>40</v>
      </c>
      <c r="C29" s="21" t="s">
        <v>43</v>
      </c>
      <c r="D29" s="21" t="s">
        <v>52</v>
      </c>
      <c r="E29" s="21" t="s">
        <v>54</v>
      </c>
      <c r="F29" s="21" t="s">
        <v>131</v>
      </c>
      <c r="G29" s="21"/>
      <c r="H29" s="21" t="s">
        <v>129</v>
      </c>
      <c r="I29" s="21"/>
      <c r="J29" s="22" t="n">
        <v>1</v>
      </c>
      <c r="K29" s="22" t="n">
        <v>1</v>
      </c>
      <c r="L29" s="22" t="n">
        <v>0</v>
      </c>
      <c r="M29" s="21" t="s">
        <v>118</v>
      </c>
      <c r="N29" s="21"/>
      <c r="O29" s="20" t="n">
        <f aca="false">IF($N29="Exit",N($J29),0)</f>
        <v>0</v>
      </c>
      <c r="P29" s="23" t="str">
        <f aca="false">IF($F29="","",MID(IF($G29="",", career level","")&amp;IF($I29="",", nationality mandate","")&amp;IF($N29="",", capacity direction","")&amp;IF(N($J29)&lt;=0,", approved HC","")&amp;IF(AND($G29&lt;&gt;"",COUNTIF(CareerLevels,$G29)=0),", a career level that is not on the ladder",""),3,200))</f>
        <v>career level, nationality mandate, capacity direction</v>
      </c>
    </row>
    <row r="30" customFormat="false" ht="15" hidden="false" customHeight="false" outlineLevel="0" collapsed="false">
      <c r="A30" s="21" t="s">
        <v>151</v>
      </c>
      <c r="B30" s="21" t="s">
        <v>40</v>
      </c>
      <c r="C30" s="21" t="s">
        <v>43</v>
      </c>
      <c r="D30" s="21" t="s">
        <v>52</v>
      </c>
      <c r="E30" s="21" t="s">
        <v>54</v>
      </c>
      <c r="F30" s="21" t="s">
        <v>131</v>
      </c>
      <c r="G30" s="21"/>
      <c r="H30" s="21" t="s">
        <v>129</v>
      </c>
      <c r="I30" s="21"/>
      <c r="J30" s="22" t="n">
        <v>1</v>
      </c>
      <c r="K30" s="22" t="n">
        <v>0</v>
      </c>
      <c r="L30" s="22" t="n">
        <v>1</v>
      </c>
      <c r="M30" s="21" t="s">
        <v>118</v>
      </c>
      <c r="N30" s="21"/>
      <c r="O30" s="20" t="n">
        <f aca="false">IF($N30="Exit",N($J30),0)</f>
        <v>0</v>
      </c>
      <c r="P30" s="23" t="str">
        <f aca="false">IF($F30="","",MID(IF($G30="",", career level","")&amp;IF($I30="",", nationality mandate","")&amp;IF($N30="",", capacity direction","")&amp;IF(N($J30)&lt;=0,", approved HC","")&amp;IF(AND($G30&lt;&gt;"",COUNTIF(CareerLevels,$G30)=0),", a career level that is not on the ladder",""),3,200))</f>
        <v>career level, nationality mandate, capacity direction</v>
      </c>
    </row>
    <row r="31" customFormat="false" ht="15" hidden="false" customHeight="false" outlineLevel="0" collapsed="false">
      <c r="A31" s="21" t="s">
        <v>142</v>
      </c>
      <c r="B31" s="21" t="s">
        <v>40</v>
      </c>
      <c r="C31" s="21" t="s">
        <v>43</v>
      </c>
      <c r="D31" s="21" t="s">
        <v>52</v>
      </c>
      <c r="E31" s="21" t="s">
        <v>54</v>
      </c>
      <c r="F31" s="21" t="s">
        <v>133</v>
      </c>
      <c r="G31" s="21"/>
      <c r="H31" s="21" t="s">
        <v>129</v>
      </c>
      <c r="I31" s="21"/>
      <c r="J31" s="22" t="n">
        <v>1</v>
      </c>
      <c r="K31" s="22" t="n">
        <v>1</v>
      </c>
      <c r="L31" s="22" t="n">
        <v>0</v>
      </c>
      <c r="M31" s="21" t="s">
        <v>118</v>
      </c>
      <c r="N31" s="21"/>
      <c r="O31" s="20" t="n">
        <f aca="false">IF($N31="Exit",N($J31),0)</f>
        <v>0</v>
      </c>
      <c r="P31" s="23" t="str">
        <f aca="false">IF($F31="","",MID(IF($G31="",", career level","")&amp;IF($I31="",", nationality mandate","")&amp;IF($N31="",", capacity direction","")&amp;IF(N($J31)&lt;=0,", approved HC","")&amp;IF(AND($G31&lt;&gt;"",COUNTIF(CareerLevels,$G31)=0),", a career level that is not on the ladder",""),3,200))</f>
        <v>career level, nationality mandate, capacity direction</v>
      </c>
    </row>
    <row r="32" customFormat="false" ht="15" hidden="false" customHeight="false" outlineLevel="0" collapsed="false">
      <c r="A32" s="21" t="s">
        <v>132</v>
      </c>
      <c r="B32" s="21" t="s">
        <v>40</v>
      </c>
      <c r="C32" s="21" t="s">
        <v>43</v>
      </c>
      <c r="D32" s="21" t="s">
        <v>52</v>
      </c>
      <c r="E32" s="21" t="s">
        <v>54</v>
      </c>
      <c r="F32" s="21" t="s">
        <v>136</v>
      </c>
      <c r="G32" s="21"/>
      <c r="H32" s="21" t="s">
        <v>129</v>
      </c>
      <c r="I32" s="21"/>
      <c r="J32" s="22" t="n">
        <v>1</v>
      </c>
      <c r="K32" s="22" t="n">
        <v>1</v>
      </c>
      <c r="L32" s="22" t="n">
        <v>0</v>
      </c>
      <c r="M32" s="21" t="s">
        <v>118</v>
      </c>
      <c r="N32" s="21"/>
      <c r="O32" s="20" t="n">
        <f aca="false">IF($N32="Exit",N($J32),0)</f>
        <v>0</v>
      </c>
      <c r="P32" s="23" t="str">
        <f aca="false">IF($F32="","",MID(IF($G32="",", career level","")&amp;IF($I32="",", nationality mandate","")&amp;IF($N32="",", capacity direction","")&amp;IF(N($J32)&lt;=0,", approved HC","")&amp;IF(AND($G32&lt;&gt;"",COUNTIF(CareerLevels,$G32)=0),", a career level that is not on the ladder",""),3,200))</f>
        <v>career level, nationality mandate, capacity direction</v>
      </c>
    </row>
    <row r="33" customFormat="false" ht="15" hidden="false" customHeight="false" outlineLevel="0" collapsed="false">
      <c r="A33" s="21" t="s">
        <v>152</v>
      </c>
      <c r="B33" s="21" t="s">
        <v>40</v>
      </c>
      <c r="C33" s="21" t="s">
        <v>43</v>
      </c>
      <c r="D33" s="21" t="s">
        <v>52</v>
      </c>
      <c r="E33" s="21" t="s">
        <v>54</v>
      </c>
      <c r="F33" s="21" t="s">
        <v>138</v>
      </c>
      <c r="G33" s="21"/>
      <c r="H33" s="21" t="s">
        <v>126</v>
      </c>
      <c r="I33" s="21"/>
      <c r="J33" s="22" t="n">
        <v>1</v>
      </c>
      <c r="K33" s="22" t="n">
        <v>1</v>
      </c>
      <c r="L33" s="22" t="n">
        <v>0</v>
      </c>
      <c r="M33" s="21" t="s">
        <v>118</v>
      </c>
      <c r="N33" s="21"/>
      <c r="O33" s="20" t="n">
        <f aca="false">IF($N33="Exit",N($J33),0)</f>
        <v>0</v>
      </c>
      <c r="P33" s="23" t="str">
        <f aca="false">IF($F33="","",MID(IF($G33="",", career level","")&amp;IF($I33="",", nationality mandate","")&amp;IF($N33="",", capacity direction","")&amp;IF(N($J33)&lt;=0,", approved HC","")&amp;IF(AND($G33&lt;&gt;"",COUNTIF(CareerLevels,$G33)=0),", a career level that is not on the ladder",""),3,200))</f>
        <v>career level, nationality mandate, capacity direction</v>
      </c>
    </row>
    <row r="34" customFormat="false" ht="15" hidden="false" customHeight="false" outlineLevel="0" collapsed="false">
      <c r="A34" s="21" t="s">
        <v>153</v>
      </c>
      <c r="B34" s="21" t="s">
        <v>40</v>
      </c>
      <c r="C34" s="21" t="s">
        <v>43</v>
      </c>
      <c r="D34" s="21" t="s">
        <v>52</v>
      </c>
      <c r="E34" s="21" t="s">
        <v>56</v>
      </c>
      <c r="F34" s="21" t="s">
        <v>149</v>
      </c>
      <c r="G34" s="21"/>
      <c r="H34" s="21" t="s">
        <v>129</v>
      </c>
      <c r="I34" s="21"/>
      <c r="J34" s="22" t="n">
        <v>1</v>
      </c>
      <c r="K34" s="22" t="n">
        <v>1</v>
      </c>
      <c r="L34" s="22" t="n">
        <v>0</v>
      </c>
      <c r="M34" s="21" t="s">
        <v>118</v>
      </c>
      <c r="N34" s="21"/>
      <c r="O34" s="20" t="n">
        <f aca="false">IF($N34="Exit",N($J34),0)</f>
        <v>0</v>
      </c>
      <c r="P34" s="23" t="str">
        <f aca="false">IF($F34="","",MID(IF($G34="",", career level","")&amp;IF($I34="",", nationality mandate","")&amp;IF($N34="",", capacity direction","")&amp;IF(N($J34)&lt;=0,", approved HC","")&amp;IF(AND($G34&lt;&gt;"",COUNTIF(CareerLevels,$G34)=0),", a career level that is not on the ladder",""),3,200))</f>
        <v>career level, nationality mandate, capacity direction</v>
      </c>
    </row>
    <row r="35" customFormat="false" ht="15" hidden="false" customHeight="false" outlineLevel="0" collapsed="false">
      <c r="A35" s="21" t="s">
        <v>154</v>
      </c>
      <c r="B35" s="21" t="s">
        <v>40</v>
      </c>
      <c r="C35" s="21" t="s">
        <v>43</v>
      </c>
      <c r="D35" s="21" t="s">
        <v>52</v>
      </c>
      <c r="E35" s="21" t="s">
        <v>56</v>
      </c>
      <c r="F35" s="21" t="s">
        <v>149</v>
      </c>
      <c r="G35" s="21"/>
      <c r="H35" s="21" t="s">
        <v>129</v>
      </c>
      <c r="I35" s="21"/>
      <c r="J35" s="22" t="n">
        <v>1</v>
      </c>
      <c r="K35" s="22" t="n">
        <v>1</v>
      </c>
      <c r="L35" s="22" t="n">
        <v>0</v>
      </c>
      <c r="M35" s="21" t="s">
        <v>118</v>
      </c>
      <c r="N35" s="21"/>
      <c r="O35" s="20" t="n">
        <f aca="false">IF($N35="Exit",N($J35),0)</f>
        <v>0</v>
      </c>
      <c r="P35" s="23" t="str">
        <f aca="false">IF($F35="","",MID(IF($G35="",", career level","")&amp;IF($I35="",", nationality mandate","")&amp;IF($N35="",", capacity direction","")&amp;IF(N($J35)&lt;=0,", approved HC","")&amp;IF(AND($G35&lt;&gt;"",COUNTIF(CareerLevels,$G35)=0),", a career level that is not on the ladder",""),3,200))</f>
        <v>career level, nationality mandate, capacity direction</v>
      </c>
    </row>
    <row r="36" customFormat="false" ht="15" hidden="false" customHeight="false" outlineLevel="0" collapsed="false">
      <c r="A36" s="21" t="s">
        <v>155</v>
      </c>
      <c r="B36" s="21" t="s">
        <v>40</v>
      </c>
      <c r="C36" s="21" t="s">
        <v>43</v>
      </c>
      <c r="D36" s="21" t="s">
        <v>52</v>
      </c>
      <c r="E36" s="21" t="s">
        <v>56</v>
      </c>
      <c r="F36" s="21" t="s">
        <v>128</v>
      </c>
      <c r="G36" s="21"/>
      <c r="H36" s="21" t="s">
        <v>129</v>
      </c>
      <c r="I36" s="21"/>
      <c r="J36" s="22" t="n">
        <v>1</v>
      </c>
      <c r="K36" s="22" t="n">
        <v>1</v>
      </c>
      <c r="L36" s="22" t="n">
        <v>0</v>
      </c>
      <c r="M36" s="21" t="s">
        <v>118</v>
      </c>
      <c r="N36" s="21"/>
      <c r="O36" s="20" t="n">
        <f aca="false">IF($N36="Exit",N($J36),0)</f>
        <v>0</v>
      </c>
      <c r="P36" s="23" t="str">
        <f aca="false">IF($F36="","",MID(IF($G36="",", career level","")&amp;IF($I36="",", nationality mandate","")&amp;IF($N36="",", capacity direction","")&amp;IF(N($J36)&lt;=0,", approved HC","")&amp;IF(AND($G36&lt;&gt;"",COUNTIF(CareerLevels,$G36)=0),", a career level that is not on the ladder",""),3,200))</f>
        <v>career level, nationality mandate, capacity direction</v>
      </c>
    </row>
    <row r="37" customFormat="false" ht="15" hidden="false" customHeight="false" outlineLevel="0" collapsed="false">
      <c r="A37" s="21" t="s">
        <v>153</v>
      </c>
      <c r="B37" s="21" t="s">
        <v>40</v>
      </c>
      <c r="C37" s="21" t="s">
        <v>43</v>
      </c>
      <c r="D37" s="21" t="s">
        <v>52</v>
      </c>
      <c r="E37" s="21" t="s">
        <v>56</v>
      </c>
      <c r="F37" s="21" t="s">
        <v>128</v>
      </c>
      <c r="G37" s="21"/>
      <c r="H37" s="21" t="s">
        <v>129</v>
      </c>
      <c r="I37" s="21"/>
      <c r="J37" s="22" t="n">
        <v>1</v>
      </c>
      <c r="K37" s="22" t="n">
        <v>1</v>
      </c>
      <c r="L37" s="22" t="n">
        <v>0</v>
      </c>
      <c r="M37" s="21" t="s">
        <v>118</v>
      </c>
      <c r="N37" s="21"/>
      <c r="O37" s="20" t="n">
        <f aca="false">IF($N37="Exit",N($J37),0)</f>
        <v>0</v>
      </c>
      <c r="P37" s="23" t="str">
        <f aca="false">IF($F37="","",MID(IF($G37="",", career level","")&amp;IF($I37="",", nationality mandate","")&amp;IF($N37="",", capacity direction","")&amp;IF(N($J37)&lt;=0,", approved HC","")&amp;IF(AND($G37&lt;&gt;"",COUNTIF(CareerLevels,$G37)=0),", a career level that is not on the ladder",""),3,200))</f>
        <v>career level, nationality mandate, capacity direction</v>
      </c>
    </row>
    <row r="38" customFormat="false" ht="15" hidden="false" customHeight="false" outlineLevel="0" collapsed="false">
      <c r="A38" s="21" t="s">
        <v>127</v>
      </c>
      <c r="B38" s="21" t="s">
        <v>40</v>
      </c>
      <c r="C38" s="21" t="s">
        <v>43</v>
      </c>
      <c r="D38" s="21" t="s">
        <v>52</v>
      </c>
      <c r="E38" s="21" t="s">
        <v>56</v>
      </c>
      <c r="F38" s="21" t="s">
        <v>133</v>
      </c>
      <c r="G38" s="21"/>
      <c r="H38" s="21" t="s">
        <v>129</v>
      </c>
      <c r="I38" s="21"/>
      <c r="J38" s="22" t="n">
        <v>1</v>
      </c>
      <c r="K38" s="22" t="n">
        <v>1</v>
      </c>
      <c r="L38" s="22" t="n">
        <v>0</v>
      </c>
      <c r="M38" s="21" t="s">
        <v>118</v>
      </c>
      <c r="N38" s="21"/>
      <c r="O38" s="20" t="n">
        <f aca="false">IF($N38="Exit",N($J38),0)</f>
        <v>0</v>
      </c>
      <c r="P38" s="23" t="str">
        <f aca="false">IF($F38="","",MID(IF($G38="",", career level","")&amp;IF($I38="",", nationality mandate","")&amp;IF($N38="",", capacity direction","")&amp;IF(N($J38)&lt;=0,", approved HC","")&amp;IF(AND($G38&lt;&gt;"",COUNTIF(CareerLevels,$G38)=0),", a career level that is not on the ladder",""),3,200))</f>
        <v>career level, nationality mandate, capacity direction</v>
      </c>
    </row>
    <row r="39" customFormat="false" ht="15" hidden="false" customHeight="false" outlineLevel="0" collapsed="false">
      <c r="A39" s="21" t="s">
        <v>156</v>
      </c>
      <c r="B39" s="21" t="s">
        <v>40</v>
      </c>
      <c r="C39" s="21" t="s">
        <v>43</v>
      </c>
      <c r="D39" s="21" t="s">
        <v>52</v>
      </c>
      <c r="E39" s="21" t="s">
        <v>56</v>
      </c>
      <c r="F39" s="21" t="s">
        <v>133</v>
      </c>
      <c r="G39" s="21"/>
      <c r="H39" s="21" t="s">
        <v>129</v>
      </c>
      <c r="I39" s="21"/>
      <c r="J39" s="22" t="n">
        <v>1</v>
      </c>
      <c r="K39" s="22" t="n">
        <v>1</v>
      </c>
      <c r="L39" s="22" t="n">
        <v>0</v>
      </c>
      <c r="M39" s="21" t="s">
        <v>118</v>
      </c>
      <c r="N39" s="21"/>
      <c r="O39" s="20" t="n">
        <f aca="false">IF($N39="Exit",N($J39),0)</f>
        <v>0</v>
      </c>
      <c r="P39" s="23" t="str">
        <f aca="false">IF($F39="","",MID(IF($G39="",", career level","")&amp;IF($I39="",", nationality mandate","")&amp;IF($N39="",", capacity direction","")&amp;IF(N($J39)&lt;=0,", approved HC","")&amp;IF(AND($G39&lt;&gt;"",COUNTIF(CareerLevels,$G39)=0),", a career level that is not on the ladder",""),3,200))</f>
        <v>career level, nationality mandate, capacity direction</v>
      </c>
    </row>
    <row r="40" customFormat="false" ht="15" hidden="false" customHeight="false" outlineLevel="0" collapsed="false">
      <c r="A40" s="21" t="s">
        <v>150</v>
      </c>
      <c r="B40" s="21" t="s">
        <v>40</v>
      </c>
      <c r="C40" s="21" t="s">
        <v>43</v>
      </c>
      <c r="D40" s="21" t="s">
        <v>52</v>
      </c>
      <c r="E40" s="21" t="s">
        <v>56</v>
      </c>
      <c r="F40" s="21" t="s">
        <v>136</v>
      </c>
      <c r="G40" s="21"/>
      <c r="H40" s="21" t="s">
        <v>129</v>
      </c>
      <c r="I40" s="21"/>
      <c r="J40" s="22" t="n">
        <v>1</v>
      </c>
      <c r="K40" s="22" t="n">
        <v>1</v>
      </c>
      <c r="L40" s="22" t="n">
        <v>0</v>
      </c>
      <c r="M40" s="21" t="s">
        <v>118</v>
      </c>
      <c r="N40" s="21"/>
      <c r="O40" s="20" t="n">
        <f aca="false">IF($N40="Exit",N($J40),0)</f>
        <v>0</v>
      </c>
      <c r="P40" s="23" t="str">
        <f aca="false">IF($F40="","",MID(IF($G40="",", career level","")&amp;IF($I40="",", nationality mandate","")&amp;IF($N40="",", capacity direction","")&amp;IF(N($J40)&lt;=0,", approved HC","")&amp;IF(AND($G40&lt;&gt;"",COUNTIF(CareerLevels,$G40)=0),", a career level that is not on the ladder",""),3,200))</f>
        <v>career level, nationality mandate, capacity direction</v>
      </c>
    </row>
    <row r="41" customFormat="false" ht="15" hidden="false" customHeight="false" outlineLevel="0" collapsed="false">
      <c r="A41" s="21" t="s">
        <v>153</v>
      </c>
      <c r="B41" s="21" t="s">
        <v>40</v>
      </c>
      <c r="C41" s="21" t="s">
        <v>43</v>
      </c>
      <c r="D41" s="21" t="s">
        <v>52</v>
      </c>
      <c r="E41" s="21" t="s">
        <v>56</v>
      </c>
      <c r="F41" s="21" t="s">
        <v>136</v>
      </c>
      <c r="G41" s="21"/>
      <c r="H41" s="21" t="s">
        <v>129</v>
      </c>
      <c r="I41" s="21"/>
      <c r="J41" s="22" t="n">
        <v>1</v>
      </c>
      <c r="K41" s="22" t="n">
        <v>1</v>
      </c>
      <c r="L41" s="22" t="n">
        <v>0</v>
      </c>
      <c r="M41" s="21" t="s">
        <v>118</v>
      </c>
      <c r="N41" s="21"/>
      <c r="O41" s="20" t="n">
        <f aca="false">IF($N41="Exit",N($J41),0)</f>
        <v>0</v>
      </c>
      <c r="P41" s="23" t="str">
        <f aca="false">IF($F41="","",MID(IF($G41="",", career level","")&amp;IF($I41="",", nationality mandate","")&amp;IF($N41="",", capacity direction","")&amp;IF(N($J41)&lt;=0,", approved HC","")&amp;IF(AND($G41&lt;&gt;"",COUNTIF(CareerLevels,$G41)=0),", a career level that is not on the ladder",""),3,200))</f>
        <v>career level, nationality mandate, capacity direction</v>
      </c>
    </row>
    <row r="42" customFormat="false" ht="15" hidden="false" customHeight="false" outlineLevel="0" collapsed="false">
      <c r="A42" s="21" t="s">
        <v>157</v>
      </c>
      <c r="B42" s="21" t="s">
        <v>40</v>
      </c>
      <c r="C42" s="21" t="s">
        <v>43</v>
      </c>
      <c r="D42" s="21" t="s">
        <v>52</v>
      </c>
      <c r="E42" s="21" t="s">
        <v>56</v>
      </c>
      <c r="F42" s="21" t="s">
        <v>138</v>
      </c>
      <c r="G42" s="21"/>
      <c r="H42" s="21" t="s">
        <v>126</v>
      </c>
      <c r="I42" s="21"/>
      <c r="J42" s="22" t="n">
        <v>1</v>
      </c>
      <c r="K42" s="22" t="n">
        <v>1</v>
      </c>
      <c r="L42" s="22" t="n">
        <v>0</v>
      </c>
      <c r="M42" s="21" t="s">
        <v>118</v>
      </c>
      <c r="N42" s="21"/>
      <c r="O42" s="20" t="n">
        <f aca="false">IF($N42="Exit",N($J42),0)</f>
        <v>0</v>
      </c>
      <c r="P42" s="23" t="str">
        <f aca="false">IF($F42="","",MID(IF($G42="",", career level","")&amp;IF($I42="",", nationality mandate","")&amp;IF($N42="",", capacity direction","")&amp;IF(N($J42)&lt;=0,", approved HC","")&amp;IF(AND($G42&lt;&gt;"",COUNTIF(CareerLevels,$G42)=0),", a career level that is not on the ladder",""),3,200))</f>
        <v>career level, nationality mandate, capacity direction</v>
      </c>
    </row>
    <row r="43" customFormat="false" ht="15" hidden="false" customHeight="false" outlineLevel="0" collapsed="false">
      <c r="A43" s="21" t="s">
        <v>157</v>
      </c>
      <c r="B43" s="21" t="s">
        <v>40</v>
      </c>
      <c r="C43" s="21" t="s">
        <v>58</v>
      </c>
      <c r="D43" s="21"/>
      <c r="E43" s="21"/>
      <c r="F43" s="21" t="s">
        <v>158</v>
      </c>
      <c r="G43" s="21"/>
      <c r="H43" s="21" t="s">
        <v>121</v>
      </c>
      <c r="I43" s="21"/>
      <c r="J43" s="22" t="n">
        <v>1</v>
      </c>
      <c r="K43" s="22" t="n">
        <v>1</v>
      </c>
      <c r="L43" s="22" t="n">
        <v>0</v>
      </c>
      <c r="M43" s="21" t="s">
        <v>118</v>
      </c>
      <c r="N43" s="21"/>
      <c r="O43" s="20" t="n">
        <f aca="false">IF($N43="Exit",N($J43),0)</f>
        <v>0</v>
      </c>
      <c r="P43" s="23" t="str">
        <f aca="false">IF($F43="","",MID(IF($G43="",", career level","")&amp;IF($I43="",", nationality mandate","")&amp;IF($N43="",", capacity direction","")&amp;IF(N($J43)&lt;=0,", approved HC","")&amp;IF(AND($G43&lt;&gt;"",COUNTIF(CareerLevels,$G43)=0),", a career level that is not on the ladder",""),3,200))</f>
        <v>career level, nationality mandate, capacity direction</v>
      </c>
    </row>
    <row r="44" customFormat="false" ht="15" hidden="false" customHeight="false" outlineLevel="0" collapsed="false">
      <c r="A44" s="21" t="s">
        <v>151</v>
      </c>
      <c r="B44" s="21" t="s">
        <v>40</v>
      </c>
      <c r="C44" s="21" t="s">
        <v>58</v>
      </c>
      <c r="D44" s="21" t="s">
        <v>60</v>
      </c>
      <c r="E44" s="21"/>
      <c r="F44" s="21" t="s">
        <v>159</v>
      </c>
      <c r="G44" s="21"/>
      <c r="H44" s="21" t="s">
        <v>126</v>
      </c>
      <c r="I44" s="21"/>
      <c r="J44" s="22" t="n">
        <v>1</v>
      </c>
      <c r="K44" s="22" t="n">
        <v>1</v>
      </c>
      <c r="L44" s="22" t="n">
        <v>0</v>
      </c>
      <c r="M44" s="21" t="s">
        <v>118</v>
      </c>
      <c r="N44" s="21"/>
      <c r="O44" s="20" t="n">
        <f aca="false">IF($N44="Exit",N($J44),0)</f>
        <v>0</v>
      </c>
      <c r="P44" s="23" t="str">
        <f aca="false">IF($F44="","",MID(IF($G44="",", career level","")&amp;IF($I44="",", nationality mandate","")&amp;IF($N44="",", capacity direction","")&amp;IF(N($J44)&lt;=0,", approved HC","")&amp;IF(AND($G44&lt;&gt;"",COUNTIF(CareerLevels,$G44)=0),", a career level that is not on the ladder",""),3,200))</f>
        <v>career level, nationality mandate, capacity direction</v>
      </c>
    </row>
    <row r="45" customFormat="false" ht="15" hidden="false" customHeight="false" outlineLevel="0" collapsed="false">
      <c r="A45" s="21" t="s">
        <v>160</v>
      </c>
      <c r="B45" s="21" t="s">
        <v>40</v>
      </c>
      <c r="C45" s="21" t="s">
        <v>58</v>
      </c>
      <c r="D45" s="21" t="s">
        <v>60</v>
      </c>
      <c r="E45" s="21" t="s">
        <v>62</v>
      </c>
      <c r="F45" s="21" t="s">
        <v>161</v>
      </c>
      <c r="G45" s="21"/>
      <c r="H45" s="21" t="s">
        <v>129</v>
      </c>
      <c r="I45" s="21"/>
      <c r="J45" s="22" t="n">
        <v>1</v>
      </c>
      <c r="K45" s="22" t="n">
        <v>1</v>
      </c>
      <c r="L45" s="22" t="n">
        <v>0</v>
      </c>
      <c r="M45" s="21" t="s">
        <v>118</v>
      </c>
      <c r="N45" s="21"/>
      <c r="O45" s="20" t="n">
        <f aca="false">IF($N45="Exit",N($J45),0)</f>
        <v>0</v>
      </c>
      <c r="P45" s="23" t="str">
        <f aca="false">IF($F45="","",MID(IF($G45="",", career level","")&amp;IF($I45="",", nationality mandate","")&amp;IF($N45="",", capacity direction","")&amp;IF(N($J45)&lt;=0,", approved HC","")&amp;IF(AND($G45&lt;&gt;"",COUNTIF(CareerLevels,$G45)=0),", a career level that is not on the ladder",""),3,200))</f>
        <v>career level, nationality mandate, capacity direction</v>
      </c>
    </row>
    <row r="46" customFormat="false" ht="15" hidden="false" customHeight="false" outlineLevel="0" collapsed="false">
      <c r="A46" s="21" t="s">
        <v>160</v>
      </c>
      <c r="B46" s="21" t="s">
        <v>40</v>
      </c>
      <c r="C46" s="21" t="s">
        <v>58</v>
      </c>
      <c r="D46" s="21" t="s">
        <v>60</v>
      </c>
      <c r="E46" s="21" t="s">
        <v>62</v>
      </c>
      <c r="F46" s="21" t="s">
        <v>161</v>
      </c>
      <c r="G46" s="21"/>
      <c r="H46" s="21" t="s">
        <v>129</v>
      </c>
      <c r="I46" s="21"/>
      <c r="J46" s="22" t="n">
        <v>1</v>
      </c>
      <c r="K46" s="22" t="n">
        <v>1</v>
      </c>
      <c r="L46" s="22" t="n">
        <v>0</v>
      </c>
      <c r="M46" s="21" t="s">
        <v>118</v>
      </c>
      <c r="N46" s="21"/>
      <c r="O46" s="20" t="n">
        <f aca="false">IF($N46="Exit",N($J46),0)</f>
        <v>0</v>
      </c>
      <c r="P46" s="23" t="str">
        <f aca="false">IF($F46="","",MID(IF($G46="",", career level","")&amp;IF($I46="",", nationality mandate","")&amp;IF($N46="",", capacity direction","")&amp;IF(N($J46)&lt;=0,", approved HC","")&amp;IF(AND($G46&lt;&gt;"",COUNTIF(CareerLevels,$G46)=0),", a career level that is not on the ladder",""),3,200))</f>
        <v>career level, nationality mandate, capacity direction</v>
      </c>
    </row>
    <row r="47" customFormat="false" ht="15" hidden="false" customHeight="false" outlineLevel="0" collapsed="false">
      <c r="A47" s="21" t="s">
        <v>135</v>
      </c>
      <c r="B47" s="21" t="s">
        <v>40</v>
      </c>
      <c r="C47" s="21" t="s">
        <v>58</v>
      </c>
      <c r="D47" s="21" t="s">
        <v>60</v>
      </c>
      <c r="E47" s="21" t="s">
        <v>62</v>
      </c>
      <c r="F47" s="21" t="s">
        <v>161</v>
      </c>
      <c r="G47" s="21"/>
      <c r="H47" s="21" t="s">
        <v>129</v>
      </c>
      <c r="I47" s="21"/>
      <c r="J47" s="22" t="n">
        <v>1</v>
      </c>
      <c r="K47" s="22" t="n">
        <v>1</v>
      </c>
      <c r="L47" s="22" t="n">
        <v>0</v>
      </c>
      <c r="M47" s="21" t="s">
        <v>118</v>
      </c>
      <c r="N47" s="21"/>
      <c r="O47" s="20" t="n">
        <f aca="false">IF($N47="Exit",N($J47),0)</f>
        <v>0</v>
      </c>
      <c r="P47" s="23" t="str">
        <f aca="false">IF($F47="","",MID(IF($G47="",", career level","")&amp;IF($I47="",", nationality mandate","")&amp;IF($N47="",", capacity direction","")&amp;IF(N($J47)&lt;=0,", approved HC","")&amp;IF(AND($G47&lt;&gt;"",COUNTIF(CareerLevels,$G47)=0),", a career level that is not on the ladder",""),3,200))</f>
        <v>career level, nationality mandate, capacity direction</v>
      </c>
    </row>
    <row r="48" customFormat="false" ht="15" hidden="false" customHeight="false" outlineLevel="0" collapsed="false">
      <c r="A48" s="21" t="s">
        <v>162</v>
      </c>
      <c r="B48" s="21" t="s">
        <v>40</v>
      </c>
      <c r="C48" s="21" t="s">
        <v>58</v>
      </c>
      <c r="D48" s="21" t="s">
        <v>60</v>
      </c>
      <c r="E48" s="21" t="s">
        <v>62</v>
      </c>
      <c r="F48" s="21" t="s">
        <v>161</v>
      </c>
      <c r="G48" s="21"/>
      <c r="H48" s="21" t="s">
        <v>129</v>
      </c>
      <c r="I48" s="21"/>
      <c r="J48" s="22" t="n">
        <v>1</v>
      </c>
      <c r="K48" s="22" t="n">
        <v>0</v>
      </c>
      <c r="L48" s="22" t="n">
        <v>1</v>
      </c>
      <c r="M48" s="21" t="s">
        <v>118</v>
      </c>
      <c r="N48" s="21"/>
      <c r="O48" s="20" t="n">
        <f aca="false">IF($N48="Exit",N($J48),0)</f>
        <v>0</v>
      </c>
      <c r="P48" s="23" t="str">
        <f aca="false">IF($F48="","",MID(IF($G48="",", career level","")&amp;IF($I48="",", nationality mandate","")&amp;IF($N48="",", capacity direction","")&amp;IF(N($J48)&lt;=0,", approved HC","")&amp;IF(AND($G48&lt;&gt;"",COUNTIF(CareerLevels,$G48)=0),", a career level that is not on the ladder",""),3,200))</f>
        <v>career level, nationality mandate, capacity direction</v>
      </c>
    </row>
    <row r="49" customFormat="false" ht="15" hidden="false" customHeight="false" outlineLevel="0" collapsed="false">
      <c r="A49" s="21" t="s">
        <v>155</v>
      </c>
      <c r="B49" s="21" t="s">
        <v>40</v>
      </c>
      <c r="C49" s="21" t="s">
        <v>58</v>
      </c>
      <c r="D49" s="21" t="s">
        <v>60</v>
      </c>
      <c r="E49" s="21" t="s">
        <v>62</v>
      </c>
      <c r="F49" s="21" t="s">
        <v>161</v>
      </c>
      <c r="G49" s="21"/>
      <c r="H49" s="21" t="s">
        <v>129</v>
      </c>
      <c r="I49" s="21"/>
      <c r="J49" s="22" t="n">
        <v>1</v>
      </c>
      <c r="K49" s="22" t="n">
        <v>1</v>
      </c>
      <c r="L49" s="22" t="n">
        <v>0</v>
      </c>
      <c r="M49" s="21" t="s">
        <v>118</v>
      </c>
      <c r="N49" s="21"/>
      <c r="O49" s="20" t="n">
        <f aca="false">IF($N49="Exit",N($J49),0)</f>
        <v>0</v>
      </c>
      <c r="P49" s="23" t="str">
        <f aca="false">IF($F49="","",MID(IF($G49="",", career level","")&amp;IF($I49="",", nationality mandate","")&amp;IF($N49="",", capacity direction","")&amp;IF(N($J49)&lt;=0,", approved HC","")&amp;IF(AND($G49&lt;&gt;"",COUNTIF(CareerLevels,$G49)=0),", a career level that is not on the ladder",""),3,200))</f>
        <v>career level, nationality mandate, capacity direction</v>
      </c>
    </row>
    <row r="50" customFormat="false" ht="15" hidden="false" customHeight="false" outlineLevel="0" collapsed="false">
      <c r="A50" s="21" t="s">
        <v>163</v>
      </c>
      <c r="B50" s="21" t="s">
        <v>40</v>
      </c>
      <c r="C50" s="21" t="s">
        <v>58</v>
      </c>
      <c r="D50" s="21" t="s">
        <v>60</v>
      </c>
      <c r="E50" s="21" t="s">
        <v>62</v>
      </c>
      <c r="F50" s="21" t="s">
        <v>164</v>
      </c>
      <c r="G50" s="21"/>
      <c r="H50" s="21" t="s">
        <v>129</v>
      </c>
      <c r="I50" s="21"/>
      <c r="J50" s="22" t="n">
        <v>1</v>
      </c>
      <c r="K50" s="22" t="n">
        <v>1</v>
      </c>
      <c r="L50" s="22" t="n">
        <v>0</v>
      </c>
      <c r="M50" s="21" t="s">
        <v>118</v>
      </c>
      <c r="N50" s="21"/>
      <c r="O50" s="20" t="n">
        <f aca="false">IF($N50="Exit",N($J50),0)</f>
        <v>0</v>
      </c>
      <c r="P50" s="23" t="str">
        <f aca="false">IF($F50="","",MID(IF($G50="",", career level","")&amp;IF($I50="",", nationality mandate","")&amp;IF($N50="",", capacity direction","")&amp;IF(N($J50)&lt;=0,", approved HC","")&amp;IF(AND($G50&lt;&gt;"",COUNTIF(CareerLevels,$G50)=0),", a career level that is not on the ladder",""),3,200))</f>
        <v>career level, nationality mandate, capacity direction</v>
      </c>
    </row>
    <row r="51" customFormat="false" ht="15" hidden="false" customHeight="false" outlineLevel="0" collapsed="false">
      <c r="A51" s="21" t="s">
        <v>165</v>
      </c>
      <c r="B51" s="21" t="s">
        <v>40</v>
      </c>
      <c r="C51" s="21" t="s">
        <v>58</v>
      </c>
      <c r="D51" s="21" t="s">
        <v>60</v>
      </c>
      <c r="E51" s="21" t="s">
        <v>62</v>
      </c>
      <c r="F51" s="21" t="s">
        <v>166</v>
      </c>
      <c r="G51" s="21"/>
      <c r="H51" s="21" t="s">
        <v>129</v>
      </c>
      <c r="I51" s="21"/>
      <c r="J51" s="22" t="n">
        <v>1</v>
      </c>
      <c r="K51" s="22" t="n">
        <v>1</v>
      </c>
      <c r="L51" s="22" t="n">
        <v>0</v>
      </c>
      <c r="M51" s="21" t="s">
        <v>118</v>
      </c>
      <c r="N51" s="21"/>
      <c r="O51" s="20" t="n">
        <f aca="false">IF($N51="Exit",N($J51),0)</f>
        <v>0</v>
      </c>
      <c r="P51" s="23" t="str">
        <f aca="false">IF($F51="","",MID(IF($G51="",", career level","")&amp;IF($I51="",", nationality mandate","")&amp;IF($N51="",", capacity direction","")&amp;IF(N($J51)&lt;=0,", approved HC","")&amp;IF(AND($G51&lt;&gt;"",COUNTIF(CareerLevels,$G51)=0),", a career level that is not on the ladder",""),3,200))</f>
        <v>career level, nationality mandate, capacity direction</v>
      </c>
    </row>
    <row r="52" customFormat="false" ht="15" hidden="false" customHeight="false" outlineLevel="0" collapsed="false">
      <c r="A52" s="21" t="s">
        <v>132</v>
      </c>
      <c r="B52" s="21" t="s">
        <v>40</v>
      </c>
      <c r="C52" s="21" t="s">
        <v>58</v>
      </c>
      <c r="D52" s="21" t="s">
        <v>60</v>
      </c>
      <c r="E52" s="21" t="s">
        <v>62</v>
      </c>
      <c r="F52" s="21" t="s">
        <v>166</v>
      </c>
      <c r="G52" s="21"/>
      <c r="H52" s="21" t="s">
        <v>129</v>
      </c>
      <c r="I52" s="21"/>
      <c r="J52" s="22" t="n">
        <v>1</v>
      </c>
      <c r="K52" s="22" t="n">
        <v>1</v>
      </c>
      <c r="L52" s="22" t="n">
        <v>0</v>
      </c>
      <c r="M52" s="21" t="s">
        <v>118</v>
      </c>
      <c r="N52" s="21"/>
      <c r="O52" s="20" t="n">
        <f aca="false">IF($N52="Exit",N($J52),0)</f>
        <v>0</v>
      </c>
      <c r="P52" s="23" t="str">
        <f aca="false">IF($F52="","",MID(IF($G52="",", career level","")&amp;IF($I52="",", nationality mandate","")&amp;IF($N52="",", capacity direction","")&amp;IF(N($J52)&lt;=0,", approved HC","")&amp;IF(AND($G52&lt;&gt;"",COUNTIF(CareerLevels,$G52)=0),", a career level that is not on the ladder",""),3,200))</f>
        <v>career level, nationality mandate, capacity direction</v>
      </c>
    </row>
    <row r="53" customFormat="false" ht="15" hidden="false" customHeight="false" outlineLevel="0" collapsed="false">
      <c r="A53" s="21" t="s">
        <v>167</v>
      </c>
      <c r="B53" s="21" t="s">
        <v>40</v>
      </c>
      <c r="C53" s="21" t="s">
        <v>58</v>
      </c>
      <c r="D53" s="21" t="s">
        <v>60</v>
      </c>
      <c r="E53" s="21" t="s">
        <v>62</v>
      </c>
      <c r="F53" s="21" t="s">
        <v>168</v>
      </c>
      <c r="G53" s="21"/>
      <c r="H53" s="21" t="s">
        <v>126</v>
      </c>
      <c r="I53" s="21"/>
      <c r="J53" s="22" t="n">
        <v>1</v>
      </c>
      <c r="K53" s="22" t="n">
        <v>1</v>
      </c>
      <c r="L53" s="22" t="n">
        <v>0</v>
      </c>
      <c r="M53" s="21" t="s">
        <v>118</v>
      </c>
      <c r="N53" s="21"/>
      <c r="O53" s="20" t="n">
        <f aca="false">IF($N53="Exit",N($J53),0)</f>
        <v>0</v>
      </c>
      <c r="P53" s="23" t="str">
        <f aca="false">IF($F53="","",MID(IF($G53="",", career level","")&amp;IF($I53="",", nationality mandate","")&amp;IF($N53="",", capacity direction","")&amp;IF(N($J53)&lt;=0,", approved HC","")&amp;IF(AND($G53&lt;&gt;"",COUNTIF(CareerLevels,$G53)=0),", a career level that is not on the ladder",""),3,200))</f>
        <v>career level, nationality mandate, capacity direction</v>
      </c>
    </row>
    <row r="54" customFormat="false" ht="15" hidden="false" customHeight="false" outlineLevel="0" collapsed="false">
      <c r="A54" s="21" t="s">
        <v>167</v>
      </c>
      <c r="B54" s="21" t="s">
        <v>40</v>
      </c>
      <c r="C54" s="21" t="s">
        <v>58</v>
      </c>
      <c r="D54" s="21" t="s">
        <v>60</v>
      </c>
      <c r="E54" s="21" t="s">
        <v>64</v>
      </c>
      <c r="F54" s="21" t="s">
        <v>169</v>
      </c>
      <c r="G54" s="21"/>
      <c r="H54" s="21" t="s">
        <v>129</v>
      </c>
      <c r="I54" s="21"/>
      <c r="J54" s="22" t="n">
        <v>1</v>
      </c>
      <c r="K54" s="22" t="n">
        <v>1</v>
      </c>
      <c r="L54" s="22" t="n">
        <v>0</v>
      </c>
      <c r="M54" s="21" t="s">
        <v>118</v>
      </c>
      <c r="N54" s="21"/>
      <c r="O54" s="20" t="n">
        <f aca="false">IF($N54="Exit",N($J54),0)</f>
        <v>0</v>
      </c>
      <c r="P54" s="23" t="str">
        <f aca="false">IF($F54="","",MID(IF($G54="",", career level","")&amp;IF($I54="",", nationality mandate","")&amp;IF($N54="",", capacity direction","")&amp;IF(N($J54)&lt;=0,", approved HC","")&amp;IF(AND($G54&lt;&gt;"",COUNTIF(CareerLevels,$G54)=0),", a career level that is not on the ladder",""),3,200))</f>
        <v>career level, nationality mandate, capacity direction</v>
      </c>
    </row>
    <row r="55" customFormat="false" ht="15" hidden="false" customHeight="false" outlineLevel="0" collapsed="false">
      <c r="A55" s="21" t="s">
        <v>146</v>
      </c>
      <c r="B55" s="21" t="s">
        <v>40</v>
      </c>
      <c r="C55" s="21" t="s">
        <v>58</v>
      </c>
      <c r="D55" s="21" t="s">
        <v>60</v>
      </c>
      <c r="E55" s="21" t="s">
        <v>64</v>
      </c>
      <c r="F55" s="21" t="s">
        <v>169</v>
      </c>
      <c r="G55" s="21"/>
      <c r="H55" s="21" t="s">
        <v>129</v>
      </c>
      <c r="I55" s="21"/>
      <c r="J55" s="22" t="n">
        <v>1</v>
      </c>
      <c r="K55" s="22" t="n">
        <v>1</v>
      </c>
      <c r="L55" s="22" t="n">
        <v>0</v>
      </c>
      <c r="M55" s="21" t="s">
        <v>118</v>
      </c>
      <c r="N55" s="21"/>
      <c r="O55" s="20" t="n">
        <f aca="false">IF($N55="Exit",N($J55),0)</f>
        <v>0</v>
      </c>
      <c r="P55" s="23" t="str">
        <f aca="false">IF($F55="","",MID(IF($G55="",", career level","")&amp;IF($I55="",", nationality mandate","")&amp;IF($N55="",", capacity direction","")&amp;IF(N($J55)&lt;=0,", approved HC","")&amp;IF(AND($G55&lt;&gt;"",COUNTIF(CareerLevels,$G55)=0),", a career level that is not on the ladder",""),3,200))</f>
        <v>career level, nationality mandate, capacity direction</v>
      </c>
    </row>
    <row r="56" customFormat="false" ht="15" hidden="false" customHeight="false" outlineLevel="0" collapsed="false">
      <c r="A56" s="21" t="s">
        <v>144</v>
      </c>
      <c r="B56" s="21" t="s">
        <v>40</v>
      </c>
      <c r="C56" s="21" t="s">
        <v>58</v>
      </c>
      <c r="D56" s="21" t="s">
        <v>60</v>
      </c>
      <c r="E56" s="21" t="s">
        <v>64</v>
      </c>
      <c r="F56" s="21" t="s">
        <v>170</v>
      </c>
      <c r="G56" s="21"/>
      <c r="H56" s="21" t="s">
        <v>129</v>
      </c>
      <c r="I56" s="21"/>
      <c r="J56" s="22" t="n">
        <v>1</v>
      </c>
      <c r="K56" s="22" t="n">
        <v>1</v>
      </c>
      <c r="L56" s="22" t="n">
        <v>0</v>
      </c>
      <c r="M56" s="21" t="s">
        <v>118</v>
      </c>
      <c r="N56" s="21"/>
      <c r="O56" s="20" t="n">
        <f aca="false">IF($N56="Exit",N($J56),0)</f>
        <v>0</v>
      </c>
      <c r="P56" s="23" t="str">
        <f aca="false">IF($F56="","",MID(IF($G56="",", career level","")&amp;IF($I56="",", nationality mandate","")&amp;IF($N56="",", capacity direction","")&amp;IF(N($J56)&lt;=0,", approved HC","")&amp;IF(AND($G56&lt;&gt;"",COUNTIF(CareerLevels,$G56)=0),", a career level that is not on the ladder",""),3,200))</f>
        <v>career level, nationality mandate, capacity direction</v>
      </c>
    </row>
    <row r="57" customFormat="false" ht="15" hidden="false" customHeight="false" outlineLevel="0" collapsed="false">
      <c r="A57" s="21" t="s">
        <v>139</v>
      </c>
      <c r="B57" s="21" t="s">
        <v>40</v>
      </c>
      <c r="C57" s="21" t="s">
        <v>58</v>
      </c>
      <c r="D57" s="21" t="s">
        <v>60</v>
      </c>
      <c r="E57" s="21" t="s">
        <v>64</v>
      </c>
      <c r="F57" s="21" t="s">
        <v>170</v>
      </c>
      <c r="G57" s="21"/>
      <c r="H57" s="21" t="s">
        <v>129</v>
      </c>
      <c r="I57" s="21"/>
      <c r="J57" s="22" t="n">
        <v>1</v>
      </c>
      <c r="K57" s="22" t="n">
        <v>1</v>
      </c>
      <c r="L57" s="22" t="n">
        <v>0</v>
      </c>
      <c r="M57" s="21" t="s">
        <v>141</v>
      </c>
      <c r="N57" s="21"/>
      <c r="O57" s="20" t="n">
        <f aca="false">IF($N57="Exit",N($J57),0)</f>
        <v>0</v>
      </c>
      <c r="P57" s="23" t="str">
        <f aca="false">IF($F57="","",MID(IF($G57="",", career level","")&amp;IF($I57="",", nationality mandate","")&amp;IF($N57="",", capacity direction","")&amp;IF(N($J57)&lt;=0,", approved HC","")&amp;IF(AND($G57&lt;&gt;"",COUNTIF(CareerLevels,$G57)=0),", a career level that is not on the ladder",""),3,200))</f>
        <v>career level, nationality mandate, capacity direction</v>
      </c>
    </row>
    <row r="58" customFormat="false" ht="15" hidden="false" customHeight="false" outlineLevel="0" collapsed="false">
      <c r="A58" s="21" t="s">
        <v>171</v>
      </c>
      <c r="B58" s="21" t="s">
        <v>40</v>
      </c>
      <c r="C58" s="21" t="s">
        <v>58</v>
      </c>
      <c r="D58" s="21" t="s">
        <v>60</v>
      </c>
      <c r="E58" s="21" t="s">
        <v>64</v>
      </c>
      <c r="F58" s="21" t="s">
        <v>164</v>
      </c>
      <c r="G58" s="21"/>
      <c r="H58" s="21" t="s">
        <v>129</v>
      </c>
      <c r="I58" s="21"/>
      <c r="J58" s="22" t="n">
        <v>1</v>
      </c>
      <c r="K58" s="22" t="n">
        <v>1</v>
      </c>
      <c r="L58" s="22" t="n">
        <v>0</v>
      </c>
      <c r="M58" s="21" t="s">
        <v>141</v>
      </c>
      <c r="N58" s="21"/>
      <c r="O58" s="20" t="n">
        <f aca="false">IF($N58="Exit",N($J58),0)</f>
        <v>0</v>
      </c>
      <c r="P58" s="23" t="str">
        <f aca="false">IF($F58="","",MID(IF($G58="",", career level","")&amp;IF($I58="",", nationality mandate","")&amp;IF($N58="",", capacity direction","")&amp;IF(N($J58)&lt;=0,", approved HC","")&amp;IF(AND($G58&lt;&gt;"",COUNTIF(CareerLevels,$G58)=0),", a career level that is not on the ladder",""),3,200))</f>
        <v>career level, nationality mandate, capacity direction</v>
      </c>
    </row>
    <row r="59" customFormat="false" ht="15" hidden="false" customHeight="false" outlineLevel="0" collapsed="false">
      <c r="A59" s="21" t="s">
        <v>172</v>
      </c>
      <c r="B59" s="21" t="s">
        <v>40</v>
      </c>
      <c r="C59" s="21" t="s">
        <v>58</v>
      </c>
      <c r="D59" s="21" t="s">
        <v>60</v>
      </c>
      <c r="E59" s="21" t="s">
        <v>64</v>
      </c>
      <c r="F59" s="21" t="s">
        <v>168</v>
      </c>
      <c r="G59" s="21"/>
      <c r="H59" s="21" t="s">
        <v>126</v>
      </c>
      <c r="I59" s="21"/>
      <c r="J59" s="22" t="n">
        <v>1</v>
      </c>
      <c r="K59" s="22" t="n">
        <v>1</v>
      </c>
      <c r="L59" s="22" t="n">
        <v>0</v>
      </c>
      <c r="M59" s="21" t="s">
        <v>118</v>
      </c>
      <c r="N59" s="21"/>
      <c r="O59" s="20" t="n">
        <f aca="false">IF($N59="Exit",N($J59),0)</f>
        <v>0</v>
      </c>
      <c r="P59" s="23" t="str">
        <f aca="false">IF($F59="","",MID(IF($G59="",", career level","")&amp;IF($I59="",", nationality mandate","")&amp;IF($N59="",", capacity direction","")&amp;IF(N($J59)&lt;=0,", approved HC","")&amp;IF(AND($G59&lt;&gt;"",COUNTIF(CareerLevels,$G59)=0),", a career level that is not on the ladder",""),3,200))</f>
        <v>career level, nationality mandate, capacity direction</v>
      </c>
    </row>
    <row r="60" customFormat="false" ht="15" hidden="false" customHeight="false" outlineLevel="0" collapsed="false">
      <c r="A60" s="21" t="s">
        <v>163</v>
      </c>
      <c r="B60" s="21" t="s">
        <v>40</v>
      </c>
      <c r="C60" s="21" t="s">
        <v>58</v>
      </c>
      <c r="D60" s="21" t="s">
        <v>66</v>
      </c>
      <c r="E60" s="21"/>
      <c r="F60" s="21" t="s">
        <v>159</v>
      </c>
      <c r="G60" s="21"/>
      <c r="H60" s="21" t="s">
        <v>126</v>
      </c>
      <c r="I60" s="21"/>
      <c r="J60" s="22" t="n">
        <v>1</v>
      </c>
      <c r="K60" s="22" t="n">
        <v>1</v>
      </c>
      <c r="L60" s="22" t="n">
        <v>0</v>
      </c>
      <c r="M60" s="21" t="s">
        <v>118</v>
      </c>
      <c r="N60" s="21"/>
      <c r="O60" s="20" t="n">
        <f aca="false">IF($N60="Exit",N($J60),0)</f>
        <v>0</v>
      </c>
      <c r="P60" s="23" t="str">
        <f aca="false">IF($F60="","",MID(IF($G60="",", career level","")&amp;IF($I60="",", nationality mandate","")&amp;IF($N60="",", capacity direction","")&amp;IF(N($J60)&lt;=0,", approved HC","")&amp;IF(AND($G60&lt;&gt;"",COUNTIF(CareerLevels,$G60)=0),", a career level that is not on the ladder",""),3,200))</f>
        <v>career level, nationality mandate, capacity direction</v>
      </c>
    </row>
    <row r="61" customFormat="false" ht="15" hidden="false" customHeight="false" outlineLevel="0" collapsed="false">
      <c r="A61" s="21" t="s">
        <v>137</v>
      </c>
      <c r="B61" s="21" t="s">
        <v>40</v>
      </c>
      <c r="C61" s="21" t="s">
        <v>58</v>
      </c>
      <c r="D61" s="21" t="s">
        <v>66</v>
      </c>
      <c r="E61" s="21" t="s">
        <v>68</v>
      </c>
      <c r="F61" s="21" t="s">
        <v>170</v>
      </c>
      <c r="G61" s="21"/>
      <c r="H61" s="21" t="s">
        <v>129</v>
      </c>
      <c r="I61" s="21"/>
      <c r="J61" s="22" t="n">
        <v>1</v>
      </c>
      <c r="K61" s="22" t="n">
        <v>1</v>
      </c>
      <c r="L61" s="22" t="n">
        <v>0</v>
      </c>
      <c r="M61" s="21" t="s">
        <v>118</v>
      </c>
      <c r="N61" s="21"/>
      <c r="O61" s="20" t="n">
        <f aca="false">IF($N61="Exit",N($J61),0)</f>
        <v>0</v>
      </c>
      <c r="P61" s="23" t="str">
        <f aca="false">IF($F61="","",MID(IF($G61="",", career level","")&amp;IF($I61="",", nationality mandate","")&amp;IF($N61="",", capacity direction","")&amp;IF(N($J61)&lt;=0,", approved HC","")&amp;IF(AND($G61&lt;&gt;"",COUNTIF(CareerLevels,$G61)=0),", a career level that is not on the ladder",""),3,200))</f>
        <v>career level, nationality mandate, capacity direction</v>
      </c>
    </row>
    <row r="62" customFormat="false" ht="15" hidden="false" customHeight="false" outlineLevel="0" collapsed="false">
      <c r="A62" s="21" t="s">
        <v>173</v>
      </c>
      <c r="B62" s="21" t="s">
        <v>40</v>
      </c>
      <c r="C62" s="21" t="s">
        <v>58</v>
      </c>
      <c r="D62" s="21" t="s">
        <v>66</v>
      </c>
      <c r="E62" s="21" t="s">
        <v>68</v>
      </c>
      <c r="F62" s="21" t="s">
        <v>170</v>
      </c>
      <c r="G62" s="21"/>
      <c r="H62" s="21" t="s">
        <v>129</v>
      </c>
      <c r="I62" s="21"/>
      <c r="J62" s="22" t="n">
        <v>1</v>
      </c>
      <c r="K62" s="22" t="n">
        <v>1</v>
      </c>
      <c r="L62" s="22" t="n">
        <v>0</v>
      </c>
      <c r="M62" s="21" t="s">
        <v>118</v>
      </c>
      <c r="N62" s="21"/>
      <c r="O62" s="20" t="n">
        <f aca="false">IF($N62="Exit",N($J62),0)</f>
        <v>0</v>
      </c>
      <c r="P62" s="23" t="str">
        <f aca="false">IF($F62="","",MID(IF($G62="",", career level","")&amp;IF($I62="",", nationality mandate","")&amp;IF($N62="",", capacity direction","")&amp;IF(N($J62)&lt;=0,", approved HC","")&amp;IF(AND($G62&lt;&gt;"",COUNTIF(CareerLevels,$G62)=0),", a career level that is not on the ladder",""),3,200))</f>
        <v>career level, nationality mandate, capacity direction</v>
      </c>
    </row>
    <row r="63" customFormat="false" ht="15" hidden="false" customHeight="false" outlineLevel="0" collapsed="false">
      <c r="A63" s="21" t="s">
        <v>174</v>
      </c>
      <c r="B63" s="21" t="s">
        <v>40</v>
      </c>
      <c r="C63" s="21" t="s">
        <v>58</v>
      </c>
      <c r="D63" s="21" t="s">
        <v>66</v>
      </c>
      <c r="E63" s="21" t="s">
        <v>68</v>
      </c>
      <c r="F63" s="21" t="s">
        <v>170</v>
      </c>
      <c r="G63" s="21"/>
      <c r="H63" s="21" t="s">
        <v>129</v>
      </c>
      <c r="I63" s="21"/>
      <c r="J63" s="22" t="n">
        <v>1</v>
      </c>
      <c r="K63" s="22" t="n">
        <v>1</v>
      </c>
      <c r="L63" s="22" t="n">
        <v>0</v>
      </c>
      <c r="M63" s="21" t="s">
        <v>118</v>
      </c>
      <c r="N63" s="21"/>
      <c r="O63" s="20" t="n">
        <f aca="false">IF($N63="Exit",N($J63),0)</f>
        <v>0</v>
      </c>
      <c r="P63" s="23" t="str">
        <f aca="false">IF($F63="","",MID(IF($G63="",", career level","")&amp;IF($I63="",", nationality mandate","")&amp;IF($N63="",", capacity direction","")&amp;IF(N($J63)&lt;=0,", approved HC","")&amp;IF(AND($G63&lt;&gt;"",COUNTIF(CareerLevels,$G63)=0),", a career level that is not on the ladder",""),3,200))</f>
        <v>career level, nationality mandate, capacity direction</v>
      </c>
    </row>
    <row r="64" customFormat="false" ht="15" hidden="false" customHeight="false" outlineLevel="0" collapsed="false">
      <c r="A64" s="21" t="s">
        <v>175</v>
      </c>
      <c r="B64" s="21" t="s">
        <v>40</v>
      </c>
      <c r="C64" s="21" t="s">
        <v>58</v>
      </c>
      <c r="D64" s="21" t="s">
        <v>66</v>
      </c>
      <c r="E64" s="21" t="s">
        <v>68</v>
      </c>
      <c r="F64" s="21" t="s">
        <v>161</v>
      </c>
      <c r="G64" s="21"/>
      <c r="H64" s="21" t="s">
        <v>129</v>
      </c>
      <c r="I64" s="21"/>
      <c r="J64" s="22" t="n">
        <v>1</v>
      </c>
      <c r="K64" s="22" t="n">
        <v>1</v>
      </c>
      <c r="L64" s="22" t="n">
        <v>0</v>
      </c>
      <c r="M64" s="21" t="s">
        <v>118</v>
      </c>
      <c r="N64" s="21"/>
      <c r="O64" s="20" t="n">
        <f aca="false">IF($N64="Exit",N($J64),0)</f>
        <v>0</v>
      </c>
      <c r="P64" s="23" t="str">
        <f aca="false">IF($F64="","",MID(IF($G64="",", career level","")&amp;IF($I64="",", nationality mandate","")&amp;IF($N64="",", capacity direction","")&amp;IF(N($J64)&lt;=0,", approved HC","")&amp;IF(AND($G64&lt;&gt;"",COUNTIF(CareerLevels,$G64)=0),", a career level that is not on the ladder",""),3,200))</f>
        <v>career level, nationality mandate, capacity direction</v>
      </c>
    </row>
    <row r="65" customFormat="false" ht="15" hidden="false" customHeight="false" outlineLevel="0" collapsed="false">
      <c r="A65" s="21" t="s">
        <v>176</v>
      </c>
      <c r="B65" s="21" t="s">
        <v>40</v>
      </c>
      <c r="C65" s="21" t="s">
        <v>58</v>
      </c>
      <c r="D65" s="21" t="s">
        <v>66</v>
      </c>
      <c r="E65" s="21" t="s">
        <v>68</v>
      </c>
      <c r="F65" s="21" t="s">
        <v>164</v>
      </c>
      <c r="G65" s="21"/>
      <c r="H65" s="21" t="s">
        <v>129</v>
      </c>
      <c r="I65" s="21"/>
      <c r="J65" s="22" t="n">
        <v>1</v>
      </c>
      <c r="K65" s="22" t="n">
        <v>1</v>
      </c>
      <c r="L65" s="22" t="n">
        <v>0</v>
      </c>
      <c r="M65" s="21" t="s">
        <v>118</v>
      </c>
      <c r="N65" s="21"/>
      <c r="O65" s="20" t="n">
        <f aca="false">IF($N65="Exit",N($J65),0)</f>
        <v>0</v>
      </c>
      <c r="P65" s="23" t="str">
        <f aca="false">IF($F65="","",MID(IF($G65="",", career level","")&amp;IF($I65="",", nationality mandate","")&amp;IF($N65="",", capacity direction","")&amp;IF(N($J65)&lt;=0,", approved HC","")&amp;IF(AND($G65&lt;&gt;"",COUNTIF(CareerLevels,$G65)=0),", a career level that is not on the ladder",""),3,200))</f>
        <v>career level, nationality mandate, capacity direction</v>
      </c>
    </row>
    <row r="66" customFormat="false" ht="15" hidden="false" customHeight="false" outlineLevel="0" collapsed="false">
      <c r="A66" s="21" t="s">
        <v>154</v>
      </c>
      <c r="B66" s="21" t="s">
        <v>40</v>
      </c>
      <c r="C66" s="21" t="s">
        <v>58</v>
      </c>
      <c r="D66" s="21" t="s">
        <v>66</v>
      </c>
      <c r="E66" s="21" t="s">
        <v>68</v>
      </c>
      <c r="F66" s="21" t="s">
        <v>166</v>
      </c>
      <c r="G66" s="21"/>
      <c r="H66" s="21" t="s">
        <v>129</v>
      </c>
      <c r="I66" s="21"/>
      <c r="J66" s="22" t="n">
        <v>1</v>
      </c>
      <c r="K66" s="22" t="n">
        <v>0</v>
      </c>
      <c r="L66" s="22" t="n">
        <v>1</v>
      </c>
      <c r="M66" s="21" t="s">
        <v>118</v>
      </c>
      <c r="N66" s="21"/>
      <c r="O66" s="20" t="n">
        <f aca="false">IF($N66="Exit",N($J66),0)</f>
        <v>0</v>
      </c>
      <c r="P66" s="23" t="str">
        <f aca="false">IF($F66="","",MID(IF($G66="",", career level","")&amp;IF($I66="",", nationality mandate","")&amp;IF($N66="",", capacity direction","")&amp;IF(N($J66)&lt;=0,", approved HC","")&amp;IF(AND($G66&lt;&gt;"",COUNTIF(CareerLevels,$G66)=0),", a career level that is not on the ladder",""),3,200))</f>
        <v>career level, nationality mandate, capacity direction</v>
      </c>
    </row>
    <row r="67" customFormat="false" ht="15" hidden="false" customHeight="false" outlineLevel="0" collapsed="false">
      <c r="A67" s="21" t="s">
        <v>177</v>
      </c>
      <c r="B67" s="21" t="s">
        <v>40</v>
      </c>
      <c r="C67" s="21" t="s">
        <v>58</v>
      </c>
      <c r="D67" s="21" t="s">
        <v>66</v>
      </c>
      <c r="E67" s="21" t="s">
        <v>68</v>
      </c>
      <c r="F67" s="21" t="s">
        <v>166</v>
      </c>
      <c r="G67" s="21"/>
      <c r="H67" s="21" t="s">
        <v>129</v>
      </c>
      <c r="I67" s="21"/>
      <c r="J67" s="22" t="n">
        <v>1</v>
      </c>
      <c r="K67" s="22" t="n">
        <v>1</v>
      </c>
      <c r="L67" s="22" t="n">
        <v>0</v>
      </c>
      <c r="M67" s="21" t="s">
        <v>118</v>
      </c>
      <c r="N67" s="21"/>
      <c r="O67" s="20" t="n">
        <f aca="false">IF($N67="Exit",N($J67),0)</f>
        <v>0</v>
      </c>
      <c r="P67" s="23" t="str">
        <f aca="false">IF($F67="","",MID(IF($G67="",", career level","")&amp;IF($I67="",", nationality mandate","")&amp;IF($N67="",", capacity direction","")&amp;IF(N($J67)&lt;=0,", approved HC","")&amp;IF(AND($G67&lt;&gt;"",COUNTIF(CareerLevels,$G67)=0),", a career level that is not on the ladder",""),3,200))</f>
        <v>career level, nationality mandate, capacity direction</v>
      </c>
    </row>
    <row r="68" customFormat="false" ht="15" hidden="false" customHeight="false" outlineLevel="0" collapsed="false">
      <c r="A68" s="21" t="s">
        <v>122</v>
      </c>
      <c r="B68" s="21" t="s">
        <v>40</v>
      </c>
      <c r="C68" s="21" t="s">
        <v>58</v>
      </c>
      <c r="D68" s="21" t="s">
        <v>66</v>
      </c>
      <c r="E68" s="21" t="s">
        <v>68</v>
      </c>
      <c r="F68" s="21" t="s">
        <v>166</v>
      </c>
      <c r="G68" s="21"/>
      <c r="H68" s="21" t="s">
        <v>129</v>
      </c>
      <c r="I68" s="21"/>
      <c r="J68" s="22" t="n">
        <v>1</v>
      </c>
      <c r="K68" s="22" t="n">
        <v>1</v>
      </c>
      <c r="L68" s="22" t="n">
        <v>0</v>
      </c>
      <c r="M68" s="21" t="s">
        <v>118</v>
      </c>
      <c r="N68" s="21"/>
      <c r="O68" s="20" t="n">
        <f aca="false">IF($N68="Exit",N($J68),0)</f>
        <v>0</v>
      </c>
      <c r="P68" s="23" t="str">
        <f aca="false">IF($F68="","",MID(IF($G68="",", career level","")&amp;IF($I68="",", nationality mandate","")&amp;IF($N68="",", capacity direction","")&amp;IF(N($J68)&lt;=0,", approved HC","")&amp;IF(AND($G68&lt;&gt;"",COUNTIF(CareerLevels,$G68)=0),", a career level that is not on the ladder",""),3,200))</f>
        <v>career level, nationality mandate, capacity direction</v>
      </c>
    </row>
    <row r="69" customFormat="false" ht="15" hidden="false" customHeight="false" outlineLevel="0" collapsed="false">
      <c r="A69" s="21" t="s">
        <v>178</v>
      </c>
      <c r="B69" s="21" t="s">
        <v>40</v>
      </c>
      <c r="C69" s="21" t="s">
        <v>58</v>
      </c>
      <c r="D69" s="21" t="s">
        <v>66</v>
      </c>
      <c r="E69" s="21" t="s">
        <v>68</v>
      </c>
      <c r="F69" s="21" t="s">
        <v>168</v>
      </c>
      <c r="G69" s="21"/>
      <c r="H69" s="21" t="s">
        <v>126</v>
      </c>
      <c r="I69" s="21"/>
      <c r="J69" s="22" t="n">
        <v>1</v>
      </c>
      <c r="K69" s="22" t="n">
        <v>1</v>
      </c>
      <c r="L69" s="22" t="n">
        <v>0</v>
      </c>
      <c r="M69" s="21" t="s">
        <v>118</v>
      </c>
      <c r="N69" s="21"/>
      <c r="O69" s="20" t="n">
        <f aca="false">IF($N69="Exit",N($J69),0)</f>
        <v>0</v>
      </c>
      <c r="P69" s="23" t="str">
        <f aca="false">IF($F69="","",MID(IF($G69="",", career level","")&amp;IF($I69="",", nationality mandate","")&amp;IF($N69="",", capacity direction","")&amp;IF(N($J69)&lt;=0,", approved HC","")&amp;IF(AND($G69&lt;&gt;"",COUNTIF(CareerLevels,$G69)=0),", a career level that is not on the ladder",""),3,200))</f>
        <v>career level, nationality mandate, capacity direction</v>
      </c>
    </row>
    <row r="70" customFormat="false" ht="15" hidden="false" customHeight="false" outlineLevel="0" collapsed="false">
      <c r="A70" s="21" t="s">
        <v>135</v>
      </c>
      <c r="B70" s="21" t="s">
        <v>40</v>
      </c>
      <c r="C70" s="21" t="s">
        <v>58</v>
      </c>
      <c r="D70" s="21" t="s">
        <v>66</v>
      </c>
      <c r="E70" s="21" t="s">
        <v>70</v>
      </c>
      <c r="F70" s="21" t="s">
        <v>169</v>
      </c>
      <c r="G70" s="21"/>
      <c r="H70" s="21" t="s">
        <v>129</v>
      </c>
      <c r="I70" s="21"/>
      <c r="J70" s="22" t="n">
        <v>1</v>
      </c>
      <c r="K70" s="22" t="n">
        <v>1</v>
      </c>
      <c r="L70" s="22" t="n">
        <v>0</v>
      </c>
      <c r="M70" s="21" t="s">
        <v>141</v>
      </c>
      <c r="N70" s="21"/>
      <c r="O70" s="20" t="n">
        <f aca="false">IF($N70="Exit",N($J70),0)</f>
        <v>0</v>
      </c>
      <c r="P70" s="23" t="str">
        <f aca="false">IF($F70="","",MID(IF($G70="",", career level","")&amp;IF($I70="",", nationality mandate","")&amp;IF($N70="",", capacity direction","")&amp;IF(N($J70)&lt;=0,", approved HC","")&amp;IF(AND($G70&lt;&gt;"",COUNTIF(CareerLevels,$G70)=0),", a career level that is not on the ladder",""),3,200))</f>
        <v>career level, nationality mandate, capacity direction</v>
      </c>
    </row>
    <row r="71" customFormat="false" ht="15" hidden="false" customHeight="false" outlineLevel="0" collapsed="false">
      <c r="A71" s="21" t="s">
        <v>179</v>
      </c>
      <c r="B71" s="21" t="s">
        <v>40</v>
      </c>
      <c r="C71" s="21" t="s">
        <v>58</v>
      </c>
      <c r="D71" s="21" t="s">
        <v>66</v>
      </c>
      <c r="E71" s="21" t="s">
        <v>70</v>
      </c>
      <c r="F71" s="21" t="s">
        <v>169</v>
      </c>
      <c r="G71" s="21"/>
      <c r="H71" s="21" t="s">
        <v>129</v>
      </c>
      <c r="I71" s="21"/>
      <c r="J71" s="22" t="n">
        <v>1</v>
      </c>
      <c r="K71" s="22" t="n">
        <v>1</v>
      </c>
      <c r="L71" s="22" t="n">
        <v>0</v>
      </c>
      <c r="M71" s="21" t="s">
        <v>118</v>
      </c>
      <c r="N71" s="21"/>
      <c r="O71" s="20" t="n">
        <f aca="false">IF($N71="Exit",N($J71),0)</f>
        <v>0</v>
      </c>
      <c r="P71" s="23" t="str">
        <f aca="false">IF($F71="","",MID(IF($G71="",", career level","")&amp;IF($I71="",", nationality mandate","")&amp;IF($N71="",", capacity direction","")&amp;IF(N($J71)&lt;=0,", approved HC","")&amp;IF(AND($G71&lt;&gt;"",COUNTIF(CareerLevels,$G71)=0),", a career level that is not on the ladder",""),3,200))</f>
        <v>career level, nationality mandate, capacity direction</v>
      </c>
    </row>
    <row r="72" customFormat="false" ht="15" hidden="false" customHeight="false" outlineLevel="0" collapsed="false">
      <c r="A72" s="21" t="s">
        <v>176</v>
      </c>
      <c r="B72" s="21" t="s">
        <v>40</v>
      </c>
      <c r="C72" s="21" t="s">
        <v>58</v>
      </c>
      <c r="D72" s="21" t="s">
        <v>66</v>
      </c>
      <c r="E72" s="21" t="s">
        <v>70</v>
      </c>
      <c r="F72" s="21" t="s">
        <v>180</v>
      </c>
      <c r="G72" s="21"/>
      <c r="H72" s="21" t="s">
        <v>129</v>
      </c>
      <c r="I72" s="21"/>
      <c r="J72" s="22" t="n">
        <v>1</v>
      </c>
      <c r="K72" s="22" t="n">
        <v>1</v>
      </c>
      <c r="L72" s="22" t="n">
        <v>0</v>
      </c>
      <c r="M72" s="21" t="s">
        <v>118</v>
      </c>
      <c r="N72" s="21"/>
      <c r="O72" s="20" t="n">
        <f aca="false">IF($N72="Exit",N($J72),0)</f>
        <v>0</v>
      </c>
      <c r="P72" s="23" t="str">
        <f aca="false">IF($F72="","",MID(IF($G72="",", career level","")&amp;IF($I72="",", nationality mandate","")&amp;IF($N72="",", capacity direction","")&amp;IF(N($J72)&lt;=0,", approved HC","")&amp;IF(AND($G72&lt;&gt;"",COUNTIF(CareerLevels,$G72)=0),", a career level that is not on the ladder",""),3,200))</f>
        <v>career level, nationality mandate, capacity direction</v>
      </c>
    </row>
    <row r="73" customFormat="false" ht="15" hidden="false" customHeight="false" outlineLevel="0" collapsed="false">
      <c r="A73" s="21" t="s">
        <v>130</v>
      </c>
      <c r="B73" s="21" t="s">
        <v>40</v>
      </c>
      <c r="C73" s="21" t="s">
        <v>58</v>
      </c>
      <c r="D73" s="21" t="s">
        <v>66</v>
      </c>
      <c r="E73" s="21" t="s">
        <v>70</v>
      </c>
      <c r="F73" s="21" t="s">
        <v>164</v>
      </c>
      <c r="G73" s="21"/>
      <c r="H73" s="21" t="s">
        <v>129</v>
      </c>
      <c r="I73" s="21"/>
      <c r="J73" s="22" t="n">
        <v>1</v>
      </c>
      <c r="K73" s="22" t="n">
        <v>1</v>
      </c>
      <c r="L73" s="22" t="n">
        <v>0</v>
      </c>
      <c r="M73" s="21" t="s">
        <v>118</v>
      </c>
      <c r="N73" s="21"/>
      <c r="O73" s="20" t="n">
        <f aca="false">IF($N73="Exit",N($J73),0)</f>
        <v>0</v>
      </c>
      <c r="P73" s="23" t="str">
        <f aca="false">IF($F73="","",MID(IF($G73="",", career level","")&amp;IF($I73="",", nationality mandate","")&amp;IF($N73="",", capacity direction","")&amp;IF(N($J73)&lt;=0,", approved HC","")&amp;IF(AND($G73&lt;&gt;"",COUNTIF(CareerLevels,$G73)=0),", a career level that is not on the ladder",""),3,200))</f>
        <v>career level, nationality mandate, capacity direction</v>
      </c>
    </row>
    <row r="74" customFormat="false" ht="15" hidden="false" customHeight="false" outlineLevel="0" collapsed="false">
      <c r="A74" s="21" t="s">
        <v>176</v>
      </c>
      <c r="B74" s="21" t="s">
        <v>40</v>
      </c>
      <c r="C74" s="21" t="s">
        <v>58</v>
      </c>
      <c r="D74" s="21" t="s">
        <v>66</v>
      </c>
      <c r="E74" s="21" t="s">
        <v>70</v>
      </c>
      <c r="F74" s="21" t="s">
        <v>166</v>
      </c>
      <c r="G74" s="21"/>
      <c r="H74" s="21" t="s">
        <v>129</v>
      </c>
      <c r="I74" s="21"/>
      <c r="J74" s="22" t="n">
        <v>1</v>
      </c>
      <c r="K74" s="22" t="n">
        <v>1</v>
      </c>
      <c r="L74" s="22" t="n">
        <v>0</v>
      </c>
      <c r="M74" s="21" t="s">
        <v>118</v>
      </c>
      <c r="N74" s="21"/>
      <c r="O74" s="20" t="n">
        <f aca="false">IF($N74="Exit",N($J74),0)</f>
        <v>0</v>
      </c>
      <c r="P74" s="23" t="str">
        <f aca="false">IF($F74="","",MID(IF($G74="",", career level","")&amp;IF($I74="",", nationality mandate","")&amp;IF($N74="",", capacity direction","")&amp;IF(N($J74)&lt;=0,", approved HC","")&amp;IF(AND($G74&lt;&gt;"",COUNTIF(CareerLevels,$G74)=0),", a career level that is not on the ladder",""),3,200))</f>
        <v>career level, nationality mandate, capacity direction</v>
      </c>
    </row>
    <row r="75" customFormat="false" ht="15" hidden="false" customHeight="false" outlineLevel="0" collapsed="false">
      <c r="A75" s="21" t="s">
        <v>175</v>
      </c>
      <c r="B75" s="21" t="s">
        <v>40</v>
      </c>
      <c r="C75" s="21" t="s">
        <v>58</v>
      </c>
      <c r="D75" s="21" t="s">
        <v>66</v>
      </c>
      <c r="E75" s="21" t="s">
        <v>70</v>
      </c>
      <c r="F75" s="21" t="s">
        <v>181</v>
      </c>
      <c r="G75" s="21"/>
      <c r="H75" s="21" t="s">
        <v>129</v>
      </c>
      <c r="I75" s="21"/>
      <c r="J75" s="22" t="n">
        <v>1</v>
      </c>
      <c r="K75" s="22" t="n">
        <v>1</v>
      </c>
      <c r="L75" s="22" t="n">
        <v>0</v>
      </c>
      <c r="M75" s="21" t="s">
        <v>118</v>
      </c>
      <c r="N75" s="21"/>
      <c r="O75" s="20" t="n">
        <f aca="false">IF($N75="Exit",N($J75),0)</f>
        <v>0</v>
      </c>
      <c r="P75" s="23" t="str">
        <f aca="false">IF($F75="","",MID(IF($G75="",", career level","")&amp;IF($I75="",", nationality mandate","")&amp;IF($N75="",", capacity direction","")&amp;IF(N($J75)&lt;=0,", approved HC","")&amp;IF(AND($G75&lt;&gt;"",COUNTIF(CareerLevels,$G75)=0),", a career level that is not on the ladder",""),3,200))</f>
        <v>career level, nationality mandate, capacity direction</v>
      </c>
    </row>
    <row r="76" customFormat="false" ht="15" hidden="false" customHeight="false" outlineLevel="0" collapsed="false">
      <c r="A76" s="21" t="s">
        <v>119</v>
      </c>
      <c r="B76" s="21" t="s">
        <v>40</v>
      </c>
      <c r="C76" s="21" t="s">
        <v>58</v>
      </c>
      <c r="D76" s="21" t="s">
        <v>66</v>
      </c>
      <c r="E76" s="21" t="s">
        <v>70</v>
      </c>
      <c r="F76" s="21" t="s">
        <v>168</v>
      </c>
      <c r="G76" s="21"/>
      <c r="H76" s="21" t="s">
        <v>126</v>
      </c>
      <c r="I76" s="21"/>
      <c r="J76" s="22" t="n">
        <v>1</v>
      </c>
      <c r="K76" s="22" t="n">
        <v>0</v>
      </c>
      <c r="L76" s="22" t="n">
        <v>1</v>
      </c>
      <c r="M76" s="21" t="s">
        <v>118</v>
      </c>
      <c r="N76" s="21"/>
      <c r="O76" s="20" t="n">
        <f aca="false">IF($N76="Exit",N($J76),0)</f>
        <v>0</v>
      </c>
      <c r="P76" s="23" t="str">
        <f aca="false">IF($F76="","",MID(IF($G76="",", career level","")&amp;IF($I76="",", nationality mandate","")&amp;IF($N76="",", capacity direction","")&amp;IF(N($J76)&lt;=0,", approved HC","")&amp;IF(AND($G76&lt;&gt;"",COUNTIF(CareerLevels,$G76)=0),", a career level that is not on the ladder",""),3,200))</f>
        <v>career level, nationality mandate, capacity direction</v>
      </c>
    </row>
    <row r="77" customFormat="false" ht="15" hidden="false" customHeight="false" outlineLevel="0" collapsed="false">
      <c r="A77" s="21" t="s">
        <v>137</v>
      </c>
      <c r="B77" s="21" t="s">
        <v>72</v>
      </c>
      <c r="C77" s="21"/>
      <c r="D77" s="21"/>
      <c r="E77" s="21"/>
      <c r="F77" s="21" t="s">
        <v>182</v>
      </c>
      <c r="G77" s="21"/>
      <c r="H77" s="21" t="s">
        <v>121</v>
      </c>
      <c r="I77" s="21"/>
      <c r="J77" s="22" t="n">
        <v>1</v>
      </c>
      <c r="K77" s="22" t="n">
        <v>1</v>
      </c>
      <c r="L77" s="22" t="n">
        <v>0</v>
      </c>
      <c r="M77" s="21" t="s">
        <v>118</v>
      </c>
      <c r="N77" s="21"/>
      <c r="O77" s="20" t="n">
        <f aca="false">IF($N77="Exit",N($J77),0)</f>
        <v>0</v>
      </c>
      <c r="P77" s="23" t="str">
        <f aca="false">IF($F77="","",MID(IF($G77="",", career level","")&amp;IF($I77="",", nationality mandate","")&amp;IF($N77="",", capacity direction","")&amp;IF(N($J77)&lt;=0,", approved HC","")&amp;IF(AND($G77&lt;&gt;"",COUNTIF(CareerLevels,$G77)=0),", a career level that is not on the ladder",""),3,200))</f>
        <v>career level, nationality mandate, capacity direction</v>
      </c>
    </row>
    <row r="78" customFormat="false" ht="15" hidden="false" customHeight="false" outlineLevel="0" collapsed="false">
      <c r="A78" s="21" t="s">
        <v>134</v>
      </c>
      <c r="B78" s="21" t="s">
        <v>72</v>
      </c>
      <c r="C78" s="21" t="s">
        <v>74</v>
      </c>
      <c r="D78" s="21"/>
      <c r="E78" s="21"/>
      <c r="F78" s="21" t="s">
        <v>183</v>
      </c>
      <c r="G78" s="21"/>
      <c r="H78" s="21" t="s">
        <v>121</v>
      </c>
      <c r="I78" s="21"/>
      <c r="J78" s="22" t="n">
        <v>1</v>
      </c>
      <c r="K78" s="22" t="n">
        <v>1</v>
      </c>
      <c r="L78" s="22" t="n">
        <v>0</v>
      </c>
      <c r="M78" s="21" t="s">
        <v>118</v>
      </c>
      <c r="N78" s="21"/>
      <c r="O78" s="20" t="n">
        <f aca="false">IF($N78="Exit",N($J78),0)</f>
        <v>0</v>
      </c>
      <c r="P78" s="23" t="str">
        <f aca="false">IF($F78="","",MID(IF($G78="",", career level","")&amp;IF($I78="",", nationality mandate","")&amp;IF($N78="",", capacity direction","")&amp;IF(N($J78)&lt;=0,", approved HC","")&amp;IF(AND($G78&lt;&gt;"",COUNTIF(CareerLevels,$G78)=0),", a career level that is not on the ladder",""),3,200))</f>
        <v>career level, nationality mandate, capacity direction</v>
      </c>
    </row>
    <row r="79" customFormat="false" ht="15" hidden="false" customHeight="false" outlineLevel="0" collapsed="false">
      <c r="A79" s="21" t="s">
        <v>140</v>
      </c>
      <c r="B79" s="21" t="s">
        <v>72</v>
      </c>
      <c r="C79" s="21" t="s">
        <v>74</v>
      </c>
      <c r="D79" s="21" t="s">
        <v>76</v>
      </c>
      <c r="E79" s="21"/>
      <c r="F79" s="21" t="s">
        <v>184</v>
      </c>
      <c r="G79" s="21"/>
      <c r="H79" s="21" t="s">
        <v>126</v>
      </c>
      <c r="I79" s="21"/>
      <c r="J79" s="22" t="n">
        <v>1</v>
      </c>
      <c r="K79" s="22" t="n">
        <v>1</v>
      </c>
      <c r="L79" s="22" t="n">
        <v>0</v>
      </c>
      <c r="M79" s="21" t="s">
        <v>118</v>
      </c>
      <c r="N79" s="21"/>
      <c r="O79" s="20" t="n">
        <f aca="false">IF($N79="Exit",N($J79),0)</f>
        <v>0</v>
      </c>
      <c r="P79" s="23" t="str">
        <f aca="false">IF($F79="","",MID(IF($G79="",", career level","")&amp;IF($I79="",", nationality mandate","")&amp;IF($N79="",", capacity direction","")&amp;IF(N($J79)&lt;=0,", approved HC","")&amp;IF(AND($G79&lt;&gt;"",COUNTIF(CareerLevels,$G79)=0),", a career level that is not on the ladder",""),3,200))</f>
        <v>career level, nationality mandate, capacity direction</v>
      </c>
    </row>
    <row r="80" customFormat="false" ht="15" hidden="false" customHeight="false" outlineLevel="0" collapsed="false">
      <c r="A80" s="21" t="s">
        <v>156</v>
      </c>
      <c r="B80" s="21" t="s">
        <v>72</v>
      </c>
      <c r="C80" s="21" t="s">
        <v>74</v>
      </c>
      <c r="D80" s="21" t="s">
        <v>76</v>
      </c>
      <c r="E80" s="21" t="s">
        <v>78</v>
      </c>
      <c r="F80" s="21" t="s">
        <v>185</v>
      </c>
      <c r="G80" s="21"/>
      <c r="H80" s="21" t="s">
        <v>129</v>
      </c>
      <c r="I80" s="21"/>
      <c r="J80" s="22" t="n">
        <v>1</v>
      </c>
      <c r="K80" s="22" t="n">
        <v>1</v>
      </c>
      <c r="L80" s="22" t="n">
        <v>0</v>
      </c>
      <c r="M80" s="21" t="s">
        <v>118</v>
      </c>
      <c r="N80" s="21"/>
      <c r="O80" s="20" t="n">
        <f aca="false">IF($N80="Exit",N($J80),0)</f>
        <v>0</v>
      </c>
      <c r="P80" s="23" t="str">
        <f aca="false">IF($F80="","",MID(IF($G80="",", career level","")&amp;IF($I80="",", nationality mandate","")&amp;IF($N80="",", capacity direction","")&amp;IF(N($J80)&lt;=0,", approved HC","")&amp;IF(AND($G80&lt;&gt;"",COUNTIF(CareerLevels,$G80)=0),", a career level that is not on the ladder",""),3,200))</f>
        <v>career level, nationality mandate, capacity direction</v>
      </c>
    </row>
    <row r="81" customFormat="false" ht="15" hidden="false" customHeight="false" outlineLevel="0" collapsed="false">
      <c r="A81" s="21" t="s">
        <v>163</v>
      </c>
      <c r="B81" s="21" t="s">
        <v>72</v>
      </c>
      <c r="C81" s="21" t="s">
        <v>74</v>
      </c>
      <c r="D81" s="21" t="s">
        <v>76</v>
      </c>
      <c r="E81" s="21" t="s">
        <v>78</v>
      </c>
      <c r="F81" s="21" t="s">
        <v>186</v>
      </c>
      <c r="G81" s="21"/>
      <c r="H81" s="21" t="s">
        <v>129</v>
      </c>
      <c r="I81" s="21"/>
      <c r="J81" s="22" t="n">
        <v>1</v>
      </c>
      <c r="K81" s="22" t="n">
        <v>1</v>
      </c>
      <c r="L81" s="22" t="n">
        <v>0</v>
      </c>
      <c r="M81" s="21" t="s">
        <v>118</v>
      </c>
      <c r="N81" s="21"/>
      <c r="O81" s="20" t="n">
        <f aca="false">IF($N81="Exit",N($J81),0)</f>
        <v>0</v>
      </c>
      <c r="P81" s="23" t="str">
        <f aca="false">IF($F81="","",MID(IF($G81="",", career level","")&amp;IF($I81="",", nationality mandate","")&amp;IF($N81="",", capacity direction","")&amp;IF(N($J81)&lt;=0,", approved HC","")&amp;IF(AND($G81&lt;&gt;"",COUNTIF(CareerLevels,$G81)=0),", a career level that is not on the ladder",""),3,200))</f>
        <v>career level, nationality mandate, capacity direction</v>
      </c>
    </row>
    <row r="82" customFormat="false" ht="15" hidden="false" customHeight="false" outlineLevel="0" collapsed="false">
      <c r="A82" s="21" t="s">
        <v>187</v>
      </c>
      <c r="B82" s="21" t="s">
        <v>72</v>
      </c>
      <c r="C82" s="21" t="s">
        <v>74</v>
      </c>
      <c r="D82" s="21" t="s">
        <v>76</v>
      </c>
      <c r="E82" s="21" t="s">
        <v>78</v>
      </c>
      <c r="F82" s="21" t="s">
        <v>188</v>
      </c>
      <c r="G82" s="21"/>
      <c r="H82" s="21" t="s">
        <v>129</v>
      </c>
      <c r="I82" s="21"/>
      <c r="J82" s="22" t="n">
        <v>1</v>
      </c>
      <c r="K82" s="22" t="n">
        <v>1</v>
      </c>
      <c r="L82" s="22" t="n">
        <v>0</v>
      </c>
      <c r="M82" s="21" t="s">
        <v>118</v>
      </c>
      <c r="N82" s="21"/>
      <c r="O82" s="20" t="n">
        <f aca="false">IF($N82="Exit",N($J82),0)</f>
        <v>0</v>
      </c>
      <c r="P82" s="23" t="str">
        <f aca="false">IF($F82="","",MID(IF($G82="",", career level","")&amp;IF($I82="",", nationality mandate","")&amp;IF($N82="",", capacity direction","")&amp;IF(N($J82)&lt;=0,", approved HC","")&amp;IF(AND($G82&lt;&gt;"",COUNTIF(CareerLevels,$G82)=0),", a career level that is not on the ladder",""),3,200))</f>
        <v>career level, nationality mandate, capacity direction</v>
      </c>
    </row>
    <row r="83" customFormat="false" ht="15" hidden="false" customHeight="false" outlineLevel="0" collapsed="false">
      <c r="A83" s="21" t="s">
        <v>189</v>
      </c>
      <c r="B83" s="21" t="s">
        <v>72</v>
      </c>
      <c r="C83" s="21" t="s">
        <v>74</v>
      </c>
      <c r="D83" s="21" t="s">
        <v>76</v>
      </c>
      <c r="E83" s="21" t="s">
        <v>78</v>
      </c>
      <c r="F83" s="21" t="s">
        <v>190</v>
      </c>
      <c r="G83" s="21"/>
      <c r="H83" s="21" t="s">
        <v>129</v>
      </c>
      <c r="I83" s="21"/>
      <c r="J83" s="22" t="n">
        <v>1</v>
      </c>
      <c r="K83" s="22" t="n">
        <v>1</v>
      </c>
      <c r="L83" s="22" t="n">
        <v>0</v>
      </c>
      <c r="M83" s="21" t="s">
        <v>118</v>
      </c>
      <c r="N83" s="21"/>
      <c r="O83" s="20" t="n">
        <f aca="false">IF($N83="Exit",N($J83),0)</f>
        <v>0</v>
      </c>
      <c r="P83" s="23" t="str">
        <f aca="false">IF($F83="","",MID(IF($G83="",", career level","")&amp;IF($I83="",", nationality mandate","")&amp;IF($N83="",", capacity direction","")&amp;IF(N($J83)&lt;=0,", approved HC","")&amp;IF(AND($G83&lt;&gt;"",COUNTIF(CareerLevels,$G83)=0),", a career level that is not on the ladder",""),3,200))</f>
        <v>career level, nationality mandate, capacity direction</v>
      </c>
    </row>
    <row r="84" customFormat="false" ht="15" hidden="false" customHeight="false" outlineLevel="0" collapsed="false">
      <c r="A84" s="21" t="s">
        <v>191</v>
      </c>
      <c r="B84" s="21" t="s">
        <v>72</v>
      </c>
      <c r="C84" s="21" t="s">
        <v>74</v>
      </c>
      <c r="D84" s="21" t="s">
        <v>76</v>
      </c>
      <c r="E84" s="21" t="s">
        <v>78</v>
      </c>
      <c r="F84" s="21" t="s">
        <v>190</v>
      </c>
      <c r="G84" s="21"/>
      <c r="H84" s="21" t="s">
        <v>129</v>
      </c>
      <c r="I84" s="21"/>
      <c r="J84" s="22" t="n">
        <v>1</v>
      </c>
      <c r="K84" s="22" t="n">
        <v>1</v>
      </c>
      <c r="L84" s="22" t="n">
        <v>0</v>
      </c>
      <c r="M84" s="21" t="s">
        <v>118</v>
      </c>
      <c r="N84" s="21"/>
      <c r="O84" s="20" t="n">
        <f aca="false">IF($N84="Exit",N($J84),0)</f>
        <v>0</v>
      </c>
      <c r="P84" s="23" t="str">
        <f aca="false">IF($F84="","",MID(IF($G84="",", career level","")&amp;IF($I84="",", nationality mandate","")&amp;IF($N84="",", capacity direction","")&amp;IF(N($J84)&lt;=0,", approved HC","")&amp;IF(AND($G84&lt;&gt;"",COUNTIF(CareerLevels,$G84)=0),", a career level that is not on the ladder",""),3,200))</f>
        <v>career level, nationality mandate, capacity direction</v>
      </c>
    </row>
    <row r="85" customFormat="false" ht="15" hidden="false" customHeight="false" outlineLevel="0" collapsed="false">
      <c r="A85" s="21" t="s">
        <v>192</v>
      </c>
      <c r="B85" s="21" t="s">
        <v>72</v>
      </c>
      <c r="C85" s="21" t="s">
        <v>74</v>
      </c>
      <c r="D85" s="21" t="s">
        <v>76</v>
      </c>
      <c r="E85" s="21" t="s">
        <v>78</v>
      </c>
      <c r="F85" s="21" t="s">
        <v>190</v>
      </c>
      <c r="G85" s="21"/>
      <c r="H85" s="21" t="s">
        <v>129</v>
      </c>
      <c r="I85" s="21"/>
      <c r="J85" s="22" t="n">
        <v>1</v>
      </c>
      <c r="K85" s="22" t="n">
        <v>1</v>
      </c>
      <c r="L85" s="22" t="n">
        <v>0</v>
      </c>
      <c r="M85" s="21" t="s">
        <v>118</v>
      </c>
      <c r="N85" s="21"/>
      <c r="O85" s="20" t="n">
        <f aca="false">IF($N85="Exit",N($J85),0)</f>
        <v>0</v>
      </c>
      <c r="P85" s="23" t="str">
        <f aca="false">IF($F85="","",MID(IF($G85="",", career level","")&amp;IF($I85="",", nationality mandate","")&amp;IF($N85="",", capacity direction","")&amp;IF(N($J85)&lt;=0,", approved HC","")&amp;IF(AND($G85&lt;&gt;"",COUNTIF(CareerLevels,$G85)=0),", a career level that is not on the ladder",""),3,200))</f>
        <v>career level, nationality mandate, capacity direction</v>
      </c>
    </row>
    <row r="86" customFormat="false" ht="15" hidden="false" customHeight="false" outlineLevel="0" collapsed="false">
      <c r="A86" s="21" t="s">
        <v>193</v>
      </c>
      <c r="B86" s="21" t="s">
        <v>72</v>
      </c>
      <c r="C86" s="21" t="s">
        <v>74</v>
      </c>
      <c r="D86" s="21" t="s">
        <v>76</v>
      </c>
      <c r="E86" s="21" t="s">
        <v>78</v>
      </c>
      <c r="F86" s="21" t="s">
        <v>190</v>
      </c>
      <c r="G86" s="21"/>
      <c r="H86" s="21" t="s">
        <v>129</v>
      </c>
      <c r="I86" s="21"/>
      <c r="J86" s="22" t="n">
        <v>1</v>
      </c>
      <c r="K86" s="22" t="n">
        <v>1</v>
      </c>
      <c r="L86" s="22" t="n">
        <v>0</v>
      </c>
      <c r="M86" s="21" t="s">
        <v>118</v>
      </c>
      <c r="N86" s="21"/>
      <c r="O86" s="20" t="n">
        <f aca="false">IF($N86="Exit",N($J86),0)</f>
        <v>0</v>
      </c>
      <c r="P86" s="23" t="str">
        <f aca="false">IF($F86="","",MID(IF($G86="",", career level","")&amp;IF($I86="",", nationality mandate","")&amp;IF($N86="",", capacity direction","")&amp;IF(N($J86)&lt;=0,", approved HC","")&amp;IF(AND($G86&lt;&gt;"",COUNTIF(CareerLevels,$G86)=0),", a career level that is not on the ladder",""),3,200))</f>
        <v>career level, nationality mandate, capacity direction</v>
      </c>
    </row>
    <row r="87" customFormat="false" ht="15" hidden="false" customHeight="false" outlineLevel="0" collapsed="false">
      <c r="A87" s="21" t="s">
        <v>122</v>
      </c>
      <c r="B87" s="21" t="s">
        <v>72</v>
      </c>
      <c r="C87" s="21" t="s">
        <v>74</v>
      </c>
      <c r="D87" s="21" t="s">
        <v>76</v>
      </c>
      <c r="E87" s="21" t="s">
        <v>78</v>
      </c>
      <c r="F87" s="21" t="s">
        <v>194</v>
      </c>
      <c r="G87" s="21"/>
      <c r="H87" s="21" t="s">
        <v>126</v>
      </c>
      <c r="I87" s="21"/>
      <c r="J87" s="22" t="n">
        <v>1</v>
      </c>
      <c r="K87" s="22" t="n">
        <v>0</v>
      </c>
      <c r="L87" s="22" t="n">
        <v>1</v>
      </c>
      <c r="M87" s="21" t="s">
        <v>118</v>
      </c>
      <c r="N87" s="21"/>
      <c r="O87" s="20" t="n">
        <f aca="false">IF($N87="Exit",N($J87),0)</f>
        <v>0</v>
      </c>
      <c r="P87" s="23" t="str">
        <f aca="false">IF($F87="","",MID(IF($G87="",", career level","")&amp;IF($I87="",", nationality mandate","")&amp;IF($N87="",", capacity direction","")&amp;IF(N($J87)&lt;=0,", approved HC","")&amp;IF(AND($G87&lt;&gt;"",COUNTIF(CareerLevels,$G87)=0),", a career level that is not on the ladder",""),3,200))</f>
        <v>career level, nationality mandate, capacity direction</v>
      </c>
    </row>
    <row r="88" customFormat="false" ht="15" hidden="false" customHeight="false" outlineLevel="0" collapsed="false">
      <c r="A88" s="21" t="s">
        <v>195</v>
      </c>
      <c r="B88" s="21" t="s">
        <v>72</v>
      </c>
      <c r="C88" s="21" t="s">
        <v>74</v>
      </c>
      <c r="D88" s="21" t="s">
        <v>76</v>
      </c>
      <c r="E88" s="21" t="s">
        <v>80</v>
      </c>
      <c r="F88" s="21" t="s">
        <v>185</v>
      </c>
      <c r="G88" s="21"/>
      <c r="H88" s="21" t="s">
        <v>129</v>
      </c>
      <c r="I88" s="21"/>
      <c r="J88" s="22" t="n">
        <v>1</v>
      </c>
      <c r="K88" s="22" t="n">
        <v>1</v>
      </c>
      <c r="L88" s="22" t="n">
        <v>0</v>
      </c>
      <c r="M88" s="21" t="s">
        <v>118</v>
      </c>
      <c r="N88" s="21"/>
      <c r="O88" s="20" t="n">
        <f aca="false">IF($N88="Exit",N($J88),0)</f>
        <v>0</v>
      </c>
      <c r="P88" s="23" t="str">
        <f aca="false">IF($F88="","",MID(IF($G88="",", career level","")&amp;IF($I88="",", nationality mandate","")&amp;IF($N88="",", capacity direction","")&amp;IF(N($J88)&lt;=0,", approved HC","")&amp;IF(AND($G88&lt;&gt;"",COUNTIF(CareerLevels,$G88)=0),", a career level that is not on the ladder",""),3,200))</f>
        <v>career level, nationality mandate, capacity direction</v>
      </c>
    </row>
    <row r="89" customFormat="false" ht="15" hidden="false" customHeight="false" outlineLevel="0" collapsed="false">
      <c r="A89" s="21" t="s">
        <v>172</v>
      </c>
      <c r="B89" s="21" t="s">
        <v>72</v>
      </c>
      <c r="C89" s="21" t="s">
        <v>74</v>
      </c>
      <c r="D89" s="21" t="s">
        <v>76</v>
      </c>
      <c r="E89" s="21" t="s">
        <v>80</v>
      </c>
      <c r="F89" s="21" t="s">
        <v>185</v>
      </c>
      <c r="G89" s="21"/>
      <c r="H89" s="21" t="s">
        <v>129</v>
      </c>
      <c r="I89" s="21"/>
      <c r="J89" s="22" t="n">
        <v>1</v>
      </c>
      <c r="K89" s="22" t="n">
        <v>1</v>
      </c>
      <c r="L89" s="22" t="n">
        <v>0</v>
      </c>
      <c r="M89" s="21" t="s">
        <v>118</v>
      </c>
      <c r="N89" s="21"/>
      <c r="O89" s="20" t="n">
        <f aca="false">IF($N89="Exit",N($J89),0)</f>
        <v>0</v>
      </c>
      <c r="P89" s="23" t="str">
        <f aca="false">IF($F89="","",MID(IF($G89="",", career level","")&amp;IF($I89="",", nationality mandate","")&amp;IF($N89="",", capacity direction","")&amp;IF(N($J89)&lt;=0,", approved HC","")&amp;IF(AND($G89&lt;&gt;"",COUNTIF(CareerLevels,$G89)=0),", a career level that is not on the ladder",""),3,200))</f>
        <v>career level, nationality mandate, capacity direction</v>
      </c>
    </row>
    <row r="90" customFormat="false" ht="15" hidden="false" customHeight="false" outlineLevel="0" collapsed="false">
      <c r="A90" s="21" t="s">
        <v>196</v>
      </c>
      <c r="B90" s="21" t="s">
        <v>72</v>
      </c>
      <c r="C90" s="21" t="s">
        <v>74</v>
      </c>
      <c r="D90" s="21" t="s">
        <v>76</v>
      </c>
      <c r="E90" s="21" t="s">
        <v>80</v>
      </c>
      <c r="F90" s="21" t="s">
        <v>188</v>
      </c>
      <c r="G90" s="21"/>
      <c r="H90" s="21" t="s">
        <v>129</v>
      </c>
      <c r="I90" s="21"/>
      <c r="J90" s="22" t="n">
        <v>1</v>
      </c>
      <c r="K90" s="22" t="n">
        <v>1</v>
      </c>
      <c r="L90" s="22" t="n">
        <v>0</v>
      </c>
      <c r="M90" s="21" t="s">
        <v>118</v>
      </c>
      <c r="N90" s="21"/>
      <c r="O90" s="20" t="n">
        <f aca="false">IF($N90="Exit",N($J90),0)</f>
        <v>0</v>
      </c>
      <c r="P90" s="23" t="str">
        <f aca="false">IF($F90="","",MID(IF($G90="",", career level","")&amp;IF($I90="",", nationality mandate","")&amp;IF($N90="",", capacity direction","")&amp;IF(N($J90)&lt;=0,", approved HC","")&amp;IF(AND($G90&lt;&gt;"",COUNTIF(CareerLevels,$G90)=0),", a career level that is not on the ladder",""),3,200))</f>
        <v>career level, nationality mandate, capacity direction</v>
      </c>
    </row>
    <row r="91" customFormat="false" ht="15" hidden="false" customHeight="false" outlineLevel="0" collapsed="false">
      <c r="A91" s="21" t="s">
        <v>177</v>
      </c>
      <c r="B91" s="21" t="s">
        <v>72</v>
      </c>
      <c r="C91" s="21" t="s">
        <v>74</v>
      </c>
      <c r="D91" s="21" t="s">
        <v>76</v>
      </c>
      <c r="E91" s="21" t="s">
        <v>80</v>
      </c>
      <c r="F91" s="21" t="s">
        <v>188</v>
      </c>
      <c r="G91" s="21"/>
      <c r="H91" s="21" t="s">
        <v>129</v>
      </c>
      <c r="I91" s="21"/>
      <c r="J91" s="22" t="n">
        <v>1</v>
      </c>
      <c r="K91" s="22" t="n">
        <v>1</v>
      </c>
      <c r="L91" s="22" t="n">
        <v>0</v>
      </c>
      <c r="M91" s="21" t="s">
        <v>118</v>
      </c>
      <c r="N91" s="21"/>
      <c r="O91" s="20" t="n">
        <f aca="false">IF($N91="Exit",N($J91),0)</f>
        <v>0</v>
      </c>
      <c r="P91" s="23" t="str">
        <f aca="false">IF($F91="","",MID(IF($G91="",", career level","")&amp;IF($I91="",", nationality mandate","")&amp;IF($N91="",", capacity direction","")&amp;IF(N($J91)&lt;=0,", approved HC","")&amp;IF(AND($G91&lt;&gt;"",COUNTIF(CareerLevels,$G91)=0),", a career level that is not on the ladder",""),3,200))</f>
        <v>career level, nationality mandate, capacity direction</v>
      </c>
    </row>
    <row r="92" customFormat="false" ht="15" hidden="false" customHeight="false" outlineLevel="0" collapsed="false">
      <c r="A92" s="21" t="s">
        <v>154</v>
      </c>
      <c r="B92" s="21" t="s">
        <v>72</v>
      </c>
      <c r="C92" s="21" t="s">
        <v>74</v>
      </c>
      <c r="D92" s="21" t="s">
        <v>76</v>
      </c>
      <c r="E92" s="21" t="s">
        <v>80</v>
      </c>
      <c r="F92" s="21" t="s">
        <v>197</v>
      </c>
      <c r="G92" s="21"/>
      <c r="H92" s="21" t="s">
        <v>129</v>
      </c>
      <c r="I92" s="21"/>
      <c r="J92" s="22" t="n">
        <v>1</v>
      </c>
      <c r="K92" s="22" t="n">
        <v>1</v>
      </c>
      <c r="L92" s="22" t="n">
        <v>0</v>
      </c>
      <c r="M92" s="21" t="s">
        <v>118</v>
      </c>
      <c r="N92" s="21"/>
      <c r="O92" s="20" t="n">
        <f aca="false">IF($N92="Exit",N($J92),0)</f>
        <v>0</v>
      </c>
      <c r="P92" s="23" t="str">
        <f aca="false">IF($F92="","",MID(IF($G92="",", career level","")&amp;IF($I92="",", nationality mandate","")&amp;IF($N92="",", capacity direction","")&amp;IF(N($J92)&lt;=0,", approved HC","")&amp;IF(AND($G92&lt;&gt;"",COUNTIF(CareerLevels,$G92)=0),", a career level that is not on the ladder",""),3,200))</f>
        <v>career level, nationality mandate, capacity direction</v>
      </c>
    </row>
    <row r="93" customFormat="false" ht="15" hidden="false" customHeight="false" outlineLevel="0" collapsed="false">
      <c r="A93" s="21" t="s">
        <v>172</v>
      </c>
      <c r="B93" s="21" t="s">
        <v>72</v>
      </c>
      <c r="C93" s="21" t="s">
        <v>74</v>
      </c>
      <c r="D93" s="21" t="s">
        <v>76</v>
      </c>
      <c r="E93" s="21" t="s">
        <v>80</v>
      </c>
      <c r="F93" s="21" t="s">
        <v>197</v>
      </c>
      <c r="G93" s="21"/>
      <c r="H93" s="21" t="s">
        <v>129</v>
      </c>
      <c r="I93" s="21"/>
      <c r="J93" s="22" t="n">
        <v>1</v>
      </c>
      <c r="K93" s="22" t="n">
        <v>1</v>
      </c>
      <c r="L93" s="22" t="n">
        <v>0</v>
      </c>
      <c r="M93" s="21" t="s">
        <v>118</v>
      </c>
      <c r="N93" s="21"/>
      <c r="O93" s="20" t="n">
        <f aca="false">IF($N93="Exit",N($J93),0)</f>
        <v>0</v>
      </c>
      <c r="P93" s="23" t="str">
        <f aca="false">IF($F93="","",MID(IF($G93="",", career level","")&amp;IF($I93="",", nationality mandate","")&amp;IF($N93="",", capacity direction","")&amp;IF(N($J93)&lt;=0,", approved HC","")&amp;IF(AND($G93&lt;&gt;"",COUNTIF(CareerLevels,$G93)=0),", a career level that is not on the ladder",""),3,200))</f>
        <v>career level, nationality mandate, capacity direction</v>
      </c>
    </row>
    <row r="94" customFormat="false" ht="15" hidden="false" customHeight="false" outlineLevel="0" collapsed="false">
      <c r="A94" s="21" t="s">
        <v>178</v>
      </c>
      <c r="B94" s="21" t="s">
        <v>72</v>
      </c>
      <c r="C94" s="21" t="s">
        <v>74</v>
      </c>
      <c r="D94" s="21" t="s">
        <v>76</v>
      </c>
      <c r="E94" s="21" t="s">
        <v>80</v>
      </c>
      <c r="F94" s="21" t="s">
        <v>194</v>
      </c>
      <c r="G94" s="21"/>
      <c r="H94" s="21" t="s">
        <v>126</v>
      </c>
      <c r="I94" s="21"/>
      <c r="J94" s="22" t="n">
        <v>1</v>
      </c>
      <c r="K94" s="22" t="n">
        <v>1</v>
      </c>
      <c r="L94" s="22" t="n">
        <v>0</v>
      </c>
      <c r="M94" s="21" t="s">
        <v>118</v>
      </c>
      <c r="N94" s="21"/>
      <c r="O94" s="20" t="n">
        <f aca="false">IF($N94="Exit",N($J94),0)</f>
        <v>0</v>
      </c>
      <c r="P94" s="23" t="str">
        <f aca="false">IF($F94="","",MID(IF($G94="",", career level","")&amp;IF($I94="",", nationality mandate","")&amp;IF($N94="",", capacity direction","")&amp;IF(N($J94)&lt;=0,", approved HC","")&amp;IF(AND($G94&lt;&gt;"",COUNTIF(CareerLevels,$G94)=0),", a career level that is not on the ladder",""),3,200))</f>
        <v>career level, nationality mandate, capacity direction</v>
      </c>
    </row>
    <row r="95" customFormat="false" ht="15" hidden="false" customHeight="false" outlineLevel="0" collapsed="false">
      <c r="A95" s="21" t="s">
        <v>132</v>
      </c>
      <c r="B95" s="21" t="s">
        <v>72</v>
      </c>
      <c r="C95" s="21" t="s">
        <v>74</v>
      </c>
      <c r="D95" s="21" t="s">
        <v>82</v>
      </c>
      <c r="E95" s="21"/>
      <c r="F95" s="21" t="s">
        <v>184</v>
      </c>
      <c r="G95" s="21"/>
      <c r="H95" s="21" t="s">
        <v>126</v>
      </c>
      <c r="I95" s="21"/>
      <c r="J95" s="22" t="n">
        <v>1</v>
      </c>
      <c r="K95" s="22" t="n">
        <v>1</v>
      </c>
      <c r="L95" s="22" t="n">
        <v>0</v>
      </c>
      <c r="M95" s="21" t="s">
        <v>118</v>
      </c>
      <c r="N95" s="21"/>
      <c r="O95" s="20" t="n">
        <f aca="false">IF($N95="Exit",N($J95),0)</f>
        <v>0</v>
      </c>
      <c r="P95" s="23" t="str">
        <f aca="false">IF($F95="","",MID(IF($G95="",", career level","")&amp;IF($I95="",", nationality mandate","")&amp;IF($N95="",", capacity direction","")&amp;IF(N($J95)&lt;=0,", approved HC","")&amp;IF(AND($G95&lt;&gt;"",COUNTIF(CareerLevels,$G95)=0),", a career level that is not on the ladder",""),3,200))</f>
        <v>career level, nationality mandate, capacity direction</v>
      </c>
    </row>
    <row r="96" customFormat="false" ht="15" hidden="false" customHeight="false" outlineLevel="0" collapsed="false">
      <c r="A96" s="21" t="s">
        <v>177</v>
      </c>
      <c r="B96" s="21" t="s">
        <v>72</v>
      </c>
      <c r="C96" s="21" t="s">
        <v>74</v>
      </c>
      <c r="D96" s="21" t="s">
        <v>82</v>
      </c>
      <c r="E96" s="21" t="s">
        <v>84</v>
      </c>
      <c r="F96" s="21" t="s">
        <v>185</v>
      </c>
      <c r="G96" s="21"/>
      <c r="H96" s="21" t="s">
        <v>129</v>
      </c>
      <c r="I96" s="21"/>
      <c r="J96" s="22" t="n">
        <v>1</v>
      </c>
      <c r="K96" s="22" t="n">
        <v>1</v>
      </c>
      <c r="L96" s="22" t="n">
        <v>0</v>
      </c>
      <c r="M96" s="21" t="s">
        <v>118</v>
      </c>
      <c r="N96" s="21"/>
      <c r="O96" s="20" t="n">
        <f aca="false">IF($N96="Exit",N($J96),0)</f>
        <v>0</v>
      </c>
      <c r="P96" s="23" t="str">
        <f aca="false">IF($F96="","",MID(IF($G96="",", career level","")&amp;IF($I96="",", nationality mandate","")&amp;IF($N96="",", capacity direction","")&amp;IF(N($J96)&lt;=0,", approved HC","")&amp;IF(AND($G96&lt;&gt;"",COUNTIF(CareerLevels,$G96)=0),", a career level that is not on the ladder",""),3,200))</f>
        <v>career level, nationality mandate, capacity direction</v>
      </c>
    </row>
    <row r="97" customFormat="false" ht="15" hidden="false" customHeight="false" outlineLevel="0" collapsed="false">
      <c r="A97" s="21" t="s">
        <v>173</v>
      </c>
      <c r="B97" s="21" t="s">
        <v>72</v>
      </c>
      <c r="C97" s="21" t="s">
        <v>74</v>
      </c>
      <c r="D97" s="21" t="s">
        <v>82</v>
      </c>
      <c r="E97" s="21" t="s">
        <v>84</v>
      </c>
      <c r="F97" s="21" t="s">
        <v>186</v>
      </c>
      <c r="G97" s="21"/>
      <c r="H97" s="21" t="s">
        <v>129</v>
      </c>
      <c r="I97" s="21"/>
      <c r="J97" s="22" t="n">
        <v>1</v>
      </c>
      <c r="K97" s="22" t="n">
        <v>0</v>
      </c>
      <c r="L97" s="22" t="n">
        <v>1</v>
      </c>
      <c r="M97" s="21" t="s">
        <v>118</v>
      </c>
      <c r="N97" s="21"/>
      <c r="O97" s="20" t="n">
        <f aca="false">IF($N97="Exit",N($J97),0)</f>
        <v>0</v>
      </c>
      <c r="P97" s="23" t="str">
        <f aca="false">IF($F97="","",MID(IF($G97="",", career level","")&amp;IF($I97="",", nationality mandate","")&amp;IF($N97="",", capacity direction","")&amp;IF(N($J97)&lt;=0,", approved HC","")&amp;IF(AND($G97&lt;&gt;"",COUNTIF(CareerLevels,$G97)=0),", a career level that is not on the ladder",""),3,200))</f>
        <v>career level, nationality mandate, capacity direction</v>
      </c>
    </row>
    <row r="98" customFormat="false" ht="15" hidden="false" customHeight="false" outlineLevel="0" collapsed="false">
      <c r="A98" s="21" t="s">
        <v>127</v>
      </c>
      <c r="B98" s="21" t="s">
        <v>72</v>
      </c>
      <c r="C98" s="21" t="s">
        <v>74</v>
      </c>
      <c r="D98" s="21" t="s">
        <v>82</v>
      </c>
      <c r="E98" s="21" t="s">
        <v>84</v>
      </c>
      <c r="F98" s="21" t="s">
        <v>186</v>
      </c>
      <c r="G98" s="21"/>
      <c r="H98" s="21" t="s">
        <v>129</v>
      </c>
      <c r="I98" s="21"/>
      <c r="J98" s="22" t="n">
        <v>1</v>
      </c>
      <c r="K98" s="22" t="n">
        <v>1</v>
      </c>
      <c r="L98" s="22" t="n">
        <v>0</v>
      </c>
      <c r="M98" s="21" t="s">
        <v>118</v>
      </c>
      <c r="N98" s="21"/>
      <c r="O98" s="20" t="n">
        <f aca="false">IF($N98="Exit",N($J98),0)</f>
        <v>0</v>
      </c>
      <c r="P98" s="23" t="str">
        <f aca="false">IF($F98="","",MID(IF($G98="",", career level","")&amp;IF($I98="",", nationality mandate","")&amp;IF($N98="",", capacity direction","")&amp;IF(N($J98)&lt;=0,", approved HC","")&amp;IF(AND($G98&lt;&gt;"",COUNTIF(CareerLevels,$G98)=0),", a career level that is not on the ladder",""),3,200))</f>
        <v>career level, nationality mandate, capacity direction</v>
      </c>
    </row>
    <row r="99" customFormat="false" ht="15" hidden="false" customHeight="false" outlineLevel="0" collapsed="false">
      <c r="A99" s="21" t="s">
        <v>172</v>
      </c>
      <c r="B99" s="21" t="s">
        <v>72</v>
      </c>
      <c r="C99" s="21" t="s">
        <v>74</v>
      </c>
      <c r="D99" s="21" t="s">
        <v>82</v>
      </c>
      <c r="E99" s="21" t="s">
        <v>84</v>
      </c>
      <c r="F99" s="21" t="s">
        <v>198</v>
      </c>
      <c r="G99" s="21"/>
      <c r="H99" s="21" t="s">
        <v>129</v>
      </c>
      <c r="I99" s="21"/>
      <c r="J99" s="22" t="n">
        <v>1</v>
      </c>
      <c r="K99" s="22" t="n">
        <v>0</v>
      </c>
      <c r="L99" s="22" t="n">
        <v>1</v>
      </c>
      <c r="M99" s="21" t="s">
        <v>118</v>
      </c>
      <c r="N99" s="21"/>
      <c r="O99" s="20" t="n">
        <f aca="false">IF($N99="Exit",N($J99),0)</f>
        <v>0</v>
      </c>
      <c r="P99" s="23" t="str">
        <f aca="false">IF($F99="","",MID(IF($G99="",", career level","")&amp;IF($I99="",", nationality mandate","")&amp;IF($N99="",", capacity direction","")&amp;IF(N($J99)&lt;=0,", approved HC","")&amp;IF(AND($G99&lt;&gt;"",COUNTIF(CareerLevels,$G99)=0),", a career level that is not on the ladder",""),3,200))</f>
        <v>career level, nationality mandate, capacity direction</v>
      </c>
    </row>
    <row r="100" customFormat="false" ht="15" hidden="false" customHeight="false" outlineLevel="0" collapsed="false">
      <c r="A100" s="21" t="s">
        <v>127</v>
      </c>
      <c r="B100" s="21" t="s">
        <v>72</v>
      </c>
      <c r="C100" s="21" t="s">
        <v>74</v>
      </c>
      <c r="D100" s="21" t="s">
        <v>82</v>
      </c>
      <c r="E100" s="21" t="s">
        <v>84</v>
      </c>
      <c r="F100" s="21" t="s">
        <v>198</v>
      </c>
      <c r="G100" s="21"/>
      <c r="H100" s="21" t="s">
        <v>129</v>
      </c>
      <c r="I100" s="21"/>
      <c r="J100" s="22" t="n">
        <v>1</v>
      </c>
      <c r="K100" s="22" t="n">
        <v>0</v>
      </c>
      <c r="L100" s="22" t="n">
        <v>1</v>
      </c>
      <c r="M100" s="21" t="s">
        <v>118</v>
      </c>
      <c r="N100" s="21"/>
      <c r="O100" s="20" t="n">
        <f aca="false">IF($N100="Exit",N($J100),0)</f>
        <v>0</v>
      </c>
      <c r="P100" s="23" t="str">
        <f aca="false">IF($F100="","",MID(IF($G100="",", career level","")&amp;IF($I100="",", nationality mandate","")&amp;IF($N100="",", capacity direction","")&amp;IF(N($J100)&lt;=0,", approved HC","")&amp;IF(AND($G100&lt;&gt;"",COUNTIF(CareerLevels,$G100)=0),", a career level that is not on the ladder",""),3,200))</f>
        <v>career level, nationality mandate, capacity direction</v>
      </c>
    </row>
    <row r="101" customFormat="false" ht="15" hidden="false" customHeight="false" outlineLevel="0" collapsed="false">
      <c r="A101" s="21" t="s">
        <v>196</v>
      </c>
      <c r="B101" s="21" t="s">
        <v>72</v>
      </c>
      <c r="C101" s="21" t="s">
        <v>74</v>
      </c>
      <c r="D101" s="21" t="s">
        <v>82</v>
      </c>
      <c r="E101" s="21" t="s">
        <v>84</v>
      </c>
      <c r="F101" s="21" t="s">
        <v>188</v>
      </c>
      <c r="G101" s="21"/>
      <c r="H101" s="21" t="s">
        <v>129</v>
      </c>
      <c r="I101" s="21"/>
      <c r="J101" s="22" t="n">
        <v>1</v>
      </c>
      <c r="K101" s="22" t="n">
        <v>1</v>
      </c>
      <c r="L101" s="22" t="n">
        <v>0</v>
      </c>
      <c r="M101" s="21" t="s">
        <v>118</v>
      </c>
      <c r="N101" s="21"/>
      <c r="O101" s="20" t="n">
        <f aca="false">IF($N101="Exit",N($J101),0)</f>
        <v>0</v>
      </c>
      <c r="P101" s="23" t="str">
        <f aca="false">IF($F101="","",MID(IF($G101="",", career level","")&amp;IF($I101="",", nationality mandate","")&amp;IF($N101="",", capacity direction","")&amp;IF(N($J101)&lt;=0,", approved HC","")&amp;IF(AND($G101&lt;&gt;"",COUNTIF(CareerLevels,$G101)=0),", a career level that is not on the ladder",""),3,200))</f>
        <v>career level, nationality mandate, capacity direction</v>
      </c>
    </row>
    <row r="102" customFormat="false" ht="15" hidden="false" customHeight="false" outlineLevel="0" collapsed="false">
      <c r="A102" s="21" t="s">
        <v>199</v>
      </c>
      <c r="B102" s="21" t="s">
        <v>72</v>
      </c>
      <c r="C102" s="21" t="s">
        <v>74</v>
      </c>
      <c r="D102" s="21" t="s">
        <v>82</v>
      </c>
      <c r="E102" s="21" t="s">
        <v>84</v>
      </c>
      <c r="F102" s="21" t="s">
        <v>188</v>
      </c>
      <c r="G102" s="21"/>
      <c r="H102" s="21" t="s">
        <v>129</v>
      </c>
      <c r="I102" s="21"/>
      <c r="J102" s="22" t="n">
        <v>1</v>
      </c>
      <c r="K102" s="22" t="n">
        <v>1</v>
      </c>
      <c r="L102" s="22" t="n">
        <v>0</v>
      </c>
      <c r="M102" s="21" t="s">
        <v>118</v>
      </c>
      <c r="N102" s="21"/>
      <c r="O102" s="20" t="n">
        <f aca="false">IF($N102="Exit",N($J102),0)</f>
        <v>0</v>
      </c>
      <c r="P102" s="23" t="str">
        <f aca="false">IF($F102="","",MID(IF($G102="",", career level","")&amp;IF($I102="",", nationality mandate","")&amp;IF($N102="",", capacity direction","")&amp;IF(N($J102)&lt;=0,", approved HC","")&amp;IF(AND($G102&lt;&gt;"",COUNTIF(CareerLevels,$G102)=0),", a career level that is not on the ladder",""),3,200))</f>
        <v>career level, nationality mandate, capacity direction</v>
      </c>
    </row>
    <row r="103" customFormat="false" ht="15" hidden="false" customHeight="false" outlineLevel="0" collapsed="false">
      <c r="A103" s="21" t="s">
        <v>200</v>
      </c>
      <c r="B103" s="21" t="s">
        <v>72</v>
      </c>
      <c r="C103" s="21" t="s">
        <v>74</v>
      </c>
      <c r="D103" s="21" t="s">
        <v>82</v>
      </c>
      <c r="E103" s="21" t="s">
        <v>84</v>
      </c>
      <c r="F103" s="21" t="s">
        <v>197</v>
      </c>
      <c r="G103" s="21"/>
      <c r="H103" s="21" t="s">
        <v>129</v>
      </c>
      <c r="I103" s="21"/>
      <c r="J103" s="22" t="n">
        <v>1</v>
      </c>
      <c r="K103" s="22" t="n">
        <v>1</v>
      </c>
      <c r="L103" s="22" t="n">
        <v>0</v>
      </c>
      <c r="M103" s="21" t="s">
        <v>118</v>
      </c>
      <c r="N103" s="21"/>
      <c r="O103" s="20" t="n">
        <f aca="false">IF($N103="Exit",N($J103),0)</f>
        <v>0</v>
      </c>
      <c r="P103" s="23" t="str">
        <f aca="false">IF($F103="","",MID(IF($G103="",", career level","")&amp;IF($I103="",", nationality mandate","")&amp;IF($N103="",", capacity direction","")&amp;IF(N($J103)&lt;=0,", approved HC","")&amp;IF(AND($G103&lt;&gt;"",COUNTIF(CareerLevels,$G103)=0),", a career level that is not on the ladder",""),3,200))</f>
        <v>career level, nationality mandate, capacity direction</v>
      </c>
    </row>
    <row r="104" customFormat="false" ht="15" hidden="false" customHeight="false" outlineLevel="0" collapsed="false">
      <c r="A104" s="21" t="s">
        <v>135</v>
      </c>
      <c r="B104" s="21" t="s">
        <v>72</v>
      </c>
      <c r="C104" s="21" t="s">
        <v>74</v>
      </c>
      <c r="D104" s="21" t="s">
        <v>82</v>
      </c>
      <c r="E104" s="21" t="s">
        <v>84</v>
      </c>
      <c r="F104" s="21" t="s">
        <v>197</v>
      </c>
      <c r="G104" s="21"/>
      <c r="H104" s="21" t="s">
        <v>129</v>
      </c>
      <c r="I104" s="21"/>
      <c r="J104" s="22" t="n">
        <v>1</v>
      </c>
      <c r="K104" s="22" t="n">
        <v>1</v>
      </c>
      <c r="L104" s="22" t="n">
        <v>0</v>
      </c>
      <c r="M104" s="21" t="s">
        <v>118</v>
      </c>
      <c r="N104" s="21"/>
      <c r="O104" s="20" t="n">
        <f aca="false">IF($N104="Exit",N($J104),0)</f>
        <v>0</v>
      </c>
      <c r="P104" s="23" t="str">
        <f aca="false">IF($F104="","",MID(IF($G104="",", career level","")&amp;IF($I104="",", nationality mandate","")&amp;IF($N104="",", capacity direction","")&amp;IF(N($J104)&lt;=0,", approved HC","")&amp;IF(AND($G104&lt;&gt;"",COUNTIF(CareerLevels,$G104)=0),", a career level that is not on the ladder",""),3,200))</f>
        <v>career level, nationality mandate, capacity direction</v>
      </c>
    </row>
    <row r="105" customFormat="false" ht="15" hidden="false" customHeight="false" outlineLevel="0" collapsed="false">
      <c r="A105" s="21" t="s">
        <v>155</v>
      </c>
      <c r="B105" s="21" t="s">
        <v>72</v>
      </c>
      <c r="C105" s="21" t="s">
        <v>74</v>
      </c>
      <c r="D105" s="21" t="s">
        <v>82</v>
      </c>
      <c r="E105" s="21" t="s">
        <v>84</v>
      </c>
      <c r="F105" s="21" t="s">
        <v>194</v>
      </c>
      <c r="G105" s="21"/>
      <c r="H105" s="21" t="s">
        <v>126</v>
      </c>
      <c r="I105" s="21"/>
      <c r="J105" s="22" t="n">
        <v>1</v>
      </c>
      <c r="K105" s="22" t="n">
        <v>1</v>
      </c>
      <c r="L105" s="22" t="n">
        <v>0</v>
      </c>
      <c r="M105" s="21" t="s">
        <v>118</v>
      </c>
      <c r="N105" s="21"/>
      <c r="O105" s="20" t="n">
        <f aca="false">IF($N105="Exit",N($J105),0)</f>
        <v>0</v>
      </c>
      <c r="P105" s="23" t="str">
        <f aca="false">IF($F105="","",MID(IF($G105="",", career level","")&amp;IF($I105="",", nationality mandate","")&amp;IF($N105="",", capacity direction","")&amp;IF(N($J105)&lt;=0,", approved HC","")&amp;IF(AND($G105&lt;&gt;"",COUNTIF(CareerLevels,$G105)=0),", a career level that is not on the ladder",""),3,200))</f>
        <v>career level, nationality mandate, capacity direction</v>
      </c>
    </row>
    <row r="106" customFormat="false" ht="15" hidden="false" customHeight="false" outlineLevel="0" collapsed="false">
      <c r="A106" s="21" t="s">
        <v>201</v>
      </c>
      <c r="B106" s="21" t="s">
        <v>72</v>
      </c>
      <c r="C106" s="21" t="s">
        <v>74</v>
      </c>
      <c r="D106" s="21" t="s">
        <v>82</v>
      </c>
      <c r="E106" s="21" t="s">
        <v>86</v>
      </c>
      <c r="F106" s="21" t="s">
        <v>185</v>
      </c>
      <c r="G106" s="21"/>
      <c r="H106" s="21" t="s">
        <v>129</v>
      </c>
      <c r="I106" s="21"/>
      <c r="J106" s="22" t="n">
        <v>1</v>
      </c>
      <c r="K106" s="22" t="n">
        <v>1</v>
      </c>
      <c r="L106" s="22" t="n">
        <v>0</v>
      </c>
      <c r="M106" s="21" t="s">
        <v>118</v>
      </c>
      <c r="N106" s="21"/>
      <c r="O106" s="20" t="n">
        <f aca="false">IF($N106="Exit",N($J106),0)</f>
        <v>0</v>
      </c>
      <c r="P106" s="23" t="str">
        <f aca="false">IF($F106="","",MID(IF($G106="",", career level","")&amp;IF($I106="",", nationality mandate","")&amp;IF($N106="",", capacity direction","")&amp;IF(N($J106)&lt;=0,", approved HC","")&amp;IF(AND($G106&lt;&gt;"",COUNTIF(CareerLevels,$G106)=0),", a career level that is not on the ladder",""),3,200))</f>
        <v>career level, nationality mandate, capacity direction</v>
      </c>
    </row>
    <row r="107" customFormat="false" ht="15" hidden="false" customHeight="false" outlineLevel="0" collapsed="false">
      <c r="A107" s="21" t="s">
        <v>172</v>
      </c>
      <c r="B107" s="21" t="s">
        <v>72</v>
      </c>
      <c r="C107" s="21" t="s">
        <v>74</v>
      </c>
      <c r="D107" s="21" t="s">
        <v>82</v>
      </c>
      <c r="E107" s="21" t="s">
        <v>86</v>
      </c>
      <c r="F107" s="21" t="s">
        <v>185</v>
      </c>
      <c r="G107" s="21"/>
      <c r="H107" s="21" t="s">
        <v>129</v>
      </c>
      <c r="I107" s="21"/>
      <c r="J107" s="22" t="n">
        <v>1</v>
      </c>
      <c r="K107" s="22" t="n">
        <v>1</v>
      </c>
      <c r="L107" s="22" t="n">
        <v>0</v>
      </c>
      <c r="M107" s="21" t="s">
        <v>118</v>
      </c>
      <c r="N107" s="21"/>
      <c r="O107" s="20" t="n">
        <f aca="false">IF($N107="Exit",N($J107),0)</f>
        <v>0</v>
      </c>
      <c r="P107" s="23" t="str">
        <f aca="false">IF($F107="","",MID(IF($G107="",", career level","")&amp;IF($I107="",", nationality mandate","")&amp;IF($N107="",", capacity direction","")&amp;IF(N($J107)&lt;=0,", approved HC","")&amp;IF(AND($G107&lt;&gt;"",COUNTIF(CareerLevels,$G107)=0),", a career level that is not on the ladder",""),3,200))</f>
        <v>career level, nationality mandate, capacity direction</v>
      </c>
    </row>
    <row r="108" customFormat="false" ht="15" hidden="false" customHeight="false" outlineLevel="0" collapsed="false">
      <c r="A108" s="21" t="s">
        <v>195</v>
      </c>
      <c r="B108" s="21" t="s">
        <v>72</v>
      </c>
      <c r="C108" s="21" t="s">
        <v>74</v>
      </c>
      <c r="D108" s="21" t="s">
        <v>82</v>
      </c>
      <c r="E108" s="21" t="s">
        <v>86</v>
      </c>
      <c r="F108" s="21" t="s">
        <v>186</v>
      </c>
      <c r="G108" s="21"/>
      <c r="H108" s="21" t="s">
        <v>129</v>
      </c>
      <c r="I108" s="21"/>
      <c r="J108" s="22" t="n">
        <v>1</v>
      </c>
      <c r="K108" s="22" t="n">
        <v>1</v>
      </c>
      <c r="L108" s="22" t="n">
        <v>0</v>
      </c>
      <c r="M108" s="21" t="s">
        <v>118</v>
      </c>
      <c r="N108" s="21"/>
      <c r="O108" s="20" t="n">
        <f aca="false">IF($N108="Exit",N($J108),0)</f>
        <v>0</v>
      </c>
      <c r="P108" s="23" t="str">
        <f aca="false">IF($F108="","",MID(IF($G108="",", career level","")&amp;IF($I108="",", nationality mandate","")&amp;IF($N108="",", capacity direction","")&amp;IF(N($J108)&lt;=0,", approved HC","")&amp;IF(AND($G108&lt;&gt;"",COUNTIF(CareerLevels,$G108)=0),", a career level that is not on the ladder",""),3,200))</f>
        <v>career level, nationality mandate, capacity direction</v>
      </c>
    </row>
    <row r="109" customFormat="false" ht="15" hidden="false" customHeight="false" outlineLevel="0" collapsed="false">
      <c r="A109" s="21" t="s">
        <v>162</v>
      </c>
      <c r="B109" s="21" t="s">
        <v>72</v>
      </c>
      <c r="C109" s="21" t="s">
        <v>74</v>
      </c>
      <c r="D109" s="21" t="s">
        <v>82</v>
      </c>
      <c r="E109" s="21" t="s">
        <v>86</v>
      </c>
      <c r="F109" s="21" t="s">
        <v>188</v>
      </c>
      <c r="G109" s="21"/>
      <c r="H109" s="21" t="s">
        <v>129</v>
      </c>
      <c r="I109" s="21"/>
      <c r="J109" s="22" t="n">
        <v>1</v>
      </c>
      <c r="K109" s="22" t="n">
        <v>1</v>
      </c>
      <c r="L109" s="22" t="n">
        <v>0</v>
      </c>
      <c r="M109" s="21" t="s">
        <v>118</v>
      </c>
      <c r="N109" s="21"/>
      <c r="O109" s="20" t="n">
        <f aca="false">IF($N109="Exit",N($J109),0)</f>
        <v>0</v>
      </c>
      <c r="P109" s="23" t="str">
        <f aca="false">IF($F109="","",MID(IF($G109="",", career level","")&amp;IF($I109="",", nationality mandate","")&amp;IF($N109="",", capacity direction","")&amp;IF(N($J109)&lt;=0,", approved HC","")&amp;IF(AND($G109&lt;&gt;"",COUNTIF(CareerLevels,$G109)=0),", a career level that is not on the ladder",""),3,200))</f>
        <v>career level, nationality mandate, capacity direction</v>
      </c>
    </row>
    <row r="110" customFormat="false" ht="15" hidden="false" customHeight="false" outlineLevel="0" collapsed="false">
      <c r="A110" s="21" t="s">
        <v>173</v>
      </c>
      <c r="B110" s="21" t="s">
        <v>72</v>
      </c>
      <c r="C110" s="21" t="s">
        <v>74</v>
      </c>
      <c r="D110" s="21" t="s">
        <v>82</v>
      </c>
      <c r="E110" s="21" t="s">
        <v>86</v>
      </c>
      <c r="F110" s="21" t="s">
        <v>188</v>
      </c>
      <c r="G110" s="21"/>
      <c r="H110" s="21" t="s">
        <v>129</v>
      </c>
      <c r="I110" s="21"/>
      <c r="J110" s="22" t="n">
        <v>1</v>
      </c>
      <c r="K110" s="22" t="n">
        <v>1</v>
      </c>
      <c r="L110" s="22" t="n">
        <v>0</v>
      </c>
      <c r="M110" s="21" t="s">
        <v>141</v>
      </c>
      <c r="N110" s="21"/>
      <c r="O110" s="20" t="n">
        <f aca="false">IF($N110="Exit",N($J110),0)</f>
        <v>0</v>
      </c>
      <c r="P110" s="23" t="str">
        <f aca="false">IF($F110="","",MID(IF($G110="",", career level","")&amp;IF($I110="",", nationality mandate","")&amp;IF($N110="",", capacity direction","")&amp;IF(N($J110)&lt;=0,", approved HC","")&amp;IF(AND($G110&lt;&gt;"",COUNTIF(CareerLevels,$G110)=0),", a career level that is not on the ladder",""),3,200))</f>
        <v>career level, nationality mandate, capacity direction</v>
      </c>
    </row>
    <row r="111" customFormat="false" ht="15" hidden="false" customHeight="false" outlineLevel="0" collapsed="false">
      <c r="A111" s="21" t="s">
        <v>162</v>
      </c>
      <c r="B111" s="21" t="s">
        <v>72</v>
      </c>
      <c r="C111" s="21" t="s">
        <v>74</v>
      </c>
      <c r="D111" s="21" t="s">
        <v>82</v>
      </c>
      <c r="E111" s="21" t="s">
        <v>86</v>
      </c>
      <c r="F111" s="21" t="s">
        <v>190</v>
      </c>
      <c r="G111" s="21"/>
      <c r="H111" s="21" t="s">
        <v>129</v>
      </c>
      <c r="I111" s="21"/>
      <c r="J111" s="22" t="n">
        <v>1</v>
      </c>
      <c r="K111" s="22" t="n">
        <v>1</v>
      </c>
      <c r="L111" s="22" t="n">
        <v>0</v>
      </c>
      <c r="M111" s="21" t="s">
        <v>118</v>
      </c>
      <c r="N111" s="21"/>
      <c r="O111" s="20" t="n">
        <f aca="false">IF($N111="Exit",N($J111),0)</f>
        <v>0</v>
      </c>
      <c r="P111" s="23" t="str">
        <f aca="false">IF($F111="","",MID(IF($G111="",", career level","")&amp;IF($I111="",", nationality mandate","")&amp;IF($N111="",", capacity direction","")&amp;IF(N($J111)&lt;=0,", approved HC","")&amp;IF(AND($G111&lt;&gt;"",COUNTIF(CareerLevels,$G111)=0),", a career level that is not on the ladder",""),3,200))</f>
        <v>career level, nationality mandate, capacity direction</v>
      </c>
    </row>
    <row r="112" customFormat="false" ht="15" hidden="false" customHeight="false" outlineLevel="0" collapsed="false">
      <c r="A112" s="21" t="s">
        <v>148</v>
      </c>
      <c r="B112" s="21" t="s">
        <v>72</v>
      </c>
      <c r="C112" s="21" t="s">
        <v>74</v>
      </c>
      <c r="D112" s="21" t="s">
        <v>82</v>
      </c>
      <c r="E112" s="21" t="s">
        <v>86</v>
      </c>
      <c r="F112" s="21" t="s">
        <v>190</v>
      </c>
      <c r="G112" s="21"/>
      <c r="H112" s="21" t="s">
        <v>129</v>
      </c>
      <c r="I112" s="21"/>
      <c r="J112" s="22" t="n">
        <v>1</v>
      </c>
      <c r="K112" s="22" t="n">
        <v>1</v>
      </c>
      <c r="L112" s="22" t="n">
        <v>0</v>
      </c>
      <c r="M112" s="21" t="s">
        <v>118</v>
      </c>
      <c r="N112" s="21"/>
      <c r="O112" s="20" t="n">
        <f aca="false">IF($N112="Exit",N($J112),0)</f>
        <v>0</v>
      </c>
      <c r="P112" s="23" t="str">
        <f aca="false">IF($F112="","",MID(IF($G112="",", career level","")&amp;IF($I112="",", nationality mandate","")&amp;IF($N112="",", capacity direction","")&amp;IF(N($J112)&lt;=0,", approved HC","")&amp;IF(AND($G112&lt;&gt;"",COUNTIF(CareerLevels,$G112)=0),", a career level that is not on the ladder",""),3,200))</f>
        <v>career level, nationality mandate, capacity direction</v>
      </c>
    </row>
    <row r="113" customFormat="false" ht="15" hidden="false" customHeight="false" outlineLevel="0" collapsed="false">
      <c r="A113" s="21" t="s">
        <v>189</v>
      </c>
      <c r="B113" s="21" t="s">
        <v>72</v>
      </c>
      <c r="C113" s="21" t="s">
        <v>74</v>
      </c>
      <c r="D113" s="21" t="s">
        <v>82</v>
      </c>
      <c r="E113" s="21" t="s">
        <v>86</v>
      </c>
      <c r="F113" s="21" t="s">
        <v>194</v>
      </c>
      <c r="G113" s="21"/>
      <c r="H113" s="21" t="s">
        <v>126</v>
      </c>
      <c r="I113" s="21"/>
      <c r="J113" s="22" t="n">
        <v>1</v>
      </c>
      <c r="K113" s="22" t="n">
        <v>1</v>
      </c>
      <c r="L113" s="22" t="n">
        <v>0</v>
      </c>
      <c r="M113" s="21" t="s">
        <v>118</v>
      </c>
      <c r="N113" s="21"/>
      <c r="O113" s="20" t="n">
        <f aca="false">IF($N113="Exit",N($J113),0)</f>
        <v>0</v>
      </c>
      <c r="P113" s="23" t="str">
        <f aca="false">IF($F113="","",MID(IF($G113="",", career level","")&amp;IF($I113="",", nationality mandate","")&amp;IF($N113="",", capacity direction","")&amp;IF(N($J113)&lt;=0,", approved HC","")&amp;IF(AND($G113&lt;&gt;"",COUNTIF(CareerLevels,$G113)=0),", a career level that is not on the ladder",""),3,200))</f>
        <v>career level, nationality mandate, capacity direction</v>
      </c>
    </row>
    <row r="114" customFormat="false" ht="15" hidden="false" customHeight="false" outlineLevel="0" collapsed="false">
      <c r="A114" s="21" t="s">
        <v>127</v>
      </c>
      <c r="B114" s="21" t="s">
        <v>72</v>
      </c>
      <c r="C114" s="21" t="s">
        <v>88</v>
      </c>
      <c r="D114" s="21"/>
      <c r="E114" s="21"/>
      <c r="F114" s="21" t="s">
        <v>202</v>
      </c>
      <c r="G114" s="21"/>
      <c r="H114" s="21" t="s">
        <v>121</v>
      </c>
      <c r="I114" s="21"/>
      <c r="J114" s="22" t="n">
        <v>1</v>
      </c>
      <c r="K114" s="22" t="n">
        <v>1</v>
      </c>
      <c r="L114" s="22" t="n">
        <v>0</v>
      </c>
      <c r="M114" s="21" t="s">
        <v>118</v>
      </c>
      <c r="N114" s="21"/>
      <c r="O114" s="20" t="n">
        <f aca="false">IF($N114="Exit",N($J114),0)</f>
        <v>0</v>
      </c>
      <c r="P114" s="23" t="str">
        <f aca="false">IF($F114="","",MID(IF($G114="",", career level","")&amp;IF($I114="",", nationality mandate","")&amp;IF($N114="",", capacity direction","")&amp;IF(N($J114)&lt;=0,", approved HC","")&amp;IF(AND($G114&lt;&gt;"",COUNTIF(CareerLevels,$G114)=0),", a career level that is not on the ladder",""),3,200))</f>
        <v>career level, nationality mandate, capacity direction</v>
      </c>
    </row>
    <row r="115" customFormat="false" ht="15" hidden="false" customHeight="false" outlineLevel="0" collapsed="false">
      <c r="A115" s="21" t="s">
        <v>199</v>
      </c>
      <c r="B115" s="21" t="s">
        <v>72</v>
      </c>
      <c r="C115" s="21" t="s">
        <v>88</v>
      </c>
      <c r="D115" s="21" t="s">
        <v>90</v>
      </c>
      <c r="E115" s="21"/>
      <c r="F115" s="21" t="s">
        <v>203</v>
      </c>
      <c r="G115" s="21"/>
      <c r="H115" s="21" t="s">
        <v>126</v>
      </c>
      <c r="I115" s="21"/>
      <c r="J115" s="22" t="n">
        <v>1</v>
      </c>
      <c r="K115" s="22" t="n">
        <v>1</v>
      </c>
      <c r="L115" s="22" t="n">
        <v>0</v>
      </c>
      <c r="M115" s="21" t="s">
        <v>118</v>
      </c>
      <c r="N115" s="21"/>
      <c r="O115" s="20" t="n">
        <f aca="false">IF($N115="Exit",N($J115),0)</f>
        <v>0</v>
      </c>
      <c r="P115" s="23" t="str">
        <f aca="false">IF($F115="","",MID(IF($G115="",", career level","")&amp;IF($I115="",", nationality mandate","")&amp;IF($N115="",", capacity direction","")&amp;IF(N($J115)&lt;=0,", approved HC","")&amp;IF(AND($G115&lt;&gt;"",COUNTIF(CareerLevels,$G115)=0),", a career level that is not on the ladder",""),3,200))</f>
        <v>career level, nationality mandate, capacity direction</v>
      </c>
    </row>
    <row r="116" customFormat="false" ht="15" hidden="false" customHeight="false" outlineLevel="0" collapsed="false">
      <c r="A116" s="21" t="s">
        <v>172</v>
      </c>
      <c r="B116" s="21" t="s">
        <v>72</v>
      </c>
      <c r="C116" s="21" t="s">
        <v>88</v>
      </c>
      <c r="D116" s="21" t="s">
        <v>90</v>
      </c>
      <c r="E116" s="21" t="s">
        <v>92</v>
      </c>
      <c r="F116" s="21" t="s">
        <v>204</v>
      </c>
      <c r="G116" s="21"/>
      <c r="H116" s="21" t="s">
        <v>129</v>
      </c>
      <c r="I116" s="21"/>
      <c r="J116" s="22" t="n">
        <v>1</v>
      </c>
      <c r="K116" s="22" t="n">
        <v>1</v>
      </c>
      <c r="L116" s="22" t="n">
        <v>0</v>
      </c>
      <c r="M116" s="21" t="s">
        <v>118</v>
      </c>
      <c r="N116" s="21"/>
      <c r="O116" s="20" t="n">
        <f aca="false">IF($N116="Exit",N($J116),0)</f>
        <v>0</v>
      </c>
      <c r="P116" s="23" t="str">
        <f aca="false">IF($F116="","",MID(IF($G116="",", career level","")&amp;IF($I116="",", nationality mandate","")&amp;IF($N116="",", capacity direction","")&amp;IF(N($J116)&lt;=0,", approved HC","")&amp;IF(AND($G116&lt;&gt;"",COUNTIF(CareerLevels,$G116)=0),", a career level that is not on the ladder",""),3,200))</f>
        <v>career level, nationality mandate, capacity direction</v>
      </c>
    </row>
    <row r="117" customFormat="false" ht="15" hidden="false" customHeight="false" outlineLevel="0" collapsed="false">
      <c r="A117" s="21" t="s">
        <v>174</v>
      </c>
      <c r="B117" s="21" t="s">
        <v>72</v>
      </c>
      <c r="C117" s="21" t="s">
        <v>88</v>
      </c>
      <c r="D117" s="21" t="s">
        <v>90</v>
      </c>
      <c r="E117" s="21" t="s">
        <v>92</v>
      </c>
      <c r="F117" s="21" t="s">
        <v>204</v>
      </c>
      <c r="G117" s="21"/>
      <c r="H117" s="21" t="s">
        <v>129</v>
      </c>
      <c r="I117" s="21"/>
      <c r="J117" s="22" t="n">
        <v>1</v>
      </c>
      <c r="K117" s="22" t="n">
        <v>1</v>
      </c>
      <c r="L117" s="22" t="n">
        <v>0</v>
      </c>
      <c r="M117" s="21" t="s">
        <v>118</v>
      </c>
      <c r="N117" s="21"/>
      <c r="O117" s="20" t="n">
        <f aca="false">IF($N117="Exit",N($J117),0)</f>
        <v>0</v>
      </c>
      <c r="P117" s="23" t="str">
        <f aca="false">IF($F117="","",MID(IF($G117="",", career level","")&amp;IF($I117="",", nationality mandate","")&amp;IF($N117="",", capacity direction","")&amp;IF(N($J117)&lt;=0,", approved HC","")&amp;IF(AND($G117&lt;&gt;"",COUNTIF(CareerLevels,$G117)=0),", a career level that is not on the ladder",""),3,200))</f>
        <v>career level, nationality mandate, capacity direction</v>
      </c>
    </row>
    <row r="118" customFormat="false" ht="15" hidden="false" customHeight="false" outlineLevel="0" collapsed="false">
      <c r="A118" s="21" t="s">
        <v>163</v>
      </c>
      <c r="B118" s="21" t="s">
        <v>72</v>
      </c>
      <c r="C118" s="21" t="s">
        <v>88</v>
      </c>
      <c r="D118" s="21" t="s">
        <v>90</v>
      </c>
      <c r="E118" s="21" t="s">
        <v>92</v>
      </c>
      <c r="F118" s="21" t="s">
        <v>204</v>
      </c>
      <c r="G118" s="21"/>
      <c r="H118" s="21" t="s">
        <v>129</v>
      </c>
      <c r="I118" s="21"/>
      <c r="J118" s="22" t="n">
        <v>1</v>
      </c>
      <c r="K118" s="22" t="n">
        <v>1</v>
      </c>
      <c r="L118" s="22" t="n">
        <v>0</v>
      </c>
      <c r="M118" s="21" t="s">
        <v>118</v>
      </c>
      <c r="N118" s="21"/>
      <c r="O118" s="20" t="n">
        <f aca="false">IF($N118="Exit",N($J118),0)</f>
        <v>0</v>
      </c>
      <c r="P118" s="23" t="str">
        <f aca="false">IF($F118="","",MID(IF($G118="",", career level","")&amp;IF($I118="",", nationality mandate","")&amp;IF($N118="",", capacity direction","")&amp;IF(N($J118)&lt;=0,", approved HC","")&amp;IF(AND($G118&lt;&gt;"",COUNTIF(CareerLevels,$G118)=0),", a career level that is not on the ladder",""),3,200))</f>
        <v>career level, nationality mandate, capacity direction</v>
      </c>
    </row>
    <row r="119" customFormat="false" ht="15" hidden="false" customHeight="false" outlineLevel="0" collapsed="false">
      <c r="A119" s="21" t="s">
        <v>167</v>
      </c>
      <c r="B119" s="21" t="s">
        <v>72</v>
      </c>
      <c r="C119" s="21" t="s">
        <v>88</v>
      </c>
      <c r="D119" s="21" t="s">
        <v>90</v>
      </c>
      <c r="E119" s="21" t="s">
        <v>92</v>
      </c>
      <c r="F119" s="21" t="s">
        <v>205</v>
      </c>
      <c r="G119" s="21"/>
      <c r="H119" s="21" t="s">
        <v>129</v>
      </c>
      <c r="I119" s="21"/>
      <c r="J119" s="22" t="n">
        <v>1</v>
      </c>
      <c r="K119" s="22" t="n">
        <v>0</v>
      </c>
      <c r="L119" s="22" t="n">
        <v>1</v>
      </c>
      <c r="M119" s="21" t="s">
        <v>118</v>
      </c>
      <c r="N119" s="21"/>
      <c r="O119" s="20" t="n">
        <f aca="false">IF($N119="Exit",N($J119),0)</f>
        <v>0</v>
      </c>
      <c r="P119" s="23" t="str">
        <f aca="false">IF($F119="","",MID(IF($G119="",", career level","")&amp;IF($I119="",", nationality mandate","")&amp;IF($N119="",", capacity direction","")&amp;IF(N($J119)&lt;=0,", approved HC","")&amp;IF(AND($G119&lt;&gt;"",COUNTIF(CareerLevels,$G119)=0),", a career level that is not on the ladder",""),3,200))</f>
        <v>career level, nationality mandate, capacity direction</v>
      </c>
    </row>
    <row r="120" customFormat="false" ht="15" hidden="false" customHeight="false" outlineLevel="0" collapsed="false">
      <c r="A120" s="21" t="s">
        <v>206</v>
      </c>
      <c r="B120" s="21" t="s">
        <v>72</v>
      </c>
      <c r="C120" s="21" t="s">
        <v>88</v>
      </c>
      <c r="D120" s="21" t="s">
        <v>90</v>
      </c>
      <c r="E120" s="21" t="s">
        <v>92</v>
      </c>
      <c r="F120" s="21" t="s">
        <v>205</v>
      </c>
      <c r="G120" s="21"/>
      <c r="H120" s="21" t="s">
        <v>129</v>
      </c>
      <c r="I120" s="21"/>
      <c r="J120" s="22" t="n">
        <v>1</v>
      </c>
      <c r="K120" s="22" t="n">
        <v>1</v>
      </c>
      <c r="L120" s="22" t="n">
        <v>0</v>
      </c>
      <c r="M120" s="21" t="s">
        <v>118</v>
      </c>
      <c r="N120" s="21"/>
      <c r="O120" s="20" t="n">
        <f aca="false">IF($N120="Exit",N($J120),0)</f>
        <v>0</v>
      </c>
      <c r="P120" s="23" t="str">
        <f aca="false">IF($F120="","",MID(IF($G120="",", career level","")&amp;IF($I120="",", nationality mandate","")&amp;IF($N120="",", capacity direction","")&amp;IF(N($J120)&lt;=0,", approved HC","")&amp;IF(AND($G120&lt;&gt;"",COUNTIF(CareerLevels,$G120)=0),", a career level that is not on the ladder",""),3,200))</f>
        <v>career level, nationality mandate, capacity direction</v>
      </c>
    </row>
    <row r="121" customFormat="false" ht="15" hidden="false" customHeight="false" outlineLevel="0" collapsed="false">
      <c r="A121" s="21" t="s">
        <v>191</v>
      </c>
      <c r="B121" s="21" t="s">
        <v>72</v>
      </c>
      <c r="C121" s="21" t="s">
        <v>88</v>
      </c>
      <c r="D121" s="21" t="s">
        <v>90</v>
      </c>
      <c r="E121" s="21" t="s">
        <v>92</v>
      </c>
      <c r="F121" s="21" t="s">
        <v>207</v>
      </c>
      <c r="G121" s="21"/>
      <c r="H121" s="21" t="s">
        <v>126</v>
      </c>
      <c r="I121" s="21"/>
      <c r="J121" s="22" t="n">
        <v>1</v>
      </c>
      <c r="K121" s="22" t="n">
        <v>1</v>
      </c>
      <c r="L121" s="22" t="n">
        <v>0</v>
      </c>
      <c r="M121" s="21" t="s">
        <v>118</v>
      </c>
      <c r="N121" s="21"/>
      <c r="O121" s="20" t="n">
        <f aca="false">IF($N121="Exit",N($J121),0)</f>
        <v>0</v>
      </c>
      <c r="P121" s="23" t="str">
        <f aca="false">IF($F121="","",MID(IF($G121="",", career level","")&amp;IF($I121="",", nationality mandate","")&amp;IF($N121="",", capacity direction","")&amp;IF(N($J121)&lt;=0,", approved HC","")&amp;IF(AND($G121&lt;&gt;"",COUNTIF(CareerLevels,$G121)=0),", a career level that is not on the ladder",""),3,200))</f>
        <v>career level, nationality mandate, capacity direction</v>
      </c>
    </row>
    <row r="122" customFormat="false" ht="15" hidden="false" customHeight="false" outlineLevel="0" collapsed="false">
      <c r="A122" s="21" t="s">
        <v>143</v>
      </c>
      <c r="B122" s="21" t="s">
        <v>72</v>
      </c>
      <c r="C122" s="21" t="s">
        <v>88</v>
      </c>
      <c r="D122" s="21" t="s">
        <v>90</v>
      </c>
      <c r="E122" s="21" t="s">
        <v>94</v>
      </c>
      <c r="F122" s="21" t="s">
        <v>204</v>
      </c>
      <c r="G122" s="21"/>
      <c r="H122" s="21" t="s">
        <v>129</v>
      </c>
      <c r="I122" s="21"/>
      <c r="J122" s="22" t="n">
        <v>1</v>
      </c>
      <c r="K122" s="22" t="n">
        <v>1</v>
      </c>
      <c r="L122" s="22" t="n">
        <v>0</v>
      </c>
      <c r="M122" s="21" t="s">
        <v>118</v>
      </c>
      <c r="N122" s="21"/>
      <c r="O122" s="20" t="n">
        <f aca="false">IF($N122="Exit",N($J122),0)</f>
        <v>0</v>
      </c>
      <c r="P122" s="23" t="str">
        <f aca="false">IF($F122="","",MID(IF($G122="",", career level","")&amp;IF($I122="",", nationality mandate","")&amp;IF($N122="",", capacity direction","")&amp;IF(N($J122)&lt;=0,", approved HC","")&amp;IF(AND($G122&lt;&gt;"",COUNTIF(CareerLevels,$G122)=0),", a career level that is not on the ladder",""),3,200))</f>
        <v>career level, nationality mandate, capacity direction</v>
      </c>
    </row>
    <row r="123" customFormat="false" ht="15" hidden="false" customHeight="false" outlineLevel="0" collapsed="false">
      <c r="A123" s="21" t="s">
        <v>196</v>
      </c>
      <c r="B123" s="21" t="s">
        <v>72</v>
      </c>
      <c r="C123" s="21" t="s">
        <v>88</v>
      </c>
      <c r="D123" s="21" t="s">
        <v>90</v>
      </c>
      <c r="E123" s="21" t="s">
        <v>94</v>
      </c>
      <c r="F123" s="21" t="s">
        <v>204</v>
      </c>
      <c r="G123" s="21"/>
      <c r="H123" s="21" t="s">
        <v>129</v>
      </c>
      <c r="I123" s="21"/>
      <c r="J123" s="22" t="n">
        <v>1</v>
      </c>
      <c r="K123" s="22" t="n">
        <v>1</v>
      </c>
      <c r="L123" s="22" t="n">
        <v>0</v>
      </c>
      <c r="M123" s="21" t="s">
        <v>118</v>
      </c>
      <c r="N123" s="21"/>
      <c r="O123" s="20" t="n">
        <f aca="false">IF($N123="Exit",N($J123),0)</f>
        <v>0</v>
      </c>
      <c r="P123" s="23" t="str">
        <f aca="false">IF($F123="","",MID(IF($G123="",", career level","")&amp;IF($I123="",", nationality mandate","")&amp;IF($N123="",", capacity direction","")&amp;IF(N($J123)&lt;=0,", approved HC","")&amp;IF(AND($G123&lt;&gt;"",COUNTIF(CareerLevels,$G123)=0),", a career level that is not on the ladder",""),3,200))</f>
        <v>career level, nationality mandate, capacity direction</v>
      </c>
    </row>
    <row r="124" customFormat="false" ht="15" hidden="false" customHeight="false" outlineLevel="0" collapsed="false">
      <c r="A124" s="21" t="s">
        <v>208</v>
      </c>
      <c r="B124" s="21" t="s">
        <v>72</v>
      </c>
      <c r="C124" s="21" t="s">
        <v>88</v>
      </c>
      <c r="D124" s="21" t="s">
        <v>90</v>
      </c>
      <c r="E124" s="21" t="s">
        <v>94</v>
      </c>
      <c r="F124" s="21" t="s">
        <v>205</v>
      </c>
      <c r="G124" s="21"/>
      <c r="H124" s="21" t="s">
        <v>129</v>
      </c>
      <c r="I124" s="21"/>
      <c r="J124" s="22" t="n">
        <v>1</v>
      </c>
      <c r="K124" s="22" t="n">
        <v>1</v>
      </c>
      <c r="L124" s="22" t="n">
        <v>0</v>
      </c>
      <c r="M124" s="21" t="s">
        <v>118</v>
      </c>
      <c r="N124" s="21"/>
      <c r="O124" s="20" t="n">
        <f aca="false">IF($N124="Exit",N($J124),0)</f>
        <v>0</v>
      </c>
      <c r="P124" s="23" t="str">
        <f aca="false">IF($F124="","",MID(IF($G124="",", career level","")&amp;IF($I124="",", nationality mandate","")&amp;IF($N124="",", capacity direction","")&amp;IF(N($J124)&lt;=0,", approved HC","")&amp;IF(AND($G124&lt;&gt;"",COUNTIF(CareerLevels,$G124)=0),", a career level that is not on the ladder",""),3,200))</f>
        <v>career level, nationality mandate, capacity direction</v>
      </c>
    </row>
    <row r="125" customFormat="false" ht="15" hidden="false" customHeight="false" outlineLevel="0" collapsed="false">
      <c r="A125" s="21" t="s">
        <v>167</v>
      </c>
      <c r="B125" s="21" t="s">
        <v>72</v>
      </c>
      <c r="C125" s="21" t="s">
        <v>88</v>
      </c>
      <c r="D125" s="21" t="s">
        <v>90</v>
      </c>
      <c r="E125" s="21" t="s">
        <v>94</v>
      </c>
      <c r="F125" s="21" t="s">
        <v>205</v>
      </c>
      <c r="G125" s="21"/>
      <c r="H125" s="21" t="s">
        <v>129</v>
      </c>
      <c r="I125" s="21"/>
      <c r="J125" s="22" t="n">
        <v>1</v>
      </c>
      <c r="K125" s="22" t="n">
        <v>1</v>
      </c>
      <c r="L125" s="22" t="n">
        <v>0</v>
      </c>
      <c r="M125" s="21" t="s">
        <v>118</v>
      </c>
      <c r="N125" s="21"/>
      <c r="O125" s="20" t="n">
        <f aca="false">IF($N125="Exit",N($J125),0)</f>
        <v>0</v>
      </c>
      <c r="P125" s="23" t="str">
        <f aca="false">IF($F125="","",MID(IF($G125="",", career level","")&amp;IF($I125="",", nationality mandate","")&amp;IF($N125="",", capacity direction","")&amp;IF(N($J125)&lt;=0,", approved HC","")&amp;IF(AND($G125&lt;&gt;"",COUNTIF(CareerLevels,$G125)=0),", a career level that is not on the ladder",""),3,200))</f>
        <v>career level, nationality mandate, capacity direction</v>
      </c>
    </row>
    <row r="126" customFormat="false" ht="15" hidden="false" customHeight="false" outlineLevel="0" collapsed="false">
      <c r="A126" s="21" t="s">
        <v>151</v>
      </c>
      <c r="B126" s="21" t="s">
        <v>72</v>
      </c>
      <c r="C126" s="21" t="s">
        <v>88</v>
      </c>
      <c r="D126" s="21" t="s">
        <v>90</v>
      </c>
      <c r="E126" s="21" t="s">
        <v>94</v>
      </c>
      <c r="F126" s="21" t="s">
        <v>209</v>
      </c>
      <c r="G126" s="21"/>
      <c r="H126" s="21" t="s">
        <v>129</v>
      </c>
      <c r="I126" s="21"/>
      <c r="J126" s="22" t="n">
        <v>1</v>
      </c>
      <c r="K126" s="22" t="n">
        <v>1</v>
      </c>
      <c r="L126" s="22" t="n">
        <v>0</v>
      </c>
      <c r="M126" s="21" t="s">
        <v>118</v>
      </c>
      <c r="N126" s="21"/>
      <c r="O126" s="20" t="n">
        <f aca="false">IF($N126="Exit",N($J126),0)</f>
        <v>0</v>
      </c>
      <c r="P126" s="23" t="str">
        <f aca="false">IF($F126="","",MID(IF($G126="",", career level","")&amp;IF($I126="",", nationality mandate","")&amp;IF($N126="",", capacity direction","")&amp;IF(N($J126)&lt;=0,", approved HC","")&amp;IF(AND($G126&lt;&gt;"",COUNTIF(CareerLevels,$G126)=0),", a career level that is not on the ladder",""),3,200))</f>
        <v>career level, nationality mandate, capacity direction</v>
      </c>
    </row>
    <row r="127" customFormat="false" ht="15" hidden="false" customHeight="false" outlineLevel="0" collapsed="false">
      <c r="A127" s="21" t="s">
        <v>210</v>
      </c>
      <c r="B127" s="21" t="s">
        <v>72</v>
      </c>
      <c r="C127" s="21" t="s">
        <v>88</v>
      </c>
      <c r="D127" s="21" t="s">
        <v>90</v>
      </c>
      <c r="E127" s="21" t="s">
        <v>94</v>
      </c>
      <c r="F127" s="21" t="s">
        <v>207</v>
      </c>
      <c r="G127" s="21"/>
      <c r="H127" s="21" t="s">
        <v>126</v>
      </c>
      <c r="I127" s="21"/>
      <c r="J127" s="22" t="n">
        <v>1</v>
      </c>
      <c r="K127" s="22" t="n">
        <v>1</v>
      </c>
      <c r="L127" s="22" t="n">
        <v>0</v>
      </c>
      <c r="M127" s="21" t="s">
        <v>118</v>
      </c>
      <c r="N127" s="21"/>
      <c r="O127" s="20" t="n">
        <f aca="false">IF($N127="Exit",N($J127),0)</f>
        <v>0</v>
      </c>
      <c r="P127" s="23" t="str">
        <f aca="false">IF($F127="","",MID(IF($G127="",", career level","")&amp;IF($I127="",", nationality mandate","")&amp;IF($N127="",", capacity direction","")&amp;IF(N($J127)&lt;=0,", approved HC","")&amp;IF(AND($G127&lt;&gt;"",COUNTIF(CareerLevels,$G127)=0),", a career level that is not on the ladder",""),3,200))</f>
        <v>career level, nationality mandate, capacity direction</v>
      </c>
    </row>
    <row r="128" customFormat="false" ht="15" hidden="false" customHeight="false" outlineLevel="0" collapsed="false">
      <c r="A128" s="21" t="s">
        <v>155</v>
      </c>
      <c r="B128" s="21" t="s">
        <v>72</v>
      </c>
      <c r="C128" s="21" t="s">
        <v>88</v>
      </c>
      <c r="D128" s="21" t="s">
        <v>96</v>
      </c>
      <c r="E128" s="21"/>
      <c r="F128" s="21" t="s">
        <v>203</v>
      </c>
      <c r="G128" s="21"/>
      <c r="H128" s="21" t="s">
        <v>126</v>
      </c>
      <c r="I128" s="21"/>
      <c r="J128" s="22" t="n">
        <v>1</v>
      </c>
      <c r="K128" s="22" t="n">
        <v>1</v>
      </c>
      <c r="L128" s="22" t="n">
        <v>0</v>
      </c>
      <c r="M128" s="21" t="s">
        <v>118</v>
      </c>
      <c r="N128" s="21"/>
      <c r="O128" s="20" t="n">
        <f aca="false">IF($N128="Exit",N($J128),0)</f>
        <v>0</v>
      </c>
      <c r="P128" s="23" t="str">
        <f aca="false">IF($F128="","",MID(IF($G128="",", career level","")&amp;IF($I128="",", nationality mandate","")&amp;IF($N128="",", capacity direction","")&amp;IF(N($J128)&lt;=0,", approved HC","")&amp;IF(AND($G128&lt;&gt;"",COUNTIF(CareerLevels,$G128)=0),", a career level that is not on the ladder",""),3,200))</f>
        <v>career level, nationality mandate, capacity direction</v>
      </c>
    </row>
    <row r="129" customFormat="false" ht="15" hidden="false" customHeight="false" outlineLevel="0" collapsed="false">
      <c r="A129" s="21" t="s">
        <v>211</v>
      </c>
      <c r="B129" s="21" t="s">
        <v>72</v>
      </c>
      <c r="C129" s="21" t="s">
        <v>88</v>
      </c>
      <c r="D129" s="21" t="s">
        <v>96</v>
      </c>
      <c r="E129" s="21" t="s">
        <v>98</v>
      </c>
      <c r="F129" s="21" t="s">
        <v>204</v>
      </c>
      <c r="G129" s="21"/>
      <c r="H129" s="21" t="s">
        <v>129</v>
      </c>
      <c r="I129" s="21"/>
      <c r="J129" s="22" t="n">
        <v>1</v>
      </c>
      <c r="K129" s="22" t="n">
        <v>1</v>
      </c>
      <c r="L129" s="22" t="n">
        <v>0</v>
      </c>
      <c r="M129" s="21" t="s">
        <v>118</v>
      </c>
      <c r="N129" s="21"/>
      <c r="O129" s="20" t="n">
        <f aca="false">IF($N129="Exit",N($J129),0)</f>
        <v>0</v>
      </c>
      <c r="P129" s="23" t="str">
        <f aca="false">IF($F129="","",MID(IF($G129="",", career level","")&amp;IF($I129="",", nationality mandate","")&amp;IF($N129="",", capacity direction","")&amp;IF(N($J129)&lt;=0,", approved HC","")&amp;IF(AND($G129&lt;&gt;"",COUNTIF(CareerLevels,$G129)=0),", a career level that is not on the ladder",""),3,200))</f>
        <v>career level, nationality mandate, capacity direction</v>
      </c>
    </row>
    <row r="130" customFormat="false" ht="15" hidden="false" customHeight="false" outlineLevel="0" collapsed="false">
      <c r="A130" s="21" t="s">
        <v>212</v>
      </c>
      <c r="B130" s="21" t="s">
        <v>72</v>
      </c>
      <c r="C130" s="21" t="s">
        <v>88</v>
      </c>
      <c r="D130" s="21" t="s">
        <v>96</v>
      </c>
      <c r="E130" s="21" t="s">
        <v>98</v>
      </c>
      <c r="F130" s="21" t="s">
        <v>205</v>
      </c>
      <c r="G130" s="21"/>
      <c r="H130" s="21" t="s">
        <v>129</v>
      </c>
      <c r="I130" s="21"/>
      <c r="J130" s="22" t="n">
        <v>1</v>
      </c>
      <c r="K130" s="22" t="n">
        <v>1</v>
      </c>
      <c r="L130" s="22" t="n">
        <v>0</v>
      </c>
      <c r="M130" s="21" t="s">
        <v>118</v>
      </c>
      <c r="N130" s="21"/>
      <c r="O130" s="20" t="n">
        <f aca="false">IF($N130="Exit",N($J130),0)</f>
        <v>0</v>
      </c>
      <c r="P130" s="23" t="str">
        <f aca="false">IF($F130="","",MID(IF($G130="",", career level","")&amp;IF($I130="",", nationality mandate","")&amp;IF($N130="",", capacity direction","")&amp;IF(N($J130)&lt;=0,", approved HC","")&amp;IF(AND($G130&lt;&gt;"",COUNTIF(CareerLevels,$G130)=0),", a career level that is not on the ladder",""),3,200))</f>
        <v>career level, nationality mandate, capacity direction</v>
      </c>
    </row>
    <row r="131" customFormat="false" ht="15" hidden="false" customHeight="false" outlineLevel="0" collapsed="false">
      <c r="A131" s="21" t="s">
        <v>195</v>
      </c>
      <c r="B131" s="21" t="s">
        <v>72</v>
      </c>
      <c r="C131" s="21" t="s">
        <v>88</v>
      </c>
      <c r="D131" s="21" t="s">
        <v>96</v>
      </c>
      <c r="E131" s="21" t="s">
        <v>98</v>
      </c>
      <c r="F131" s="21" t="s">
        <v>205</v>
      </c>
      <c r="G131" s="21"/>
      <c r="H131" s="21" t="s">
        <v>129</v>
      </c>
      <c r="I131" s="21"/>
      <c r="J131" s="22" t="n">
        <v>1</v>
      </c>
      <c r="K131" s="22" t="n">
        <v>1</v>
      </c>
      <c r="L131" s="22" t="n">
        <v>0</v>
      </c>
      <c r="M131" s="21" t="s">
        <v>118</v>
      </c>
      <c r="N131" s="21"/>
      <c r="O131" s="20" t="n">
        <f aca="false">IF($N131="Exit",N($J131),0)</f>
        <v>0</v>
      </c>
      <c r="P131" s="23" t="str">
        <f aca="false">IF($F131="","",MID(IF($G131="",", career level","")&amp;IF($I131="",", nationality mandate","")&amp;IF($N131="",", capacity direction","")&amp;IF(N($J131)&lt;=0,", approved HC","")&amp;IF(AND($G131&lt;&gt;"",COUNTIF(CareerLevels,$G131)=0),", a career level that is not on the ladder",""),3,200))</f>
        <v>career level, nationality mandate, capacity direction</v>
      </c>
    </row>
    <row r="132" customFormat="false" ht="15" hidden="false" customHeight="false" outlineLevel="0" collapsed="false">
      <c r="A132" s="21" t="s">
        <v>163</v>
      </c>
      <c r="B132" s="21" t="s">
        <v>72</v>
      </c>
      <c r="C132" s="21" t="s">
        <v>88</v>
      </c>
      <c r="D132" s="21" t="s">
        <v>96</v>
      </c>
      <c r="E132" s="21" t="s">
        <v>98</v>
      </c>
      <c r="F132" s="21" t="s">
        <v>213</v>
      </c>
      <c r="G132" s="21"/>
      <c r="H132" s="21" t="s">
        <v>129</v>
      </c>
      <c r="I132" s="21"/>
      <c r="J132" s="22" t="n">
        <v>1</v>
      </c>
      <c r="K132" s="22" t="n">
        <v>1</v>
      </c>
      <c r="L132" s="22" t="n">
        <v>0</v>
      </c>
      <c r="M132" s="21" t="s">
        <v>118</v>
      </c>
      <c r="N132" s="21"/>
      <c r="O132" s="20" t="n">
        <f aca="false">IF($N132="Exit",N($J132),0)</f>
        <v>0</v>
      </c>
      <c r="P132" s="23" t="str">
        <f aca="false">IF($F132="","",MID(IF($G132="",", career level","")&amp;IF($I132="",", nationality mandate","")&amp;IF($N132="",", capacity direction","")&amp;IF(N($J132)&lt;=0,", approved HC","")&amp;IF(AND($G132&lt;&gt;"",COUNTIF(CareerLevels,$G132)=0),", a career level that is not on the ladder",""),3,200))</f>
        <v>career level, nationality mandate, capacity direction</v>
      </c>
    </row>
    <row r="133" customFormat="false" ht="15" hidden="false" customHeight="false" outlineLevel="0" collapsed="false">
      <c r="A133" s="21" t="s">
        <v>214</v>
      </c>
      <c r="B133" s="21" t="s">
        <v>72</v>
      </c>
      <c r="C133" s="21" t="s">
        <v>88</v>
      </c>
      <c r="D133" s="21" t="s">
        <v>96</v>
      </c>
      <c r="E133" s="21" t="s">
        <v>98</v>
      </c>
      <c r="F133" s="21" t="s">
        <v>215</v>
      </c>
      <c r="G133" s="21"/>
      <c r="H133" s="21" t="s">
        <v>129</v>
      </c>
      <c r="I133" s="21"/>
      <c r="J133" s="22" t="n">
        <v>1</v>
      </c>
      <c r="K133" s="22" t="n">
        <v>1</v>
      </c>
      <c r="L133" s="22" t="n">
        <v>0</v>
      </c>
      <c r="M133" s="21" t="s">
        <v>118</v>
      </c>
      <c r="N133" s="21"/>
      <c r="O133" s="20" t="n">
        <f aca="false">IF($N133="Exit",N($J133),0)</f>
        <v>0</v>
      </c>
      <c r="P133" s="23" t="str">
        <f aca="false">IF($F133="","",MID(IF($G133="",", career level","")&amp;IF($I133="",", nationality mandate","")&amp;IF($N133="",", capacity direction","")&amp;IF(N($J133)&lt;=0,", approved HC","")&amp;IF(AND($G133&lt;&gt;"",COUNTIF(CareerLevels,$G133)=0),", a career level that is not on the ladder",""),3,200))</f>
        <v>career level, nationality mandate, capacity direction</v>
      </c>
    </row>
    <row r="134" customFormat="false" ht="15" hidden="false" customHeight="false" outlineLevel="0" collapsed="false">
      <c r="A134" s="21" t="s">
        <v>172</v>
      </c>
      <c r="B134" s="21" t="s">
        <v>72</v>
      </c>
      <c r="C134" s="21" t="s">
        <v>88</v>
      </c>
      <c r="D134" s="21" t="s">
        <v>96</v>
      </c>
      <c r="E134" s="21" t="s">
        <v>98</v>
      </c>
      <c r="F134" s="21" t="s">
        <v>215</v>
      </c>
      <c r="G134" s="21"/>
      <c r="H134" s="21" t="s">
        <v>129</v>
      </c>
      <c r="I134" s="21"/>
      <c r="J134" s="22" t="n">
        <v>1</v>
      </c>
      <c r="K134" s="22" t="n">
        <v>1</v>
      </c>
      <c r="L134" s="22" t="n">
        <v>0</v>
      </c>
      <c r="M134" s="21" t="s">
        <v>118</v>
      </c>
      <c r="N134" s="21"/>
      <c r="O134" s="20" t="n">
        <f aca="false">IF($N134="Exit",N($J134),0)</f>
        <v>0</v>
      </c>
      <c r="P134" s="23" t="str">
        <f aca="false">IF($F134="","",MID(IF($G134="",", career level","")&amp;IF($I134="",", nationality mandate","")&amp;IF($N134="",", capacity direction","")&amp;IF(N($J134)&lt;=0,", approved HC","")&amp;IF(AND($G134&lt;&gt;"",COUNTIF(CareerLevels,$G134)=0),", a career level that is not on the ladder",""),3,200))</f>
        <v>career level, nationality mandate, capacity direction</v>
      </c>
    </row>
    <row r="135" customFormat="false" ht="15" hidden="false" customHeight="false" outlineLevel="0" collapsed="false">
      <c r="A135" s="21" t="s">
        <v>216</v>
      </c>
      <c r="B135" s="21" t="s">
        <v>72</v>
      </c>
      <c r="C135" s="21" t="s">
        <v>88</v>
      </c>
      <c r="D135" s="21" t="s">
        <v>96</v>
      </c>
      <c r="E135" s="21" t="s">
        <v>98</v>
      </c>
      <c r="F135" s="21" t="s">
        <v>209</v>
      </c>
      <c r="G135" s="21"/>
      <c r="H135" s="21" t="s">
        <v>129</v>
      </c>
      <c r="I135" s="21"/>
      <c r="J135" s="22" t="n">
        <v>1</v>
      </c>
      <c r="K135" s="22" t="n">
        <v>1</v>
      </c>
      <c r="L135" s="22" t="n">
        <v>0</v>
      </c>
      <c r="M135" s="21" t="s">
        <v>118</v>
      </c>
      <c r="N135" s="21"/>
      <c r="O135" s="20" t="n">
        <f aca="false">IF($N135="Exit",N($J135),0)</f>
        <v>0</v>
      </c>
      <c r="P135" s="23" t="str">
        <f aca="false">IF($F135="","",MID(IF($G135="",", career level","")&amp;IF($I135="",", nationality mandate","")&amp;IF($N135="",", capacity direction","")&amp;IF(N($J135)&lt;=0,", approved HC","")&amp;IF(AND($G135&lt;&gt;"",COUNTIF(CareerLevels,$G135)=0),", a career level that is not on the ladder",""),3,200))</f>
        <v>career level, nationality mandate, capacity direction</v>
      </c>
    </row>
    <row r="136" customFormat="false" ht="15" hidden="false" customHeight="false" outlineLevel="0" collapsed="false">
      <c r="A136" s="21" t="s">
        <v>189</v>
      </c>
      <c r="B136" s="21" t="s">
        <v>72</v>
      </c>
      <c r="C136" s="21" t="s">
        <v>88</v>
      </c>
      <c r="D136" s="21" t="s">
        <v>96</v>
      </c>
      <c r="E136" s="21" t="s">
        <v>98</v>
      </c>
      <c r="F136" s="21" t="s">
        <v>207</v>
      </c>
      <c r="G136" s="21"/>
      <c r="H136" s="21" t="s">
        <v>126</v>
      </c>
      <c r="I136" s="21"/>
      <c r="J136" s="22" t="n">
        <v>1</v>
      </c>
      <c r="K136" s="22" t="n">
        <v>1</v>
      </c>
      <c r="L136" s="22" t="n">
        <v>0</v>
      </c>
      <c r="M136" s="21" t="s">
        <v>118</v>
      </c>
      <c r="N136" s="21"/>
      <c r="O136" s="20" t="n">
        <f aca="false">IF($N136="Exit",N($J136),0)</f>
        <v>0</v>
      </c>
      <c r="P136" s="23" t="str">
        <f aca="false">IF($F136="","",MID(IF($G136="",", career level","")&amp;IF($I136="",", nationality mandate","")&amp;IF($N136="",", capacity direction","")&amp;IF(N($J136)&lt;=0,", approved HC","")&amp;IF(AND($G136&lt;&gt;"",COUNTIF(CareerLevels,$G136)=0),", a career level that is not on the ladder",""),3,200))</f>
        <v>career level, nationality mandate, capacity direction</v>
      </c>
    </row>
    <row r="137" customFormat="false" ht="15" hidden="false" customHeight="false" outlineLevel="0" collapsed="false">
      <c r="A137" s="21" t="s">
        <v>151</v>
      </c>
      <c r="B137" s="21" t="s">
        <v>72</v>
      </c>
      <c r="C137" s="21" t="s">
        <v>88</v>
      </c>
      <c r="D137" s="21" t="s">
        <v>96</v>
      </c>
      <c r="E137" s="21" t="s">
        <v>100</v>
      </c>
      <c r="F137" s="21" t="s">
        <v>204</v>
      </c>
      <c r="G137" s="21"/>
      <c r="H137" s="21" t="s">
        <v>129</v>
      </c>
      <c r="I137" s="21"/>
      <c r="J137" s="22" t="n">
        <v>1</v>
      </c>
      <c r="K137" s="22" t="n">
        <v>1</v>
      </c>
      <c r="L137" s="22" t="n">
        <v>0</v>
      </c>
      <c r="M137" s="21" t="s">
        <v>118</v>
      </c>
      <c r="N137" s="21"/>
      <c r="O137" s="20" t="n">
        <f aca="false">IF($N137="Exit",N($J137),0)</f>
        <v>0</v>
      </c>
      <c r="P137" s="23" t="str">
        <f aca="false">IF($F137="","",MID(IF($G137="",", career level","")&amp;IF($I137="",", nationality mandate","")&amp;IF($N137="",", capacity direction","")&amp;IF(N($J137)&lt;=0,", approved HC","")&amp;IF(AND($G137&lt;&gt;"",COUNTIF(CareerLevels,$G137)=0),", a career level that is not on the ladder",""),3,200))</f>
        <v>career level, nationality mandate, capacity direction</v>
      </c>
    </row>
    <row r="138" customFormat="false" ht="15" hidden="false" customHeight="false" outlineLevel="0" collapsed="false">
      <c r="A138" s="21" t="s">
        <v>174</v>
      </c>
      <c r="B138" s="21" t="s">
        <v>72</v>
      </c>
      <c r="C138" s="21" t="s">
        <v>88</v>
      </c>
      <c r="D138" s="21" t="s">
        <v>96</v>
      </c>
      <c r="E138" s="21" t="s">
        <v>100</v>
      </c>
      <c r="F138" s="21" t="s">
        <v>204</v>
      </c>
      <c r="G138" s="21"/>
      <c r="H138" s="21" t="s">
        <v>129</v>
      </c>
      <c r="I138" s="21"/>
      <c r="J138" s="22" t="n">
        <v>1</v>
      </c>
      <c r="K138" s="22" t="n">
        <v>1</v>
      </c>
      <c r="L138" s="22" t="n">
        <v>0</v>
      </c>
      <c r="M138" s="21" t="s">
        <v>118</v>
      </c>
      <c r="N138" s="21"/>
      <c r="O138" s="20" t="n">
        <f aca="false">IF($N138="Exit",N($J138),0)</f>
        <v>0</v>
      </c>
      <c r="P138" s="23" t="str">
        <f aca="false">IF($F138="","",MID(IF($G138="",", career level","")&amp;IF($I138="",", nationality mandate","")&amp;IF($N138="",", capacity direction","")&amp;IF(N($J138)&lt;=0,", approved HC","")&amp;IF(AND($G138&lt;&gt;"",COUNTIF(CareerLevels,$G138)=0),", a career level that is not on the ladder",""),3,200))</f>
        <v>career level, nationality mandate, capacity direction</v>
      </c>
    </row>
    <row r="139" customFormat="false" ht="15" hidden="false" customHeight="false" outlineLevel="0" collapsed="false">
      <c r="A139" s="21" t="s">
        <v>134</v>
      </c>
      <c r="B139" s="21" t="s">
        <v>72</v>
      </c>
      <c r="C139" s="21" t="s">
        <v>88</v>
      </c>
      <c r="D139" s="21" t="s">
        <v>96</v>
      </c>
      <c r="E139" s="21" t="s">
        <v>100</v>
      </c>
      <c r="F139" s="21" t="s">
        <v>205</v>
      </c>
      <c r="G139" s="21"/>
      <c r="H139" s="21" t="s">
        <v>129</v>
      </c>
      <c r="I139" s="21"/>
      <c r="J139" s="22" t="n">
        <v>1</v>
      </c>
      <c r="K139" s="22" t="n">
        <v>1</v>
      </c>
      <c r="L139" s="22" t="n">
        <v>0</v>
      </c>
      <c r="M139" s="21" t="s">
        <v>118</v>
      </c>
      <c r="N139" s="21"/>
      <c r="O139" s="20" t="n">
        <f aca="false">IF($N139="Exit",N($J139),0)</f>
        <v>0</v>
      </c>
      <c r="P139" s="23" t="str">
        <f aca="false">IF($F139="","",MID(IF($G139="",", career level","")&amp;IF($I139="",", nationality mandate","")&amp;IF($N139="",", capacity direction","")&amp;IF(N($J139)&lt;=0,", approved HC","")&amp;IF(AND($G139&lt;&gt;"",COUNTIF(CareerLevels,$G139)=0),", a career level that is not on the ladder",""),3,200))</f>
        <v>career level, nationality mandate, capacity direction</v>
      </c>
    </row>
    <row r="140" customFormat="false" ht="15" hidden="false" customHeight="false" outlineLevel="0" collapsed="false">
      <c r="A140" s="21" t="s">
        <v>216</v>
      </c>
      <c r="B140" s="21" t="s">
        <v>72</v>
      </c>
      <c r="C140" s="21" t="s">
        <v>88</v>
      </c>
      <c r="D140" s="21" t="s">
        <v>96</v>
      </c>
      <c r="E140" s="21" t="s">
        <v>100</v>
      </c>
      <c r="F140" s="21" t="s">
        <v>205</v>
      </c>
      <c r="G140" s="21"/>
      <c r="H140" s="21" t="s">
        <v>129</v>
      </c>
      <c r="I140" s="21"/>
      <c r="J140" s="22" t="n">
        <v>1</v>
      </c>
      <c r="K140" s="22" t="n">
        <v>1</v>
      </c>
      <c r="L140" s="22" t="n">
        <v>0</v>
      </c>
      <c r="M140" s="21" t="s">
        <v>118</v>
      </c>
      <c r="N140" s="21"/>
      <c r="O140" s="20" t="n">
        <f aca="false">IF($N140="Exit",N($J140),0)</f>
        <v>0</v>
      </c>
      <c r="P140" s="23" t="str">
        <f aca="false">IF($F140="","",MID(IF($G140="",", career level","")&amp;IF($I140="",", nationality mandate","")&amp;IF($N140="",", capacity direction","")&amp;IF(N($J140)&lt;=0,", approved HC","")&amp;IF(AND($G140&lt;&gt;"",COUNTIF(CareerLevels,$G140)=0),", a career level that is not on the ladder",""),3,200))</f>
        <v>career level, nationality mandate, capacity direction</v>
      </c>
    </row>
    <row r="141" customFormat="false" ht="15" hidden="false" customHeight="false" outlineLevel="0" collapsed="false">
      <c r="A141" s="21" t="s">
        <v>165</v>
      </c>
      <c r="B141" s="21" t="s">
        <v>72</v>
      </c>
      <c r="C141" s="21" t="s">
        <v>88</v>
      </c>
      <c r="D141" s="21" t="s">
        <v>96</v>
      </c>
      <c r="E141" s="21" t="s">
        <v>100</v>
      </c>
      <c r="F141" s="21" t="s">
        <v>215</v>
      </c>
      <c r="G141" s="21"/>
      <c r="H141" s="21" t="s">
        <v>129</v>
      </c>
      <c r="I141" s="21"/>
      <c r="J141" s="22" t="n">
        <v>1</v>
      </c>
      <c r="K141" s="22" t="n">
        <v>1</v>
      </c>
      <c r="L141" s="22" t="n">
        <v>0</v>
      </c>
      <c r="M141" s="21" t="s">
        <v>118</v>
      </c>
      <c r="N141" s="21"/>
      <c r="O141" s="20" t="n">
        <f aca="false">IF($N141="Exit",N($J141),0)</f>
        <v>0</v>
      </c>
      <c r="P141" s="23" t="str">
        <f aca="false">IF($F141="","",MID(IF($G141="",", career level","")&amp;IF($I141="",", nationality mandate","")&amp;IF($N141="",", capacity direction","")&amp;IF(N($J141)&lt;=0,", approved HC","")&amp;IF(AND($G141&lt;&gt;"",COUNTIF(CareerLevels,$G141)=0),", a career level that is not on the ladder",""),3,200))</f>
        <v>career level, nationality mandate, capacity direction</v>
      </c>
    </row>
    <row r="142" customFormat="false" ht="15" hidden="false" customHeight="false" outlineLevel="0" collapsed="false">
      <c r="A142" s="21" t="s">
        <v>119</v>
      </c>
      <c r="B142" s="21" t="s">
        <v>72</v>
      </c>
      <c r="C142" s="21" t="s">
        <v>88</v>
      </c>
      <c r="D142" s="21" t="s">
        <v>96</v>
      </c>
      <c r="E142" s="21" t="s">
        <v>100</v>
      </c>
      <c r="F142" s="21" t="s">
        <v>215</v>
      </c>
      <c r="G142" s="21"/>
      <c r="H142" s="21" t="s">
        <v>129</v>
      </c>
      <c r="I142" s="21"/>
      <c r="J142" s="22" t="n">
        <v>1</v>
      </c>
      <c r="K142" s="22" t="n">
        <v>1</v>
      </c>
      <c r="L142" s="22" t="n">
        <v>0</v>
      </c>
      <c r="M142" s="21" t="s">
        <v>118</v>
      </c>
      <c r="N142" s="21"/>
      <c r="O142" s="20" t="n">
        <f aca="false">IF($N142="Exit",N($J142),0)</f>
        <v>0</v>
      </c>
      <c r="P142" s="23" t="str">
        <f aca="false">IF($F142="","",MID(IF($G142="",", career level","")&amp;IF($I142="",", nationality mandate","")&amp;IF($N142="",", capacity direction","")&amp;IF(N($J142)&lt;=0,", approved HC","")&amp;IF(AND($G142&lt;&gt;"",COUNTIF(CareerLevels,$G142)=0),", a career level that is not on the ladder",""),3,200))</f>
        <v>career level, nationality mandate, capacity direction</v>
      </c>
    </row>
    <row r="143" customFormat="false" ht="15" hidden="false" customHeight="false" outlineLevel="0" collapsed="false">
      <c r="A143" s="21" t="s">
        <v>217</v>
      </c>
      <c r="B143" s="21" t="s">
        <v>72</v>
      </c>
      <c r="C143" s="21" t="s">
        <v>88</v>
      </c>
      <c r="D143" s="21" t="s">
        <v>96</v>
      </c>
      <c r="E143" s="21" t="s">
        <v>100</v>
      </c>
      <c r="F143" s="21" t="s">
        <v>209</v>
      </c>
      <c r="G143" s="21"/>
      <c r="H143" s="21" t="s">
        <v>129</v>
      </c>
      <c r="I143" s="21"/>
      <c r="J143" s="22" t="n">
        <v>1</v>
      </c>
      <c r="K143" s="22" t="n">
        <v>1</v>
      </c>
      <c r="L143" s="22" t="n">
        <v>0</v>
      </c>
      <c r="M143" s="21" t="s">
        <v>118</v>
      </c>
      <c r="N143" s="21"/>
      <c r="O143" s="20" t="n">
        <f aca="false">IF($N143="Exit",N($J143),0)</f>
        <v>0</v>
      </c>
      <c r="P143" s="23" t="str">
        <f aca="false">IF($F143="","",MID(IF($G143="",", career level","")&amp;IF($I143="",", nationality mandate","")&amp;IF($N143="",", capacity direction","")&amp;IF(N($J143)&lt;=0,", approved HC","")&amp;IF(AND($G143&lt;&gt;"",COUNTIF(CareerLevels,$G143)=0),", a career level that is not on the ladder",""),3,200))</f>
        <v>career level, nationality mandate, capacity direction</v>
      </c>
    </row>
    <row r="144" customFormat="false" ht="15" hidden="false" customHeight="false" outlineLevel="0" collapsed="false">
      <c r="A144" s="21" t="s">
        <v>162</v>
      </c>
      <c r="B144" s="21" t="s">
        <v>72</v>
      </c>
      <c r="C144" s="21" t="s">
        <v>88</v>
      </c>
      <c r="D144" s="21" t="s">
        <v>96</v>
      </c>
      <c r="E144" s="21" t="s">
        <v>100</v>
      </c>
      <c r="F144" s="21" t="s">
        <v>209</v>
      </c>
      <c r="G144" s="21"/>
      <c r="H144" s="21" t="s">
        <v>129</v>
      </c>
      <c r="I144" s="21"/>
      <c r="J144" s="22" t="n">
        <v>1</v>
      </c>
      <c r="K144" s="22" t="n">
        <v>1</v>
      </c>
      <c r="L144" s="22" t="n">
        <v>0</v>
      </c>
      <c r="M144" s="21" t="s">
        <v>118</v>
      </c>
      <c r="N144" s="21"/>
      <c r="O144" s="20" t="n">
        <f aca="false">IF($N144="Exit",N($J144),0)</f>
        <v>0</v>
      </c>
      <c r="P144" s="23" t="str">
        <f aca="false">IF($F144="","",MID(IF($G144="",", career level","")&amp;IF($I144="",", nationality mandate","")&amp;IF($N144="",", capacity direction","")&amp;IF(N($J144)&lt;=0,", approved HC","")&amp;IF(AND($G144&lt;&gt;"",COUNTIF(CareerLevels,$G144)=0),", a career level that is not on the ladder",""),3,200))</f>
        <v>career level, nationality mandate, capacity direction</v>
      </c>
    </row>
    <row r="145" customFormat="false" ht="15" hidden="false" customHeight="false" outlineLevel="0" collapsed="false">
      <c r="A145" s="21" t="s">
        <v>218</v>
      </c>
      <c r="B145" s="21" t="s">
        <v>72</v>
      </c>
      <c r="C145" s="21" t="s">
        <v>88</v>
      </c>
      <c r="D145" s="21" t="s">
        <v>96</v>
      </c>
      <c r="E145" s="21" t="s">
        <v>100</v>
      </c>
      <c r="F145" s="21" t="s">
        <v>209</v>
      </c>
      <c r="G145" s="21"/>
      <c r="H145" s="21" t="s">
        <v>129</v>
      </c>
      <c r="I145" s="21"/>
      <c r="J145" s="22" t="n">
        <v>1</v>
      </c>
      <c r="K145" s="22" t="n">
        <v>1</v>
      </c>
      <c r="L145" s="22" t="n">
        <v>0</v>
      </c>
      <c r="M145" s="21" t="s">
        <v>118</v>
      </c>
      <c r="N145" s="21"/>
      <c r="O145" s="20" t="n">
        <f aca="false">IF($N145="Exit",N($J145),0)</f>
        <v>0</v>
      </c>
      <c r="P145" s="23" t="str">
        <f aca="false">IF($F145="","",MID(IF($G145="",", career level","")&amp;IF($I145="",", nationality mandate","")&amp;IF($N145="",", capacity direction","")&amp;IF(N($J145)&lt;=0,", approved HC","")&amp;IF(AND($G145&lt;&gt;"",COUNTIF(CareerLevels,$G145)=0),", a career level that is not on the ladder",""),3,200))</f>
        <v>career level, nationality mandate, capacity direction</v>
      </c>
    </row>
    <row r="146" customFormat="false" ht="15" hidden="false" customHeight="false" outlineLevel="0" collapsed="false">
      <c r="A146" s="21" t="s">
        <v>172</v>
      </c>
      <c r="B146" s="21" t="s">
        <v>72</v>
      </c>
      <c r="C146" s="21" t="s">
        <v>88</v>
      </c>
      <c r="D146" s="21" t="s">
        <v>96</v>
      </c>
      <c r="E146" s="21" t="s">
        <v>100</v>
      </c>
      <c r="F146" s="21" t="s">
        <v>207</v>
      </c>
      <c r="G146" s="21"/>
      <c r="H146" s="21" t="s">
        <v>126</v>
      </c>
      <c r="I146" s="21"/>
      <c r="J146" s="22" t="n">
        <v>1</v>
      </c>
      <c r="K146" s="22" t="n">
        <v>0</v>
      </c>
      <c r="L146" s="22" t="n">
        <v>1</v>
      </c>
      <c r="M146" s="21" t="s">
        <v>118</v>
      </c>
      <c r="N146" s="21"/>
      <c r="O146" s="20" t="n">
        <f aca="false">IF($N146="Exit",N($J146),0)</f>
        <v>0</v>
      </c>
      <c r="P146" s="23" t="str">
        <f aca="false">IF($F146="","",MID(IF($G146="",", career level","")&amp;IF($I146="",", nationality mandate","")&amp;IF($N146="",", capacity direction","")&amp;IF(N($J146)&lt;=0,", approved HC","")&amp;IF(AND($G146&lt;&gt;"",COUNTIF(CareerLevels,$G146)=0),", a career level that is not on the ladder",""),3,200))</f>
        <v>career level, nationality mandate, capacity direction</v>
      </c>
    </row>
    <row r="147" customFormat="false" ht="15" hidden="false" customHeight="false" outlineLevel="0" collapsed="false">
      <c r="A147" s="21"/>
      <c r="B147" s="21"/>
      <c r="C147" s="21"/>
      <c r="D147" s="21"/>
      <c r="E147" s="21"/>
      <c r="F147" s="21"/>
      <c r="G147" s="21"/>
      <c r="H147" s="21"/>
      <c r="I147" s="21"/>
      <c r="J147" s="22"/>
      <c r="K147" s="22"/>
      <c r="L147" s="22"/>
      <c r="M147" s="21"/>
      <c r="N147" s="21"/>
      <c r="O147" s="20" t="n">
        <f aca="false">IF($N147="Exit",N($J147),0)</f>
        <v>0</v>
      </c>
      <c r="P147" s="23" t="str">
        <f aca="false">IF($F147="","",MID(IF($G147="",", career level","")&amp;IF($I147="",", nationality mandate","")&amp;IF($N147="",", capacity direction","")&amp;IF(N($J147)&lt;=0,", approved HC","")&amp;IF(AND($G147&lt;&gt;"",COUNTIF(CareerLevels,$G147)=0),", a career level that is not on the ladder",""),3,200))</f>
        <v/>
      </c>
    </row>
    <row r="148" customFormat="false" ht="15" hidden="false" customHeight="false" outlineLevel="0" collapsed="false">
      <c r="A148" s="21"/>
      <c r="B148" s="21"/>
      <c r="C148" s="21"/>
      <c r="D148" s="21"/>
      <c r="E148" s="21"/>
      <c r="F148" s="21"/>
      <c r="G148" s="21"/>
      <c r="H148" s="21"/>
      <c r="I148" s="21"/>
      <c r="J148" s="22"/>
      <c r="K148" s="22"/>
      <c r="L148" s="22"/>
      <c r="M148" s="21"/>
      <c r="N148" s="21"/>
      <c r="O148" s="20" t="n">
        <f aca="false">IF($N148="Exit",N($J148),0)</f>
        <v>0</v>
      </c>
      <c r="P148" s="23" t="str">
        <f aca="false">IF($F148="","",MID(IF($G148="",", career level","")&amp;IF($I148="",", nationality mandate","")&amp;IF($N148="",", capacity direction","")&amp;IF(N($J148)&lt;=0,", approved HC","")&amp;IF(AND($G148&lt;&gt;"",COUNTIF(CareerLevels,$G148)=0),", a career level that is not on the ladder",""),3,200))</f>
        <v/>
      </c>
    </row>
    <row r="149" customFormat="false" ht="15" hidden="false" customHeight="false" outlineLevel="0" collapsed="false">
      <c r="A149" s="21"/>
      <c r="B149" s="21"/>
      <c r="C149" s="21"/>
      <c r="D149" s="21"/>
      <c r="E149" s="21"/>
      <c r="F149" s="21"/>
      <c r="G149" s="21"/>
      <c r="H149" s="21"/>
      <c r="I149" s="21"/>
      <c r="J149" s="22"/>
      <c r="K149" s="22"/>
      <c r="L149" s="22"/>
      <c r="M149" s="21"/>
      <c r="N149" s="21"/>
      <c r="O149" s="20" t="n">
        <f aca="false">IF($N149="Exit",N($J149),0)</f>
        <v>0</v>
      </c>
      <c r="P149" s="23" t="str">
        <f aca="false">IF($F149="","",MID(IF($G149="",", career level","")&amp;IF($I149="",", nationality mandate","")&amp;IF($N149="",", capacity direction","")&amp;IF(N($J149)&lt;=0,", approved HC","")&amp;IF(AND($G149&lt;&gt;"",COUNTIF(CareerLevels,$G149)=0),", a career level that is not on the ladder",""),3,200))</f>
        <v/>
      </c>
    </row>
    <row r="150" customFormat="false" ht="15" hidden="false" customHeight="false" outlineLevel="0" collapsed="false">
      <c r="A150" s="21"/>
      <c r="B150" s="21"/>
      <c r="C150" s="21"/>
      <c r="D150" s="21"/>
      <c r="E150" s="21"/>
      <c r="F150" s="21"/>
      <c r="G150" s="21"/>
      <c r="H150" s="21"/>
      <c r="I150" s="21"/>
      <c r="J150" s="22"/>
      <c r="K150" s="22"/>
      <c r="L150" s="22"/>
      <c r="M150" s="21"/>
      <c r="N150" s="21"/>
      <c r="O150" s="20" t="n">
        <f aca="false">IF($N150="Exit",N($J150),0)</f>
        <v>0</v>
      </c>
      <c r="P150" s="23" t="str">
        <f aca="false">IF($F150="","",MID(IF($G150="",", career level","")&amp;IF($I150="",", nationality mandate","")&amp;IF($N150="",", capacity direction","")&amp;IF(N($J150)&lt;=0,", approved HC","")&amp;IF(AND($G150&lt;&gt;"",COUNTIF(CareerLevels,$G150)=0),", a career level that is not on the ladder",""),3,200))</f>
        <v/>
      </c>
    </row>
    <row r="151" customFormat="false" ht="15" hidden="false" customHeight="false" outlineLevel="0" collapsed="false">
      <c r="A151" s="21"/>
      <c r="B151" s="21"/>
      <c r="C151" s="21"/>
      <c r="D151" s="21"/>
      <c r="E151" s="21"/>
      <c r="F151" s="21"/>
      <c r="G151" s="21"/>
      <c r="H151" s="21"/>
      <c r="I151" s="21"/>
      <c r="J151" s="22"/>
      <c r="K151" s="22"/>
      <c r="L151" s="22"/>
      <c r="M151" s="21"/>
      <c r="N151" s="21"/>
      <c r="O151" s="20" t="n">
        <f aca="false">IF($N151="Exit",N($J151),0)</f>
        <v>0</v>
      </c>
      <c r="P151" s="23" t="str">
        <f aca="false">IF($F151="","",MID(IF($G151="",", career level","")&amp;IF($I151="",", nationality mandate","")&amp;IF($N151="",", capacity direction","")&amp;IF(N($J151)&lt;=0,", approved HC","")&amp;IF(AND($G151&lt;&gt;"",COUNTIF(CareerLevels,$G151)=0),", a career level that is not on the ladder",""),3,200))</f>
        <v/>
      </c>
    </row>
    <row r="152" customFormat="false" ht="15" hidden="false" customHeight="false" outlineLevel="0" collapsed="false">
      <c r="A152" s="21"/>
      <c r="B152" s="21"/>
      <c r="C152" s="21"/>
      <c r="D152" s="21"/>
      <c r="E152" s="21"/>
      <c r="F152" s="21"/>
      <c r="G152" s="21"/>
      <c r="H152" s="21"/>
      <c r="I152" s="21"/>
      <c r="J152" s="22"/>
      <c r="K152" s="22"/>
      <c r="L152" s="22"/>
      <c r="M152" s="21"/>
      <c r="N152" s="21"/>
      <c r="O152" s="20" t="n">
        <f aca="false">IF($N152="Exit",N($J152),0)</f>
        <v>0</v>
      </c>
      <c r="P152" s="23" t="str">
        <f aca="false">IF($F152="","",MID(IF($G152="",", career level","")&amp;IF($I152="",", nationality mandate","")&amp;IF($N152="",", capacity direction","")&amp;IF(N($J152)&lt;=0,", approved HC","")&amp;IF(AND($G152&lt;&gt;"",COUNTIF(CareerLevels,$G152)=0),", a career level that is not on the ladder",""),3,200))</f>
        <v/>
      </c>
    </row>
    <row r="153" customFormat="false" ht="15" hidden="false" customHeight="false" outlineLevel="0" collapsed="false">
      <c r="A153" s="21"/>
      <c r="B153" s="21"/>
      <c r="C153" s="21"/>
      <c r="D153" s="21"/>
      <c r="E153" s="21"/>
      <c r="F153" s="21"/>
      <c r="G153" s="21"/>
      <c r="H153" s="21"/>
      <c r="I153" s="21"/>
      <c r="J153" s="22"/>
      <c r="K153" s="22"/>
      <c r="L153" s="22"/>
      <c r="M153" s="21"/>
      <c r="N153" s="21"/>
      <c r="O153" s="20" t="n">
        <f aca="false">IF($N153="Exit",N($J153),0)</f>
        <v>0</v>
      </c>
      <c r="P153" s="23" t="str">
        <f aca="false">IF($F153="","",MID(IF($G153="",", career level","")&amp;IF($I153="",", nationality mandate","")&amp;IF($N153="",", capacity direction","")&amp;IF(N($J153)&lt;=0,", approved HC","")&amp;IF(AND($G153&lt;&gt;"",COUNTIF(CareerLevels,$G153)=0),", a career level that is not on the ladder",""),3,200))</f>
        <v/>
      </c>
    </row>
    <row r="154" customFormat="false" ht="15" hidden="false" customHeight="false" outlineLevel="0" collapsed="false">
      <c r="A154" s="21"/>
      <c r="B154" s="21"/>
      <c r="C154" s="21"/>
      <c r="D154" s="21"/>
      <c r="E154" s="21"/>
      <c r="F154" s="21"/>
      <c r="G154" s="21"/>
      <c r="H154" s="21"/>
      <c r="I154" s="21"/>
      <c r="J154" s="22"/>
      <c r="K154" s="22"/>
      <c r="L154" s="22"/>
      <c r="M154" s="21"/>
      <c r="N154" s="21"/>
      <c r="O154" s="20" t="n">
        <f aca="false">IF($N154="Exit",N($J154),0)</f>
        <v>0</v>
      </c>
      <c r="P154" s="23" t="str">
        <f aca="false">IF($F154="","",MID(IF($G154="",", career level","")&amp;IF($I154="",", nationality mandate","")&amp;IF($N154="",", capacity direction","")&amp;IF(N($J154)&lt;=0,", approved HC","")&amp;IF(AND($G154&lt;&gt;"",COUNTIF(CareerLevels,$G154)=0),", a career level that is not on the ladder",""),3,200))</f>
        <v/>
      </c>
    </row>
    <row r="155" customFormat="false" ht="15" hidden="false" customHeight="false" outlineLevel="0" collapsed="false">
      <c r="A155" s="21"/>
      <c r="B155" s="21"/>
      <c r="C155" s="21"/>
      <c r="D155" s="21"/>
      <c r="E155" s="21"/>
      <c r="F155" s="21"/>
      <c r="G155" s="21"/>
      <c r="H155" s="21"/>
      <c r="I155" s="21"/>
      <c r="J155" s="22"/>
      <c r="K155" s="22"/>
      <c r="L155" s="22"/>
      <c r="M155" s="21"/>
      <c r="N155" s="21"/>
      <c r="O155" s="20" t="n">
        <f aca="false">IF($N155="Exit",N($J155),0)</f>
        <v>0</v>
      </c>
      <c r="P155" s="23" t="str">
        <f aca="false">IF($F155="","",MID(IF($G155="",", career level","")&amp;IF($I155="",", nationality mandate","")&amp;IF($N155="",", capacity direction","")&amp;IF(N($J155)&lt;=0,", approved HC","")&amp;IF(AND($G155&lt;&gt;"",COUNTIF(CareerLevels,$G155)=0),", a career level that is not on the ladder",""),3,200))</f>
        <v/>
      </c>
    </row>
    <row r="156" customFormat="false" ht="15" hidden="false" customHeight="false" outlineLevel="0" collapsed="false">
      <c r="A156" s="21"/>
      <c r="B156" s="21"/>
      <c r="C156" s="21"/>
      <c r="D156" s="21"/>
      <c r="E156" s="21"/>
      <c r="F156" s="21"/>
      <c r="G156" s="21"/>
      <c r="H156" s="21"/>
      <c r="I156" s="21"/>
      <c r="J156" s="22"/>
      <c r="K156" s="22"/>
      <c r="L156" s="22"/>
      <c r="M156" s="21"/>
      <c r="N156" s="21"/>
      <c r="O156" s="20" t="n">
        <f aca="false">IF($N156="Exit",N($J156),0)</f>
        <v>0</v>
      </c>
      <c r="P156" s="23" t="str">
        <f aca="false">IF($F156="","",MID(IF($G156="",", career level","")&amp;IF($I156="",", nationality mandate","")&amp;IF($N156="",", capacity direction","")&amp;IF(N($J156)&lt;=0,", approved HC","")&amp;IF(AND($G156&lt;&gt;"",COUNTIF(CareerLevels,$G156)=0),", a career level that is not on the ladder",""),3,200))</f>
        <v/>
      </c>
    </row>
    <row r="157" customFormat="false" ht="15" hidden="false" customHeight="false" outlineLevel="0" collapsed="false">
      <c r="A157" s="21"/>
      <c r="B157" s="21"/>
      <c r="C157" s="21"/>
      <c r="D157" s="21"/>
      <c r="E157" s="21"/>
      <c r="F157" s="21"/>
      <c r="G157" s="21"/>
      <c r="H157" s="21"/>
      <c r="I157" s="21"/>
      <c r="J157" s="22"/>
      <c r="K157" s="22"/>
      <c r="L157" s="22"/>
      <c r="M157" s="21"/>
      <c r="N157" s="21"/>
      <c r="O157" s="20" t="n">
        <f aca="false">IF($N157="Exit",N($J157),0)</f>
        <v>0</v>
      </c>
      <c r="P157" s="23" t="str">
        <f aca="false">IF($F157="","",MID(IF($G157="",", career level","")&amp;IF($I157="",", nationality mandate","")&amp;IF($N157="",", capacity direction","")&amp;IF(N($J157)&lt;=0,", approved HC","")&amp;IF(AND($G157&lt;&gt;"",COUNTIF(CareerLevels,$G157)=0),", a career level that is not on the ladder",""),3,200))</f>
        <v/>
      </c>
    </row>
    <row r="158" customFormat="false" ht="15" hidden="false" customHeight="false" outlineLevel="0" collapsed="false">
      <c r="A158" s="21"/>
      <c r="B158" s="21"/>
      <c r="C158" s="21"/>
      <c r="D158" s="21"/>
      <c r="E158" s="21"/>
      <c r="F158" s="21"/>
      <c r="G158" s="21"/>
      <c r="H158" s="21"/>
      <c r="I158" s="21"/>
      <c r="J158" s="22"/>
      <c r="K158" s="22"/>
      <c r="L158" s="22"/>
      <c r="M158" s="21"/>
      <c r="N158" s="21"/>
      <c r="O158" s="20" t="n">
        <f aca="false">IF($N158="Exit",N($J158),0)</f>
        <v>0</v>
      </c>
      <c r="P158" s="23" t="str">
        <f aca="false">IF($F158="","",MID(IF($G158="",", career level","")&amp;IF($I158="",", nationality mandate","")&amp;IF($N158="",", capacity direction","")&amp;IF(N($J158)&lt;=0,", approved HC","")&amp;IF(AND($G158&lt;&gt;"",COUNTIF(CareerLevels,$G158)=0),", a career level that is not on the ladder",""),3,200))</f>
        <v/>
      </c>
    </row>
    <row r="159" customFormat="false" ht="15" hidden="false" customHeight="false" outlineLevel="0" collapsed="false">
      <c r="A159" s="21"/>
      <c r="B159" s="21"/>
      <c r="C159" s="21"/>
      <c r="D159" s="21"/>
      <c r="E159" s="21"/>
      <c r="F159" s="21"/>
      <c r="G159" s="21"/>
      <c r="H159" s="21"/>
      <c r="I159" s="21"/>
      <c r="J159" s="22"/>
      <c r="K159" s="22"/>
      <c r="L159" s="22"/>
      <c r="M159" s="21"/>
      <c r="N159" s="21"/>
      <c r="O159" s="20" t="n">
        <f aca="false">IF($N159="Exit",N($J159),0)</f>
        <v>0</v>
      </c>
      <c r="P159" s="23" t="str">
        <f aca="false">IF($F159="","",MID(IF($G159="",", career level","")&amp;IF($I159="",", nationality mandate","")&amp;IF($N159="",", capacity direction","")&amp;IF(N($J159)&lt;=0,", approved HC","")&amp;IF(AND($G159&lt;&gt;"",COUNTIF(CareerLevels,$G159)=0),", a career level that is not on the ladder",""),3,200))</f>
        <v/>
      </c>
    </row>
    <row r="160" customFormat="false" ht="15" hidden="false" customHeight="false" outlineLevel="0" collapsed="false">
      <c r="A160" s="21"/>
      <c r="B160" s="21"/>
      <c r="C160" s="21"/>
      <c r="D160" s="21"/>
      <c r="E160" s="21"/>
      <c r="F160" s="21"/>
      <c r="G160" s="21"/>
      <c r="H160" s="21"/>
      <c r="I160" s="21"/>
      <c r="J160" s="22"/>
      <c r="K160" s="22"/>
      <c r="L160" s="22"/>
      <c r="M160" s="21"/>
      <c r="N160" s="21"/>
      <c r="O160" s="20" t="n">
        <f aca="false">IF($N160="Exit",N($J160),0)</f>
        <v>0</v>
      </c>
      <c r="P160" s="23" t="str">
        <f aca="false">IF($F160="","",MID(IF($G160="",", career level","")&amp;IF($I160="",", nationality mandate","")&amp;IF($N160="",", capacity direction","")&amp;IF(N($J160)&lt;=0,", approved HC","")&amp;IF(AND($G160&lt;&gt;"",COUNTIF(CareerLevels,$G160)=0),", a career level that is not on the ladder",""),3,200))</f>
        <v/>
      </c>
    </row>
    <row r="161" customFormat="false" ht="15" hidden="false" customHeight="false" outlineLevel="0" collapsed="false">
      <c r="A161" s="21"/>
      <c r="B161" s="21"/>
      <c r="C161" s="21"/>
      <c r="D161" s="21"/>
      <c r="E161" s="21"/>
      <c r="F161" s="21"/>
      <c r="G161" s="21"/>
      <c r="H161" s="21"/>
      <c r="I161" s="21"/>
      <c r="J161" s="22"/>
      <c r="K161" s="22"/>
      <c r="L161" s="22"/>
      <c r="M161" s="21"/>
      <c r="N161" s="21"/>
      <c r="O161" s="20" t="n">
        <f aca="false">IF($N161="Exit",N($J161),0)</f>
        <v>0</v>
      </c>
      <c r="P161" s="23" t="str">
        <f aca="false">IF($F161="","",MID(IF($G161="",", career level","")&amp;IF($I161="",", nationality mandate","")&amp;IF($N161="",", capacity direction","")&amp;IF(N($J161)&lt;=0,", approved HC","")&amp;IF(AND($G161&lt;&gt;"",COUNTIF(CareerLevels,$G161)=0),", a career level that is not on the ladder",""),3,200))</f>
        <v/>
      </c>
    </row>
    <row r="162" customFormat="false" ht="15" hidden="false" customHeight="false" outlineLevel="0" collapsed="false">
      <c r="A162" s="21"/>
      <c r="B162" s="21"/>
      <c r="C162" s="21"/>
      <c r="D162" s="21"/>
      <c r="E162" s="21"/>
      <c r="F162" s="21"/>
      <c r="G162" s="21"/>
      <c r="H162" s="21"/>
      <c r="I162" s="21"/>
      <c r="J162" s="22"/>
      <c r="K162" s="22"/>
      <c r="L162" s="22"/>
      <c r="M162" s="21"/>
      <c r="N162" s="21"/>
      <c r="O162" s="20" t="n">
        <f aca="false">IF($N162="Exit",N($J162),0)</f>
        <v>0</v>
      </c>
      <c r="P162" s="23" t="str">
        <f aca="false">IF($F162="","",MID(IF($G162="",", career level","")&amp;IF($I162="",", nationality mandate","")&amp;IF($N162="",", capacity direction","")&amp;IF(N($J162)&lt;=0,", approved HC","")&amp;IF(AND($G162&lt;&gt;"",COUNTIF(CareerLevels,$G162)=0),", a career level that is not on the ladder",""),3,200))</f>
        <v/>
      </c>
    </row>
    <row r="163" customFormat="false" ht="15" hidden="false" customHeight="false" outlineLevel="0" collapsed="false">
      <c r="A163" s="21"/>
      <c r="B163" s="21"/>
      <c r="C163" s="21"/>
      <c r="D163" s="21"/>
      <c r="E163" s="21"/>
      <c r="F163" s="21"/>
      <c r="G163" s="21"/>
      <c r="H163" s="21"/>
      <c r="I163" s="21"/>
      <c r="J163" s="22"/>
      <c r="K163" s="22"/>
      <c r="L163" s="22"/>
      <c r="M163" s="21"/>
      <c r="N163" s="21"/>
      <c r="O163" s="20" t="n">
        <f aca="false">IF($N163="Exit",N($J163),0)</f>
        <v>0</v>
      </c>
      <c r="P163" s="23" t="str">
        <f aca="false">IF($F163="","",MID(IF($G163="",", career level","")&amp;IF($I163="",", nationality mandate","")&amp;IF($N163="",", capacity direction","")&amp;IF(N($J163)&lt;=0,", approved HC","")&amp;IF(AND($G163&lt;&gt;"",COUNTIF(CareerLevels,$G163)=0),", a career level that is not on the ladder",""),3,200))</f>
        <v/>
      </c>
    </row>
    <row r="164" customFormat="false" ht="15" hidden="false" customHeight="false" outlineLevel="0" collapsed="false">
      <c r="A164" s="21"/>
      <c r="B164" s="21"/>
      <c r="C164" s="21"/>
      <c r="D164" s="21"/>
      <c r="E164" s="21"/>
      <c r="F164" s="21"/>
      <c r="G164" s="21"/>
      <c r="H164" s="21"/>
      <c r="I164" s="21"/>
      <c r="J164" s="22"/>
      <c r="K164" s="22"/>
      <c r="L164" s="22"/>
      <c r="M164" s="21"/>
      <c r="N164" s="21"/>
      <c r="O164" s="20" t="n">
        <f aca="false">IF($N164="Exit",N($J164),0)</f>
        <v>0</v>
      </c>
      <c r="P164" s="23" t="str">
        <f aca="false">IF($F164="","",MID(IF($G164="",", career level","")&amp;IF($I164="",", nationality mandate","")&amp;IF($N164="",", capacity direction","")&amp;IF(N($J164)&lt;=0,", approved HC","")&amp;IF(AND($G164&lt;&gt;"",COUNTIF(CareerLevels,$G164)=0),", a career level that is not on the ladder",""),3,200))</f>
        <v/>
      </c>
    </row>
    <row r="165" customFormat="false" ht="15" hidden="false" customHeight="false" outlineLevel="0" collapsed="false">
      <c r="A165" s="21"/>
      <c r="B165" s="21"/>
      <c r="C165" s="21"/>
      <c r="D165" s="21"/>
      <c r="E165" s="21"/>
      <c r="F165" s="21"/>
      <c r="G165" s="21"/>
      <c r="H165" s="21"/>
      <c r="I165" s="21"/>
      <c r="J165" s="22"/>
      <c r="K165" s="22"/>
      <c r="L165" s="22"/>
      <c r="M165" s="21"/>
      <c r="N165" s="21"/>
      <c r="O165" s="20" t="n">
        <f aca="false">IF($N165="Exit",N($J165),0)</f>
        <v>0</v>
      </c>
      <c r="P165" s="23" t="str">
        <f aca="false">IF($F165="","",MID(IF($G165="",", career level","")&amp;IF($I165="",", nationality mandate","")&amp;IF($N165="",", capacity direction","")&amp;IF(N($J165)&lt;=0,", approved HC","")&amp;IF(AND($G165&lt;&gt;"",COUNTIF(CareerLevels,$G165)=0),", a career level that is not on the ladder",""),3,200))</f>
        <v/>
      </c>
    </row>
    <row r="166" customFormat="false" ht="15" hidden="false" customHeight="false" outlineLevel="0" collapsed="false">
      <c r="A166" s="21"/>
      <c r="B166" s="21"/>
      <c r="C166" s="21"/>
      <c r="D166" s="21"/>
      <c r="E166" s="21"/>
      <c r="F166" s="21"/>
      <c r="G166" s="21"/>
      <c r="H166" s="21"/>
      <c r="I166" s="21"/>
      <c r="J166" s="22"/>
      <c r="K166" s="22"/>
      <c r="L166" s="22"/>
      <c r="M166" s="21"/>
      <c r="N166" s="21"/>
      <c r="O166" s="20" t="n">
        <f aca="false">IF($N166="Exit",N($J166),0)</f>
        <v>0</v>
      </c>
      <c r="P166" s="23" t="str">
        <f aca="false">IF($F166="","",MID(IF($G166="",", career level","")&amp;IF($I166="",", nationality mandate","")&amp;IF($N166="",", capacity direction","")&amp;IF(N($J166)&lt;=0,", approved HC","")&amp;IF(AND($G166&lt;&gt;"",COUNTIF(CareerLevels,$G166)=0),", a career level that is not on the ladder",""),3,200))</f>
        <v/>
      </c>
    </row>
    <row r="167" customFormat="false" ht="15" hidden="false" customHeight="false" outlineLevel="0" collapsed="false">
      <c r="A167" s="21"/>
      <c r="B167" s="21"/>
      <c r="C167" s="21"/>
      <c r="D167" s="21"/>
      <c r="E167" s="21"/>
      <c r="F167" s="21"/>
      <c r="G167" s="21"/>
      <c r="H167" s="21"/>
      <c r="I167" s="21"/>
      <c r="J167" s="22"/>
      <c r="K167" s="22"/>
      <c r="L167" s="22"/>
      <c r="M167" s="21"/>
      <c r="N167" s="21"/>
      <c r="O167" s="20" t="n">
        <f aca="false">IF($N167="Exit",N($J167),0)</f>
        <v>0</v>
      </c>
      <c r="P167" s="23" t="str">
        <f aca="false">IF($F167="","",MID(IF($G167="",", career level","")&amp;IF($I167="",", nationality mandate","")&amp;IF($N167="",", capacity direction","")&amp;IF(N($J167)&lt;=0,", approved HC","")&amp;IF(AND($G167&lt;&gt;"",COUNTIF(CareerLevels,$G167)=0),", a career level that is not on the ladder",""),3,200))</f>
        <v/>
      </c>
    </row>
    <row r="168" customFormat="false" ht="15" hidden="false" customHeight="false" outlineLevel="0" collapsed="false">
      <c r="A168" s="21"/>
      <c r="B168" s="21"/>
      <c r="C168" s="21"/>
      <c r="D168" s="21"/>
      <c r="E168" s="21"/>
      <c r="F168" s="21"/>
      <c r="G168" s="21"/>
      <c r="H168" s="21"/>
      <c r="I168" s="21"/>
      <c r="J168" s="22"/>
      <c r="K168" s="22"/>
      <c r="L168" s="22"/>
      <c r="M168" s="21"/>
      <c r="N168" s="21"/>
      <c r="O168" s="20" t="n">
        <f aca="false">IF($N168="Exit",N($J168),0)</f>
        <v>0</v>
      </c>
      <c r="P168" s="23" t="str">
        <f aca="false">IF($F168="","",MID(IF($G168="",", career level","")&amp;IF($I168="",", nationality mandate","")&amp;IF($N168="",", capacity direction","")&amp;IF(N($J168)&lt;=0,", approved HC","")&amp;IF(AND($G168&lt;&gt;"",COUNTIF(CareerLevels,$G168)=0),", a career level that is not on the ladder",""),3,200))</f>
        <v/>
      </c>
    </row>
    <row r="169" customFormat="false" ht="15" hidden="false" customHeight="false" outlineLevel="0" collapsed="false">
      <c r="A169" s="21"/>
      <c r="B169" s="21"/>
      <c r="C169" s="21"/>
      <c r="D169" s="21"/>
      <c r="E169" s="21"/>
      <c r="F169" s="21"/>
      <c r="G169" s="21"/>
      <c r="H169" s="21"/>
      <c r="I169" s="21"/>
      <c r="J169" s="22"/>
      <c r="K169" s="22"/>
      <c r="L169" s="22"/>
      <c r="M169" s="21"/>
      <c r="N169" s="21"/>
      <c r="O169" s="20" t="n">
        <f aca="false">IF($N169="Exit",N($J169),0)</f>
        <v>0</v>
      </c>
      <c r="P169" s="23" t="str">
        <f aca="false">IF($F169="","",MID(IF($G169="",", career level","")&amp;IF($I169="",", nationality mandate","")&amp;IF($N169="",", capacity direction","")&amp;IF(N($J169)&lt;=0,", approved HC","")&amp;IF(AND($G169&lt;&gt;"",COUNTIF(CareerLevels,$G169)=0),", a career level that is not on the ladder",""),3,200))</f>
        <v/>
      </c>
    </row>
    <row r="170" customFormat="false" ht="15" hidden="false" customHeight="false" outlineLevel="0" collapsed="false">
      <c r="A170" s="21"/>
      <c r="B170" s="21"/>
      <c r="C170" s="21"/>
      <c r="D170" s="21"/>
      <c r="E170" s="21"/>
      <c r="F170" s="21"/>
      <c r="G170" s="21"/>
      <c r="H170" s="21"/>
      <c r="I170" s="21"/>
      <c r="J170" s="22"/>
      <c r="K170" s="22"/>
      <c r="L170" s="22"/>
      <c r="M170" s="21"/>
      <c r="N170" s="21"/>
      <c r="O170" s="20" t="n">
        <f aca="false">IF($N170="Exit",N($J170),0)</f>
        <v>0</v>
      </c>
      <c r="P170" s="23" t="str">
        <f aca="false">IF($F170="","",MID(IF($G170="",", career level","")&amp;IF($I170="",", nationality mandate","")&amp;IF($N170="",", capacity direction","")&amp;IF(N($J170)&lt;=0,", approved HC","")&amp;IF(AND($G170&lt;&gt;"",COUNTIF(CareerLevels,$G170)=0),", a career level that is not on the ladder",""),3,200))</f>
        <v/>
      </c>
    </row>
    <row r="171" customFormat="false" ht="15" hidden="false" customHeight="false" outlineLevel="0" collapsed="false">
      <c r="A171" s="21"/>
      <c r="B171" s="21"/>
      <c r="C171" s="21"/>
      <c r="D171" s="21"/>
      <c r="E171" s="21"/>
      <c r="F171" s="21"/>
      <c r="G171" s="21"/>
      <c r="H171" s="21"/>
      <c r="I171" s="21"/>
      <c r="J171" s="22"/>
      <c r="K171" s="22"/>
      <c r="L171" s="22"/>
      <c r="M171" s="21"/>
      <c r="N171" s="21"/>
      <c r="O171" s="20" t="n">
        <f aca="false">IF($N171="Exit",N($J171),0)</f>
        <v>0</v>
      </c>
      <c r="P171" s="23" t="str">
        <f aca="false">IF($F171="","",MID(IF($G171="",", career level","")&amp;IF($I171="",", nationality mandate","")&amp;IF($N171="",", capacity direction","")&amp;IF(N($J171)&lt;=0,", approved HC","")&amp;IF(AND($G171&lt;&gt;"",COUNTIF(CareerLevels,$G171)=0),", a career level that is not on the ladder",""),3,200))</f>
        <v/>
      </c>
    </row>
    <row r="172" customFormat="false" ht="15" hidden="false" customHeight="false" outlineLevel="0" collapsed="false">
      <c r="A172" s="21"/>
      <c r="B172" s="21"/>
      <c r="C172" s="21"/>
      <c r="D172" s="21"/>
      <c r="E172" s="21"/>
      <c r="F172" s="21"/>
      <c r="G172" s="21"/>
      <c r="H172" s="21"/>
      <c r="I172" s="21"/>
      <c r="J172" s="22"/>
      <c r="K172" s="22"/>
      <c r="L172" s="22"/>
      <c r="M172" s="21"/>
      <c r="N172" s="21"/>
      <c r="O172" s="20" t="n">
        <f aca="false">IF($N172="Exit",N($J172),0)</f>
        <v>0</v>
      </c>
      <c r="P172" s="23" t="str">
        <f aca="false">IF($F172="","",MID(IF($G172="",", career level","")&amp;IF($I172="",", nationality mandate","")&amp;IF($N172="",", capacity direction","")&amp;IF(N($J172)&lt;=0,", approved HC","")&amp;IF(AND($G172&lt;&gt;"",COUNTIF(CareerLevels,$G172)=0),", a career level that is not on the ladder",""),3,200))</f>
        <v/>
      </c>
    </row>
    <row r="173" customFormat="false" ht="15" hidden="false" customHeight="false" outlineLevel="0" collapsed="false">
      <c r="A173" s="21"/>
      <c r="B173" s="21"/>
      <c r="C173" s="21"/>
      <c r="D173" s="21"/>
      <c r="E173" s="21"/>
      <c r="F173" s="21"/>
      <c r="G173" s="21"/>
      <c r="H173" s="21"/>
      <c r="I173" s="21"/>
      <c r="J173" s="22"/>
      <c r="K173" s="22"/>
      <c r="L173" s="22"/>
      <c r="M173" s="21"/>
      <c r="N173" s="21"/>
      <c r="O173" s="20" t="n">
        <f aca="false">IF($N173="Exit",N($J173),0)</f>
        <v>0</v>
      </c>
      <c r="P173" s="23" t="str">
        <f aca="false">IF($F173="","",MID(IF($G173="",", career level","")&amp;IF($I173="",", nationality mandate","")&amp;IF($N173="",", capacity direction","")&amp;IF(N($J173)&lt;=0,", approved HC","")&amp;IF(AND($G173&lt;&gt;"",COUNTIF(CareerLevels,$G173)=0),", a career level that is not on the ladder",""),3,200))</f>
        <v/>
      </c>
    </row>
    <row r="174" customFormat="false" ht="15" hidden="false" customHeight="false" outlineLevel="0" collapsed="false">
      <c r="A174" s="21"/>
      <c r="B174" s="21"/>
      <c r="C174" s="21"/>
      <c r="D174" s="21"/>
      <c r="E174" s="21"/>
      <c r="F174" s="21"/>
      <c r="G174" s="21"/>
      <c r="H174" s="21"/>
      <c r="I174" s="21"/>
      <c r="J174" s="22"/>
      <c r="K174" s="22"/>
      <c r="L174" s="22"/>
      <c r="M174" s="21"/>
      <c r="N174" s="21"/>
      <c r="O174" s="20" t="n">
        <f aca="false">IF($N174="Exit",N($J174),0)</f>
        <v>0</v>
      </c>
      <c r="P174" s="23" t="str">
        <f aca="false">IF($F174="","",MID(IF($G174="",", career level","")&amp;IF($I174="",", nationality mandate","")&amp;IF($N174="",", capacity direction","")&amp;IF(N($J174)&lt;=0,", approved HC","")&amp;IF(AND($G174&lt;&gt;"",COUNTIF(CareerLevels,$G174)=0),", a career level that is not on the ladder",""),3,200))</f>
        <v/>
      </c>
    </row>
    <row r="175" customFormat="false" ht="15" hidden="false" customHeight="false" outlineLevel="0" collapsed="false">
      <c r="A175" s="21"/>
      <c r="B175" s="21"/>
      <c r="C175" s="21"/>
      <c r="D175" s="21"/>
      <c r="E175" s="21"/>
      <c r="F175" s="21"/>
      <c r="G175" s="21"/>
      <c r="H175" s="21"/>
      <c r="I175" s="21"/>
      <c r="J175" s="22"/>
      <c r="K175" s="22"/>
      <c r="L175" s="22"/>
      <c r="M175" s="21"/>
      <c r="N175" s="21"/>
      <c r="O175" s="20" t="n">
        <f aca="false">IF($N175="Exit",N($J175),0)</f>
        <v>0</v>
      </c>
      <c r="P175" s="23" t="str">
        <f aca="false">IF($F175="","",MID(IF($G175="",", career level","")&amp;IF($I175="",", nationality mandate","")&amp;IF($N175="",", capacity direction","")&amp;IF(N($J175)&lt;=0,", approved HC","")&amp;IF(AND($G175&lt;&gt;"",COUNTIF(CareerLevels,$G175)=0),", a career level that is not on the ladder",""),3,200))</f>
        <v/>
      </c>
    </row>
    <row r="176" customFormat="false" ht="15" hidden="false" customHeight="false" outlineLevel="0" collapsed="false">
      <c r="A176" s="21"/>
      <c r="B176" s="21"/>
      <c r="C176" s="21"/>
      <c r="D176" s="21"/>
      <c r="E176" s="21"/>
      <c r="F176" s="21"/>
      <c r="G176" s="21"/>
      <c r="H176" s="21"/>
      <c r="I176" s="21"/>
      <c r="J176" s="22"/>
      <c r="K176" s="22"/>
      <c r="L176" s="22"/>
      <c r="M176" s="21"/>
      <c r="N176" s="21"/>
      <c r="O176" s="20" t="n">
        <f aca="false">IF($N176="Exit",N($J176),0)</f>
        <v>0</v>
      </c>
      <c r="P176" s="23" t="str">
        <f aca="false">IF($F176="","",MID(IF($G176="",", career level","")&amp;IF($I176="",", nationality mandate","")&amp;IF($N176="",", capacity direction","")&amp;IF(N($J176)&lt;=0,", approved HC","")&amp;IF(AND($G176&lt;&gt;"",COUNTIF(CareerLevels,$G176)=0),", a career level that is not on the ladder",""),3,200))</f>
        <v/>
      </c>
    </row>
    <row r="177" customFormat="false" ht="15" hidden="false" customHeight="false" outlineLevel="0" collapsed="false">
      <c r="A177" s="21"/>
      <c r="B177" s="21"/>
      <c r="C177" s="21"/>
      <c r="D177" s="21"/>
      <c r="E177" s="21"/>
      <c r="F177" s="21"/>
      <c r="G177" s="21"/>
      <c r="H177" s="21"/>
      <c r="I177" s="21"/>
      <c r="J177" s="22"/>
      <c r="K177" s="22"/>
      <c r="L177" s="22"/>
      <c r="M177" s="21"/>
      <c r="N177" s="21"/>
      <c r="O177" s="20" t="n">
        <f aca="false">IF($N177="Exit",N($J177),0)</f>
        <v>0</v>
      </c>
      <c r="P177" s="23" t="str">
        <f aca="false">IF($F177="","",MID(IF($G177="",", career level","")&amp;IF($I177="",", nationality mandate","")&amp;IF($N177="",", capacity direction","")&amp;IF(N($J177)&lt;=0,", approved HC","")&amp;IF(AND($G177&lt;&gt;"",COUNTIF(CareerLevels,$G177)=0),", a career level that is not on the ladder",""),3,200))</f>
        <v/>
      </c>
    </row>
    <row r="178" customFormat="false" ht="15" hidden="false" customHeight="false" outlineLevel="0" collapsed="false">
      <c r="A178" s="21"/>
      <c r="B178" s="21"/>
      <c r="C178" s="21"/>
      <c r="D178" s="21"/>
      <c r="E178" s="21"/>
      <c r="F178" s="21"/>
      <c r="G178" s="21"/>
      <c r="H178" s="21"/>
      <c r="I178" s="21"/>
      <c r="J178" s="22"/>
      <c r="K178" s="22"/>
      <c r="L178" s="22"/>
      <c r="M178" s="21"/>
      <c r="N178" s="21"/>
      <c r="O178" s="20" t="n">
        <f aca="false">IF($N178="Exit",N($J178),0)</f>
        <v>0</v>
      </c>
      <c r="P178" s="23" t="str">
        <f aca="false">IF($F178="","",MID(IF($G178="",", career level","")&amp;IF($I178="",", nationality mandate","")&amp;IF($N178="",", capacity direction","")&amp;IF(N($J178)&lt;=0,", approved HC","")&amp;IF(AND($G178&lt;&gt;"",COUNTIF(CareerLevels,$G178)=0),", a career level that is not on the ladder",""),3,200))</f>
        <v/>
      </c>
    </row>
    <row r="179" customFormat="false" ht="15" hidden="false" customHeight="false" outlineLevel="0" collapsed="false">
      <c r="A179" s="21"/>
      <c r="B179" s="21"/>
      <c r="C179" s="21"/>
      <c r="D179" s="21"/>
      <c r="E179" s="21"/>
      <c r="F179" s="21"/>
      <c r="G179" s="21"/>
      <c r="H179" s="21"/>
      <c r="I179" s="21"/>
      <c r="J179" s="22"/>
      <c r="K179" s="22"/>
      <c r="L179" s="22"/>
      <c r="M179" s="21"/>
      <c r="N179" s="21"/>
      <c r="O179" s="20" t="n">
        <f aca="false">IF($N179="Exit",N($J179),0)</f>
        <v>0</v>
      </c>
      <c r="P179" s="23" t="str">
        <f aca="false">IF($F179="","",MID(IF($G179="",", career level","")&amp;IF($I179="",", nationality mandate","")&amp;IF($N179="",", capacity direction","")&amp;IF(N($J179)&lt;=0,", approved HC","")&amp;IF(AND($G179&lt;&gt;"",COUNTIF(CareerLevels,$G179)=0),", a career level that is not on the ladder",""),3,200))</f>
        <v/>
      </c>
    </row>
    <row r="180" customFormat="false" ht="15" hidden="false" customHeight="false" outlineLevel="0" collapsed="false">
      <c r="A180" s="21"/>
      <c r="B180" s="21"/>
      <c r="C180" s="21"/>
      <c r="D180" s="21"/>
      <c r="E180" s="21"/>
      <c r="F180" s="21"/>
      <c r="G180" s="21"/>
      <c r="H180" s="21"/>
      <c r="I180" s="21"/>
      <c r="J180" s="22"/>
      <c r="K180" s="22"/>
      <c r="L180" s="22"/>
      <c r="M180" s="21"/>
      <c r="N180" s="21"/>
      <c r="O180" s="20" t="n">
        <f aca="false">IF($N180="Exit",N($J180),0)</f>
        <v>0</v>
      </c>
      <c r="P180" s="23" t="str">
        <f aca="false">IF($F180="","",MID(IF($G180="",", career level","")&amp;IF($I180="",", nationality mandate","")&amp;IF($N180="",", capacity direction","")&amp;IF(N($J180)&lt;=0,", approved HC","")&amp;IF(AND($G180&lt;&gt;"",COUNTIF(CareerLevels,$G180)=0),", a career level that is not on the ladder",""),3,200))</f>
        <v/>
      </c>
    </row>
    <row r="181" customFormat="false" ht="15" hidden="false" customHeight="false" outlineLevel="0" collapsed="false">
      <c r="A181" s="21"/>
      <c r="B181" s="21"/>
      <c r="C181" s="21"/>
      <c r="D181" s="21"/>
      <c r="E181" s="21"/>
      <c r="F181" s="21"/>
      <c r="G181" s="21"/>
      <c r="H181" s="21"/>
      <c r="I181" s="21"/>
      <c r="J181" s="22"/>
      <c r="K181" s="22"/>
      <c r="L181" s="22"/>
      <c r="M181" s="21"/>
      <c r="N181" s="21"/>
      <c r="O181" s="20" t="n">
        <f aca="false">IF($N181="Exit",N($J181),0)</f>
        <v>0</v>
      </c>
      <c r="P181" s="23" t="str">
        <f aca="false">IF($F181="","",MID(IF($G181="",", career level","")&amp;IF($I181="",", nationality mandate","")&amp;IF($N181="",", capacity direction","")&amp;IF(N($J181)&lt;=0,", approved HC","")&amp;IF(AND($G181&lt;&gt;"",COUNTIF(CareerLevels,$G181)=0),", a career level that is not on the ladder",""),3,200))</f>
        <v/>
      </c>
    </row>
    <row r="182" customFormat="false" ht="15" hidden="false" customHeight="false" outlineLevel="0" collapsed="false">
      <c r="A182" s="21"/>
      <c r="B182" s="21"/>
      <c r="C182" s="21"/>
      <c r="D182" s="21"/>
      <c r="E182" s="21"/>
      <c r="F182" s="21"/>
      <c r="G182" s="21"/>
      <c r="H182" s="21"/>
      <c r="I182" s="21"/>
      <c r="J182" s="22"/>
      <c r="K182" s="22"/>
      <c r="L182" s="22"/>
      <c r="M182" s="21"/>
      <c r="N182" s="21"/>
      <c r="O182" s="20" t="n">
        <f aca="false">IF($N182="Exit",N($J182),0)</f>
        <v>0</v>
      </c>
      <c r="P182" s="23" t="str">
        <f aca="false">IF($F182="","",MID(IF($G182="",", career level","")&amp;IF($I182="",", nationality mandate","")&amp;IF($N182="",", capacity direction","")&amp;IF(N($J182)&lt;=0,", approved HC","")&amp;IF(AND($G182&lt;&gt;"",COUNTIF(CareerLevels,$G182)=0),", a career level that is not on the ladder",""),3,200))</f>
        <v/>
      </c>
    </row>
    <row r="183" customFormat="false" ht="15" hidden="false" customHeight="false" outlineLevel="0" collapsed="false">
      <c r="A183" s="21"/>
      <c r="B183" s="21"/>
      <c r="C183" s="21"/>
      <c r="D183" s="21"/>
      <c r="E183" s="21"/>
      <c r="F183" s="21"/>
      <c r="G183" s="21"/>
      <c r="H183" s="21"/>
      <c r="I183" s="21"/>
      <c r="J183" s="22"/>
      <c r="K183" s="22"/>
      <c r="L183" s="22"/>
      <c r="M183" s="21"/>
      <c r="N183" s="21"/>
      <c r="O183" s="20" t="n">
        <f aca="false">IF($N183="Exit",N($J183),0)</f>
        <v>0</v>
      </c>
      <c r="P183" s="23" t="str">
        <f aca="false">IF($F183="","",MID(IF($G183="",", career level","")&amp;IF($I183="",", nationality mandate","")&amp;IF($N183="",", capacity direction","")&amp;IF(N($J183)&lt;=0,", approved HC","")&amp;IF(AND($G183&lt;&gt;"",COUNTIF(CareerLevels,$G183)=0),", a career level that is not on the ladder",""),3,200))</f>
        <v/>
      </c>
    </row>
    <row r="184" customFormat="false" ht="15" hidden="false" customHeight="false" outlineLevel="0" collapsed="false">
      <c r="A184" s="21"/>
      <c r="B184" s="21"/>
      <c r="C184" s="21"/>
      <c r="D184" s="21"/>
      <c r="E184" s="21"/>
      <c r="F184" s="21"/>
      <c r="G184" s="21"/>
      <c r="H184" s="21"/>
      <c r="I184" s="21"/>
      <c r="J184" s="22"/>
      <c r="K184" s="22"/>
      <c r="L184" s="22"/>
      <c r="M184" s="21"/>
      <c r="N184" s="21"/>
      <c r="O184" s="20" t="n">
        <f aca="false">IF($N184="Exit",N($J184),0)</f>
        <v>0</v>
      </c>
      <c r="P184" s="23" t="str">
        <f aca="false">IF($F184="","",MID(IF($G184="",", career level","")&amp;IF($I184="",", nationality mandate","")&amp;IF($N184="",", capacity direction","")&amp;IF(N($J184)&lt;=0,", approved HC","")&amp;IF(AND($G184&lt;&gt;"",COUNTIF(CareerLevels,$G184)=0),", a career level that is not on the ladder",""),3,200))</f>
        <v/>
      </c>
    </row>
    <row r="185" customFormat="false" ht="15" hidden="false" customHeight="false" outlineLevel="0" collapsed="false">
      <c r="A185" s="21"/>
      <c r="B185" s="21"/>
      <c r="C185" s="21"/>
      <c r="D185" s="21"/>
      <c r="E185" s="21"/>
      <c r="F185" s="21"/>
      <c r="G185" s="21"/>
      <c r="H185" s="21"/>
      <c r="I185" s="21"/>
      <c r="J185" s="22"/>
      <c r="K185" s="22"/>
      <c r="L185" s="22"/>
      <c r="M185" s="21"/>
      <c r="N185" s="21"/>
      <c r="O185" s="20" t="n">
        <f aca="false">IF($N185="Exit",N($J185),0)</f>
        <v>0</v>
      </c>
      <c r="P185" s="23" t="str">
        <f aca="false">IF($F185="","",MID(IF($G185="",", career level","")&amp;IF($I185="",", nationality mandate","")&amp;IF($N185="",", capacity direction","")&amp;IF(N($J185)&lt;=0,", approved HC","")&amp;IF(AND($G185&lt;&gt;"",COUNTIF(CareerLevels,$G185)=0),", a career level that is not on the ladder",""),3,200))</f>
        <v/>
      </c>
    </row>
    <row r="186" customFormat="false" ht="15" hidden="false" customHeight="false" outlineLevel="0" collapsed="false">
      <c r="A186" s="21"/>
      <c r="B186" s="21"/>
      <c r="C186" s="21"/>
      <c r="D186" s="21"/>
      <c r="E186" s="21"/>
      <c r="F186" s="21"/>
      <c r="G186" s="21"/>
      <c r="H186" s="21"/>
      <c r="I186" s="21"/>
      <c r="J186" s="22"/>
      <c r="K186" s="22"/>
      <c r="L186" s="22"/>
      <c r="M186" s="21"/>
      <c r="N186" s="21"/>
      <c r="O186" s="20" t="n">
        <f aca="false">IF($N186="Exit",N($J186),0)</f>
        <v>0</v>
      </c>
      <c r="P186" s="23" t="str">
        <f aca="false">IF($F186="","",MID(IF($G186="",", career level","")&amp;IF($I186="",", nationality mandate","")&amp;IF($N186="",", capacity direction","")&amp;IF(N($J186)&lt;=0,", approved HC","")&amp;IF(AND($G186&lt;&gt;"",COUNTIF(CareerLevels,$G186)=0),", a career level that is not on the ladder",""),3,200))</f>
        <v/>
      </c>
    </row>
  </sheetData>
  <sheetProtection sheet="true" sort="false" autoFilter="false"/>
  <autoFilter ref="A5:P186"/>
  <mergeCells count="1">
    <mergeCell ref="A2:J2"/>
  </mergeCells>
  <conditionalFormatting sqref="A6:P186">
    <cfRule type="expression" priority="2" aboveAverage="0" equalAverage="0" bottom="0" percent="0" rank="0" text="" dxfId="11">
      <formula>$N6="Exit"</formula>
    </cfRule>
  </conditionalFormatting>
  <conditionalFormatting sqref="P6:P186">
    <cfRule type="expression" priority="3" aboveAverage="0" equalAverage="0" bottom="0" percent="0" rank="0" text="" dxfId="12">
      <formula>$P6&lt;&gt;""</formula>
    </cfRule>
  </conditionalFormatting>
  <dataValidations count="5">
    <dataValidation allowBlank="true" error="Pick a value from the list." errorStyle="stop" operator="between" showDropDown="false" showErrorMessage="true" showInputMessage="false" sqref="G6:G186" type="list">
      <formula1>CareerLevels</formula1>
      <formula2>0</formula2>
    </dataValidation>
    <dataValidation allowBlank="true" error="Pick a value from the list." errorStyle="stop" operator="between" showDropDown="false" showErrorMessage="true" showInputMessage="false" sqref="H6:H186" type="list">
      <formula1>JobFamilies</formula1>
      <formula2>0</formula2>
    </dataValidation>
    <dataValidation allowBlank="true" error="Pick a value from the list." errorStyle="stop" operator="between" showDropDown="false" showErrorMessage="true" showInputMessage="false" sqref="I6:I186" type="list">
      <formula1>YesNo</formula1>
      <formula2>0</formula2>
    </dataValidation>
    <dataValidation allowBlank="true" error="Pick a value from the list." errorStyle="stop" operator="between" showDropDown="false" showErrorMessage="true" showInputMessage="false" sqref="M6:M186" type="list">
      <formula1>WorkerTypes</formula1>
      <formula2>0</formula2>
    </dataValidation>
    <dataValidation allowBlank="true" error="Pick a value from the list." errorStyle="stop" operator="between" showDropDown="false" showErrorMessage="true" showInputMessage="false" sqref="N6:N186" type="list">
      <formula1>DirectionList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4"/>
    <col collapsed="false" customWidth="true" hidden="false" outlineLevel="0" max="10" min="10" style="0" width="15"/>
    <col collapsed="false" customWidth="true" hidden="false" outlineLevel="0" max="11" min="11" style="0" width="11"/>
    <col collapsed="false" customWidth="true" hidden="false" outlineLevel="0" max="15" min="12" style="0" width="7"/>
    <col collapsed="false" customWidth="true" hidden="false" outlineLevel="0" max="16" min="16" style="0" width="14"/>
    <col collapsed="false" customWidth="true" hidden="false" outlineLevel="0" max="17" min="17" style="0" width="30"/>
    <col collapsed="false" customWidth="true" hidden="false" outlineLevel="0" max="18" min="18" style="0" width="44"/>
    <col collapsed="false" customWidth="true" hidden="false" outlineLevel="0" max="19" min="19" style="0" width="38"/>
    <col collapsed="false" customWidth="true" hidden="false" outlineLevel="0" max="20" min="20" style="0" width="9"/>
  </cols>
  <sheetData>
    <row r="1" customFormat="false" ht="24" hidden="false" customHeight="true" outlineLevel="0" collapsed="false">
      <c r="A1" s="1" t="s">
        <v>219</v>
      </c>
    </row>
    <row r="2" customFormat="false" ht="15" hidden="false" customHeight="false" outlineLevel="0" collapsed="false">
      <c r="A2" s="2" t="s">
        <v>220</v>
      </c>
      <c r="B2" s="2"/>
      <c r="C2" s="2"/>
      <c r="D2" s="2"/>
      <c r="E2" s="2"/>
      <c r="F2" s="2"/>
      <c r="G2" s="2"/>
      <c r="H2" s="2"/>
      <c r="I2" s="2"/>
      <c r="J2" s="2"/>
    </row>
    <row r="4" customFormat="false" ht="15" hidden="false" customHeight="false" outlineLevel="0" collapsed="false">
      <c r="L4" s="24" t="s">
        <v>221</v>
      </c>
      <c r="M4" s="24"/>
      <c r="N4" s="24"/>
      <c r="O4" s="24"/>
    </row>
    <row r="5" customFormat="false" ht="30" hidden="false" customHeight="true" outlineLevel="0" collapsed="false">
      <c r="A5" s="12" t="s">
        <v>222</v>
      </c>
      <c r="B5" s="12" t="s">
        <v>38</v>
      </c>
      <c r="C5" s="12" t="s">
        <v>41</v>
      </c>
      <c r="D5" s="12" t="s">
        <v>27</v>
      </c>
      <c r="E5" s="12" t="s">
        <v>105</v>
      </c>
      <c r="F5" s="12" t="s">
        <v>223</v>
      </c>
      <c r="G5" s="12" t="s">
        <v>107</v>
      </c>
      <c r="H5" s="12" t="s">
        <v>108</v>
      </c>
      <c r="I5" s="12" t="s">
        <v>111</v>
      </c>
      <c r="J5" s="12" t="s">
        <v>224</v>
      </c>
      <c r="K5" s="12" t="s">
        <v>225</v>
      </c>
      <c r="L5" s="12" t="s">
        <v>226</v>
      </c>
      <c r="M5" s="12" t="s">
        <v>227</v>
      </c>
      <c r="N5" s="12" t="s">
        <v>228</v>
      </c>
      <c r="O5" s="12" t="s">
        <v>229</v>
      </c>
      <c r="P5" s="12" t="s">
        <v>230</v>
      </c>
      <c r="Q5" s="12" t="s">
        <v>231</v>
      </c>
      <c r="R5" s="12" t="s">
        <v>232</v>
      </c>
      <c r="S5" s="12" t="s">
        <v>114</v>
      </c>
      <c r="T5" s="12" t="s">
        <v>233</v>
      </c>
    </row>
    <row r="6" customFormat="false" ht="15" hidden="false" customHeight="false" outlineLevel="0" collapsed="false">
      <c r="A6" s="17" t="n">
        <v>1</v>
      </c>
      <c r="B6" s="21"/>
      <c r="C6" s="21"/>
      <c r="D6" s="21"/>
      <c r="E6" s="21"/>
      <c r="F6" s="21"/>
      <c r="G6" s="21"/>
      <c r="H6" s="21"/>
      <c r="I6" s="21"/>
      <c r="J6" s="20" t="str">
        <f aca="false">IF($F6="","",SUMIFS(SeatApproved,SeatUnit,$D6,SeatTitle,$F6))</f>
        <v/>
      </c>
      <c r="K6" s="20" t="str">
        <f aca="false">IF($F6="","",SUM($L6:$O6))</f>
        <v/>
      </c>
      <c r="L6" s="22"/>
      <c r="M6" s="22"/>
      <c r="N6" s="22"/>
      <c r="O6" s="22"/>
      <c r="P6" s="18" t="str">
        <f aca="false">IF($Q6="","",IFERROR(INDEX(DriverCategory,MATCH($Q6,DriverList,0)),"?"))</f>
        <v/>
      </c>
      <c r="Q6" s="21"/>
      <c r="R6" s="21"/>
      <c r="S6" s="23" t="str">
        <f aca="false">IF(COUNTA($B6:$H6)+COUNTA($L6:$O6)=0,"",MID(IF($B6="",", division","")&amp;IF($D6="",", unit","")&amp;IF($F6="",", job title","")&amp;IF($G6="",", career level","")&amp;IF($H6="",", job family","")&amp;IF($I6="",", worker type","")&amp;IF(N($K6)&lt;=0,", the quarter split","")&amp;IF($Q6="",", driver","")&amp;IF($R6="",", alternatives","")&amp;IF(AND($D6&lt;&gt;"",COUNTIF(UnitList,$D6)=0),", a unit that is not in your structure",""),3,300))</f>
        <v/>
      </c>
      <c r="T6" s="17" t="str">
        <f aca="false">IF($S6="","",COUNTIF($S$6:$S6,"?*"))</f>
        <v/>
      </c>
    </row>
    <row r="7" customFormat="false" ht="15" hidden="false" customHeight="false" outlineLevel="0" collapsed="false">
      <c r="A7" s="17" t="n">
        <v>2</v>
      </c>
      <c r="B7" s="21"/>
      <c r="C7" s="21"/>
      <c r="D7" s="21"/>
      <c r="E7" s="21"/>
      <c r="F7" s="21"/>
      <c r="G7" s="21"/>
      <c r="H7" s="21"/>
      <c r="I7" s="21"/>
      <c r="J7" s="20" t="str">
        <f aca="false">IF($F7="","",SUMIFS(SeatApproved,SeatUnit,$D7,SeatTitle,$F7))</f>
        <v/>
      </c>
      <c r="K7" s="20" t="str">
        <f aca="false">IF($F7="","",SUM($L7:$O7))</f>
        <v/>
      </c>
      <c r="L7" s="22"/>
      <c r="M7" s="22"/>
      <c r="N7" s="22"/>
      <c r="O7" s="22"/>
      <c r="P7" s="18" t="str">
        <f aca="false">IF($Q7="","",IFERROR(INDEX(DriverCategory,MATCH($Q7,DriverList,0)),"?"))</f>
        <v/>
      </c>
      <c r="Q7" s="21"/>
      <c r="R7" s="21"/>
      <c r="S7" s="23" t="str">
        <f aca="false">IF(COUNTA($B7:$H7)+COUNTA($L7:$O7)=0,"",MID(IF($B7="",", division","")&amp;IF($D7="",", unit","")&amp;IF($F7="",", job title","")&amp;IF($G7="",", career level","")&amp;IF($H7="",", job family","")&amp;IF($I7="",", worker type","")&amp;IF(N($K7)&lt;=0,", the quarter split","")&amp;IF($Q7="",", driver","")&amp;IF($R7="",", alternatives","")&amp;IF(AND($D7&lt;&gt;"",COUNTIF(UnitList,$D7)=0),", a unit that is not in your structure",""),3,300))</f>
        <v/>
      </c>
      <c r="T7" s="17" t="str">
        <f aca="false">IF($S7="","",COUNTIF($S$6:$S7,"?*"))</f>
        <v/>
      </c>
    </row>
    <row r="8" customFormat="false" ht="15" hidden="false" customHeight="false" outlineLevel="0" collapsed="false">
      <c r="A8" s="17" t="n">
        <v>3</v>
      </c>
      <c r="B8" s="21"/>
      <c r="C8" s="21"/>
      <c r="D8" s="21"/>
      <c r="E8" s="21"/>
      <c r="F8" s="21"/>
      <c r="G8" s="21"/>
      <c r="H8" s="21"/>
      <c r="I8" s="21"/>
      <c r="J8" s="20" t="str">
        <f aca="false">IF($F8="","",SUMIFS(SeatApproved,SeatUnit,$D8,SeatTitle,$F8))</f>
        <v/>
      </c>
      <c r="K8" s="20" t="str">
        <f aca="false">IF($F8="","",SUM($L8:$O8))</f>
        <v/>
      </c>
      <c r="L8" s="22"/>
      <c r="M8" s="22"/>
      <c r="N8" s="22"/>
      <c r="O8" s="22"/>
      <c r="P8" s="18" t="str">
        <f aca="false">IF($Q8="","",IFERROR(INDEX(DriverCategory,MATCH($Q8,DriverList,0)),"?"))</f>
        <v/>
      </c>
      <c r="Q8" s="21"/>
      <c r="R8" s="21"/>
      <c r="S8" s="23" t="str">
        <f aca="false">IF(COUNTA($B8:$H8)+COUNTA($L8:$O8)=0,"",MID(IF($B8="",", division","")&amp;IF($D8="",", unit","")&amp;IF($F8="",", job title","")&amp;IF($G8="",", career level","")&amp;IF($H8="",", job family","")&amp;IF($I8="",", worker type","")&amp;IF(N($K8)&lt;=0,", the quarter split","")&amp;IF($Q8="",", driver","")&amp;IF($R8="",", alternatives","")&amp;IF(AND($D8&lt;&gt;"",COUNTIF(UnitList,$D8)=0),", a unit that is not in your structure",""),3,300))</f>
        <v/>
      </c>
      <c r="T8" s="17" t="str">
        <f aca="false">IF($S8="","",COUNTIF($S$6:$S8,"?*"))</f>
        <v/>
      </c>
    </row>
    <row r="9" customFormat="false" ht="15" hidden="false" customHeight="false" outlineLevel="0" collapsed="false">
      <c r="A9" s="17" t="n">
        <v>4</v>
      </c>
      <c r="B9" s="21"/>
      <c r="C9" s="21"/>
      <c r="D9" s="21"/>
      <c r="E9" s="21"/>
      <c r="F9" s="21"/>
      <c r="G9" s="21"/>
      <c r="H9" s="21"/>
      <c r="I9" s="21"/>
      <c r="J9" s="20" t="str">
        <f aca="false">IF($F9="","",SUMIFS(SeatApproved,SeatUnit,$D9,SeatTitle,$F9))</f>
        <v/>
      </c>
      <c r="K9" s="20" t="str">
        <f aca="false">IF($F9="","",SUM($L9:$O9))</f>
        <v/>
      </c>
      <c r="L9" s="22"/>
      <c r="M9" s="22"/>
      <c r="N9" s="22"/>
      <c r="O9" s="22"/>
      <c r="P9" s="18" t="str">
        <f aca="false">IF($Q9="","",IFERROR(INDEX(DriverCategory,MATCH($Q9,DriverList,0)),"?"))</f>
        <v/>
      </c>
      <c r="Q9" s="21"/>
      <c r="R9" s="21"/>
      <c r="S9" s="23" t="str">
        <f aca="false">IF(COUNTA($B9:$H9)+COUNTA($L9:$O9)=0,"",MID(IF($B9="",", division","")&amp;IF($D9="",", unit","")&amp;IF($F9="",", job title","")&amp;IF($G9="",", career level","")&amp;IF($H9="",", job family","")&amp;IF($I9="",", worker type","")&amp;IF(N($K9)&lt;=0,", the quarter split","")&amp;IF($Q9="",", driver","")&amp;IF($R9="",", alternatives","")&amp;IF(AND($D9&lt;&gt;"",COUNTIF(UnitList,$D9)=0),", a unit that is not in your structure",""),3,300))</f>
        <v/>
      </c>
      <c r="T9" s="17" t="str">
        <f aca="false">IF($S9="","",COUNTIF($S$6:$S9,"?*"))</f>
        <v/>
      </c>
    </row>
    <row r="10" customFormat="false" ht="15" hidden="false" customHeight="false" outlineLevel="0" collapsed="false">
      <c r="A10" s="17" t="n">
        <v>5</v>
      </c>
      <c r="B10" s="21"/>
      <c r="C10" s="21"/>
      <c r="D10" s="21"/>
      <c r="E10" s="21"/>
      <c r="F10" s="21"/>
      <c r="G10" s="21"/>
      <c r="H10" s="21"/>
      <c r="I10" s="21"/>
      <c r="J10" s="20" t="str">
        <f aca="false">IF($F10="","",SUMIFS(SeatApproved,SeatUnit,$D10,SeatTitle,$F10))</f>
        <v/>
      </c>
      <c r="K10" s="20" t="str">
        <f aca="false">IF($F10="","",SUM($L10:$O10))</f>
        <v/>
      </c>
      <c r="L10" s="22"/>
      <c r="M10" s="22"/>
      <c r="N10" s="22"/>
      <c r="O10" s="22"/>
      <c r="P10" s="18" t="str">
        <f aca="false">IF($Q10="","",IFERROR(INDEX(DriverCategory,MATCH($Q10,DriverList,0)),"?"))</f>
        <v/>
      </c>
      <c r="Q10" s="21"/>
      <c r="R10" s="21"/>
      <c r="S10" s="23" t="str">
        <f aca="false">IF(COUNTA($B10:$H10)+COUNTA($L10:$O10)=0,"",MID(IF($B10="",", division","")&amp;IF($D10="",", unit","")&amp;IF($F10="",", job title","")&amp;IF($G10="",", career level","")&amp;IF($H10="",", job family","")&amp;IF($I10="",", worker type","")&amp;IF(N($K10)&lt;=0,", the quarter split","")&amp;IF($Q10="",", driver","")&amp;IF($R10="",", alternatives","")&amp;IF(AND($D10&lt;&gt;"",COUNTIF(UnitList,$D10)=0),", a unit that is not in your structure",""),3,300))</f>
        <v/>
      </c>
      <c r="T10" s="17" t="str">
        <f aca="false">IF($S10="","",COUNTIF($S$6:$S10,"?*"))</f>
        <v/>
      </c>
    </row>
    <row r="11" customFormat="false" ht="15" hidden="false" customHeight="false" outlineLevel="0" collapsed="false">
      <c r="A11" s="17" t="n">
        <v>6</v>
      </c>
      <c r="B11" s="21"/>
      <c r="C11" s="21"/>
      <c r="D11" s="21"/>
      <c r="E11" s="21"/>
      <c r="F11" s="21"/>
      <c r="G11" s="21"/>
      <c r="H11" s="21"/>
      <c r="I11" s="21"/>
      <c r="J11" s="20" t="str">
        <f aca="false">IF($F11="","",SUMIFS(SeatApproved,SeatUnit,$D11,SeatTitle,$F11))</f>
        <v/>
      </c>
      <c r="K11" s="20" t="str">
        <f aca="false">IF($F11="","",SUM($L11:$O11))</f>
        <v/>
      </c>
      <c r="L11" s="22"/>
      <c r="M11" s="22"/>
      <c r="N11" s="22"/>
      <c r="O11" s="22"/>
      <c r="P11" s="18" t="str">
        <f aca="false">IF($Q11="","",IFERROR(INDEX(DriverCategory,MATCH($Q11,DriverList,0)),"?"))</f>
        <v/>
      </c>
      <c r="Q11" s="21"/>
      <c r="R11" s="21"/>
      <c r="S11" s="23" t="str">
        <f aca="false">IF(COUNTA($B11:$H11)+COUNTA($L11:$O11)=0,"",MID(IF($B11="",", division","")&amp;IF($D11="",", unit","")&amp;IF($F11="",", job title","")&amp;IF($G11="",", career level","")&amp;IF($H11="",", job family","")&amp;IF($I11="",", worker type","")&amp;IF(N($K11)&lt;=0,", the quarter split","")&amp;IF($Q11="",", driver","")&amp;IF($R11="",", alternatives","")&amp;IF(AND($D11&lt;&gt;"",COUNTIF(UnitList,$D11)=0),", a unit that is not in your structure",""),3,300))</f>
        <v/>
      </c>
      <c r="T11" s="17" t="str">
        <f aca="false">IF($S11="","",COUNTIF($S$6:$S11,"?*"))</f>
        <v/>
      </c>
    </row>
    <row r="12" customFormat="false" ht="15" hidden="false" customHeight="false" outlineLevel="0" collapsed="false">
      <c r="A12" s="17" t="n">
        <v>7</v>
      </c>
      <c r="B12" s="21"/>
      <c r="C12" s="21"/>
      <c r="D12" s="21"/>
      <c r="E12" s="21"/>
      <c r="F12" s="21"/>
      <c r="G12" s="21"/>
      <c r="H12" s="21"/>
      <c r="I12" s="21"/>
      <c r="J12" s="20" t="str">
        <f aca="false">IF($F12="","",SUMIFS(SeatApproved,SeatUnit,$D12,SeatTitle,$F12))</f>
        <v/>
      </c>
      <c r="K12" s="20" t="str">
        <f aca="false">IF($F12="","",SUM($L12:$O12))</f>
        <v/>
      </c>
      <c r="L12" s="22"/>
      <c r="M12" s="22"/>
      <c r="N12" s="22"/>
      <c r="O12" s="22"/>
      <c r="P12" s="18" t="str">
        <f aca="false">IF($Q12="","",IFERROR(INDEX(DriverCategory,MATCH($Q12,DriverList,0)),"?"))</f>
        <v/>
      </c>
      <c r="Q12" s="21"/>
      <c r="R12" s="21"/>
      <c r="S12" s="23" t="str">
        <f aca="false">IF(COUNTA($B12:$H12)+COUNTA($L12:$O12)=0,"",MID(IF($B12="",", division","")&amp;IF($D12="",", unit","")&amp;IF($F12="",", job title","")&amp;IF($G12="",", career level","")&amp;IF($H12="",", job family","")&amp;IF($I12="",", worker type","")&amp;IF(N($K12)&lt;=0,", the quarter split","")&amp;IF($Q12="",", driver","")&amp;IF($R12="",", alternatives","")&amp;IF(AND($D12&lt;&gt;"",COUNTIF(UnitList,$D12)=0),", a unit that is not in your structure",""),3,300))</f>
        <v/>
      </c>
      <c r="T12" s="17" t="str">
        <f aca="false">IF($S12="","",COUNTIF($S$6:$S12,"?*"))</f>
        <v/>
      </c>
    </row>
    <row r="13" customFormat="false" ht="15" hidden="false" customHeight="false" outlineLevel="0" collapsed="false">
      <c r="A13" s="17" t="n">
        <v>8</v>
      </c>
      <c r="B13" s="21"/>
      <c r="C13" s="21"/>
      <c r="D13" s="21"/>
      <c r="E13" s="21"/>
      <c r="F13" s="21"/>
      <c r="G13" s="21"/>
      <c r="H13" s="21"/>
      <c r="I13" s="21"/>
      <c r="J13" s="20" t="str">
        <f aca="false">IF($F13="","",SUMIFS(SeatApproved,SeatUnit,$D13,SeatTitle,$F13))</f>
        <v/>
      </c>
      <c r="K13" s="20" t="str">
        <f aca="false">IF($F13="","",SUM($L13:$O13))</f>
        <v/>
      </c>
      <c r="L13" s="22"/>
      <c r="M13" s="22"/>
      <c r="N13" s="22"/>
      <c r="O13" s="22"/>
      <c r="P13" s="18" t="str">
        <f aca="false">IF($Q13="","",IFERROR(INDEX(DriverCategory,MATCH($Q13,DriverList,0)),"?"))</f>
        <v/>
      </c>
      <c r="Q13" s="21"/>
      <c r="R13" s="21"/>
      <c r="S13" s="23" t="str">
        <f aca="false">IF(COUNTA($B13:$H13)+COUNTA($L13:$O13)=0,"",MID(IF($B13="",", division","")&amp;IF($D13="",", unit","")&amp;IF($F13="",", job title","")&amp;IF($G13="",", career level","")&amp;IF($H13="",", job family","")&amp;IF($I13="",", worker type","")&amp;IF(N($K13)&lt;=0,", the quarter split","")&amp;IF($Q13="",", driver","")&amp;IF($R13="",", alternatives","")&amp;IF(AND($D13&lt;&gt;"",COUNTIF(UnitList,$D13)=0),", a unit that is not in your structure",""),3,300))</f>
        <v/>
      </c>
      <c r="T13" s="17" t="str">
        <f aca="false">IF($S13="","",COUNTIF($S$6:$S13,"?*"))</f>
        <v/>
      </c>
    </row>
    <row r="14" customFormat="false" ht="15" hidden="false" customHeight="false" outlineLevel="0" collapsed="false">
      <c r="A14" s="17" t="n">
        <v>9</v>
      </c>
      <c r="B14" s="21"/>
      <c r="C14" s="21"/>
      <c r="D14" s="21"/>
      <c r="E14" s="21"/>
      <c r="F14" s="21"/>
      <c r="G14" s="21"/>
      <c r="H14" s="21"/>
      <c r="I14" s="21"/>
      <c r="J14" s="20" t="str">
        <f aca="false">IF($F14="","",SUMIFS(SeatApproved,SeatUnit,$D14,SeatTitle,$F14))</f>
        <v/>
      </c>
      <c r="K14" s="20" t="str">
        <f aca="false">IF($F14="","",SUM($L14:$O14))</f>
        <v/>
      </c>
      <c r="L14" s="22"/>
      <c r="M14" s="22"/>
      <c r="N14" s="22"/>
      <c r="O14" s="22"/>
      <c r="P14" s="18" t="str">
        <f aca="false">IF($Q14="","",IFERROR(INDEX(DriverCategory,MATCH($Q14,DriverList,0)),"?"))</f>
        <v/>
      </c>
      <c r="Q14" s="21"/>
      <c r="R14" s="21"/>
      <c r="S14" s="23" t="str">
        <f aca="false">IF(COUNTA($B14:$H14)+COUNTA($L14:$O14)=0,"",MID(IF($B14="",", division","")&amp;IF($D14="",", unit","")&amp;IF($F14="",", job title","")&amp;IF($G14="",", career level","")&amp;IF($H14="",", job family","")&amp;IF($I14="",", worker type","")&amp;IF(N($K14)&lt;=0,", the quarter split","")&amp;IF($Q14="",", driver","")&amp;IF($R14="",", alternatives","")&amp;IF(AND($D14&lt;&gt;"",COUNTIF(UnitList,$D14)=0),", a unit that is not in your structure",""),3,300))</f>
        <v/>
      </c>
      <c r="T14" s="17" t="str">
        <f aca="false">IF($S14="","",COUNTIF($S$6:$S14,"?*"))</f>
        <v/>
      </c>
    </row>
    <row r="15" customFormat="false" ht="15" hidden="false" customHeight="false" outlineLevel="0" collapsed="false">
      <c r="A15" s="17" t="n">
        <v>10</v>
      </c>
      <c r="B15" s="21"/>
      <c r="C15" s="21"/>
      <c r="D15" s="21"/>
      <c r="E15" s="21"/>
      <c r="F15" s="21"/>
      <c r="G15" s="21"/>
      <c r="H15" s="21"/>
      <c r="I15" s="21"/>
      <c r="J15" s="20" t="str">
        <f aca="false">IF($F15="","",SUMIFS(SeatApproved,SeatUnit,$D15,SeatTitle,$F15))</f>
        <v/>
      </c>
      <c r="K15" s="20" t="str">
        <f aca="false">IF($F15="","",SUM($L15:$O15))</f>
        <v/>
      </c>
      <c r="L15" s="22"/>
      <c r="M15" s="22"/>
      <c r="N15" s="22"/>
      <c r="O15" s="22"/>
      <c r="P15" s="18" t="str">
        <f aca="false">IF($Q15="","",IFERROR(INDEX(DriverCategory,MATCH($Q15,DriverList,0)),"?"))</f>
        <v/>
      </c>
      <c r="Q15" s="21"/>
      <c r="R15" s="21"/>
      <c r="S15" s="23" t="str">
        <f aca="false">IF(COUNTA($B15:$H15)+COUNTA($L15:$O15)=0,"",MID(IF($B15="",", division","")&amp;IF($D15="",", unit","")&amp;IF($F15="",", job title","")&amp;IF($G15="",", career level","")&amp;IF($H15="",", job family","")&amp;IF($I15="",", worker type","")&amp;IF(N($K15)&lt;=0,", the quarter split","")&amp;IF($Q15="",", driver","")&amp;IF($R15="",", alternatives","")&amp;IF(AND($D15&lt;&gt;"",COUNTIF(UnitList,$D15)=0),", a unit that is not in your structure",""),3,300))</f>
        <v/>
      </c>
      <c r="T15" s="17" t="str">
        <f aca="false">IF($S15="","",COUNTIF($S$6:$S15,"?*"))</f>
        <v/>
      </c>
    </row>
    <row r="16" customFormat="false" ht="15" hidden="false" customHeight="false" outlineLevel="0" collapsed="false">
      <c r="A16" s="17" t="n">
        <v>11</v>
      </c>
      <c r="B16" s="21"/>
      <c r="C16" s="21"/>
      <c r="D16" s="21"/>
      <c r="E16" s="21"/>
      <c r="F16" s="21"/>
      <c r="G16" s="21"/>
      <c r="H16" s="21"/>
      <c r="I16" s="21"/>
      <c r="J16" s="20" t="str">
        <f aca="false">IF($F16="","",SUMIFS(SeatApproved,SeatUnit,$D16,SeatTitle,$F16))</f>
        <v/>
      </c>
      <c r="K16" s="20" t="str">
        <f aca="false">IF($F16="","",SUM($L16:$O16))</f>
        <v/>
      </c>
      <c r="L16" s="22"/>
      <c r="M16" s="22"/>
      <c r="N16" s="22"/>
      <c r="O16" s="22"/>
      <c r="P16" s="18" t="str">
        <f aca="false">IF($Q16="","",IFERROR(INDEX(DriverCategory,MATCH($Q16,DriverList,0)),"?"))</f>
        <v/>
      </c>
      <c r="Q16" s="21"/>
      <c r="R16" s="21"/>
      <c r="S16" s="23" t="str">
        <f aca="false">IF(COUNTA($B16:$H16)+COUNTA($L16:$O16)=0,"",MID(IF($B16="",", division","")&amp;IF($D16="",", unit","")&amp;IF($F16="",", job title","")&amp;IF($G16="",", career level","")&amp;IF($H16="",", job family","")&amp;IF($I16="",", worker type","")&amp;IF(N($K16)&lt;=0,", the quarter split","")&amp;IF($Q16="",", driver","")&amp;IF($R16="",", alternatives","")&amp;IF(AND($D16&lt;&gt;"",COUNTIF(UnitList,$D16)=0),", a unit that is not in your structure",""),3,300))</f>
        <v/>
      </c>
      <c r="T16" s="17" t="str">
        <f aca="false">IF($S16="","",COUNTIF($S$6:$S16,"?*"))</f>
        <v/>
      </c>
    </row>
    <row r="17" customFormat="false" ht="15" hidden="false" customHeight="false" outlineLevel="0" collapsed="false">
      <c r="A17" s="17" t="n">
        <v>12</v>
      </c>
      <c r="B17" s="21"/>
      <c r="C17" s="21"/>
      <c r="D17" s="21"/>
      <c r="E17" s="21"/>
      <c r="F17" s="21"/>
      <c r="G17" s="21"/>
      <c r="H17" s="21"/>
      <c r="I17" s="21"/>
      <c r="J17" s="20" t="str">
        <f aca="false">IF($F17="","",SUMIFS(SeatApproved,SeatUnit,$D17,SeatTitle,$F17))</f>
        <v/>
      </c>
      <c r="K17" s="20" t="str">
        <f aca="false">IF($F17="","",SUM($L17:$O17))</f>
        <v/>
      </c>
      <c r="L17" s="22"/>
      <c r="M17" s="22"/>
      <c r="N17" s="22"/>
      <c r="O17" s="22"/>
      <c r="P17" s="18" t="str">
        <f aca="false">IF($Q17="","",IFERROR(INDEX(DriverCategory,MATCH($Q17,DriverList,0)),"?"))</f>
        <v/>
      </c>
      <c r="Q17" s="21"/>
      <c r="R17" s="21"/>
      <c r="S17" s="23" t="str">
        <f aca="false">IF(COUNTA($B17:$H17)+COUNTA($L17:$O17)=0,"",MID(IF($B17="",", division","")&amp;IF($D17="",", unit","")&amp;IF($F17="",", job title","")&amp;IF($G17="",", career level","")&amp;IF($H17="",", job family","")&amp;IF($I17="",", worker type","")&amp;IF(N($K17)&lt;=0,", the quarter split","")&amp;IF($Q17="",", driver","")&amp;IF($R17="",", alternatives","")&amp;IF(AND($D17&lt;&gt;"",COUNTIF(UnitList,$D17)=0),", a unit that is not in your structure",""),3,300))</f>
        <v/>
      </c>
      <c r="T17" s="17" t="str">
        <f aca="false">IF($S17="","",COUNTIF($S$6:$S17,"?*"))</f>
        <v/>
      </c>
    </row>
    <row r="18" customFormat="false" ht="15" hidden="false" customHeight="false" outlineLevel="0" collapsed="false">
      <c r="A18" s="17" t="n">
        <v>13</v>
      </c>
      <c r="B18" s="21"/>
      <c r="C18" s="21"/>
      <c r="D18" s="21"/>
      <c r="E18" s="21"/>
      <c r="F18" s="21"/>
      <c r="G18" s="21"/>
      <c r="H18" s="21"/>
      <c r="I18" s="21"/>
      <c r="J18" s="20" t="str">
        <f aca="false">IF($F18="","",SUMIFS(SeatApproved,SeatUnit,$D18,SeatTitle,$F18))</f>
        <v/>
      </c>
      <c r="K18" s="20" t="str">
        <f aca="false">IF($F18="","",SUM($L18:$O18))</f>
        <v/>
      </c>
      <c r="L18" s="22"/>
      <c r="M18" s="22"/>
      <c r="N18" s="22"/>
      <c r="O18" s="22"/>
      <c r="P18" s="18" t="str">
        <f aca="false">IF($Q18="","",IFERROR(INDEX(DriverCategory,MATCH($Q18,DriverList,0)),"?"))</f>
        <v/>
      </c>
      <c r="Q18" s="21"/>
      <c r="R18" s="21"/>
      <c r="S18" s="23" t="str">
        <f aca="false">IF(COUNTA($B18:$H18)+COUNTA($L18:$O18)=0,"",MID(IF($B18="",", division","")&amp;IF($D18="",", unit","")&amp;IF($F18="",", job title","")&amp;IF($G18="",", career level","")&amp;IF($H18="",", job family","")&amp;IF($I18="",", worker type","")&amp;IF(N($K18)&lt;=0,", the quarter split","")&amp;IF($Q18="",", driver","")&amp;IF($R18="",", alternatives","")&amp;IF(AND($D18&lt;&gt;"",COUNTIF(UnitList,$D18)=0),", a unit that is not in your structure",""),3,300))</f>
        <v/>
      </c>
      <c r="T18" s="17" t="str">
        <f aca="false">IF($S18="","",COUNTIF($S$6:$S18,"?*"))</f>
        <v/>
      </c>
    </row>
    <row r="19" customFormat="false" ht="15" hidden="false" customHeight="false" outlineLevel="0" collapsed="false">
      <c r="A19" s="17" t="n">
        <v>14</v>
      </c>
      <c r="B19" s="21"/>
      <c r="C19" s="21"/>
      <c r="D19" s="21"/>
      <c r="E19" s="21"/>
      <c r="F19" s="21"/>
      <c r="G19" s="21"/>
      <c r="H19" s="21"/>
      <c r="I19" s="21"/>
      <c r="J19" s="20" t="str">
        <f aca="false">IF($F19="","",SUMIFS(SeatApproved,SeatUnit,$D19,SeatTitle,$F19))</f>
        <v/>
      </c>
      <c r="K19" s="20" t="str">
        <f aca="false">IF($F19="","",SUM($L19:$O19))</f>
        <v/>
      </c>
      <c r="L19" s="22"/>
      <c r="M19" s="22"/>
      <c r="N19" s="22"/>
      <c r="O19" s="22"/>
      <c r="P19" s="18" t="str">
        <f aca="false">IF($Q19="","",IFERROR(INDEX(DriverCategory,MATCH($Q19,DriverList,0)),"?"))</f>
        <v/>
      </c>
      <c r="Q19" s="21"/>
      <c r="R19" s="21"/>
      <c r="S19" s="23" t="str">
        <f aca="false">IF(COUNTA($B19:$H19)+COUNTA($L19:$O19)=0,"",MID(IF($B19="",", division","")&amp;IF($D19="",", unit","")&amp;IF($F19="",", job title","")&amp;IF($G19="",", career level","")&amp;IF($H19="",", job family","")&amp;IF($I19="",", worker type","")&amp;IF(N($K19)&lt;=0,", the quarter split","")&amp;IF($Q19="",", driver","")&amp;IF($R19="",", alternatives","")&amp;IF(AND($D19&lt;&gt;"",COUNTIF(UnitList,$D19)=0),", a unit that is not in your structure",""),3,300))</f>
        <v/>
      </c>
      <c r="T19" s="17" t="str">
        <f aca="false">IF($S19="","",COUNTIF($S$6:$S19,"?*"))</f>
        <v/>
      </c>
    </row>
    <row r="20" customFormat="false" ht="15" hidden="false" customHeight="false" outlineLevel="0" collapsed="false">
      <c r="A20" s="17" t="n">
        <v>15</v>
      </c>
      <c r="B20" s="21"/>
      <c r="C20" s="21"/>
      <c r="D20" s="21"/>
      <c r="E20" s="21"/>
      <c r="F20" s="21"/>
      <c r="G20" s="21"/>
      <c r="H20" s="21"/>
      <c r="I20" s="21"/>
      <c r="J20" s="20" t="str">
        <f aca="false">IF($F20="","",SUMIFS(SeatApproved,SeatUnit,$D20,SeatTitle,$F20))</f>
        <v/>
      </c>
      <c r="K20" s="20" t="str">
        <f aca="false">IF($F20="","",SUM($L20:$O20))</f>
        <v/>
      </c>
      <c r="L20" s="22"/>
      <c r="M20" s="22"/>
      <c r="N20" s="22"/>
      <c r="O20" s="22"/>
      <c r="P20" s="18" t="str">
        <f aca="false">IF($Q20="","",IFERROR(INDEX(DriverCategory,MATCH($Q20,DriverList,0)),"?"))</f>
        <v/>
      </c>
      <c r="Q20" s="21"/>
      <c r="R20" s="21"/>
      <c r="S20" s="23" t="str">
        <f aca="false">IF(COUNTA($B20:$H20)+COUNTA($L20:$O20)=0,"",MID(IF($B20="",", division","")&amp;IF($D20="",", unit","")&amp;IF($F20="",", job title","")&amp;IF($G20="",", career level","")&amp;IF($H20="",", job family","")&amp;IF($I20="",", worker type","")&amp;IF(N($K20)&lt;=0,", the quarter split","")&amp;IF($Q20="",", driver","")&amp;IF($R20="",", alternatives","")&amp;IF(AND($D20&lt;&gt;"",COUNTIF(UnitList,$D20)=0),", a unit that is not in your structure",""),3,300))</f>
        <v/>
      </c>
      <c r="T20" s="17" t="str">
        <f aca="false">IF($S20="","",COUNTIF($S$6:$S20,"?*"))</f>
        <v/>
      </c>
    </row>
    <row r="21" customFormat="false" ht="15" hidden="false" customHeight="false" outlineLevel="0" collapsed="false">
      <c r="A21" s="17" t="n">
        <v>16</v>
      </c>
      <c r="B21" s="21"/>
      <c r="C21" s="21"/>
      <c r="D21" s="21"/>
      <c r="E21" s="21"/>
      <c r="F21" s="21"/>
      <c r="G21" s="21"/>
      <c r="H21" s="21"/>
      <c r="I21" s="21"/>
      <c r="J21" s="20" t="str">
        <f aca="false">IF($F21="","",SUMIFS(SeatApproved,SeatUnit,$D21,SeatTitle,$F21))</f>
        <v/>
      </c>
      <c r="K21" s="20" t="str">
        <f aca="false">IF($F21="","",SUM($L21:$O21))</f>
        <v/>
      </c>
      <c r="L21" s="22"/>
      <c r="M21" s="22"/>
      <c r="N21" s="22"/>
      <c r="O21" s="22"/>
      <c r="P21" s="18" t="str">
        <f aca="false">IF($Q21="","",IFERROR(INDEX(DriverCategory,MATCH($Q21,DriverList,0)),"?"))</f>
        <v/>
      </c>
      <c r="Q21" s="21"/>
      <c r="R21" s="21"/>
      <c r="S21" s="23" t="str">
        <f aca="false">IF(COUNTA($B21:$H21)+COUNTA($L21:$O21)=0,"",MID(IF($B21="",", division","")&amp;IF($D21="",", unit","")&amp;IF($F21="",", job title","")&amp;IF($G21="",", career level","")&amp;IF($H21="",", job family","")&amp;IF($I21="",", worker type","")&amp;IF(N($K21)&lt;=0,", the quarter split","")&amp;IF($Q21="",", driver","")&amp;IF($R21="",", alternatives","")&amp;IF(AND($D21&lt;&gt;"",COUNTIF(UnitList,$D21)=0),", a unit that is not in your structure",""),3,300))</f>
        <v/>
      </c>
      <c r="T21" s="17" t="str">
        <f aca="false">IF($S21="","",COUNTIF($S$6:$S21,"?*"))</f>
        <v/>
      </c>
    </row>
    <row r="22" customFormat="false" ht="15" hidden="false" customHeight="false" outlineLevel="0" collapsed="false">
      <c r="A22" s="17" t="n">
        <v>17</v>
      </c>
      <c r="B22" s="21"/>
      <c r="C22" s="21"/>
      <c r="D22" s="21"/>
      <c r="E22" s="21"/>
      <c r="F22" s="21"/>
      <c r="G22" s="21"/>
      <c r="H22" s="21"/>
      <c r="I22" s="21"/>
      <c r="J22" s="20" t="str">
        <f aca="false">IF($F22="","",SUMIFS(SeatApproved,SeatUnit,$D22,SeatTitle,$F22))</f>
        <v/>
      </c>
      <c r="K22" s="20" t="str">
        <f aca="false">IF($F22="","",SUM($L22:$O22))</f>
        <v/>
      </c>
      <c r="L22" s="22"/>
      <c r="M22" s="22"/>
      <c r="N22" s="22"/>
      <c r="O22" s="22"/>
      <c r="P22" s="18" t="str">
        <f aca="false">IF($Q22="","",IFERROR(INDEX(DriverCategory,MATCH($Q22,DriverList,0)),"?"))</f>
        <v/>
      </c>
      <c r="Q22" s="21"/>
      <c r="R22" s="21"/>
      <c r="S22" s="23" t="str">
        <f aca="false">IF(COUNTA($B22:$H22)+COUNTA($L22:$O22)=0,"",MID(IF($B22="",", division","")&amp;IF($D22="",", unit","")&amp;IF($F22="",", job title","")&amp;IF($G22="",", career level","")&amp;IF($H22="",", job family","")&amp;IF($I22="",", worker type","")&amp;IF(N($K22)&lt;=0,", the quarter split","")&amp;IF($Q22="",", driver","")&amp;IF($R22="",", alternatives","")&amp;IF(AND($D22&lt;&gt;"",COUNTIF(UnitList,$D22)=0),", a unit that is not in your structure",""),3,300))</f>
        <v/>
      </c>
      <c r="T22" s="17" t="str">
        <f aca="false">IF($S22="","",COUNTIF($S$6:$S22,"?*"))</f>
        <v/>
      </c>
    </row>
    <row r="23" customFormat="false" ht="15" hidden="false" customHeight="false" outlineLevel="0" collapsed="false">
      <c r="A23" s="17" t="n">
        <v>18</v>
      </c>
      <c r="B23" s="21"/>
      <c r="C23" s="21"/>
      <c r="D23" s="21"/>
      <c r="E23" s="21"/>
      <c r="F23" s="21"/>
      <c r="G23" s="21"/>
      <c r="H23" s="21"/>
      <c r="I23" s="21"/>
      <c r="J23" s="20" t="str">
        <f aca="false">IF($F23="","",SUMIFS(SeatApproved,SeatUnit,$D23,SeatTitle,$F23))</f>
        <v/>
      </c>
      <c r="K23" s="20" t="str">
        <f aca="false">IF($F23="","",SUM($L23:$O23))</f>
        <v/>
      </c>
      <c r="L23" s="22"/>
      <c r="M23" s="22"/>
      <c r="N23" s="22"/>
      <c r="O23" s="22"/>
      <c r="P23" s="18" t="str">
        <f aca="false">IF($Q23="","",IFERROR(INDEX(DriverCategory,MATCH($Q23,DriverList,0)),"?"))</f>
        <v/>
      </c>
      <c r="Q23" s="21"/>
      <c r="R23" s="21"/>
      <c r="S23" s="23" t="str">
        <f aca="false">IF(COUNTA($B23:$H23)+COUNTA($L23:$O23)=0,"",MID(IF($B23="",", division","")&amp;IF($D23="",", unit","")&amp;IF($F23="",", job title","")&amp;IF($G23="",", career level","")&amp;IF($H23="",", job family","")&amp;IF($I23="",", worker type","")&amp;IF(N($K23)&lt;=0,", the quarter split","")&amp;IF($Q23="",", driver","")&amp;IF($R23="",", alternatives","")&amp;IF(AND($D23&lt;&gt;"",COUNTIF(UnitList,$D23)=0),", a unit that is not in your structure",""),3,300))</f>
        <v/>
      </c>
      <c r="T23" s="17" t="str">
        <f aca="false">IF($S23="","",COUNTIF($S$6:$S23,"?*"))</f>
        <v/>
      </c>
    </row>
    <row r="24" customFormat="false" ht="15" hidden="false" customHeight="false" outlineLevel="0" collapsed="false">
      <c r="A24" s="17" t="n">
        <v>19</v>
      </c>
      <c r="B24" s="21"/>
      <c r="C24" s="21"/>
      <c r="D24" s="21"/>
      <c r="E24" s="21"/>
      <c r="F24" s="21"/>
      <c r="G24" s="21"/>
      <c r="H24" s="21"/>
      <c r="I24" s="21"/>
      <c r="J24" s="20" t="str">
        <f aca="false">IF($F24="","",SUMIFS(SeatApproved,SeatUnit,$D24,SeatTitle,$F24))</f>
        <v/>
      </c>
      <c r="K24" s="20" t="str">
        <f aca="false">IF($F24="","",SUM($L24:$O24))</f>
        <v/>
      </c>
      <c r="L24" s="22"/>
      <c r="M24" s="22"/>
      <c r="N24" s="22"/>
      <c r="O24" s="22"/>
      <c r="P24" s="18" t="str">
        <f aca="false">IF($Q24="","",IFERROR(INDEX(DriverCategory,MATCH($Q24,DriverList,0)),"?"))</f>
        <v/>
      </c>
      <c r="Q24" s="21"/>
      <c r="R24" s="21"/>
      <c r="S24" s="23" t="str">
        <f aca="false">IF(COUNTA($B24:$H24)+COUNTA($L24:$O24)=0,"",MID(IF($B24="",", division","")&amp;IF($D24="",", unit","")&amp;IF($F24="",", job title","")&amp;IF($G24="",", career level","")&amp;IF($H24="",", job family","")&amp;IF($I24="",", worker type","")&amp;IF(N($K24)&lt;=0,", the quarter split","")&amp;IF($Q24="",", driver","")&amp;IF($R24="",", alternatives","")&amp;IF(AND($D24&lt;&gt;"",COUNTIF(UnitList,$D24)=0),", a unit that is not in your structure",""),3,300))</f>
        <v/>
      </c>
      <c r="T24" s="17" t="str">
        <f aca="false">IF($S24="","",COUNTIF($S$6:$S24,"?*"))</f>
        <v/>
      </c>
    </row>
    <row r="25" customFormat="false" ht="15" hidden="false" customHeight="false" outlineLevel="0" collapsed="false">
      <c r="A25" s="17" t="n">
        <v>20</v>
      </c>
      <c r="B25" s="21"/>
      <c r="C25" s="21"/>
      <c r="D25" s="21"/>
      <c r="E25" s="21"/>
      <c r="F25" s="21"/>
      <c r="G25" s="21"/>
      <c r="H25" s="21"/>
      <c r="I25" s="21"/>
      <c r="J25" s="20" t="str">
        <f aca="false">IF($F25="","",SUMIFS(SeatApproved,SeatUnit,$D25,SeatTitle,$F25))</f>
        <v/>
      </c>
      <c r="K25" s="20" t="str">
        <f aca="false">IF($F25="","",SUM($L25:$O25))</f>
        <v/>
      </c>
      <c r="L25" s="22"/>
      <c r="M25" s="22"/>
      <c r="N25" s="22"/>
      <c r="O25" s="22"/>
      <c r="P25" s="18" t="str">
        <f aca="false">IF($Q25="","",IFERROR(INDEX(DriverCategory,MATCH($Q25,DriverList,0)),"?"))</f>
        <v/>
      </c>
      <c r="Q25" s="21"/>
      <c r="R25" s="21"/>
      <c r="S25" s="23" t="str">
        <f aca="false">IF(COUNTA($B25:$H25)+COUNTA($L25:$O25)=0,"",MID(IF($B25="",", division","")&amp;IF($D25="",", unit","")&amp;IF($F25="",", job title","")&amp;IF($G25="",", career level","")&amp;IF($H25="",", job family","")&amp;IF($I25="",", worker type","")&amp;IF(N($K25)&lt;=0,", the quarter split","")&amp;IF($Q25="",", driver","")&amp;IF($R25="",", alternatives","")&amp;IF(AND($D25&lt;&gt;"",COUNTIF(UnitList,$D25)=0),", a unit that is not in your structure",""),3,300))</f>
        <v/>
      </c>
      <c r="T25" s="17" t="str">
        <f aca="false">IF($S25="","",COUNTIF($S$6:$S25,"?*"))</f>
        <v/>
      </c>
    </row>
    <row r="26" customFormat="false" ht="15" hidden="false" customHeight="false" outlineLevel="0" collapsed="false">
      <c r="A26" s="17" t="n">
        <v>21</v>
      </c>
      <c r="B26" s="21"/>
      <c r="C26" s="21"/>
      <c r="D26" s="21"/>
      <c r="E26" s="21"/>
      <c r="F26" s="21"/>
      <c r="G26" s="21"/>
      <c r="H26" s="21"/>
      <c r="I26" s="21"/>
      <c r="J26" s="20" t="str">
        <f aca="false">IF($F26="","",SUMIFS(SeatApproved,SeatUnit,$D26,SeatTitle,$F26))</f>
        <v/>
      </c>
      <c r="K26" s="20" t="str">
        <f aca="false">IF($F26="","",SUM($L26:$O26))</f>
        <v/>
      </c>
      <c r="L26" s="22"/>
      <c r="M26" s="22"/>
      <c r="N26" s="22"/>
      <c r="O26" s="22"/>
      <c r="P26" s="18" t="str">
        <f aca="false">IF($Q26="","",IFERROR(INDEX(DriverCategory,MATCH($Q26,DriverList,0)),"?"))</f>
        <v/>
      </c>
      <c r="Q26" s="21"/>
      <c r="R26" s="21"/>
      <c r="S26" s="23" t="str">
        <f aca="false">IF(COUNTA($B26:$H26)+COUNTA($L26:$O26)=0,"",MID(IF($B26="",", division","")&amp;IF($D26="",", unit","")&amp;IF($F26="",", job title","")&amp;IF($G26="",", career level","")&amp;IF($H26="",", job family","")&amp;IF($I26="",", worker type","")&amp;IF(N($K26)&lt;=0,", the quarter split","")&amp;IF($Q26="",", driver","")&amp;IF($R26="",", alternatives","")&amp;IF(AND($D26&lt;&gt;"",COUNTIF(UnitList,$D26)=0),", a unit that is not in your structure",""),3,300))</f>
        <v/>
      </c>
      <c r="T26" s="17" t="str">
        <f aca="false">IF($S26="","",COUNTIF($S$6:$S26,"?*"))</f>
        <v/>
      </c>
    </row>
    <row r="27" customFormat="false" ht="15" hidden="false" customHeight="false" outlineLevel="0" collapsed="false">
      <c r="A27" s="17" t="n">
        <v>22</v>
      </c>
      <c r="B27" s="21"/>
      <c r="C27" s="21"/>
      <c r="D27" s="21"/>
      <c r="E27" s="21"/>
      <c r="F27" s="21"/>
      <c r="G27" s="21"/>
      <c r="H27" s="21"/>
      <c r="I27" s="21"/>
      <c r="J27" s="20" t="str">
        <f aca="false">IF($F27="","",SUMIFS(SeatApproved,SeatUnit,$D27,SeatTitle,$F27))</f>
        <v/>
      </c>
      <c r="K27" s="20" t="str">
        <f aca="false">IF($F27="","",SUM($L27:$O27))</f>
        <v/>
      </c>
      <c r="L27" s="22"/>
      <c r="M27" s="22"/>
      <c r="N27" s="22"/>
      <c r="O27" s="22"/>
      <c r="P27" s="18" t="str">
        <f aca="false">IF($Q27="","",IFERROR(INDEX(DriverCategory,MATCH($Q27,DriverList,0)),"?"))</f>
        <v/>
      </c>
      <c r="Q27" s="21"/>
      <c r="R27" s="21"/>
      <c r="S27" s="23" t="str">
        <f aca="false">IF(COUNTA($B27:$H27)+COUNTA($L27:$O27)=0,"",MID(IF($B27="",", division","")&amp;IF($D27="",", unit","")&amp;IF($F27="",", job title","")&amp;IF($G27="",", career level","")&amp;IF($H27="",", job family","")&amp;IF($I27="",", worker type","")&amp;IF(N($K27)&lt;=0,", the quarter split","")&amp;IF($Q27="",", driver","")&amp;IF($R27="",", alternatives","")&amp;IF(AND($D27&lt;&gt;"",COUNTIF(UnitList,$D27)=0),", a unit that is not in your structure",""),3,300))</f>
        <v/>
      </c>
      <c r="T27" s="17" t="str">
        <f aca="false">IF($S27="","",COUNTIF($S$6:$S27,"?*"))</f>
        <v/>
      </c>
    </row>
    <row r="28" customFormat="false" ht="15" hidden="false" customHeight="false" outlineLevel="0" collapsed="false">
      <c r="A28" s="17" t="n">
        <v>23</v>
      </c>
      <c r="B28" s="21"/>
      <c r="C28" s="21"/>
      <c r="D28" s="21"/>
      <c r="E28" s="21"/>
      <c r="F28" s="21"/>
      <c r="G28" s="21"/>
      <c r="H28" s="21"/>
      <c r="I28" s="21"/>
      <c r="J28" s="20" t="str">
        <f aca="false">IF($F28="","",SUMIFS(SeatApproved,SeatUnit,$D28,SeatTitle,$F28))</f>
        <v/>
      </c>
      <c r="K28" s="20" t="str">
        <f aca="false">IF($F28="","",SUM($L28:$O28))</f>
        <v/>
      </c>
      <c r="L28" s="22"/>
      <c r="M28" s="22"/>
      <c r="N28" s="22"/>
      <c r="O28" s="22"/>
      <c r="P28" s="18" t="str">
        <f aca="false">IF($Q28="","",IFERROR(INDEX(DriverCategory,MATCH($Q28,DriverList,0)),"?"))</f>
        <v/>
      </c>
      <c r="Q28" s="21"/>
      <c r="R28" s="21"/>
      <c r="S28" s="23" t="str">
        <f aca="false">IF(COUNTA($B28:$H28)+COUNTA($L28:$O28)=0,"",MID(IF($B28="",", division","")&amp;IF($D28="",", unit","")&amp;IF($F28="",", job title","")&amp;IF($G28="",", career level","")&amp;IF($H28="",", job family","")&amp;IF($I28="",", worker type","")&amp;IF(N($K28)&lt;=0,", the quarter split","")&amp;IF($Q28="",", driver","")&amp;IF($R28="",", alternatives","")&amp;IF(AND($D28&lt;&gt;"",COUNTIF(UnitList,$D28)=0),", a unit that is not in your structure",""),3,300))</f>
        <v/>
      </c>
      <c r="T28" s="17" t="str">
        <f aca="false">IF($S28="","",COUNTIF($S$6:$S28,"?*"))</f>
        <v/>
      </c>
    </row>
    <row r="29" customFormat="false" ht="15" hidden="false" customHeight="false" outlineLevel="0" collapsed="false">
      <c r="A29" s="17" t="n">
        <v>24</v>
      </c>
      <c r="B29" s="21"/>
      <c r="C29" s="21"/>
      <c r="D29" s="21"/>
      <c r="E29" s="21"/>
      <c r="F29" s="21"/>
      <c r="G29" s="21"/>
      <c r="H29" s="21"/>
      <c r="I29" s="21"/>
      <c r="J29" s="20" t="str">
        <f aca="false">IF($F29="","",SUMIFS(SeatApproved,SeatUnit,$D29,SeatTitle,$F29))</f>
        <v/>
      </c>
      <c r="K29" s="20" t="str">
        <f aca="false">IF($F29="","",SUM($L29:$O29))</f>
        <v/>
      </c>
      <c r="L29" s="22"/>
      <c r="M29" s="22"/>
      <c r="N29" s="22"/>
      <c r="O29" s="22"/>
      <c r="P29" s="18" t="str">
        <f aca="false">IF($Q29="","",IFERROR(INDEX(DriverCategory,MATCH($Q29,DriverList,0)),"?"))</f>
        <v/>
      </c>
      <c r="Q29" s="21"/>
      <c r="R29" s="21"/>
      <c r="S29" s="23" t="str">
        <f aca="false">IF(COUNTA($B29:$H29)+COUNTA($L29:$O29)=0,"",MID(IF($B29="",", division","")&amp;IF($D29="",", unit","")&amp;IF($F29="",", job title","")&amp;IF($G29="",", career level","")&amp;IF($H29="",", job family","")&amp;IF($I29="",", worker type","")&amp;IF(N($K29)&lt;=0,", the quarter split","")&amp;IF($Q29="",", driver","")&amp;IF($R29="",", alternatives","")&amp;IF(AND($D29&lt;&gt;"",COUNTIF(UnitList,$D29)=0),", a unit that is not in your structure",""),3,300))</f>
        <v/>
      </c>
      <c r="T29" s="17" t="str">
        <f aca="false">IF($S29="","",COUNTIF($S$6:$S29,"?*"))</f>
        <v/>
      </c>
    </row>
    <row r="30" customFormat="false" ht="15" hidden="false" customHeight="false" outlineLevel="0" collapsed="false">
      <c r="A30" s="17" t="n">
        <v>25</v>
      </c>
      <c r="B30" s="21"/>
      <c r="C30" s="21"/>
      <c r="D30" s="21"/>
      <c r="E30" s="21"/>
      <c r="F30" s="21"/>
      <c r="G30" s="21"/>
      <c r="H30" s="21"/>
      <c r="I30" s="21"/>
      <c r="J30" s="20" t="str">
        <f aca="false">IF($F30="","",SUMIFS(SeatApproved,SeatUnit,$D30,SeatTitle,$F30))</f>
        <v/>
      </c>
      <c r="K30" s="20" t="str">
        <f aca="false">IF($F30="","",SUM($L30:$O30))</f>
        <v/>
      </c>
      <c r="L30" s="22"/>
      <c r="M30" s="22"/>
      <c r="N30" s="22"/>
      <c r="O30" s="22"/>
      <c r="P30" s="18" t="str">
        <f aca="false">IF($Q30="","",IFERROR(INDEX(DriverCategory,MATCH($Q30,DriverList,0)),"?"))</f>
        <v/>
      </c>
      <c r="Q30" s="21"/>
      <c r="R30" s="21"/>
      <c r="S30" s="23" t="str">
        <f aca="false">IF(COUNTA($B30:$H30)+COUNTA($L30:$O30)=0,"",MID(IF($B30="",", division","")&amp;IF($D30="",", unit","")&amp;IF($F30="",", job title","")&amp;IF($G30="",", career level","")&amp;IF($H30="",", job family","")&amp;IF($I30="",", worker type","")&amp;IF(N($K30)&lt;=0,", the quarter split","")&amp;IF($Q30="",", driver","")&amp;IF($R30="",", alternatives","")&amp;IF(AND($D30&lt;&gt;"",COUNTIF(UnitList,$D30)=0),", a unit that is not in your structure",""),3,300))</f>
        <v/>
      </c>
      <c r="T30" s="17" t="str">
        <f aca="false">IF($S30="","",COUNTIF($S$6:$S30,"?*"))</f>
        <v/>
      </c>
    </row>
    <row r="31" customFormat="false" ht="15" hidden="false" customHeight="false" outlineLevel="0" collapsed="false">
      <c r="A31" s="17" t="n">
        <v>26</v>
      </c>
      <c r="B31" s="21"/>
      <c r="C31" s="21"/>
      <c r="D31" s="21"/>
      <c r="E31" s="21"/>
      <c r="F31" s="21"/>
      <c r="G31" s="21"/>
      <c r="H31" s="21"/>
      <c r="I31" s="21"/>
      <c r="J31" s="20" t="str">
        <f aca="false">IF($F31="","",SUMIFS(SeatApproved,SeatUnit,$D31,SeatTitle,$F31))</f>
        <v/>
      </c>
      <c r="K31" s="20" t="str">
        <f aca="false">IF($F31="","",SUM($L31:$O31))</f>
        <v/>
      </c>
      <c r="L31" s="22"/>
      <c r="M31" s="22"/>
      <c r="N31" s="22"/>
      <c r="O31" s="22"/>
      <c r="P31" s="18" t="str">
        <f aca="false">IF($Q31="","",IFERROR(INDEX(DriverCategory,MATCH($Q31,DriverList,0)),"?"))</f>
        <v/>
      </c>
      <c r="Q31" s="21"/>
      <c r="R31" s="21"/>
      <c r="S31" s="23" t="str">
        <f aca="false">IF(COUNTA($B31:$H31)+COUNTA($L31:$O31)=0,"",MID(IF($B31="",", division","")&amp;IF($D31="",", unit","")&amp;IF($F31="",", job title","")&amp;IF($G31="",", career level","")&amp;IF($H31="",", job family","")&amp;IF($I31="",", worker type","")&amp;IF(N($K31)&lt;=0,", the quarter split","")&amp;IF($Q31="",", driver","")&amp;IF($R31="",", alternatives","")&amp;IF(AND($D31&lt;&gt;"",COUNTIF(UnitList,$D31)=0),", a unit that is not in your structure",""),3,300))</f>
        <v/>
      </c>
      <c r="T31" s="17" t="str">
        <f aca="false">IF($S31="","",COUNTIF($S$6:$S31,"?*"))</f>
        <v/>
      </c>
    </row>
    <row r="32" customFormat="false" ht="15" hidden="false" customHeight="false" outlineLevel="0" collapsed="false">
      <c r="A32" s="17" t="n">
        <v>27</v>
      </c>
      <c r="B32" s="21"/>
      <c r="C32" s="21"/>
      <c r="D32" s="21"/>
      <c r="E32" s="21"/>
      <c r="F32" s="21"/>
      <c r="G32" s="21"/>
      <c r="H32" s="21"/>
      <c r="I32" s="21"/>
      <c r="J32" s="20" t="str">
        <f aca="false">IF($F32="","",SUMIFS(SeatApproved,SeatUnit,$D32,SeatTitle,$F32))</f>
        <v/>
      </c>
      <c r="K32" s="20" t="str">
        <f aca="false">IF($F32="","",SUM($L32:$O32))</f>
        <v/>
      </c>
      <c r="L32" s="22"/>
      <c r="M32" s="22"/>
      <c r="N32" s="22"/>
      <c r="O32" s="22"/>
      <c r="P32" s="18" t="str">
        <f aca="false">IF($Q32="","",IFERROR(INDEX(DriverCategory,MATCH($Q32,DriverList,0)),"?"))</f>
        <v/>
      </c>
      <c r="Q32" s="21"/>
      <c r="R32" s="21"/>
      <c r="S32" s="23" t="str">
        <f aca="false">IF(COUNTA($B32:$H32)+COUNTA($L32:$O32)=0,"",MID(IF($B32="",", division","")&amp;IF($D32="",", unit","")&amp;IF($F32="",", job title","")&amp;IF($G32="",", career level","")&amp;IF($H32="",", job family","")&amp;IF($I32="",", worker type","")&amp;IF(N($K32)&lt;=0,", the quarter split","")&amp;IF($Q32="",", driver","")&amp;IF($R32="",", alternatives","")&amp;IF(AND($D32&lt;&gt;"",COUNTIF(UnitList,$D32)=0),", a unit that is not in your structure",""),3,300))</f>
        <v/>
      </c>
      <c r="T32" s="17" t="str">
        <f aca="false">IF($S32="","",COUNTIF($S$6:$S32,"?*"))</f>
        <v/>
      </c>
    </row>
    <row r="33" customFormat="false" ht="15" hidden="false" customHeight="false" outlineLevel="0" collapsed="false">
      <c r="A33" s="17" t="n">
        <v>28</v>
      </c>
      <c r="B33" s="21"/>
      <c r="C33" s="21"/>
      <c r="D33" s="21"/>
      <c r="E33" s="21"/>
      <c r="F33" s="21"/>
      <c r="G33" s="21"/>
      <c r="H33" s="21"/>
      <c r="I33" s="21"/>
      <c r="J33" s="20" t="str">
        <f aca="false">IF($F33="","",SUMIFS(SeatApproved,SeatUnit,$D33,SeatTitle,$F33))</f>
        <v/>
      </c>
      <c r="K33" s="20" t="str">
        <f aca="false">IF($F33="","",SUM($L33:$O33))</f>
        <v/>
      </c>
      <c r="L33" s="22"/>
      <c r="M33" s="22"/>
      <c r="N33" s="22"/>
      <c r="O33" s="22"/>
      <c r="P33" s="18" t="str">
        <f aca="false">IF($Q33="","",IFERROR(INDEX(DriverCategory,MATCH($Q33,DriverList,0)),"?"))</f>
        <v/>
      </c>
      <c r="Q33" s="21"/>
      <c r="R33" s="21"/>
      <c r="S33" s="23" t="str">
        <f aca="false">IF(COUNTA($B33:$H33)+COUNTA($L33:$O33)=0,"",MID(IF($B33="",", division","")&amp;IF($D33="",", unit","")&amp;IF($F33="",", job title","")&amp;IF($G33="",", career level","")&amp;IF($H33="",", job family","")&amp;IF($I33="",", worker type","")&amp;IF(N($K33)&lt;=0,", the quarter split","")&amp;IF($Q33="",", driver","")&amp;IF($R33="",", alternatives","")&amp;IF(AND($D33&lt;&gt;"",COUNTIF(UnitList,$D33)=0),", a unit that is not in your structure",""),3,300))</f>
        <v/>
      </c>
      <c r="T33" s="17" t="str">
        <f aca="false">IF($S33="","",COUNTIF($S$6:$S33,"?*"))</f>
        <v/>
      </c>
    </row>
    <row r="34" customFormat="false" ht="15" hidden="false" customHeight="false" outlineLevel="0" collapsed="false">
      <c r="A34" s="17" t="n">
        <v>29</v>
      </c>
      <c r="B34" s="21"/>
      <c r="C34" s="21"/>
      <c r="D34" s="21"/>
      <c r="E34" s="21"/>
      <c r="F34" s="21"/>
      <c r="G34" s="21"/>
      <c r="H34" s="21"/>
      <c r="I34" s="21"/>
      <c r="J34" s="20" t="str">
        <f aca="false">IF($F34="","",SUMIFS(SeatApproved,SeatUnit,$D34,SeatTitle,$F34))</f>
        <v/>
      </c>
      <c r="K34" s="20" t="str">
        <f aca="false">IF($F34="","",SUM($L34:$O34))</f>
        <v/>
      </c>
      <c r="L34" s="22"/>
      <c r="M34" s="22"/>
      <c r="N34" s="22"/>
      <c r="O34" s="22"/>
      <c r="P34" s="18" t="str">
        <f aca="false">IF($Q34="","",IFERROR(INDEX(DriverCategory,MATCH($Q34,DriverList,0)),"?"))</f>
        <v/>
      </c>
      <c r="Q34" s="21"/>
      <c r="R34" s="21"/>
      <c r="S34" s="23" t="str">
        <f aca="false">IF(COUNTA($B34:$H34)+COUNTA($L34:$O34)=0,"",MID(IF($B34="",", division","")&amp;IF($D34="",", unit","")&amp;IF($F34="",", job title","")&amp;IF($G34="",", career level","")&amp;IF($H34="",", job family","")&amp;IF($I34="",", worker type","")&amp;IF(N($K34)&lt;=0,", the quarter split","")&amp;IF($Q34="",", driver","")&amp;IF($R34="",", alternatives","")&amp;IF(AND($D34&lt;&gt;"",COUNTIF(UnitList,$D34)=0),", a unit that is not in your structure",""),3,300))</f>
        <v/>
      </c>
      <c r="T34" s="17" t="str">
        <f aca="false">IF($S34="","",COUNTIF($S$6:$S34,"?*"))</f>
        <v/>
      </c>
    </row>
    <row r="35" customFormat="false" ht="15" hidden="false" customHeight="false" outlineLevel="0" collapsed="false">
      <c r="A35" s="17" t="n">
        <v>30</v>
      </c>
      <c r="B35" s="21"/>
      <c r="C35" s="21"/>
      <c r="D35" s="21"/>
      <c r="E35" s="21"/>
      <c r="F35" s="21"/>
      <c r="G35" s="21"/>
      <c r="H35" s="21"/>
      <c r="I35" s="21"/>
      <c r="J35" s="20" t="str">
        <f aca="false">IF($F35="","",SUMIFS(SeatApproved,SeatUnit,$D35,SeatTitle,$F35))</f>
        <v/>
      </c>
      <c r="K35" s="20" t="str">
        <f aca="false">IF($F35="","",SUM($L35:$O35))</f>
        <v/>
      </c>
      <c r="L35" s="22"/>
      <c r="M35" s="22"/>
      <c r="N35" s="22"/>
      <c r="O35" s="22"/>
      <c r="P35" s="18" t="str">
        <f aca="false">IF($Q35="","",IFERROR(INDEX(DriverCategory,MATCH($Q35,DriverList,0)),"?"))</f>
        <v/>
      </c>
      <c r="Q35" s="21"/>
      <c r="R35" s="21"/>
      <c r="S35" s="23" t="str">
        <f aca="false">IF(COUNTA($B35:$H35)+COUNTA($L35:$O35)=0,"",MID(IF($B35="",", division","")&amp;IF($D35="",", unit","")&amp;IF($F35="",", job title","")&amp;IF($G35="",", career level","")&amp;IF($H35="",", job family","")&amp;IF($I35="",", worker type","")&amp;IF(N($K35)&lt;=0,", the quarter split","")&amp;IF($Q35="",", driver","")&amp;IF($R35="",", alternatives","")&amp;IF(AND($D35&lt;&gt;"",COUNTIF(UnitList,$D35)=0),", a unit that is not in your structure",""),3,300))</f>
        <v/>
      </c>
      <c r="T35" s="17" t="str">
        <f aca="false">IF($S35="","",COUNTIF($S$6:$S35,"?*"))</f>
        <v/>
      </c>
    </row>
    <row r="36" customFormat="false" ht="15" hidden="false" customHeight="false" outlineLevel="0" collapsed="false">
      <c r="A36" s="17" t="n">
        <v>31</v>
      </c>
      <c r="B36" s="21"/>
      <c r="C36" s="21"/>
      <c r="D36" s="21"/>
      <c r="E36" s="21"/>
      <c r="F36" s="21"/>
      <c r="G36" s="21"/>
      <c r="H36" s="21"/>
      <c r="I36" s="21"/>
      <c r="J36" s="20" t="str">
        <f aca="false">IF($F36="","",SUMIFS(SeatApproved,SeatUnit,$D36,SeatTitle,$F36))</f>
        <v/>
      </c>
      <c r="K36" s="20" t="str">
        <f aca="false">IF($F36="","",SUM($L36:$O36))</f>
        <v/>
      </c>
      <c r="L36" s="22"/>
      <c r="M36" s="22"/>
      <c r="N36" s="22"/>
      <c r="O36" s="22"/>
      <c r="P36" s="18" t="str">
        <f aca="false">IF($Q36="","",IFERROR(INDEX(DriverCategory,MATCH($Q36,DriverList,0)),"?"))</f>
        <v/>
      </c>
      <c r="Q36" s="21"/>
      <c r="R36" s="21"/>
      <c r="S36" s="23" t="str">
        <f aca="false">IF(COUNTA($B36:$H36)+COUNTA($L36:$O36)=0,"",MID(IF($B36="",", division","")&amp;IF($D36="",", unit","")&amp;IF($F36="",", job title","")&amp;IF($G36="",", career level","")&amp;IF($H36="",", job family","")&amp;IF($I36="",", worker type","")&amp;IF(N($K36)&lt;=0,", the quarter split","")&amp;IF($Q36="",", driver","")&amp;IF($R36="",", alternatives","")&amp;IF(AND($D36&lt;&gt;"",COUNTIF(UnitList,$D36)=0),", a unit that is not in your structure",""),3,300))</f>
        <v/>
      </c>
      <c r="T36" s="17" t="str">
        <f aca="false">IF($S36="","",COUNTIF($S$6:$S36,"?*"))</f>
        <v/>
      </c>
    </row>
    <row r="37" customFormat="false" ht="15" hidden="false" customHeight="false" outlineLevel="0" collapsed="false">
      <c r="A37" s="17" t="n">
        <v>32</v>
      </c>
      <c r="B37" s="21"/>
      <c r="C37" s="21"/>
      <c r="D37" s="21"/>
      <c r="E37" s="21"/>
      <c r="F37" s="21"/>
      <c r="G37" s="21"/>
      <c r="H37" s="21"/>
      <c r="I37" s="21"/>
      <c r="J37" s="20" t="str">
        <f aca="false">IF($F37="","",SUMIFS(SeatApproved,SeatUnit,$D37,SeatTitle,$F37))</f>
        <v/>
      </c>
      <c r="K37" s="20" t="str">
        <f aca="false">IF($F37="","",SUM($L37:$O37))</f>
        <v/>
      </c>
      <c r="L37" s="22"/>
      <c r="M37" s="22"/>
      <c r="N37" s="22"/>
      <c r="O37" s="22"/>
      <c r="P37" s="18" t="str">
        <f aca="false">IF($Q37="","",IFERROR(INDEX(DriverCategory,MATCH($Q37,DriverList,0)),"?"))</f>
        <v/>
      </c>
      <c r="Q37" s="21"/>
      <c r="R37" s="21"/>
      <c r="S37" s="23" t="str">
        <f aca="false">IF(COUNTA($B37:$H37)+COUNTA($L37:$O37)=0,"",MID(IF($B37="",", division","")&amp;IF($D37="",", unit","")&amp;IF($F37="",", job title","")&amp;IF($G37="",", career level","")&amp;IF($H37="",", job family","")&amp;IF($I37="",", worker type","")&amp;IF(N($K37)&lt;=0,", the quarter split","")&amp;IF($Q37="",", driver","")&amp;IF($R37="",", alternatives","")&amp;IF(AND($D37&lt;&gt;"",COUNTIF(UnitList,$D37)=0),", a unit that is not in your structure",""),3,300))</f>
        <v/>
      </c>
      <c r="T37" s="17" t="str">
        <f aca="false">IF($S37="","",COUNTIF($S$6:$S37,"?*"))</f>
        <v/>
      </c>
    </row>
    <row r="38" customFormat="false" ht="15" hidden="false" customHeight="false" outlineLevel="0" collapsed="false">
      <c r="A38" s="17" t="n">
        <v>33</v>
      </c>
      <c r="B38" s="21"/>
      <c r="C38" s="21"/>
      <c r="D38" s="21"/>
      <c r="E38" s="21"/>
      <c r="F38" s="21"/>
      <c r="G38" s="21"/>
      <c r="H38" s="21"/>
      <c r="I38" s="21"/>
      <c r="J38" s="20" t="str">
        <f aca="false">IF($F38="","",SUMIFS(SeatApproved,SeatUnit,$D38,SeatTitle,$F38))</f>
        <v/>
      </c>
      <c r="K38" s="20" t="str">
        <f aca="false">IF($F38="","",SUM($L38:$O38))</f>
        <v/>
      </c>
      <c r="L38" s="22"/>
      <c r="M38" s="22"/>
      <c r="N38" s="22"/>
      <c r="O38" s="22"/>
      <c r="P38" s="18" t="str">
        <f aca="false">IF($Q38="","",IFERROR(INDEX(DriverCategory,MATCH($Q38,DriverList,0)),"?"))</f>
        <v/>
      </c>
      <c r="Q38" s="21"/>
      <c r="R38" s="21"/>
      <c r="S38" s="23" t="str">
        <f aca="false">IF(COUNTA($B38:$H38)+COUNTA($L38:$O38)=0,"",MID(IF($B38="",", division","")&amp;IF($D38="",", unit","")&amp;IF($F38="",", job title","")&amp;IF($G38="",", career level","")&amp;IF($H38="",", job family","")&amp;IF($I38="",", worker type","")&amp;IF(N($K38)&lt;=0,", the quarter split","")&amp;IF($Q38="",", driver","")&amp;IF($R38="",", alternatives","")&amp;IF(AND($D38&lt;&gt;"",COUNTIF(UnitList,$D38)=0),", a unit that is not in your structure",""),3,300))</f>
        <v/>
      </c>
      <c r="T38" s="17" t="str">
        <f aca="false">IF($S38="","",COUNTIF($S$6:$S38,"?*"))</f>
        <v/>
      </c>
    </row>
    <row r="39" customFormat="false" ht="15" hidden="false" customHeight="false" outlineLevel="0" collapsed="false">
      <c r="A39" s="17" t="n">
        <v>34</v>
      </c>
      <c r="B39" s="21"/>
      <c r="C39" s="21"/>
      <c r="D39" s="21"/>
      <c r="E39" s="21"/>
      <c r="F39" s="21"/>
      <c r="G39" s="21"/>
      <c r="H39" s="21"/>
      <c r="I39" s="21"/>
      <c r="J39" s="20" t="str">
        <f aca="false">IF($F39="","",SUMIFS(SeatApproved,SeatUnit,$D39,SeatTitle,$F39))</f>
        <v/>
      </c>
      <c r="K39" s="20" t="str">
        <f aca="false">IF($F39="","",SUM($L39:$O39))</f>
        <v/>
      </c>
      <c r="L39" s="22"/>
      <c r="M39" s="22"/>
      <c r="N39" s="22"/>
      <c r="O39" s="22"/>
      <c r="P39" s="18" t="str">
        <f aca="false">IF($Q39="","",IFERROR(INDEX(DriverCategory,MATCH($Q39,DriverList,0)),"?"))</f>
        <v/>
      </c>
      <c r="Q39" s="21"/>
      <c r="R39" s="21"/>
      <c r="S39" s="23" t="str">
        <f aca="false">IF(COUNTA($B39:$H39)+COUNTA($L39:$O39)=0,"",MID(IF($B39="",", division","")&amp;IF($D39="",", unit","")&amp;IF($F39="",", job title","")&amp;IF($G39="",", career level","")&amp;IF($H39="",", job family","")&amp;IF($I39="",", worker type","")&amp;IF(N($K39)&lt;=0,", the quarter split","")&amp;IF($Q39="",", driver","")&amp;IF($R39="",", alternatives","")&amp;IF(AND($D39&lt;&gt;"",COUNTIF(UnitList,$D39)=0),", a unit that is not in your structure",""),3,300))</f>
        <v/>
      </c>
      <c r="T39" s="17" t="str">
        <f aca="false">IF($S39="","",COUNTIF($S$6:$S39,"?*"))</f>
        <v/>
      </c>
    </row>
    <row r="40" customFormat="false" ht="15" hidden="false" customHeight="false" outlineLevel="0" collapsed="false">
      <c r="A40" s="17" t="n">
        <v>35</v>
      </c>
      <c r="B40" s="21"/>
      <c r="C40" s="21"/>
      <c r="D40" s="21"/>
      <c r="E40" s="21"/>
      <c r="F40" s="21"/>
      <c r="G40" s="21"/>
      <c r="H40" s="21"/>
      <c r="I40" s="21"/>
      <c r="J40" s="20" t="str">
        <f aca="false">IF($F40="","",SUMIFS(SeatApproved,SeatUnit,$D40,SeatTitle,$F40))</f>
        <v/>
      </c>
      <c r="K40" s="20" t="str">
        <f aca="false">IF($F40="","",SUM($L40:$O40))</f>
        <v/>
      </c>
      <c r="L40" s="22"/>
      <c r="M40" s="22"/>
      <c r="N40" s="22"/>
      <c r="O40" s="22"/>
      <c r="P40" s="18" t="str">
        <f aca="false">IF($Q40="","",IFERROR(INDEX(DriverCategory,MATCH($Q40,DriverList,0)),"?"))</f>
        <v/>
      </c>
      <c r="Q40" s="21"/>
      <c r="R40" s="21"/>
      <c r="S40" s="23" t="str">
        <f aca="false">IF(COUNTA($B40:$H40)+COUNTA($L40:$O40)=0,"",MID(IF($B40="",", division","")&amp;IF($D40="",", unit","")&amp;IF($F40="",", job title","")&amp;IF($G40="",", career level","")&amp;IF($H40="",", job family","")&amp;IF($I40="",", worker type","")&amp;IF(N($K40)&lt;=0,", the quarter split","")&amp;IF($Q40="",", driver","")&amp;IF($R40="",", alternatives","")&amp;IF(AND($D40&lt;&gt;"",COUNTIF(UnitList,$D40)=0),", a unit that is not in your structure",""),3,300))</f>
        <v/>
      </c>
      <c r="T40" s="17" t="str">
        <f aca="false">IF($S40="","",COUNTIF($S$6:$S40,"?*"))</f>
        <v/>
      </c>
    </row>
    <row r="41" customFormat="false" ht="15" hidden="false" customHeight="false" outlineLevel="0" collapsed="false">
      <c r="A41" s="17" t="n">
        <v>36</v>
      </c>
      <c r="B41" s="21"/>
      <c r="C41" s="21"/>
      <c r="D41" s="21"/>
      <c r="E41" s="21"/>
      <c r="F41" s="21"/>
      <c r="G41" s="21"/>
      <c r="H41" s="21"/>
      <c r="I41" s="21"/>
      <c r="J41" s="20" t="str">
        <f aca="false">IF($F41="","",SUMIFS(SeatApproved,SeatUnit,$D41,SeatTitle,$F41))</f>
        <v/>
      </c>
      <c r="K41" s="20" t="str">
        <f aca="false">IF($F41="","",SUM($L41:$O41))</f>
        <v/>
      </c>
      <c r="L41" s="22"/>
      <c r="M41" s="22"/>
      <c r="N41" s="22"/>
      <c r="O41" s="22"/>
      <c r="P41" s="18" t="str">
        <f aca="false">IF($Q41="","",IFERROR(INDEX(DriverCategory,MATCH($Q41,DriverList,0)),"?"))</f>
        <v/>
      </c>
      <c r="Q41" s="21"/>
      <c r="R41" s="21"/>
      <c r="S41" s="23" t="str">
        <f aca="false">IF(COUNTA($B41:$H41)+COUNTA($L41:$O41)=0,"",MID(IF($B41="",", division","")&amp;IF($D41="",", unit","")&amp;IF($F41="",", job title","")&amp;IF($G41="",", career level","")&amp;IF($H41="",", job family","")&amp;IF($I41="",", worker type","")&amp;IF(N($K41)&lt;=0,", the quarter split","")&amp;IF($Q41="",", driver","")&amp;IF($R41="",", alternatives","")&amp;IF(AND($D41&lt;&gt;"",COUNTIF(UnitList,$D41)=0),", a unit that is not in your structure",""),3,300))</f>
        <v/>
      </c>
      <c r="T41" s="17" t="str">
        <f aca="false">IF($S41="","",COUNTIF($S$6:$S41,"?*"))</f>
        <v/>
      </c>
    </row>
    <row r="42" customFormat="false" ht="15" hidden="false" customHeight="false" outlineLevel="0" collapsed="false">
      <c r="A42" s="17" t="n">
        <v>37</v>
      </c>
      <c r="B42" s="21"/>
      <c r="C42" s="21"/>
      <c r="D42" s="21"/>
      <c r="E42" s="21"/>
      <c r="F42" s="21"/>
      <c r="G42" s="21"/>
      <c r="H42" s="21"/>
      <c r="I42" s="21"/>
      <c r="J42" s="20" t="str">
        <f aca="false">IF($F42="","",SUMIFS(SeatApproved,SeatUnit,$D42,SeatTitle,$F42))</f>
        <v/>
      </c>
      <c r="K42" s="20" t="str">
        <f aca="false">IF($F42="","",SUM($L42:$O42))</f>
        <v/>
      </c>
      <c r="L42" s="22"/>
      <c r="M42" s="22"/>
      <c r="N42" s="22"/>
      <c r="O42" s="22"/>
      <c r="P42" s="18" t="str">
        <f aca="false">IF($Q42="","",IFERROR(INDEX(DriverCategory,MATCH($Q42,DriverList,0)),"?"))</f>
        <v/>
      </c>
      <c r="Q42" s="21"/>
      <c r="R42" s="21"/>
      <c r="S42" s="23" t="str">
        <f aca="false">IF(COUNTA($B42:$H42)+COUNTA($L42:$O42)=0,"",MID(IF($B42="",", division","")&amp;IF($D42="",", unit","")&amp;IF($F42="",", job title","")&amp;IF($G42="",", career level","")&amp;IF($H42="",", job family","")&amp;IF($I42="",", worker type","")&amp;IF(N($K42)&lt;=0,", the quarter split","")&amp;IF($Q42="",", driver","")&amp;IF($R42="",", alternatives","")&amp;IF(AND($D42&lt;&gt;"",COUNTIF(UnitList,$D42)=0),", a unit that is not in your structure",""),3,300))</f>
        <v/>
      </c>
      <c r="T42" s="17" t="str">
        <f aca="false">IF($S42="","",COUNTIF($S$6:$S42,"?*"))</f>
        <v/>
      </c>
    </row>
    <row r="43" customFormat="false" ht="15" hidden="false" customHeight="false" outlineLevel="0" collapsed="false">
      <c r="A43" s="17" t="n">
        <v>38</v>
      </c>
      <c r="B43" s="21"/>
      <c r="C43" s="21"/>
      <c r="D43" s="21"/>
      <c r="E43" s="21"/>
      <c r="F43" s="21"/>
      <c r="G43" s="21"/>
      <c r="H43" s="21"/>
      <c r="I43" s="21"/>
      <c r="J43" s="20" t="str">
        <f aca="false">IF($F43="","",SUMIFS(SeatApproved,SeatUnit,$D43,SeatTitle,$F43))</f>
        <v/>
      </c>
      <c r="K43" s="20" t="str">
        <f aca="false">IF($F43="","",SUM($L43:$O43))</f>
        <v/>
      </c>
      <c r="L43" s="22"/>
      <c r="M43" s="22"/>
      <c r="N43" s="22"/>
      <c r="O43" s="22"/>
      <c r="P43" s="18" t="str">
        <f aca="false">IF($Q43="","",IFERROR(INDEX(DriverCategory,MATCH($Q43,DriverList,0)),"?"))</f>
        <v/>
      </c>
      <c r="Q43" s="21"/>
      <c r="R43" s="21"/>
      <c r="S43" s="23" t="str">
        <f aca="false">IF(COUNTA($B43:$H43)+COUNTA($L43:$O43)=0,"",MID(IF($B43="",", division","")&amp;IF($D43="",", unit","")&amp;IF($F43="",", job title","")&amp;IF($G43="",", career level","")&amp;IF($H43="",", job family","")&amp;IF($I43="",", worker type","")&amp;IF(N($K43)&lt;=0,", the quarter split","")&amp;IF($Q43="",", driver","")&amp;IF($R43="",", alternatives","")&amp;IF(AND($D43&lt;&gt;"",COUNTIF(UnitList,$D43)=0),", a unit that is not in your structure",""),3,300))</f>
        <v/>
      </c>
      <c r="T43" s="17" t="str">
        <f aca="false">IF($S43="","",COUNTIF($S$6:$S43,"?*"))</f>
        <v/>
      </c>
    </row>
    <row r="44" customFormat="false" ht="15" hidden="false" customHeight="false" outlineLevel="0" collapsed="false">
      <c r="A44" s="17" t="n">
        <v>39</v>
      </c>
      <c r="B44" s="21"/>
      <c r="C44" s="21"/>
      <c r="D44" s="21"/>
      <c r="E44" s="21"/>
      <c r="F44" s="21"/>
      <c r="G44" s="21"/>
      <c r="H44" s="21"/>
      <c r="I44" s="21"/>
      <c r="J44" s="20" t="str">
        <f aca="false">IF($F44="","",SUMIFS(SeatApproved,SeatUnit,$D44,SeatTitle,$F44))</f>
        <v/>
      </c>
      <c r="K44" s="20" t="str">
        <f aca="false">IF($F44="","",SUM($L44:$O44))</f>
        <v/>
      </c>
      <c r="L44" s="22"/>
      <c r="M44" s="22"/>
      <c r="N44" s="22"/>
      <c r="O44" s="22"/>
      <c r="P44" s="18" t="str">
        <f aca="false">IF($Q44="","",IFERROR(INDEX(DriverCategory,MATCH($Q44,DriverList,0)),"?"))</f>
        <v/>
      </c>
      <c r="Q44" s="21"/>
      <c r="R44" s="21"/>
      <c r="S44" s="23" t="str">
        <f aca="false">IF(COUNTA($B44:$H44)+COUNTA($L44:$O44)=0,"",MID(IF($B44="",", division","")&amp;IF($D44="",", unit","")&amp;IF($F44="",", job title","")&amp;IF($G44="",", career level","")&amp;IF($H44="",", job family","")&amp;IF($I44="",", worker type","")&amp;IF(N($K44)&lt;=0,", the quarter split","")&amp;IF($Q44="",", driver","")&amp;IF($R44="",", alternatives","")&amp;IF(AND($D44&lt;&gt;"",COUNTIF(UnitList,$D44)=0),", a unit that is not in your structure",""),3,300))</f>
        <v/>
      </c>
      <c r="T44" s="17" t="str">
        <f aca="false">IF($S44="","",COUNTIF($S$6:$S44,"?*"))</f>
        <v/>
      </c>
    </row>
    <row r="45" customFormat="false" ht="15" hidden="false" customHeight="false" outlineLevel="0" collapsed="false">
      <c r="A45" s="17" t="n">
        <v>40</v>
      </c>
      <c r="B45" s="21"/>
      <c r="C45" s="21"/>
      <c r="D45" s="21"/>
      <c r="E45" s="21"/>
      <c r="F45" s="21"/>
      <c r="G45" s="21"/>
      <c r="H45" s="21"/>
      <c r="I45" s="21"/>
      <c r="J45" s="20" t="str">
        <f aca="false">IF($F45="","",SUMIFS(SeatApproved,SeatUnit,$D45,SeatTitle,$F45))</f>
        <v/>
      </c>
      <c r="K45" s="20" t="str">
        <f aca="false">IF($F45="","",SUM($L45:$O45))</f>
        <v/>
      </c>
      <c r="L45" s="22"/>
      <c r="M45" s="22"/>
      <c r="N45" s="22"/>
      <c r="O45" s="22"/>
      <c r="P45" s="18" t="str">
        <f aca="false">IF($Q45="","",IFERROR(INDEX(DriverCategory,MATCH($Q45,DriverList,0)),"?"))</f>
        <v/>
      </c>
      <c r="Q45" s="21"/>
      <c r="R45" s="21"/>
      <c r="S45" s="23" t="str">
        <f aca="false">IF(COUNTA($B45:$H45)+COUNTA($L45:$O45)=0,"",MID(IF($B45="",", division","")&amp;IF($D45="",", unit","")&amp;IF($F45="",", job title","")&amp;IF($G45="",", career level","")&amp;IF($H45="",", job family","")&amp;IF($I45="",", worker type","")&amp;IF(N($K45)&lt;=0,", the quarter split","")&amp;IF($Q45="",", driver","")&amp;IF($R45="",", alternatives","")&amp;IF(AND($D45&lt;&gt;"",COUNTIF(UnitList,$D45)=0),", a unit that is not in your structure",""),3,300))</f>
        <v/>
      </c>
      <c r="T45" s="17" t="str">
        <f aca="false">IF($S45="","",COUNTIF($S$6:$S45,"?*"))</f>
        <v/>
      </c>
    </row>
    <row r="46" customFormat="false" ht="15" hidden="false" customHeight="false" outlineLevel="0" collapsed="false">
      <c r="A46" s="17" t="n">
        <v>41</v>
      </c>
      <c r="B46" s="21"/>
      <c r="C46" s="21"/>
      <c r="D46" s="21"/>
      <c r="E46" s="21"/>
      <c r="F46" s="21"/>
      <c r="G46" s="21"/>
      <c r="H46" s="21"/>
      <c r="I46" s="21"/>
      <c r="J46" s="20" t="str">
        <f aca="false">IF($F46="","",SUMIFS(SeatApproved,SeatUnit,$D46,SeatTitle,$F46))</f>
        <v/>
      </c>
      <c r="K46" s="20" t="str">
        <f aca="false">IF($F46="","",SUM($L46:$O46))</f>
        <v/>
      </c>
      <c r="L46" s="22"/>
      <c r="M46" s="22"/>
      <c r="N46" s="22"/>
      <c r="O46" s="22"/>
      <c r="P46" s="18" t="str">
        <f aca="false">IF($Q46="","",IFERROR(INDEX(DriverCategory,MATCH($Q46,DriverList,0)),"?"))</f>
        <v/>
      </c>
      <c r="Q46" s="21"/>
      <c r="R46" s="21"/>
      <c r="S46" s="23" t="str">
        <f aca="false">IF(COUNTA($B46:$H46)+COUNTA($L46:$O46)=0,"",MID(IF($B46="",", division","")&amp;IF($D46="",", unit","")&amp;IF($F46="",", job title","")&amp;IF($G46="",", career level","")&amp;IF($H46="",", job family","")&amp;IF($I46="",", worker type","")&amp;IF(N($K46)&lt;=0,", the quarter split","")&amp;IF($Q46="",", driver","")&amp;IF($R46="",", alternatives","")&amp;IF(AND($D46&lt;&gt;"",COUNTIF(UnitList,$D46)=0),", a unit that is not in your structure",""),3,300))</f>
        <v/>
      </c>
      <c r="T46" s="17" t="str">
        <f aca="false">IF($S46="","",COUNTIF($S$6:$S46,"?*"))</f>
        <v/>
      </c>
    </row>
    <row r="47" customFormat="false" ht="15" hidden="false" customHeight="false" outlineLevel="0" collapsed="false">
      <c r="A47" s="17" t="n">
        <v>42</v>
      </c>
      <c r="B47" s="21"/>
      <c r="C47" s="21"/>
      <c r="D47" s="21"/>
      <c r="E47" s="21"/>
      <c r="F47" s="21"/>
      <c r="G47" s="21"/>
      <c r="H47" s="21"/>
      <c r="I47" s="21"/>
      <c r="J47" s="20" t="str">
        <f aca="false">IF($F47="","",SUMIFS(SeatApproved,SeatUnit,$D47,SeatTitle,$F47))</f>
        <v/>
      </c>
      <c r="K47" s="20" t="str">
        <f aca="false">IF($F47="","",SUM($L47:$O47))</f>
        <v/>
      </c>
      <c r="L47" s="22"/>
      <c r="M47" s="22"/>
      <c r="N47" s="22"/>
      <c r="O47" s="22"/>
      <c r="P47" s="18" t="str">
        <f aca="false">IF($Q47="","",IFERROR(INDEX(DriverCategory,MATCH($Q47,DriverList,0)),"?"))</f>
        <v/>
      </c>
      <c r="Q47" s="21"/>
      <c r="R47" s="21"/>
      <c r="S47" s="23" t="str">
        <f aca="false">IF(COUNTA($B47:$H47)+COUNTA($L47:$O47)=0,"",MID(IF($B47="",", division","")&amp;IF($D47="",", unit","")&amp;IF($F47="",", job title","")&amp;IF($G47="",", career level","")&amp;IF($H47="",", job family","")&amp;IF($I47="",", worker type","")&amp;IF(N($K47)&lt;=0,", the quarter split","")&amp;IF($Q47="",", driver","")&amp;IF($R47="",", alternatives","")&amp;IF(AND($D47&lt;&gt;"",COUNTIF(UnitList,$D47)=0),", a unit that is not in your structure",""),3,300))</f>
        <v/>
      </c>
      <c r="T47" s="17" t="str">
        <f aca="false">IF($S47="","",COUNTIF($S$6:$S47,"?*"))</f>
        <v/>
      </c>
    </row>
    <row r="48" customFormat="false" ht="15" hidden="false" customHeight="false" outlineLevel="0" collapsed="false">
      <c r="A48" s="17" t="n">
        <v>43</v>
      </c>
      <c r="B48" s="21"/>
      <c r="C48" s="21"/>
      <c r="D48" s="21"/>
      <c r="E48" s="21"/>
      <c r="F48" s="21"/>
      <c r="G48" s="21"/>
      <c r="H48" s="21"/>
      <c r="I48" s="21"/>
      <c r="J48" s="20" t="str">
        <f aca="false">IF($F48="","",SUMIFS(SeatApproved,SeatUnit,$D48,SeatTitle,$F48))</f>
        <v/>
      </c>
      <c r="K48" s="20" t="str">
        <f aca="false">IF($F48="","",SUM($L48:$O48))</f>
        <v/>
      </c>
      <c r="L48" s="22"/>
      <c r="M48" s="22"/>
      <c r="N48" s="22"/>
      <c r="O48" s="22"/>
      <c r="P48" s="18" t="str">
        <f aca="false">IF($Q48="","",IFERROR(INDEX(DriverCategory,MATCH($Q48,DriverList,0)),"?"))</f>
        <v/>
      </c>
      <c r="Q48" s="21"/>
      <c r="R48" s="21"/>
      <c r="S48" s="23" t="str">
        <f aca="false">IF(COUNTA($B48:$H48)+COUNTA($L48:$O48)=0,"",MID(IF($B48="",", division","")&amp;IF($D48="",", unit","")&amp;IF($F48="",", job title","")&amp;IF($G48="",", career level","")&amp;IF($H48="",", job family","")&amp;IF($I48="",", worker type","")&amp;IF(N($K48)&lt;=0,", the quarter split","")&amp;IF($Q48="",", driver","")&amp;IF($R48="",", alternatives","")&amp;IF(AND($D48&lt;&gt;"",COUNTIF(UnitList,$D48)=0),", a unit that is not in your structure",""),3,300))</f>
        <v/>
      </c>
      <c r="T48" s="17" t="str">
        <f aca="false">IF($S48="","",COUNTIF($S$6:$S48,"?*"))</f>
        <v/>
      </c>
    </row>
    <row r="49" customFormat="false" ht="15" hidden="false" customHeight="false" outlineLevel="0" collapsed="false">
      <c r="A49" s="17" t="n">
        <v>44</v>
      </c>
      <c r="B49" s="21"/>
      <c r="C49" s="21"/>
      <c r="D49" s="21"/>
      <c r="E49" s="21"/>
      <c r="F49" s="21"/>
      <c r="G49" s="21"/>
      <c r="H49" s="21"/>
      <c r="I49" s="21"/>
      <c r="J49" s="20" t="str">
        <f aca="false">IF($F49="","",SUMIFS(SeatApproved,SeatUnit,$D49,SeatTitle,$F49))</f>
        <v/>
      </c>
      <c r="K49" s="20" t="str">
        <f aca="false">IF($F49="","",SUM($L49:$O49))</f>
        <v/>
      </c>
      <c r="L49" s="22"/>
      <c r="M49" s="22"/>
      <c r="N49" s="22"/>
      <c r="O49" s="22"/>
      <c r="P49" s="18" t="str">
        <f aca="false">IF($Q49="","",IFERROR(INDEX(DriverCategory,MATCH($Q49,DriverList,0)),"?"))</f>
        <v/>
      </c>
      <c r="Q49" s="21"/>
      <c r="R49" s="21"/>
      <c r="S49" s="23" t="str">
        <f aca="false">IF(COUNTA($B49:$H49)+COUNTA($L49:$O49)=0,"",MID(IF($B49="",", division","")&amp;IF($D49="",", unit","")&amp;IF($F49="",", job title","")&amp;IF($G49="",", career level","")&amp;IF($H49="",", job family","")&amp;IF($I49="",", worker type","")&amp;IF(N($K49)&lt;=0,", the quarter split","")&amp;IF($Q49="",", driver","")&amp;IF($R49="",", alternatives","")&amp;IF(AND($D49&lt;&gt;"",COUNTIF(UnitList,$D49)=0),", a unit that is not in your structure",""),3,300))</f>
        <v/>
      </c>
      <c r="T49" s="17" t="str">
        <f aca="false">IF($S49="","",COUNTIF($S$6:$S49,"?*"))</f>
        <v/>
      </c>
    </row>
    <row r="50" customFormat="false" ht="15" hidden="false" customHeight="false" outlineLevel="0" collapsed="false">
      <c r="A50" s="17" t="n">
        <v>45</v>
      </c>
      <c r="B50" s="21"/>
      <c r="C50" s="21"/>
      <c r="D50" s="21"/>
      <c r="E50" s="21"/>
      <c r="F50" s="21"/>
      <c r="G50" s="21"/>
      <c r="H50" s="21"/>
      <c r="I50" s="21"/>
      <c r="J50" s="20" t="str">
        <f aca="false">IF($F50="","",SUMIFS(SeatApproved,SeatUnit,$D50,SeatTitle,$F50))</f>
        <v/>
      </c>
      <c r="K50" s="20" t="str">
        <f aca="false">IF($F50="","",SUM($L50:$O50))</f>
        <v/>
      </c>
      <c r="L50" s="22"/>
      <c r="M50" s="22"/>
      <c r="N50" s="22"/>
      <c r="O50" s="22"/>
      <c r="P50" s="18" t="str">
        <f aca="false">IF($Q50="","",IFERROR(INDEX(DriverCategory,MATCH($Q50,DriverList,0)),"?"))</f>
        <v/>
      </c>
      <c r="Q50" s="21"/>
      <c r="R50" s="21"/>
      <c r="S50" s="23" t="str">
        <f aca="false">IF(COUNTA($B50:$H50)+COUNTA($L50:$O50)=0,"",MID(IF($B50="",", division","")&amp;IF($D50="",", unit","")&amp;IF($F50="",", job title","")&amp;IF($G50="",", career level","")&amp;IF($H50="",", job family","")&amp;IF($I50="",", worker type","")&amp;IF(N($K50)&lt;=0,", the quarter split","")&amp;IF($Q50="",", driver","")&amp;IF($R50="",", alternatives","")&amp;IF(AND($D50&lt;&gt;"",COUNTIF(UnitList,$D50)=0),", a unit that is not in your structure",""),3,300))</f>
        <v/>
      </c>
      <c r="T50" s="17" t="str">
        <f aca="false">IF($S50="","",COUNTIF($S$6:$S50,"?*"))</f>
        <v/>
      </c>
    </row>
    <row r="51" customFormat="false" ht="15" hidden="false" customHeight="false" outlineLevel="0" collapsed="false">
      <c r="A51" s="17" t="n">
        <v>46</v>
      </c>
      <c r="B51" s="21"/>
      <c r="C51" s="21"/>
      <c r="D51" s="21"/>
      <c r="E51" s="21"/>
      <c r="F51" s="21"/>
      <c r="G51" s="21"/>
      <c r="H51" s="21"/>
      <c r="I51" s="21"/>
      <c r="J51" s="20" t="str">
        <f aca="false">IF($F51="","",SUMIFS(SeatApproved,SeatUnit,$D51,SeatTitle,$F51))</f>
        <v/>
      </c>
      <c r="K51" s="20" t="str">
        <f aca="false">IF($F51="","",SUM($L51:$O51))</f>
        <v/>
      </c>
      <c r="L51" s="22"/>
      <c r="M51" s="22"/>
      <c r="N51" s="22"/>
      <c r="O51" s="22"/>
      <c r="P51" s="18" t="str">
        <f aca="false">IF($Q51="","",IFERROR(INDEX(DriverCategory,MATCH($Q51,DriverList,0)),"?"))</f>
        <v/>
      </c>
      <c r="Q51" s="21"/>
      <c r="R51" s="21"/>
      <c r="S51" s="23" t="str">
        <f aca="false">IF(COUNTA($B51:$H51)+COUNTA($L51:$O51)=0,"",MID(IF($B51="",", division","")&amp;IF($D51="",", unit","")&amp;IF($F51="",", job title","")&amp;IF($G51="",", career level","")&amp;IF($H51="",", job family","")&amp;IF($I51="",", worker type","")&amp;IF(N($K51)&lt;=0,", the quarter split","")&amp;IF($Q51="",", driver","")&amp;IF($R51="",", alternatives","")&amp;IF(AND($D51&lt;&gt;"",COUNTIF(UnitList,$D51)=0),", a unit that is not in your structure",""),3,300))</f>
        <v/>
      </c>
      <c r="T51" s="17" t="str">
        <f aca="false">IF($S51="","",COUNTIF($S$6:$S51,"?*"))</f>
        <v/>
      </c>
    </row>
    <row r="52" customFormat="false" ht="15" hidden="false" customHeight="false" outlineLevel="0" collapsed="false">
      <c r="A52" s="17" t="n">
        <v>47</v>
      </c>
      <c r="B52" s="21"/>
      <c r="C52" s="21"/>
      <c r="D52" s="21"/>
      <c r="E52" s="21"/>
      <c r="F52" s="21"/>
      <c r="G52" s="21"/>
      <c r="H52" s="21"/>
      <c r="I52" s="21"/>
      <c r="J52" s="20" t="str">
        <f aca="false">IF($F52="","",SUMIFS(SeatApproved,SeatUnit,$D52,SeatTitle,$F52))</f>
        <v/>
      </c>
      <c r="K52" s="20" t="str">
        <f aca="false">IF($F52="","",SUM($L52:$O52))</f>
        <v/>
      </c>
      <c r="L52" s="22"/>
      <c r="M52" s="22"/>
      <c r="N52" s="22"/>
      <c r="O52" s="22"/>
      <c r="P52" s="18" t="str">
        <f aca="false">IF($Q52="","",IFERROR(INDEX(DriverCategory,MATCH($Q52,DriverList,0)),"?"))</f>
        <v/>
      </c>
      <c r="Q52" s="21"/>
      <c r="R52" s="21"/>
      <c r="S52" s="23" t="str">
        <f aca="false">IF(COUNTA($B52:$H52)+COUNTA($L52:$O52)=0,"",MID(IF($B52="",", division","")&amp;IF($D52="",", unit","")&amp;IF($F52="",", job title","")&amp;IF($G52="",", career level","")&amp;IF($H52="",", job family","")&amp;IF($I52="",", worker type","")&amp;IF(N($K52)&lt;=0,", the quarter split","")&amp;IF($Q52="",", driver","")&amp;IF($R52="",", alternatives","")&amp;IF(AND($D52&lt;&gt;"",COUNTIF(UnitList,$D52)=0),", a unit that is not in your structure",""),3,300))</f>
        <v/>
      </c>
      <c r="T52" s="17" t="str">
        <f aca="false">IF($S52="","",COUNTIF($S$6:$S52,"?*"))</f>
        <v/>
      </c>
    </row>
    <row r="53" customFormat="false" ht="15" hidden="false" customHeight="false" outlineLevel="0" collapsed="false">
      <c r="A53" s="17" t="n">
        <v>48</v>
      </c>
      <c r="B53" s="21"/>
      <c r="C53" s="21"/>
      <c r="D53" s="21"/>
      <c r="E53" s="21"/>
      <c r="F53" s="21"/>
      <c r="G53" s="21"/>
      <c r="H53" s="21"/>
      <c r="I53" s="21"/>
      <c r="J53" s="20" t="str">
        <f aca="false">IF($F53="","",SUMIFS(SeatApproved,SeatUnit,$D53,SeatTitle,$F53))</f>
        <v/>
      </c>
      <c r="K53" s="20" t="str">
        <f aca="false">IF($F53="","",SUM($L53:$O53))</f>
        <v/>
      </c>
      <c r="L53" s="22"/>
      <c r="M53" s="22"/>
      <c r="N53" s="22"/>
      <c r="O53" s="22"/>
      <c r="P53" s="18" t="str">
        <f aca="false">IF($Q53="","",IFERROR(INDEX(DriverCategory,MATCH($Q53,DriverList,0)),"?"))</f>
        <v/>
      </c>
      <c r="Q53" s="21"/>
      <c r="R53" s="21"/>
      <c r="S53" s="23" t="str">
        <f aca="false">IF(COUNTA($B53:$H53)+COUNTA($L53:$O53)=0,"",MID(IF($B53="",", division","")&amp;IF($D53="",", unit","")&amp;IF($F53="",", job title","")&amp;IF($G53="",", career level","")&amp;IF($H53="",", job family","")&amp;IF($I53="",", worker type","")&amp;IF(N($K53)&lt;=0,", the quarter split","")&amp;IF($Q53="",", driver","")&amp;IF($R53="",", alternatives","")&amp;IF(AND($D53&lt;&gt;"",COUNTIF(UnitList,$D53)=0),", a unit that is not in your structure",""),3,300))</f>
        <v/>
      </c>
      <c r="T53" s="17" t="str">
        <f aca="false">IF($S53="","",COUNTIF($S$6:$S53,"?*"))</f>
        <v/>
      </c>
    </row>
    <row r="54" customFormat="false" ht="15" hidden="false" customHeight="false" outlineLevel="0" collapsed="false">
      <c r="A54" s="17" t="n">
        <v>49</v>
      </c>
      <c r="B54" s="21"/>
      <c r="C54" s="21"/>
      <c r="D54" s="21"/>
      <c r="E54" s="21"/>
      <c r="F54" s="21"/>
      <c r="G54" s="21"/>
      <c r="H54" s="21"/>
      <c r="I54" s="21"/>
      <c r="J54" s="20" t="str">
        <f aca="false">IF($F54="","",SUMIFS(SeatApproved,SeatUnit,$D54,SeatTitle,$F54))</f>
        <v/>
      </c>
      <c r="K54" s="20" t="str">
        <f aca="false">IF($F54="","",SUM($L54:$O54))</f>
        <v/>
      </c>
      <c r="L54" s="22"/>
      <c r="M54" s="22"/>
      <c r="N54" s="22"/>
      <c r="O54" s="22"/>
      <c r="P54" s="18" t="str">
        <f aca="false">IF($Q54="","",IFERROR(INDEX(DriverCategory,MATCH($Q54,DriverList,0)),"?"))</f>
        <v/>
      </c>
      <c r="Q54" s="21"/>
      <c r="R54" s="21"/>
      <c r="S54" s="23" t="str">
        <f aca="false">IF(COUNTA($B54:$H54)+COUNTA($L54:$O54)=0,"",MID(IF($B54="",", division","")&amp;IF($D54="",", unit","")&amp;IF($F54="",", job title","")&amp;IF($G54="",", career level","")&amp;IF($H54="",", job family","")&amp;IF($I54="",", worker type","")&amp;IF(N($K54)&lt;=0,", the quarter split","")&amp;IF($Q54="",", driver","")&amp;IF($R54="",", alternatives","")&amp;IF(AND($D54&lt;&gt;"",COUNTIF(UnitList,$D54)=0),", a unit that is not in your structure",""),3,300))</f>
        <v/>
      </c>
      <c r="T54" s="17" t="str">
        <f aca="false">IF($S54="","",COUNTIF($S$6:$S54,"?*"))</f>
        <v/>
      </c>
    </row>
    <row r="55" customFormat="false" ht="15" hidden="false" customHeight="false" outlineLevel="0" collapsed="false">
      <c r="A55" s="17" t="n">
        <v>50</v>
      </c>
      <c r="B55" s="21"/>
      <c r="C55" s="21"/>
      <c r="D55" s="21"/>
      <c r="E55" s="21"/>
      <c r="F55" s="21"/>
      <c r="G55" s="21"/>
      <c r="H55" s="21"/>
      <c r="I55" s="21"/>
      <c r="J55" s="20" t="str">
        <f aca="false">IF($F55="","",SUMIFS(SeatApproved,SeatUnit,$D55,SeatTitle,$F55))</f>
        <v/>
      </c>
      <c r="K55" s="20" t="str">
        <f aca="false">IF($F55="","",SUM($L55:$O55))</f>
        <v/>
      </c>
      <c r="L55" s="22"/>
      <c r="M55" s="22"/>
      <c r="N55" s="22"/>
      <c r="O55" s="22"/>
      <c r="P55" s="18" t="str">
        <f aca="false">IF($Q55="","",IFERROR(INDEX(DriverCategory,MATCH($Q55,DriverList,0)),"?"))</f>
        <v/>
      </c>
      <c r="Q55" s="21"/>
      <c r="R55" s="21"/>
      <c r="S55" s="23" t="str">
        <f aca="false">IF(COUNTA($B55:$H55)+COUNTA($L55:$O55)=0,"",MID(IF($B55="",", division","")&amp;IF($D55="",", unit","")&amp;IF($F55="",", job title","")&amp;IF($G55="",", career level","")&amp;IF($H55="",", job family","")&amp;IF($I55="",", worker type","")&amp;IF(N($K55)&lt;=0,", the quarter split","")&amp;IF($Q55="",", driver","")&amp;IF($R55="",", alternatives","")&amp;IF(AND($D55&lt;&gt;"",COUNTIF(UnitList,$D55)=0),", a unit that is not in your structure",""),3,300))</f>
        <v/>
      </c>
      <c r="T55" s="17" t="str">
        <f aca="false">IF($S55="","",COUNTIF($S$6:$S55,"?*"))</f>
        <v/>
      </c>
    </row>
    <row r="56" customFormat="false" ht="15" hidden="false" customHeight="false" outlineLevel="0" collapsed="false">
      <c r="A56" s="17" t="n">
        <v>51</v>
      </c>
      <c r="B56" s="21"/>
      <c r="C56" s="21"/>
      <c r="D56" s="21"/>
      <c r="E56" s="21"/>
      <c r="F56" s="21"/>
      <c r="G56" s="21"/>
      <c r="H56" s="21"/>
      <c r="I56" s="21"/>
      <c r="J56" s="20" t="str">
        <f aca="false">IF($F56="","",SUMIFS(SeatApproved,SeatUnit,$D56,SeatTitle,$F56))</f>
        <v/>
      </c>
      <c r="K56" s="20" t="str">
        <f aca="false">IF($F56="","",SUM($L56:$O56))</f>
        <v/>
      </c>
      <c r="L56" s="22"/>
      <c r="M56" s="22"/>
      <c r="N56" s="22"/>
      <c r="O56" s="22"/>
      <c r="P56" s="18" t="str">
        <f aca="false">IF($Q56="","",IFERROR(INDEX(DriverCategory,MATCH($Q56,DriverList,0)),"?"))</f>
        <v/>
      </c>
      <c r="Q56" s="21"/>
      <c r="R56" s="21"/>
      <c r="S56" s="23" t="str">
        <f aca="false">IF(COUNTA($B56:$H56)+COUNTA($L56:$O56)=0,"",MID(IF($B56="",", division","")&amp;IF($D56="",", unit","")&amp;IF($F56="",", job title","")&amp;IF($G56="",", career level","")&amp;IF($H56="",", job family","")&amp;IF($I56="",", worker type","")&amp;IF(N($K56)&lt;=0,", the quarter split","")&amp;IF($Q56="",", driver","")&amp;IF($R56="",", alternatives","")&amp;IF(AND($D56&lt;&gt;"",COUNTIF(UnitList,$D56)=0),", a unit that is not in your structure",""),3,300))</f>
        <v/>
      </c>
      <c r="T56" s="17" t="str">
        <f aca="false">IF($S56="","",COUNTIF($S$6:$S56,"?*"))</f>
        <v/>
      </c>
    </row>
    <row r="57" customFormat="false" ht="15" hidden="false" customHeight="false" outlineLevel="0" collapsed="false">
      <c r="A57" s="17" t="n">
        <v>52</v>
      </c>
      <c r="B57" s="21"/>
      <c r="C57" s="21"/>
      <c r="D57" s="21"/>
      <c r="E57" s="21"/>
      <c r="F57" s="21"/>
      <c r="G57" s="21"/>
      <c r="H57" s="21"/>
      <c r="I57" s="21"/>
      <c r="J57" s="20" t="str">
        <f aca="false">IF($F57="","",SUMIFS(SeatApproved,SeatUnit,$D57,SeatTitle,$F57))</f>
        <v/>
      </c>
      <c r="K57" s="20" t="str">
        <f aca="false">IF($F57="","",SUM($L57:$O57))</f>
        <v/>
      </c>
      <c r="L57" s="22"/>
      <c r="M57" s="22"/>
      <c r="N57" s="22"/>
      <c r="O57" s="22"/>
      <c r="P57" s="18" t="str">
        <f aca="false">IF($Q57="","",IFERROR(INDEX(DriverCategory,MATCH($Q57,DriverList,0)),"?"))</f>
        <v/>
      </c>
      <c r="Q57" s="21"/>
      <c r="R57" s="21"/>
      <c r="S57" s="23" t="str">
        <f aca="false">IF(COUNTA($B57:$H57)+COUNTA($L57:$O57)=0,"",MID(IF($B57="",", division","")&amp;IF($D57="",", unit","")&amp;IF($F57="",", job title","")&amp;IF($G57="",", career level","")&amp;IF($H57="",", job family","")&amp;IF($I57="",", worker type","")&amp;IF(N($K57)&lt;=0,", the quarter split","")&amp;IF($Q57="",", driver","")&amp;IF($R57="",", alternatives","")&amp;IF(AND($D57&lt;&gt;"",COUNTIF(UnitList,$D57)=0),", a unit that is not in your structure",""),3,300))</f>
        <v/>
      </c>
      <c r="T57" s="17" t="str">
        <f aca="false">IF($S57="","",COUNTIF($S$6:$S57,"?*"))</f>
        <v/>
      </c>
    </row>
    <row r="58" customFormat="false" ht="15" hidden="false" customHeight="false" outlineLevel="0" collapsed="false">
      <c r="A58" s="17" t="n">
        <v>53</v>
      </c>
      <c r="B58" s="21"/>
      <c r="C58" s="21"/>
      <c r="D58" s="21"/>
      <c r="E58" s="21"/>
      <c r="F58" s="21"/>
      <c r="G58" s="21"/>
      <c r="H58" s="21"/>
      <c r="I58" s="21"/>
      <c r="J58" s="20" t="str">
        <f aca="false">IF($F58="","",SUMIFS(SeatApproved,SeatUnit,$D58,SeatTitle,$F58))</f>
        <v/>
      </c>
      <c r="K58" s="20" t="str">
        <f aca="false">IF($F58="","",SUM($L58:$O58))</f>
        <v/>
      </c>
      <c r="L58" s="22"/>
      <c r="M58" s="22"/>
      <c r="N58" s="22"/>
      <c r="O58" s="22"/>
      <c r="P58" s="18" t="str">
        <f aca="false">IF($Q58="","",IFERROR(INDEX(DriverCategory,MATCH($Q58,DriverList,0)),"?"))</f>
        <v/>
      </c>
      <c r="Q58" s="21"/>
      <c r="R58" s="21"/>
      <c r="S58" s="23" t="str">
        <f aca="false">IF(COUNTA($B58:$H58)+COUNTA($L58:$O58)=0,"",MID(IF($B58="",", division","")&amp;IF($D58="",", unit","")&amp;IF($F58="",", job title","")&amp;IF($G58="",", career level","")&amp;IF($H58="",", job family","")&amp;IF($I58="",", worker type","")&amp;IF(N($K58)&lt;=0,", the quarter split","")&amp;IF($Q58="",", driver","")&amp;IF($R58="",", alternatives","")&amp;IF(AND($D58&lt;&gt;"",COUNTIF(UnitList,$D58)=0),", a unit that is not in your structure",""),3,300))</f>
        <v/>
      </c>
      <c r="T58" s="17" t="str">
        <f aca="false">IF($S58="","",COUNTIF($S$6:$S58,"?*"))</f>
        <v/>
      </c>
    </row>
    <row r="59" customFormat="false" ht="15" hidden="false" customHeight="false" outlineLevel="0" collapsed="false">
      <c r="A59" s="17" t="n">
        <v>54</v>
      </c>
      <c r="B59" s="21"/>
      <c r="C59" s="21"/>
      <c r="D59" s="21"/>
      <c r="E59" s="21"/>
      <c r="F59" s="21"/>
      <c r="G59" s="21"/>
      <c r="H59" s="21"/>
      <c r="I59" s="21"/>
      <c r="J59" s="20" t="str">
        <f aca="false">IF($F59="","",SUMIFS(SeatApproved,SeatUnit,$D59,SeatTitle,$F59))</f>
        <v/>
      </c>
      <c r="K59" s="20" t="str">
        <f aca="false">IF($F59="","",SUM($L59:$O59))</f>
        <v/>
      </c>
      <c r="L59" s="22"/>
      <c r="M59" s="22"/>
      <c r="N59" s="22"/>
      <c r="O59" s="22"/>
      <c r="P59" s="18" t="str">
        <f aca="false">IF($Q59="","",IFERROR(INDEX(DriverCategory,MATCH($Q59,DriverList,0)),"?"))</f>
        <v/>
      </c>
      <c r="Q59" s="21"/>
      <c r="R59" s="21"/>
      <c r="S59" s="23" t="str">
        <f aca="false">IF(COUNTA($B59:$H59)+COUNTA($L59:$O59)=0,"",MID(IF($B59="",", division","")&amp;IF($D59="",", unit","")&amp;IF($F59="",", job title","")&amp;IF($G59="",", career level","")&amp;IF($H59="",", job family","")&amp;IF($I59="",", worker type","")&amp;IF(N($K59)&lt;=0,", the quarter split","")&amp;IF($Q59="",", driver","")&amp;IF($R59="",", alternatives","")&amp;IF(AND($D59&lt;&gt;"",COUNTIF(UnitList,$D59)=0),", a unit that is not in your structure",""),3,300))</f>
        <v/>
      </c>
      <c r="T59" s="17" t="str">
        <f aca="false">IF($S59="","",COUNTIF($S$6:$S59,"?*"))</f>
        <v/>
      </c>
    </row>
    <row r="60" customFormat="false" ht="15" hidden="false" customHeight="false" outlineLevel="0" collapsed="false">
      <c r="A60" s="17" t="n">
        <v>55</v>
      </c>
      <c r="B60" s="21"/>
      <c r="C60" s="21"/>
      <c r="D60" s="21"/>
      <c r="E60" s="21"/>
      <c r="F60" s="21"/>
      <c r="G60" s="21"/>
      <c r="H60" s="21"/>
      <c r="I60" s="21"/>
      <c r="J60" s="20" t="str">
        <f aca="false">IF($F60="","",SUMIFS(SeatApproved,SeatUnit,$D60,SeatTitle,$F60))</f>
        <v/>
      </c>
      <c r="K60" s="20" t="str">
        <f aca="false">IF($F60="","",SUM($L60:$O60))</f>
        <v/>
      </c>
      <c r="L60" s="22"/>
      <c r="M60" s="22"/>
      <c r="N60" s="22"/>
      <c r="O60" s="22"/>
      <c r="P60" s="18" t="str">
        <f aca="false">IF($Q60="","",IFERROR(INDEX(DriverCategory,MATCH($Q60,DriverList,0)),"?"))</f>
        <v/>
      </c>
      <c r="Q60" s="21"/>
      <c r="R60" s="21"/>
      <c r="S60" s="23" t="str">
        <f aca="false">IF(COUNTA($B60:$H60)+COUNTA($L60:$O60)=0,"",MID(IF($B60="",", division","")&amp;IF($D60="",", unit","")&amp;IF($F60="",", job title","")&amp;IF($G60="",", career level","")&amp;IF($H60="",", job family","")&amp;IF($I60="",", worker type","")&amp;IF(N($K60)&lt;=0,", the quarter split","")&amp;IF($Q60="",", driver","")&amp;IF($R60="",", alternatives","")&amp;IF(AND($D60&lt;&gt;"",COUNTIF(UnitList,$D60)=0),", a unit that is not in your structure",""),3,300))</f>
        <v/>
      </c>
      <c r="T60" s="17" t="str">
        <f aca="false">IF($S60="","",COUNTIF($S$6:$S60,"?*"))</f>
        <v/>
      </c>
    </row>
    <row r="61" customFormat="false" ht="15" hidden="false" customHeight="false" outlineLevel="0" collapsed="false">
      <c r="A61" s="17" t="n">
        <v>56</v>
      </c>
      <c r="B61" s="21"/>
      <c r="C61" s="21"/>
      <c r="D61" s="21"/>
      <c r="E61" s="21"/>
      <c r="F61" s="21"/>
      <c r="G61" s="21"/>
      <c r="H61" s="21"/>
      <c r="I61" s="21"/>
      <c r="J61" s="20" t="str">
        <f aca="false">IF($F61="","",SUMIFS(SeatApproved,SeatUnit,$D61,SeatTitle,$F61))</f>
        <v/>
      </c>
      <c r="K61" s="20" t="str">
        <f aca="false">IF($F61="","",SUM($L61:$O61))</f>
        <v/>
      </c>
      <c r="L61" s="22"/>
      <c r="M61" s="22"/>
      <c r="N61" s="22"/>
      <c r="O61" s="22"/>
      <c r="P61" s="18" t="str">
        <f aca="false">IF($Q61="","",IFERROR(INDEX(DriverCategory,MATCH($Q61,DriverList,0)),"?"))</f>
        <v/>
      </c>
      <c r="Q61" s="21"/>
      <c r="R61" s="21"/>
      <c r="S61" s="23" t="str">
        <f aca="false">IF(COUNTA($B61:$H61)+COUNTA($L61:$O61)=0,"",MID(IF($B61="",", division","")&amp;IF($D61="",", unit","")&amp;IF($F61="",", job title","")&amp;IF($G61="",", career level","")&amp;IF($H61="",", job family","")&amp;IF($I61="",", worker type","")&amp;IF(N($K61)&lt;=0,", the quarter split","")&amp;IF($Q61="",", driver","")&amp;IF($R61="",", alternatives","")&amp;IF(AND($D61&lt;&gt;"",COUNTIF(UnitList,$D61)=0),", a unit that is not in your structure",""),3,300))</f>
        <v/>
      </c>
      <c r="T61" s="17" t="str">
        <f aca="false">IF($S61="","",COUNTIF($S$6:$S61,"?*"))</f>
        <v/>
      </c>
    </row>
    <row r="62" customFormat="false" ht="15" hidden="false" customHeight="false" outlineLevel="0" collapsed="false">
      <c r="A62" s="17" t="n">
        <v>57</v>
      </c>
      <c r="B62" s="21"/>
      <c r="C62" s="21"/>
      <c r="D62" s="21"/>
      <c r="E62" s="21"/>
      <c r="F62" s="21"/>
      <c r="G62" s="21"/>
      <c r="H62" s="21"/>
      <c r="I62" s="21"/>
      <c r="J62" s="20" t="str">
        <f aca="false">IF($F62="","",SUMIFS(SeatApproved,SeatUnit,$D62,SeatTitle,$F62))</f>
        <v/>
      </c>
      <c r="K62" s="20" t="str">
        <f aca="false">IF($F62="","",SUM($L62:$O62))</f>
        <v/>
      </c>
      <c r="L62" s="22"/>
      <c r="M62" s="22"/>
      <c r="N62" s="22"/>
      <c r="O62" s="22"/>
      <c r="P62" s="18" t="str">
        <f aca="false">IF($Q62="","",IFERROR(INDEX(DriverCategory,MATCH($Q62,DriverList,0)),"?"))</f>
        <v/>
      </c>
      <c r="Q62" s="21"/>
      <c r="R62" s="21"/>
      <c r="S62" s="23" t="str">
        <f aca="false">IF(COUNTA($B62:$H62)+COUNTA($L62:$O62)=0,"",MID(IF($B62="",", division","")&amp;IF($D62="",", unit","")&amp;IF($F62="",", job title","")&amp;IF($G62="",", career level","")&amp;IF($H62="",", job family","")&amp;IF($I62="",", worker type","")&amp;IF(N($K62)&lt;=0,", the quarter split","")&amp;IF($Q62="",", driver","")&amp;IF($R62="",", alternatives","")&amp;IF(AND($D62&lt;&gt;"",COUNTIF(UnitList,$D62)=0),", a unit that is not in your structure",""),3,300))</f>
        <v/>
      </c>
      <c r="T62" s="17" t="str">
        <f aca="false">IF($S62="","",COUNTIF($S$6:$S62,"?*"))</f>
        <v/>
      </c>
    </row>
    <row r="63" customFormat="false" ht="15" hidden="false" customHeight="false" outlineLevel="0" collapsed="false">
      <c r="A63" s="17" t="n">
        <v>58</v>
      </c>
      <c r="B63" s="21"/>
      <c r="C63" s="21"/>
      <c r="D63" s="21"/>
      <c r="E63" s="21"/>
      <c r="F63" s="21"/>
      <c r="G63" s="21"/>
      <c r="H63" s="21"/>
      <c r="I63" s="21"/>
      <c r="J63" s="20" t="str">
        <f aca="false">IF($F63="","",SUMIFS(SeatApproved,SeatUnit,$D63,SeatTitle,$F63))</f>
        <v/>
      </c>
      <c r="K63" s="20" t="str">
        <f aca="false">IF($F63="","",SUM($L63:$O63))</f>
        <v/>
      </c>
      <c r="L63" s="22"/>
      <c r="M63" s="22"/>
      <c r="N63" s="22"/>
      <c r="O63" s="22"/>
      <c r="P63" s="18" t="str">
        <f aca="false">IF($Q63="","",IFERROR(INDEX(DriverCategory,MATCH($Q63,DriverList,0)),"?"))</f>
        <v/>
      </c>
      <c r="Q63" s="21"/>
      <c r="R63" s="21"/>
      <c r="S63" s="23" t="str">
        <f aca="false">IF(COUNTA($B63:$H63)+COUNTA($L63:$O63)=0,"",MID(IF($B63="",", division","")&amp;IF($D63="",", unit","")&amp;IF($F63="",", job title","")&amp;IF($G63="",", career level","")&amp;IF($H63="",", job family","")&amp;IF($I63="",", worker type","")&amp;IF(N($K63)&lt;=0,", the quarter split","")&amp;IF($Q63="",", driver","")&amp;IF($R63="",", alternatives","")&amp;IF(AND($D63&lt;&gt;"",COUNTIF(UnitList,$D63)=0),", a unit that is not in your structure",""),3,300))</f>
        <v/>
      </c>
      <c r="T63" s="17" t="str">
        <f aca="false">IF($S63="","",COUNTIF($S$6:$S63,"?*"))</f>
        <v/>
      </c>
    </row>
    <row r="64" customFormat="false" ht="15" hidden="false" customHeight="false" outlineLevel="0" collapsed="false">
      <c r="A64" s="17" t="n">
        <v>59</v>
      </c>
      <c r="B64" s="21"/>
      <c r="C64" s="21"/>
      <c r="D64" s="21"/>
      <c r="E64" s="21"/>
      <c r="F64" s="21"/>
      <c r="G64" s="21"/>
      <c r="H64" s="21"/>
      <c r="I64" s="21"/>
      <c r="J64" s="20" t="str">
        <f aca="false">IF($F64="","",SUMIFS(SeatApproved,SeatUnit,$D64,SeatTitle,$F64))</f>
        <v/>
      </c>
      <c r="K64" s="20" t="str">
        <f aca="false">IF($F64="","",SUM($L64:$O64))</f>
        <v/>
      </c>
      <c r="L64" s="22"/>
      <c r="M64" s="22"/>
      <c r="N64" s="22"/>
      <c r="O64" s="22"/>
      <c r="P64" s="18" t="str">
        <f aca="false">IF($Q64="","",IFERROR(INDEX(DriverCategory,MATCH($Q64,DriverList,0)),"?"))</f>
        <v/>
      </c>
      <c r="Q64" s="21"/>
      <c r="R64" s="21"/>
      <c r="S64" s="23" t="str">
        <f aca="false">IF(COUNTA($B64:$H64)+COUNTA($L64:$O64)=0,"",MID(IF($B64="",", division","")&amp;IF($D64="",", unit","")&amp;IF($F64="",", job title","")&amp;IF($G64="",", career level","")&amp;IF($H64="",", job family","")&amp;IF($I64="",", worker type","")&amp;IF(N($K64)&lt;=0,", the quarter split","")&amp;IF($Q64="",", driver","")&amp;IF($R64="",", alternatives","")&amp;IF(AND($D64&lt;&gt;"",COUNTIF(UnitList,$D64)=0),", a unit that is not in your structure",""),3,300))</f>
        <v/>
      </c>
      <c r="T64" s="17" t="str">
        <f aca="false">IF($S64="","",COUNTIF($S$6:$S64,"?*"))</f>
        <v/>
      </c>
    </row>
    <row r="65" customFormat="false" ht="15" hidden="false" customHeight="false" outlineLevel="0" collapsed="false">
      <c r="A65" s="17" t="n">
        <v>60</v>
      </c>
      <c r="B65" s="21"/>
      <c r="C65" s="21"/>
      <c r="D65" s="21"/>
      <c r="E65" s="21"/>
      <c r="F65" s="21"/>
      <c r="G65" s="21"/>
      <c r="H65" s="21"/>
      <c r="I65" s="21"/>
      <c r="J65" s="20" t="str">
        <f aca="false">IF($F65="","",SUMIFS(SeatApproved,SeatUnit,$D65,SeatTitle,$F65))</f>
        <v/>
      </c>
      <c r="K65" s="20" t="str">
        <f aca="false">IF($F65="","",SUM($L65:$O65))</f>
        <v/>
      </c>
      <c r="L65" s="22"/>
      <c r="M65" s="22"/>
      <c r="N65" s="22"/>
      <c r="O65" s="22"/>
      <c r="P65" s="18" t="str">
        <f aca="false">IF($Q65="","",IFERROR(INDEX(DriverCategory,MATCH($Q65,DriverList,0)),"?"))</f>
        <v/>
      </c>
      <c r="Q65" s="21"/>
      <c r="R65" s="21"/>
      <c r="S65" s="23" t="str">
        <f aca="false">IF(COUNTA($B65:$H65)+COUNTA($L65:$O65)=0,"",MID(IF($B65="",", division","")&amp;IF($D65="",", unit","")&amp;IF($F65="",", job title","")&amp;IF($G65="",", career level","")&amp;IF($H65="",", job family","")&amp;IF($I65="",", worker type","")&amp;IF(N($K65)&lt;=0,", the quarter split","")&amp;IF($Q65="",", driver","")&amp;IF($R65="",", alternatives","")&amp;IF(AND($D65&lt;&gt;"",COUNTIF(UnitList,$D65)=0),", a unit that is not in your structure",""),3,300))</f>
        <v/>
      </c>
      <c r="T65" s="17" t="str">
        <f aca="false">IF($S65="","",COUNTIF($S$6:$S65,"?*"))</f>
        <v/>
      </c>
    </row>
    <row r="66" customFormat="false" ht="15" hidden="false" customHeight="false" outlineLevel="0" collapsed="false">
      <c r="A66" s="17" t="n">
        <v>61</v>
      </c>
      <c r="B66" s="21"/>
      <c r="C66" s="21"/>
      <c r="D66" s="21"/>
      <c r="E66" s="21"/>
      <c r="F66" s="21"/>
      <c r="G66" s="21"/>
      <c r="H66" s="21"/>
      <c r="I66" s="21"/>
      <c r="J66" s="20" t="str">
        <f aca="false">IF($F66="","",SUMIFS(SeatApproved,SeatUnit,$D66,SeatTitle,$F66))</f>
        <v/>
      </c>
      <c r="K66" s="20" t="str">
        <f aca="false">IF($F66="","",SUM($L66:$O66))</f>
        <v/>
      </c>
      <c r="L66" s="22"/>
      <c r="M66" s="22"/>
      <c r="N66" s="22"/>
      <c r="O66" s="22"/>
      <c r="P66" s="18" t="str">
        <f aca="false">IF($Q66="","",IFERROR(INDEX(DriverCategory,MATCH($Q66,DriverList,0)),"?"))</f>
        <v/>
      </c>
      <c r="Q66" s="21"/>
      <c r="R66" s="21"/>
      <c r="S66" s="23" t="str">
        <f aca="false">IF(COUNTA($B66:$H66)+COUNTA($L66:$O66)=0,"",MID(IF($B66="",", division","")&amp;IF($D66="",", unit","")&amp;IF($F66="",", job title","")&amp;IF($G66="",", career level","")&amp;IF($H66="",", job family","")&amp;IF($I66="",", worker type","")&amp;IF(N($K66)&lt;=0,", the quarter split","")&amp;IF($Q66="",", driver","")&amp;IF($R66="",", alternatives","")&amp;IF(AND($D66&lt;&gt;"",COUNTIF(UnitList,$D66)=0),", a unit that is not in your structure",""),3,300))</f>
        <v/>
      </c>
      <c r="T66" s="17" t="str">
        <f aca="false">IF($S66="","",COUNTIF($S$6:$S66,"?*"))</f>
        <v/>
      </c>
    </row>
    <row r="67" customFormat="false" ht="15" hidden="false" customHeight="false" outlineLevel="0" collapsed="false">
      <c r="A67" s="17" t="n">
        <v>62</v>
      </c>
      <c r="B67" s="21"/>
      <c r="C67" s="21"/>
      <c r="D67" s="21"/>
      <c r="E67" s="21"/>
      <c r="F67" s="21"/>
      <c r="G67" s="21"/>
      <c r="H67" s="21"/>
      <c r="I67" s="21"/>
      <c r="J67" s="20" t="str">
        <f aca="false">IF($F67="","",SUMIFS(SeatApproved,SeatUnit,$D67,SeatTitle,$F67))</f>
        <v/>
      </c>
      <c r="K67" s="20" t="str">
        <f aca="false">IF($F67="","",SUM($L67:$O67))</f>
        <v/>
      </c>
      <c r="L67" s="22"/>
      <c r="M67" s="22"/>
      <c r="N67" s="22"/>
      <c r="O67" s="22"/>
      <c r="P67" s="18" t="str">
        <f aca="false">IF($Q67="","",IFERROR(INDEX(DriverCategory,MATCH($Q67,DriverList,0)),"?"))</f>
        <v/>
      </c>
      <c r="Q67" s="21"/>
      <c r="R67" s="21"/>
      <c r="S67" s="23" t="str">
        <f aca="false">IF(COUNTA($B67:$H67)+COUNTA($L67:$O67)=0,"",MID(IF($B67="",", division","")&amp;IF($D67="",", unit","")&amp;IF($F67="",", job title","")&amp;IF($G67="",", career level","")&amp;IF($H67="",", job family","")&amp;IF($I67="",", worker type","")&amp;IF(N($K67)&lt;=0,", the quarter split","")&amp;IF($Q67="",", driver","")&amp;IF($R67="",", alternatives","")&amp;IF(AND($D67&lt;&gt;"",COUNTIF(UnitList,$D67)=0),", a unit that is not in your structure",""),3,300))</f>
        <v/>
      </c>
      <c r="T67" s="17" t="str">
        <f aca="false">IF($S67="","",COUNTIF($S$6:$S67,"?*"))</f>
        <v/>
      </c>
    </row>
    <row r="68" customFormat="false" ht="15" hidden="false" customHeight="false" outlineLevel="0" collapsed="false">
      <c r="A68" s="17" t="n">
        <v>63</v>
      </c>
      <c r="B68" s="21"/>
      <c r="C68" s="21"/>
      <c r="D68" s="21"/>
      <c r="E68" s="21"/>
      <c r="F68" s="21"/>
      <c r="G68" s="21"/>
      <c r="H68" s="21"/>
      <c r="I68" s="21"/>
      <c r="J68" s="20" t="str">
        <f aca="false">IF($F68="","",SUMIFS(SeatApproved,SeatUnit,$D68,SeatTitle,$F68))</f>
        <v/>
      </c>
      <c r="K68" s="20" t="str">
        <f aca="false">IF($F68="","",SUM($L68:$O68))</f>
        <v/>
      </c>
      <c r="L68" s="22"/>
      <c r="M68" s="22"/>
      <c r="N68" s="22"/>
      <c r="O68" s="22"/>
      <c r="P68" s="18" t="str">
        <f aca="false">IF($Q68="","",IFERROR(INDEX(DriverCategory,MATCH($Q68,DriverList,0)),"?"))</f>
        <v/>
      </c>
      <c r="Q68" s="21"/>
      <c r="R68" s="21"/>
      <c r="S68" s="23" t="str">
        <f aca="false">IF(COUNTA($B68:$H68)+COUNTA($L68:$O68)=0,"",MID(IF($B68="",", division","")&amp;IF($D68="",", unit","")&amp;IF($F68="",", job title","")&amp;IF($G68="",", career level","")&amp;IF($H68="",", job family","")&amp;IF($I68="",", worker type","")&amp;IF(N($K68)&lt;=0,", the quarter split","")&amp;IF($Q68="",", driver","")&amp;IF($R68="",", alternatives","")&amp;IF(AND($D68&lt;&gt;"",COUNTIF(UnitList,$D68)=0),", a unit that is not in your structure",""),3,300))</f>
        <v/>
      </c>
      <c r="T68" s="17" t="str">
        <f aca="false">IF($S68="","",COUNTIF($S$6:$S68,"?*"))</f>
        <v/>
      </c>
    </row>
    <row r="69" customFormat="false" ht="15" hidden="false" customHeight="false" outlineLevel="0" collapsed="false">
      <c r="A69" s="17" t="n">
        <v>64</v>
      </c>
      <c r="B69" s="21"/>
      <c r="C69" s="21"/>
      <c r="D69" s="21"/>
      <c r="E69" s="21"/>
      <c r="F69" s="21"/>
      <c r="G69" s="21"/>
      <c r="H69" s="21"/>
      <c r="I69" s="21"/>
      <c r="J69" s="20" t="str">
        <f aca="false">IF($F69="","",SUMIFS(SeatApproved,SeatUnit,$D69,SeatTitle,$F69))</f>
        <v/>
      </c>
      <c r="K69" s="20" t="str">
        <f aca="false">IF($F69="","",SUM($L69:$O69))</f>
        <v/>
      </c>
      <c r="L69" s="22"/>
      <c r="M69" s="22"/>
      <c r="N69" s="22"/>
      <c r="O69" s="22"/>
      <c r="P69" s="18" t="str">
        <f aca="false">IF($Q69="","",IFERROR(INDEX(DriverCategory,MATCH($Q69,DriverList,0)),"?"))</f>
        <v/>
      </c>
      <c r="Q69" s="21"/>
      <c r="R69" s="21"/>
      <c r="S69" s="23" t="str">
        <f aca="false">IF(COUNTA($B69:$H69)+COUNTA($L69:$O69)=0,"",MID(IF($B69="",", division","")&amp;IF($D69="",", unit","")&amp;IF($F69="",", job title","")&amp;IF($G69="",", career level","")&amp;IF($H69="",", job family","")&amp;IF($I69="",", worker type","")&amp;IF(N($K69)&lt;=0,", the quarter split","")&amp;IF($Q69="",", driver","")&amp;IF($R69="",", alternatives","")&amp;IF(AND($D69&lt;&gt;"",COUNTIF(UnitList,$D69)=0),", a unit that is not in your structure",""),3,300))</f>
        <v/>
      </c>
      <c r="T69" s="17" t="str">
        <f aca="false">IF($S69="","",COUNTIF($S$6:$S69,"?*"))</f>
        <v/>
      </c>
    </row>
    <row r="70" customFormat="false" ht="15" hidden="false" customHeight="false" outlineLevel="0" collapsed="false">
      <c r="A70" s="17" t="n">
        <v>65</v>
      </c>
      <c r="B70" s="21"/>
      <c r="C70" s="21"/>
      <c r="D70" s="21"/>
      <c r="E70" s="21"/>
      <c r="F70" s="21"/>
      <c r="G70" s="21"/>
      <c r="H70" s="21"/>
      <c r="I70" s="21"/>
      <c r="J70" s="20" t="str">
        <f aca="false">IF($F70="","",SUMIFS(SeatApproved,SeatUnit,$D70,SeatTitle,$F70))</f>
        <v/>
      </c>
      <c r="K70" s="20" t="str">
        <f aca="false">IF($F70="","",SUM($L70:$O70))</f>
        <v/>
      </c>
      <c r="L70" s="22"/>
      <c r="M70" s="22"/>
      <c r="N70" s="22"/>
      <c r="O70" s="22"/>
      <c r="P70" s="18" t="str">
        <f aca="false">IF($Q70="","",IFERROR(INDEX(DriverCategory,MATCH($Q70,DriverList,0)),"?"))</f>
        <v/>
      </c>
      <c r="Q70" s="21"/>
      <c r="R70" s="21"/>
      <c r="S70" s="23" t="str">
        <f aca="false">IF(COUNTA($B70:$H70)+COUNTA($L70:$O70)=0,"",MID(IF($B70="",", division","")&amp;IF($D70="",", unit","")&amp;IF($F70="",", job title","")&amp;IF($G70="",", career level","")&amp;IF($H70="",", job family","")&amp;IF($I70="",", worker type","")&amp;IF(N($K70)&lt;=0,", the quarter split","")&amp;IF($Q70="",", driver","")&amp;IF($R70="",", alternatives","")&amp;IF(AND($D70&lt;&gt;"",COUNTIF(UnitList,$D70)=0),", a unit that is not in your structure",""),3,300))</f>
        <v/>
      </c>
      <c r="T70" s="17" t="str">
        <f aca="false">IF($S70="","",COUNTIF($S$6:$S70,"?*"))</f>
        <v/>
      </c>
    </row>
    <row r="71" customFormat="false" ht="15" hidden="false" customHeight="false" outlineLevel="0" collapsed="false">
      <c r="A71" s="17" t="n">
        <v>66</v>
      </c>
      <c r="B71" s="21"/>
      <c r="C71" s="21"/>
      <c r="D71" s="21"/>
      <c r="E71" s="21"/>
      <c r="F71" s="21"/>
      <c r="G71" s="21"/>
      <c r="H71" s="21"/>
      <c r="I71" s="21"/>
      <c r="J71" s="20" t="str">
        <f aca="false">IF($F71="","",SUMIFS(SeatApproved,SeatUnit,$D71,SeatTitle,$F71))</f>
        <v/>
      </c>
      <c r="K71" s="20" t="str">
        <f aca="false">IF($F71="","",SUM($L71:$O71))</f>
        <v/>
      </c>
      <c r="L71" s="22"/>
      <c r="M71" s="22"/>
      <c r="N71" s="22"/>
      <c r="O71" s="22"/>
      <c r="P71" s="18" t="str">
        <f aca="false">IF($Q71="","",IFERROR(INDEX(DriverCategory,MATCH($Q71,DriverList,0)),"?"))</f>
        <v/>
      </c>
      <c r="Q71" s="21"/>
      <c r="R71" s="21"/>
      <c r="S71" s="23" t="str">
        <f aca="false">IF(COUNTA($B71:$H71)+COUNTA($L71:$O71)=0,"",MID(IF($B71="",", division","")&amp;IF($D71="",", unit","")&amp;IF($F71="",", job title","")&amp;IF($G71="",", career level","")&amp;IF($H71="",", job family","")&amp;IF($I71="",", worker type","")&amp;IF(N($K71)&lt;=0,", the quarter split","")&amp;IF($Q71="",", driver","")&amp;IF($R71="",", alternatives","")&amp;IF(AND($D71&lt;&gt;"",COUNTIF(UnitList,$D71)=0),", a unit that is not in your structure",""),3,300))</f>
        <v/>
      </c>
      <c r="T71" s="17" t="str">
        <f aca="false">IF($S71="","",COUNTIF($S$6:$S71,"?*"))</f>
        <v/>
      </c>
    </row>
    <row r="72" customFormat="false" ht="15" hidden="false" customHeight="false" outlineLevel="0" collapsed="false">
      <c r="A72" s="17" t="n">
        <v>67</v>
      </c>
      <c r="B72" s="21"/>
      <c r="C72" s="21"/>
      <c r="D72" s="21"/>
      <c r="E72" s="21"/>
      <c r="F72" s="21"/>
      <c r="G72" s="21"/>
      <c r="H72" s="21"/>
      <c r="I72" s="21"/>
      <c r="J72" s="20" t="str">
        <f aca="false">IF($F72="","",SUMIFS(SeatApproved,SeatUnit,$D72,SeatTitle,$F72))</f>
        <v/>
      </c>
      <c r="K72" s="20" t="str">
        <f aca="false">IF($F72="","",SUM($L72:$O72))</f>
        <v/>
      </c>
      <c r="L72" s="22"/>
      <c r="M72" s="22"/>
      <c r="N72" s="22"/>
      <c r="O72" s="22"/>
      <c r="P72" s="18" t="str">
        <f aca="false">IF($Q72="","",IFERROR(INDEX(DriverCategory,MATCH($Q72,DriverList,0)),"?"))</f>
        <v/>
      </c>
      <c r="Q72" s="21"/>
      <c r="R72" s="21"/>
      <c r="S72" s="23" t="str">
        <f aca="false">IF(COUNTA($B72:$H72)+COUNTA($L72:$O72)=0,"",MID(IF($B72="",", division","")&amp;IF($D72="",", unit","")&amp;IF($F72="",", job title","")&amp;IF($G72="",", career level","")&amp;IF($H72="",", job family","")&amp;IF($I72="",", worker type","")&amp;IF(N($K72)&lt;=0,", the quarter split","")&amp;IF($Q72="",", driver","")&amp;IF($R72="",", alternatives","")&amp;IF(AND($D72&lt;&gt;"",COUNTIF(UnitList,$D72)=0),", a unit that is not in your structure",""),3,300))</f>
        <v/>
      </c>
      <c r="T72" s="17" t="str">
        <f aca="false">IF($S72="","",COUNTIF($S$6:$S72,"?*"))</f>
        <v/>
      </c>
    </row>
    <row r="73" customFormat="false" ht="15" hidden="false" customHeight="false" outlineLevel="0" collapsed="false">
      <c r="A73" s="17" t="n">
        <v>68</v>
      </c>
      <c r="B73" s="21"/>
      <c r="C73" s="21"/>
      <c r="D73" s="21"/>
      <c r="E73" s="21"/>
      <c r="F73" s="21"/>
      <c r="G73" s="21"/>
      <c r="H73" s="21"/>
      <c r="I73" s="21"/>
      <c r="J73" s="20" t="str">
        <f aca="false">IF($F73="","",SUMIFS(SeatApproved,SeatUnit,$D73,SeatTitle,$F73))</f>
        <v/>
      </c>
      <c r="K73" s="20" t="str">
        <f aca="false">IF($F73="","",SUM($L73:$O73))</f>
        <v/>
      </c>
      <c r="L73" s="22"/>
      <c r="M73" s="22"/>
      <c r="N73" s="22"/>
      <c r="O73" s="22"/>
      <c r="P73" s="18" t="str">
        <f aca="false">IF($Q73="","",IFERROR(INDEX(DriverCategory,MATCH($Q73,DriverList,0)),"?"))</f>
        <v/>
      </c>
      <c r="Q73" s="21"/>
      <c r="R73" s="21"/>
      <c r="S73" s="23" t="str">
        <f aca="false">IF(COUNTA($B73:$H73)+COUNTA($L73:$O73)=0,"",MID(IF($B73="",", division","")&amp;IF($D73="",", unit","")&amp;IF($F73="",", job title","")&amp;IF($G73="",", career level","")&amp;IF($H73="",", job family","")&amp;IF($I73="",", worker type","")&amp;IF(N($K73)&lt;=0,", the quarter split","")&amp;IF($Q73="",", driver","")&amp;IF($R73="",", alternatives","")&amp;IF(AND($D73&lt;&gt;"",COUNTIF(UnitList,$D73)=0),", a unit that is not in your structure",""),3,300))</f>
        <v/>
      </c>
      <c r="T73" s="17" t="str">
        <f aca="false">IF($S73="","",COUNTIF($S$6:$S73,"?*"))</f>
        <v/>
      </c>
    </row>
    <row r="74" customFormat="false" ht="15" hidden="false" customHeight="false" outlineLevel="0" collapsed="false">
      <c r="A74" s="17" t="n">
        <v>69</v>
      </c>
      <c r="B74" s="21"/>
      <c r="C74" s="21"/>
      <c r="D74" s="21"/>
      <c r="E74" s="21"/>
      <c r="F74" s="21"/>
      <c r="G74" s="21"/>
      <c r="H74" s="21"/>
      <c r="I74" s="21"/>
      <c r="J74" s="20" t="str">
        <f aca="false">IF($F74="","",SUMIFS(SeatApproved,SeatUnit,$D74,SeatTitle,$F74))</f>
        <v/>
      </c>
      <c r="K74" s="20" t="str">
        <f aca="false">IF($F74="","",SUM($L74:$O74))</f>
        <v/>
      </c>
      <c r="L74" s="22"/>
      <c r="M74" s="22"/>
      <c r="N74" s="22"/>
      <c r="O74" s="22"/>
      <c r="P74" s="18" t="str">
        <f aca="false">IF($Q74="","",IFERROR(INDEX(DriverCategory,MATCH($Q74,DriverList,0)),"?"))</f>
        <v/>
      </c>
      <c r="Q74" s="21"/>
      <c r="R74" s="21"/>
      <c r="S74" s="23" t="str">
        <f aca="false">IF(COUNTA($B74:$H74)+COUNTA($L74:$O74)=0,"",MID(IF($B74="",", division","")&amp;IF($D74="",", unit","")&amp;IF($F74="",", job title","")&amp;IF($G74="",", career level","")&amp;IF($H74="",", job family","")&amp;IF($I74="",", worker type","")&amp;IF(N($K74)&lt;=0,", the quarter split","")&amp;IF($Q74="",", driver","")&amp;IF($R74="",", alternatives","")&amp;IF(AND($D74&lt;&gt;"",COUNTIF(UnitList,$D74)=0),", a unit that is not in your structure",""),3,300))</f>
        <v/>
      </c>
      <c r="T74" s="17" t="str">
        <f aca="false">IF($S74="","",COUNTIF($S$6:$S74,"?*"))</f>
        <v/>
      </c>
    </row>
    <row r="75" customFormat="false" ht="15" hidden="false" customHeight="false" outlineLevel="0" collapsed="false">
      <c r="A75" s="17" t="n">
        <v>70</v>
      </c>
      <c r="B75" s="21"/>
      <c r="C75" s="21"/>
      <c r="D75" s="21"/>
      <c r="E75" s="21"/>
      <c r="F75" s="21"/>
      <c r="G75" s="21"/>
      <c r="H75" s="21"/>
      <c r="I75" s="21"/>
      <c r="J75" s="20" t="str">
        <f aca="false">IF($F75="","",SUMIFS(SeatApproved,SeatUnit,$D75,SeatTitle,$F75))</f>
        <v/>
      </c>
      <c r="K75" s="20" t="str">
        <f aca="false">IF($F75="","",SUM($L75:$O75))</f>
        <v/>
      </c>
      <c r="L75" s="22"/>
      <c r="M75" s="22"/>
      <c r="N75" s="22"/>
      <c r="O75" s="22"/>
      <c r="P75" s="18" t="str">
        <f aca="false">IF($Q75="","",IFERROR(INDEX(DriverCategory,MATCH($Q75,DriverList,0)),"?"))</f>
        <v/>
      </c>
      <c r="Q75" s="21"/>
      <c r="R75" s="21"/>
      <c r="S75" s="23" t="str">
        <f aca="false">IF(COUNTA($B75:$H75)+COUNTA($L75:$O75)=0,"",MID(IF($B75="",", division","")&amp;IF($D75="",", unit","")&amp;IF($F75="",", job title","")&amp;IF($G75="",", career level","")&amp;IF($H75="",", job family","")&amp;IF($I75="",", worker type","")&amp;IF(N($K75)&lt;=0,", the quarter split","")&amp;IF($Q75="",", driver","")&amp;IF($R75="",", alternatives","")&amp;IF(AND($D75&lt;&gt;"",COUNTIF(UnitList,$D75)=0),", a unit that is not in your structure",""),3,300))</f>
        <v/>
      </c>
      <c r="T75" s="17" t="str">
        <f aca="false">IF($S75="","",COUNTIF($S$6:$S75,"?*"))</f>
        <v/>
      </c>
    </row>
    <row r="76" customFormat="false" ht="15" hidden="false" customHeight="false" outlineLevel="0" collapsed="false">
      <c r="A76" s="17" t="n">
        <v>71</v>
      </c>
      <c r="B76" s="21"/>
      <c r="C76" s="21"/>
      <c r="D76" s="21"/>
      <c r="E76" s="21"/>
      <c r="F76" s="21"/>
      <c r="G76" s="21"/>
      <c r="H76" s="21"/>
      <c r="I76" s="21"/>
      <c r="J76" s="20" t="str">
        <f aca="false">IF($F76="","",SUMIFS(SeatApproved,SeatUnit,$D76,SeatTitle,$F76))</f>
        <v/>
      </c>
      <c r="K76" s="20" t="str">
        <f aca="false">IF($F76="","",SUM($L76:$O76))</f>
        <v/>
      </c>
      <c r="L76" s="22"/>
      <c r="M76" s="22"/>
      <c r="N76" s="22"/>
      <c r="O76" s="22"/>
      <c r="P76" s="18" t="str">
        <f aca="false">IF($Q76="","",IFERROR(INDEX(DriverCategory,MATCH($Q76,DriverList,0)),"?"))</f>
        <v/>
      </c>
      <c r="Q76" s="21"/>
      <c r="R76" s="21"/>
      <c r="S76" s="23" t="str">
        <f aca="false">IF(COUNTA($B76:$H76)+COUNTA($L76:$O76)=0,"",MID(IF($B76="",", division","")&amp;IF($D76="",", unit","")&amp;IF($F76="",", job title","")&amp;IF($G76="",", career level","")&amp;IF($H76="",", job family","")&amp;IF($I76="",", worker type","")&amp;IF(N($K76)&lt;=0,", the quarter split","")&amp;IF($Q76="",", driver","")&amp;IF($R76="",", alternatives","")&amp;IF(AND($D76&lt;&gt;"",COUNTIF(UnitList,$D76)=0),", a unit that is not in your structure",""),3,300))</f>
        <v/>
      </c>
      <c r="T76" s="17" t="str">
        <f aca="false">IF($S76="","",COUNTIF($S$6:$S76,"?*"))</f>
        <v/>
      </c>
    </row>
    <row r="77" customFormat="false" ht="15" hidden="false" customHeight="false" outlineLevel="0" collapsed="false">
      <c r="A77" s="17" t="n">
        <v>72</v>
      </c>
      <c r="B77" s="21"/>
      <c r="C77" s="21"/>
      <c r="D77" s="21"/>
      <c r="E77" s="21"/>
      <c r="F77" s="21"/>
      <c r="G77" s="21"/>
      <c r="H77" s="21"/>
      <c r="I77" s="21"/>
      <c r="J77" s="20" t="str">
        <f aca="false">IF($F77="","",SUMIFS(SeatApproved,SeatUnit,$D77,SeatTitle,$F77))</f>
        <v/>
      </c>
      <c r="K77" s="20" t="str">
        <f aca="false">IF($F77="","",SUM($L77:$O77))</f>
        <v/>
      </c>
      <c r="L77" s="22"/>
      <c r="M77" s="22"/>
      <c r="N77" s="22"/>
      <c r="O77" s="22"/>
      <c r="P77" s="18" t="str">
        <f aca="false">IF($Q77="","",IFERROR(INDEX(DriverCategory,MATCH($Q77,DriverList,0)),"?"))</f>
        <v/>
      </c>
      <c r="Q77" s="21"/>
      <c r="R77" s="21"/>
      <c r="S77" s="23" t="str">
        <f aca="false">IF(COUNTA($B77:$H77)+COUNTA($L77:$O77)=0,"",MID(IF($B77="",", division","")&amp;IF($D77="",", unit","")&amp;IF($F77="",", job title","")&amp;IF($G77="",", career level","")&amp;IF($H77="",", job family","")&amp;IF($I77="",", worker type","")&amp;IF(N($K77)&lt;=0,", the quarter split","")&amp;IF($Q77="",", driver","")&amp;IF($R77="",", alternatives","")&amp;IF(AND($D77&lt;&gt;"",COUNTIF(UnitList,$D77)=0),", a unit that is not in your structure",""),3,300))</f>
        <v/>
      </c>
      <c r="T77" s="17" t="str">
        <f aca="false">IF($S77="","",COUNTIF($S$6:$S77,"?*"))</f>
        <v/>
      </c>
    </row>
    <row r="78" customFormat="false" ht="15" hidden="false" customHeight="false" outlineLevel="0" collapsed="false">
      <c r="A78" s="17" t="n">
        <v>73</v>
      </c>
      <c r="B78" s="21"/>
      <c r="C78" s="21"/>
      <c r="D78" s="21"/>
      <c r="E78" s="21"/>
      <c r="F78" s="21"/>
      <c r="G78" s="21"/>
      <c r="H78" s="21"/>
      <c r="I78" s="21"/>
      <c r="J78" s="20" t="str">
        <f aca="false">IF($F78="","",SUMIFS(SeatApproved,SeatUnit,$D78,SeatTitle,$F78))</f>
        <v/>
      </c>
      <c r="K78" s="20" t="str">
        <f aca="false">IF($F78="","",SUM($L78:$O78))</f>
        <v/>
      </c>
      <c r="L78" s="22"/>
      <c r="M78" s="22"/>
      <c r="N78" s="22"/>
      <c r="O78" s="22"/>
      <c r="P78" s="18" t="str">
        <f aca="false">IF($Q78="","",IFERROR(INDEX(DriverCategory,MATCH($Q78,DriverList,0)),"?"))</f>
        <v/>
      </c>
      <c r="Q78" s="21"/>
      <c r="R78" s="21"/>
      <c r="S78" s="23" t="str">
        <f aca="false">IF(COUNTA($B78:$H78)+COUNTA($L78:$O78)=0,"",MID(IF($B78="",", division","")&amp;IF($D78="",", unit","")&amp;IF($F78="",", job title","")&amp;IF($G78="",", career level","")&amp;IF($H78="",", job family","")&amp;IF($I78="",", worker type","")&amp;IF(N($K78)&lt;=0,", the quarter split","")&amp;IF($Q78="",", driver","")&amp;IF($R78="",", alternatives","")&amp;IF(AND($D78&lt;&gt;"",COUNTIF(UnitList,$D78)=0),", a unit that is not in your structure",""),3,300))</f>
        <v/>
      </c>
      <c r="T78" s="17" t="str">
        <f aca="false">IF($S78="","",COUNTIF($S$6:$S78,"?*"))</f>
        <v/>
      </c>
    </row>
    <row r="79" customFormat="false" ht="15" hidden="false" customHeight="false" outlineLevel="0" collapsed="false">
      <c r="A79" s="17" t="n">
        <v>74</v>
      </c>
      <c r="B79" s="21"/>
      <c r="C79" s="21"/>
      <c r="D79" s="21"/>
      <c r="E79" s="21"/>
      <c r="F79" s="21"/>
      <c r="G79" s="21"/>
      <c r="H79" s="21"/>
      <c r="I79" s="21"/>
      <c r="J79" s="20" t="str">
        <f aca="false">IF($F79="","",SUMIFS(SeatApproved,SeatUnit,$D79,SeatTitle,$F79))</f>
        <v/>
      </c>
      <c r="K79" s="20" t="str">
        <f aca="false">IF($F79="","",SUM($L79:$O79))</f>
        <v/>
      </c>
      <c r="L79" s="22"/>
      <c r="M79" s="22"/>
      <c r="N79" s="22"/>
      <c r="O79" s="22"/>
      <c r="P79" s="18" t="str">
        <f aca="false">IF($Q79="","",IFERROR(INDEX(DriverCategory,MATCH($Q79,DriverList,0)),"?"))</f>
        <v/>
      </c>
      <c r="Q79" s="21"/>
      <c r="R79" s="21"/>
      <c r="S79" s="23" t="str">
        <f aca="false">IF(COUNTA($B79:$H79)+COUNTA($L79:$O79)=0,"",MID(IF($B79="",", division","")&amp;IF($D79="",", unit","")&amp;IF($F79="",", job title","")&amp;IF($G79="",", career level","")&amp;IF($H79="",", job family","")&amp;IF($I79="",", worker type","")&amp;IF(N($K79)&lt;=0,", the quarter split","")&amp;IF($Q79="",", driver","")&amp;IF($R79="",", alternatives","")&amp;IF(AND($D79&lt;&gt;"",COUNTIF(UnitList,$D79)=0),", a unit that is not in your structure",""),3,300))</f>
        <v/>
      </c>
      <c r="T79" s="17" t="str">
        <f aca="false">IF($S79="","",COUNTIF($S$6:$S79,"?*"))</f>
        <v/>
      </c>
    </row>
    <row r="80" customFormat="false" ht="15" hidden="false" customHeight="false" outlineLevel="0" collapsed="false">
      <c r="A80" s="17" t="n">
        <v>75</v>
      </c>
      <c r="B80" s="21"/>
      <c r="C80" s="21"/>
      <c r="D80" s="21"/>
      <c r="E80" s="21"/>
      <c r="F80" s="21"/>
      <c r="G80" s="21"/>
      <c r="H80" s="21"/>
      <c r="I80" s="21"/>
      <c r="J80" s="20" t="str">
        <f aca="false">IF($F80="","",SUMIFS(SeatApproved,SeatUnit,$D80,SeatTitle,$F80))</f>
        <v/>
      </c>
      <c r="K80" s="20" t="str">
        <f aca="false">IF($F80="","",SUM($L80:$O80))</f>
        <v/>
      </c>
      <c r="L80" s="22"/>
      <c r="M80" s="22"/>
      <c r="N80" s="22"/>
      <c r="O80" s="22"/>
      <c r="P80" s="18" t="str">
        <f aca="false">IF($Q80="","",IFERROR(INDEX(DriverCategory,MATCH($Q80,DriverList,0)),"?"))</f>
        <v/>
      </c>
      <c r="Q80" s="21"/>
      <c r="R80" s="21"/>
      <c r="S80" s="23" t="str">
        <f aca="false">IF(COUNTA($B80:$H80)+COUNTA($L80:$O80)=0,"",MID(IF($B80="",", division","")&amp;IF($D80="",", unit","")&amp;IF($F80="",", job title","")&amp;IF($G80="",", career level","")&amp;IF($H80="",", job family","")&amp;IF($I80="",", worker type","")&amp;IF(N($K80)&lt;=0,", the quarter split","")&amp;IF($Q80="",", driver","")&amp;IF($R80="",", alternatives","")&amp;IF(AND($D80&lt;&gt;"",COUNTIF(UnitList,$D80)=0),", a unit that is not in your structure",""),3,300))</f>
        <v/>
      </c>
      <c r="T80" s="17" t="str">
        <f aca="false">IF($S80="","",COUNTIF($S$6:$S80,"?*"))</f>
        <v/>
      </c>
    </row>
    <row r="81" customFormat="false" ht="15" hidden="false" customHeight="false" outlineLevel="0" collapsed="false">
      <c r="A81" s="17" t="n">
        <v>76</v>
      </c>
      <c r="B81" s="21"/>
      <c r="C81" s="21"/>
      <c r="D81" s="21"/>
      <c r="E81" s="21"/>
      <c r="F81" s="21"/>
      <c r="G81" s="21"/>
      <c r="H81" s="21"/>
      <c r="I81" s="21"/>
      <c r="J81" s="20" t="str">
        <f aca="false">IF($F81="","",SUMIFS(SeatApproved,SeatUnit,$D81,SeatTitle,$F81))</f>
        <v/>
      </c>
      <c r="K81" s="20" t="str">
        <f aca="false">IF($F81="","",SUM($L81:$O81))</f>
        <v/>
      </c>
      <c r="L81" s="22"/>
      <c r="M81" s="22"/>
      <c r="N81" s="22"/>
      <c r="O81" s="22"/>
      <c r="P81" s="18" t="str">
        <f aca="false">IF($Q81="","",IFERROR(INDEX(DriverCategory,MATCH($Q81,DriverList,0)),"?"))</f>
        <v/>
      </c>
      <c r="Q81" s="21"/>
      <c r="R81" s="21"/>
      <c r="S81" s="23" t="str">
        <f aca="false">IF(COUNTA($B81:$H81)+COUNTA($L81:$O81)=0,"",MID(IF($B81="",", division","")&amp;IF($D81="",", unit","")&amp;IF($F81="",", job title","")&amp;IF($G81="",", career level","")&amp;IF($H81="",", job family","")&amp;IF($I81="",", worker type","")&amp;IF(N($K81)&lt;=0,", the quarter split","")&amp;IF($Q81="",", driver","")&amp;IF($R81="",", alternatives","")&amp;IF(AND($D81&lt;&gt;"",COUNTIF(UnitList,$D81)=0),", a unit that is not in your structure",""),3,300))</f>
        <v/>
      </c>
      <c r="T81" s="17" t="str">
        <f aca="false">IF($S81="","",COUNTIF($S$6:$S81,"?*"))</f>
        <v/>
      </c>
    </row>
    <row r="82" customFormat="false" ht="15" hidden="false" customHeight="false" outlineLevel="0" collapsed="false">
      <c r="A82" s="17" t="n">
        <v>77</v>
      </c>
      <c r="B82" s="21"/>
      <c r="C82" s="21"/>
      <c r="D82" s="21"/>
      <c r="E82" s="21"/>
      <c r="F82" s="21"/>
      <c r="G82" s="21"/>
      <c r="H82" s="21"/>
      <c r="I82" s="21"/>
      <c r="J82" s="20" t="str">
        <f aca="false">IF($F82="","",SUMIFS(SeatApproved,SeatUnit,$D82,SeatTitle,$F82))</f>
        <v/>
      </c>
      <c r="K82" s="20" t="str">
        <f aca="false">IF($F82="","",SUM($L82:$O82))</f>
        <v/>
      </c>
      <c r="L82" s="22"/>
      <c r="M82" s="22"/>
      <c r="N82" s="22"/>
      <c r="O82" s="22"/>
      <c r="P82" s="18" t="str">
        <f aca="false">IF($Q82="","",IFERROR(INDEX(DriverCategory,MATCH($Q82,DriverList,0)),"?"))</f>
        <v/>
      </c>
      <c r="Q82" s="21"/>
      <c r="R82" s="21"/>
      <c r="S82" s="23" t="str">
        <f aca="false">IF(COUNTA($B82:$H82)+COUNTA($L82:$O82)=0,"",MID(IF($B82="",", division","")&amp;IF($D82="",", unit","")&amp;IF($F82="",", job title","")&amp;IF($G82="",", career level","")&amp;IF($H82="",", job family","")&amp;IF($I82="",", worker type","")&amp;IF(N($K82)&lt;=0,", the quarter split","")&amp;IF($Q82="",", driver","")&amp;IF($R82="",", alternatives","")&amp;IF(AND($D82&lt;&gt;"",COUNTIF(UnitList,$D82)=0),", a unit that is not in your structure",""),3,300))</f>
        <v/>
      </c>
      <c r="T82" s="17" t="str">
        <f aca="false">IF($S82="","",COUNTIF($S$6:$S82,"?*"))</f>
        <v/>
      </c>
    </row>
    <row r="83" customFormat="false" ht="15" hidden="false" customHeight="false" outlineLevel="0" collapsed="false">
      <c r="A83" s="17" t="n">
        <v>78</v>
      </c>
      <c r="B83" s="21"/>
      <c r="C83" s="21"/>
      <c r="D83" s="21"/>
      <c r="E83" s="21"/>
      <c r="F83" s="21"/>
      <c r="G83" s="21"/>
      <c r="H83" s="21"/>
      <c r="I83" s="21"/>
      <c r="J83" s="20" t="str">
        <f aca="false">IF($F83="","",SUMIFS(SeatApproved,SeatUnit,$D83,SeatTitle,$F83))</f>
        <v/>
      </c>
      <c r="K83" s="20" t="str">
        <f aca="false">IF($F83="","",SUM($L83:$O83))</f>
        <v/>
      </c>
      <c r="L83" s="22"/>
      <c r="M83" s="22"/>
      <c r="N83" s="22"/>
      <c r="O83" s="22"/>
      <c r="P83" s="18" t="str">
        <f aca="false">IF($Q83="","",IFERROR(INDEX(DriverCategory,MATCH($Q83,DriverList,0)),"?"))</f>
        <v/>
      </c>
      <c r="Q83" s="21"/>
      <c r="R83" s="21"/>
      <c r="S83" s="23" t="str">
        <f aca="false">IF(COUNTA($B83:$H83)+COUNTA($L83:$O83)=0,"",MID(IF($B83="",", division","")&amp;IF($D83="",", unit","")&amp;IF($F83="",", job title","")&amp;IF($G83="",", career level","")&amp;IF($H83="",", job family","")&amp;IF($I83="",", worker type","")&amp;IF(N($K83)&lt;=0,", the quarter split","")&amp;IF($Q83="",", driver","")&amp;IF($R83="",", alternatives","")&amp;IF(AND($D83&lt;&gt;"",COUNTIF(UnitList,$D83)=0),", a unit that is not in your structure",""),3,300))</f>
        <v/>
      </c>
      <c r="T83" s="17" t="str">
        <f aca="false">IF($S83="","",COUNTIF($S$6:$S83,"?*"))</f>
        <v/>
      </c>
    </row>
    <row r="84" customFormat="false" ht="15" hidden="false" customHeight="false" outlineLevel="0" collapsed="false">
      <c r="A84" s="17" t="n">
        <v>79</v>
      </c>
      <c r="B84" s="21"/>
      <c r="C84" s="21"/>
      <c r="D84" s="21"/>
      <c r="E84" s="21"/>
      <c r="F84" s="21"/>
      <c r="G84" s="21"/>
      <c r="H84" s="21"/>
      <c r="I84" s="21"/>
      <c r="J84" s="20" t="str">
        <f aca="false">IF($F84="","",SUMIFS(SeatApproved,SeatUnit,$D84,SeatTitle,$F84))</f>
        <v/>
      </c>
      <c r="K84" s="20" t="str">
        <f aca="false">IF($F84="","",SUM($L84:$O84))</f>
        <v/>
      </c>
      <c r="L84" s="22"/>
      <c r="M84" s="22"/>
      <c r="N84" s="22"/>
      <c r="O84" s="22"/>
      <c r="P84" s="18" t="str">
        <f aca="false">IF($Q84="","",IFERROR(INDEX(DriverCategory,MATCH($Q84,DriverList,0)),"?"))</f>
        <v/>
      </c>
      <c r="Q84" s="21"/>
      <c r="R84" s="21"/>
      <c r="S84" s="23" t="str">
        <f aca="false">IF(COUNTA($B84:$H84)+COUNTA($L84:$O84)=0,"",MID(IF($B84="",", division","")&amp;IF($D84="",", unit","")&amp;IF($F84="",", job title","")&amp;IF($G84="",", career level","")&amp;IF($H84="",", job family","")&amp;IF($I84="",", worker type","")&amp;IF(N($K84)&lt;=0,", the quarter split","")&amp;IF($Q84="",", driver","")&amp;IF($R84="",", alternatives","")&amp;IF(AND($D84&lt;&gt;"",COUNTIF(UnitList,$D84)=0),", a unit that is not in your structure",""),3,300))</f>
        <v/>
      </c>
      <c r="T84" s="17" t="str">
        <f aca="false">IF($S84="","",COUNTIF($S$6:$S84,"?*"))</f>
        <v/>
      </c>
    </row>
    <row r="85" customFormat="false" ht="15" hidden="false" customHeight="false" outlineLevel="0" collapsed="false">
      <c r="A85" s="17" t="n">
        <v>80</v>
      </c>
      <c r="B85" s="21"/>
      <c r="C85" s="21"/>
      <c r="D85" s="21"/>
      <c r="E85" s="21"/>
      <c r="F85" s="21"/>
      <c r="G85" s="21"/>
      <c r="H85" s="21"/>
      <c r="I85" s="21"/>
      <c r="J85" s="20" t="str">
        <f aca="false">IF($F85="","",SUMIFS(SeatApproved,SeatUnit,$D85,SeatTitle,$F85))</f>
        <v/>
      </c>
      <c r="K85" s="20" t="str">
        <f aca="false">IF($F85="","",SUM($L85:$O85))</f>
        <v/>
      </c>
      <c r="L85" s="22"/>
      <c r="M85" s="22"/>
      <c r="N85" s="22"/>
      <c r="O85" s="22"/>
      <c r="P85" s="18" t="str">
        <f aca="false">IF($Q85="","",IFERROR(INDEX(DriverCategory,MATCH($Q85,DriverList,0)),"?"))</f>
        <v/>
      </c>
      <c r="Q85" s="21"/>
      <c r="R85" s="21"/>
      <c r="S85" s="23" t="str">
        <f aca="false">IF(COUNTA($B85:$H85)+COUNTA($L85:$O85)=0,"",MID(IF($B85="",", division","")&amp;IF($D85="",", unit","")&amp;IF($F85="",", job title","")&amp;IF($G85="",", career level","")&amp;IF($H85="",", job family","")&amp;IF($I85="",", worker type","")&amp;IF(N($K85)&lt;=0,", the quarter split","")&amp;IF($Q85="",", driver","")&amp;IF($R85="",", alternatives","")&amp;IF(AND($D85&lt;&gt;"",COUNTIF(UnitList,$D85)=0),", a unit that is not in your structure",""),3,300))</f>
        <v/>
      </c>
      <c r="T85" s="17" t="str">
        <f aca="false">IF($S85="","",COUNTIF($S$6:$S85,"?*"))</f>
        <v/>
      </c>
    </row>
    <row r="86" customFormat="false" ht="15" hidden="false" customHeight="false" outlineLevel="0" collapsed="false">
      <c r="A86" s="17" t="n">
        <v>81</v>
      </c>
      <c r="B86" s="21"/>
      <c r="C86" s="21"/>
      <c r="D86" s="21"/>
      <c r="E86" s="21"/>
      <c r="F86" s="21"/>
      <c r="G86" s="21"/>
      <c r="H86" s="21"/>
      <c r="I86" s="21"/>
      <c r="J86" s="20" t="str">
        <f aca="false">IF($F86="","",SUMIFS(SeatApproved,SeatUnit,$D86,SeatTitle,$F86))</f>
        <v/>
      </c>
      <c r="K86" s="20" t="str">
        <f aca="false">IF($F86="","",SUM($L86:$O86))</f>
        <v/>
      </c>
      <c r="L86" s="22"/>
      <c r="M86" s="22"/>
      <c r="N86" s="22"/>
      <c r="O86" s="22"/>
      <c r="P86" s="18" t="str">
        <f aca="false">IF($Q86="","",IFERROR(INDEX(DriverCategory,MATCH($Q86,DriverList,0)),"?"))</f>
        <v/>
      </c>
      <c r="Q86" s="21"/>
      <c r="R86" s="21"/>
      <c r="S86" s="23" t="str">
        <f aca="false">IF(COUNTA($B86:$H86)+COUNTA($L86:$O86)=0,"",MID(IF($B86="",", division","")&amp;IF($D86="",", unit","")&amp;IF($F86="",", job title","")&amp;IF($G86="",", career level","")&amp;IF($H86="",", job family","")&amp;IF($I86="",", worker type","")&amp;IF(N($K86)&lt;=0,", the quarter split","")&amp;IF($Q86="",", driver","")&amp;IF($R86="",", alternatives","")&amp;IF(AND($D86&lt;&gt;"",COUNTIF(UnitList,$D86)=0),", a unit that is not in your structure",""),3,300))</f>
        <v/>
      </c>
      <c r="T86" s="17" t="str">
        <f aca="false">IF($S86="","",COUNTIF($S$6:$S86,"?*"))</f>
        <v/>
      </c>
    </row>
    <row r="87" customFormat="false" ht="15" hidden="false" customHeight="false" outlineLevel="0" collapsed="false">
      <c r="A87" s="17" t="n">
        <v>82</v>
      </c>
      <c r="B87" s="21"/>
      <c r="C87" s="21"/>
      <c r="D87" s="21"/>
      <c r="E87" s="21"/>
      <c r="F87" s="21"/>
      <c r="G87" s="21"/>
      <c r="H87" s="21"/>
      <c r="I87" s="21"/>
      <c r="J87" s="20" t="str">
        <f aca="false">IF($F87="","",SUMIFS(SeatApproved,SeatUnit,$D87,SeatTitle,$F87))</f>
        <v/>
      </c>
      <c r="K87" s="20" t="str">
        <f aca="false">IF($F87="","",SUM($L87:$O87))</f>
        <v/>
      </c>
      <c r="L87" s="22"/>
      <c r="M87" s="22"/>
      <c r="N87" s="22"/>
      <c r="O87" s="22"/>
      <c r="P87" s="18" t="str">
        <f aca="false">IF($Q87="","",IFERROR(INDEX(DriverCategory,MATCH($Q87,DriverList,0)),"?"))</f>
        <v/>
      </c>
      <c r="Q87" s="21"/>
      <c r="R87" s="21"/>
      <c r="S87" s="23" t="str">
        <f aca="false">IF(COUNTA($B87:$H87)+COUNTA($L87:$O87)=0,"",MID(IF($B87="",", division","")&amp;IF($D87="",", unit","")&amp;IF($F87="",", job title","")&amp;IF($G87="",", career level","")&amp;IF($H87="",", job family","")&amp;IF($I87="",", worker type","")&amp;IF(N($K87)&lt;=0,", the quarter split","")&amp;IF($Q87="",", driver","")&amp;IF($R87="",", alternatives","")&amp;IF(AND($D87&lt;&gt;"",COUNTIF(UnitList,$D87)=0),", a unit that is not in your structure",""),3,300))</f>
        <v/>
      </c>
      <c r="T87" s="17" t="str">
        <f aca="false">IF($S87="","",COUNTIF($S$6:$S87,"?*"))</f>
        <v/>
      </c>
    </row>
    <row r="88" customFormat="false" ht="15" hidden="false" customHeight="false" outlineLevel="0" collapsed="false">
      <c r="A88" s="17" t="n">
        <v>83</v>
      </c>
      <c r="B88" s="21"/>
      <c r="C88" s="21"/>
      <c r="D88" s="21"/>
      <c r="E88" s="21"/>
      <c r="F88" s="21"/>
      <c r="G88" s="21"/>
      <c r="H88" s="21"/>
      <c r="I88" s="21"/>
      <c r="J88" s="20" t="str">
        <f aca="false">IF($F88="","",SUMIFS(SeatApproved,SeatUnit,$D88,SeatTitle,$F88))</f>
        <v/>
      </c>
      <c r="K88" s="20" t="str">
        <f aca="false">IF($F88="","",SUM($L88:$O88))</f>
        <v/>
      </c>
      <c r="L88" s="22"/>
      <c r="M88" s="22"/>
      <c r="N88" s="22"/>
      <c r="O88" s="22"/>
      <c r="P88" s="18" t="str">
        <f aca="false">IF($Q88="","",IFERROR(INDEX(DriverCategory,MATCH($Q88,DriverList,0)),"?"))</f>
        <v/>
      </c>
      <c r="Q88" s="21"/>
      <c r="R88" s="21"/>
      <c r="S88" s="23" t="str">
        <f aca="false">IF(COUNTA($B88:$H88)+COUNTA($L88:$O88)=0,"",MID(IF($B88="",", division","")&amp;IF($D88="",", unit","")&amp;IF($F88="",", job title","")&amp;IF($G88="",", career level","")&amp;IF($H88="",", job family","")&amp;IF($I88="",", worker type","")&amp;IF(N($K88)&lt;=0,", the quarter split","")&amp;IF($Q88="",", driver","")&amp;IF($R88="",", alternatives","")&amp;IF(AND($D88&lt;&gt;"",COUNTIF(UnitList,$D88)=0),", a unit that is not in your structure",""),3,300))</f>
        <v/>
      </c>
      <c r="T88" s="17" t="str">
        <f aca="false">IF($S88="","",COUNTIF($S$6:$S88,"?*"))</f>
        <v/>
      </c>
    </row>
    <row r="89" customFormat="false" ht="15" hidden="false" customHeight="false" outlineLevel="0" collapsed="false">
      <c r="A89" s="17" t="n">
        <v>84</v>
      </c>
      <c r="B89" s="21"/>
      <c r="C89" s="21"/>
      <c r="D89" s="21"/>
      <c r="E89" s="21"/>
      <c r="F89" s="21"/>
      <c r="G89" s="21"/>
      <c r="H89" s="21"/>
      <c r="I89" s="21"/>
      <c r="J89" s="20" t="str">
        <f aca="false">IF($F89="","",SUMIFS(SeatApproved,SeatUnit,$D89,SeatTitle,$F89))</f>
        <v/>
      </c>
      <c r="K89" s="20" t="str">
        <f aca="false">IF($F89="","",SUM($L89:$O89))</f>
        <v/>
      </c>
      <c r="L89" s="22"/>
      <c r="M89" s="22"/>
      <c r="N89" s="22"/>
      <c r="O89" s="22"/>
      <c r="P89" s="18" t="str">
        <f aca="false">IF($Q89="","",IFERROR(INDEX(DriverCategory,MATCH($Q89,DriverList,0)),"?"))</f>
        <v/>
      </c>
      <c r="Q89" s="21"/>
      <c r="R89" s="21"/>
      <c r="S89" s="23" t="str">
        <f aca="false">IF(COUNTA($B89:$H89)+COUNTA($L89:$O89)=0,"",MID(IF($B89="",", division","")&amp;IF($D89="",", unit","")&amp;IF($F89="",", job title","")&amp;IF($G89="",", career level","")&amp;IF($H89="",", job family","")&amp;IF($I89="",", worker type","")&amp;IF(N($K89)&lt;=0,", the quarter split","")&amp;IF($Q89="",", driver","")&amp;IF($R89="",", alternatives","")&amp;IF(AND($D89&lt;&gt;"",COUNTIF(UnitList,$D89)=0),", a unit that is not in your structure",""),3,300))</f>
        <v/>
      </c>
      <c r="T89" s="17" t="str">
        <f aca="false">IF($S89="","",COUNTIF($S$6:$S89,"?*"))</f>
        <v/>
      </c>
    </row>
    <row r="90" customFormat="false" ht="15" hidden="false" customHeight="false" outlineLevel="0" collapsed="false">
      <c r="A90" s="17" t="n">
        <v>85</v>
      </c>
      <c r="B90" s="21"/>
      <c r="C90" s="21"/>
      <c r="D90" s="21"/>
      <c r="E90" s="21"/>
      <c r="F90" s="21"/>
      <c r="G90" s="21"/>
      <c r="H90" s="21"/>
      <c r="I90" s="21"/>
      <c r="J90" s="20" t="str">
        <f aca="false">IF($F90="","",SUMIFS(SeatApproved,SeatUnit,$D90,SeatTitle,$F90))</f>
        <v/>
      </c>
      <c r="K90" s="20" t="str">
        <f aca="false">IF($F90="","",SUM($L90:$O90))</f>
        <v/>
      </c>
      <c r="L90" s="22"/>
      <c r="M90" s="22"/>
      <c r="N90" s="22"/>
      <c r="O90" s="22"/>
      <c r="P90" s="18" t="str">
        <f aca="false">IF($Q90="","",IFERROR(INDEX(DriverCategory,MATCH($Q90,DriverList,0)),"?"))</f>
        <v/>
      </c>
      <c r="Q90" s="21"/>
      <c r="R90" s="21"/>
      <c r="S90" s="23" t="str">
        <f aca="false">IF(COUNTA($B90:$H90)+COUNTA($L90:$O90)=0,"",MID(IF($B90="",", division","")&amp;IF($D90="",", unit","")&amp;IF($F90="",", job title","")&amp;IF($G90="",", career level","")&amp;IF($H90="",", job family","")&amp;IF($I90="",", worker type","")&amp;IF(N($K90)&lt;=0,", the quarter split","")&amp;IF($Q90="",", driver","")&amp;IF($R90="",", alternatives","")&amp;IF(AND($D90&lt;&gt;"",COUNTIF(UnitList,$D90)=0),", a unit that is not in your structure",""),3,300))</f>
        <v/>
      </c>
      <c r="T90" s="17" t="str">
        <f aca="false">IF($S90="","",COUNTIF($S$6:$S90,"?*"))</f>
        <v/>
      </c>
    </row>
    <row r="91" customFormat="false" ht="15" hidden="false" customHeight="false" outlineLevel="0" collapsed="false">
      <c r="A91" s="17" t="n">
        <v>86</v>
      </c>
      <c r="B91" s="21"/>
      <c r="C91" s="21"/>
      <c r="D91" s="21"/>
      <c r="E91" s="21"/>
      <c r="F91" s="21"/>
      <c r="G91" s="21"/>
      <c r="H91" s="21"/>
      <c r="I91" s="21"/>
      <c r="J91" s="20" t="str">
        <f aca="false">IF($F91="","",SUMIFS(SeatApproved,SeatUnit,$D91,SeatTitle,$F91))</f>
        <v/>
      </c>
      <c r="K91" s="20" t="str">
        <f aca="false">IF($F91="","",SUM($L91:$O91))</f>
        <v/>
      </c>
      <c r="L91" s="22"/>
      <c r="M91" s="22"/>
      <c r="N91" s="22"/>
      <c r="O91" s="22"/>
      <c r="P91" s="18" t="str">
        <f aca="false">IF($Q91="","",IFERROR(INDEX(DriverCategory,MATCH($Q91,DriverList,0)),"?"))</f>
        <v/>
      </c>
      <c r="Q91" s="21"/>
      <c r="R91" s="21"/>
      <c r="S91" s="23" t="str">
        <f aca="false">IF(COUNTA($B91:$H91)+COUNTA($L91:$O91)=0,"",MID(IF($B91="",", division","")&amp;IF($D91="",", unit","")&amp;IF($F91="",", job title","")&amp;IF($G91="",", career level","")&amp;IF($H91="",", job family","")&amp;IF($I91="",", worker type","")&amp;IF(N($K91)&lt;=0,", the quarter split","")&amp;IF($Q91="",", driver","")&amp;IF($R91="",", alternatives","")&amp;IF(AND($D91&lt;&gt;"",COUNTIF(UnitList,$D91)=0),", a unit that is not in your structure",""),3,300))</f>
        <v/>
      </c>
      <c r="T91" s="17" t="str">
        <f aca="false">IF($S91="","",COUNTIF($S$6:$S91,"?*"))</f>
        <v/>
      </c>
    </row>
    <row r="92" customFormat="false" ht="15" hidden="false" customHeight="false" outlineLevel="0" collapsed="false">
      <c r="A92" s="17" t="n">
        <v>87</v>
      </c>
      <c r="B92" s="21"/>
      <c r="C92" s="21"/>
      <c r="D92" s="21"/>
      <c r="E92" s="21"/>
      <c r="F92" s="21"/>
      <c r="G92" s="21"/>
      <c r="H92" s="21"/>
      <c r="I92" s="21"/>
      <c r="J92" s="20" t="str">
        <f aca="false">IF($F92="","",SUMIFS(SeatApproved,SeatUnit,$D92,SeatTitle,$F92))</f>
        <v/>
      </c>
      <c r="K92" s="20" t="str">
        <f aca="false">IF($F92="","",SUM($L92:$O92))</f>
        <v/>
      </c>
      <c r="L92" s="22"/>
      <c r="M92" s="22"/>
      <c r="N92" s="22"/>
      <c r="O92" s="22"/>
      <c r="P92" s="18" t="str">
        <f aca="false">IF($Q92="","",IFERROR(INDEX(DriverCategory,MATCH($Q92,DriverList,0)),"?"))</f>
        <v/>
      </c>
      <c r="Q92" s="21"/>
      <c r="R92" s="21"/>
      <c r="S92" s="23" t="str">
        <f aca="false">IF(COUNTA($B92:$H92)+COUNTA($L92:$O92)=0,"",MID(IF($B92="",", division","")&amp;IF($D92="",", unit","")&amp;IF($F92="",", job title","")&amp;IF($G92="",", career level","")&amp;IF($H92="",", job family","")&amp;IF($I92="",", worker type","")&amp;IF(N($K92)&lt;=0,", the quarter split","")&amp;IF($Q92="",", driver","")&amp;IF($R92="",", alternatives","")&amp;IF(AND($D92&lt;&gt;"",COUNTIF(UnitList,$D92)=0),", a unit that is not in your structure",""),3,300))</f>
        <v/>
      </c>
      <c r="T92" s="17" t="str">
        <f aca="false">IF($S92="","",COUNTIF($S$6:$S92,"?*"))</f>
        <v/>
      </c>
    </row>
    <row r="93" customFormat="false" ht="15" hidden="false" customHeight="false" outlineLevel="0" collapsed="false">
      <c r="A93" s="17" t="n">
        <v>88</v>
      </c>
      <c r="B93" s="21"/>
      <c r="C93" s="21"/>
      <c r="D93" s="21"/>
      <c r="E93" s="21"/>
      <c r="F93" s="21"/>
      <c r="G93" s="21"/>
      <c r="H93" s="21"/>
      <c r="I93" s="21"/>
      <c r="J93" s="20" t="str">
        <f aca="false">IF($F93="","",SUMIFS(SeatApproved,SeatUnit,$D93,SeatTitle,$F93))</f>
        <v/>
      </c>
      <c r="K93" s="20" t="str">
        <f aca="false">IF($F93="","",SUM($L93:$O93))</f>
        <v/>
      </c>
      <c r="L93" s="22"/>
      <c r="M93" s="22"/>
      <c r="N93" s="22"/>
      <c r="O93" s="22"/>
      <c r="P93" s="18" t="str">
        <f aca="false">IF($Q93="","",IFERROR(INDEX(DriverCategory,MATCH($Q93,DriverList,0)),"?"))</f>
        <v/>
      </c>
      <c r="Q93" s="21"/>
      <c r="R93" s="21"/>
      <c r="S93" s="23" t="str">
        <f aca="false">IF(COUNTA($B93:$H93)+COUNTA($L93:$O93)=0,"",MID(IF($B93="",", division","")&amp;IF($D93="",", unit","")&amp;IF($F93="",", job title","")&amp;IF($G93="",", career level","")&amp;IF($H93="",", job family","")&amp;IF($I93="",", worker type","")&amp;IF(N($K93)&lt;=0,", the quarter split","")&amp;IF($Q93="",", driver","")&amp;IF($R93="",", alternatives","")&amp;IF(AND($D93&lt;&gt;"",COUNTIF(UnitList,$D93)=0),", a unit that is not in your structure",""),3,300))</f>
        <v/>
      </c>
      <c r="T93" s="17" t="str">
        <f aca="false">IF($S93="","",COUNTIF($S$6:$S93,"?*"))</f>
        <v/>
      </c>
    </row>
    <row r="94" customFormat="false" ht="15" hidden="false" customHeight="false" outlineLevel="0" collapsed="false">
      <c r="A94" s="17" t="n">
        <v>89</v>
      </c>
      <c r="B94" s="21"/>
      <c r="C94" s="21"/>
      <c r="D94" s="21"/>
      <c r="E94" s="21"/>
      <c r="F94" s="21"/>
      <c r="G94" s="21"/>
      <c r="H94" s="21"/>
      <c r="I94" s="21"/>
      <c r="J94" s="20" t="str">
        <f aca="false">IF($F94="","",SUMIFS(SeatApproved,SeatUnit,$D94,SeatTitle,$F94))</f>
        <v/>
      </c>
      <c r="K94" s="20" t="str">
        <f aca="false">IF($F94="","",SUM($L94:$O94))</f>
        <v/>
      </c>
      <c r="L94" s="22"/>
      <c r="M94" s="22"/>
      <c r="N94" s="22"/>
      <c r="O94" s="22"/>
      <c r="P94" s="18" t="str">
        <f aca="false">IF($Q94="","",IFERROR(INDEX(DriverCategory,MATCH($Q94,DriverList,0)),"?"))</f>
        <v/>
      </c>
      <c r="Q94" s="21"/>
      <c r="R94" s="21"/>
      <c r="S94" s="23" t="str">
        <f aca="false">IF(COUNTA($B94:$H94)+COUNTA($L94:$O94)=0,"",MID(IF($B94="",", division","")&amp;IF($D94="",", unit","")&amp;IF($F94="",", job title","")&amp;IF($G94="",", career level","")&amp;IF($H94="",", job family","")&amp;IF($I94="",", worker type","")&amp;IF(N($K94)&lt;=0,", the quarter split","")&amp;IF($Q94="",", driver","")&amp;IF($R94="",", alternatives","")&amp;IF(AND($D94&lt;&gt;"",COUNTIF(UnitList,$D94)=0),", a unit that is not in your structure",""),3,300))</f>
        <v/>
      </c>
      <c r="T94" s="17" t="str">
        <f aca="false">IF($S94="","",COUNTIF($S$6:$S94,"?*"))</f>
        <v/>
      </c>
    </row>
    <row r="95" customFormat="false" ht="15" hidden="false" customHeight="false" outlineLevel="0" collapsed="false">
      <c r="A95" s="17" t="n">
        <v>90</v>
      </c>
      <c r="B95" s="21"/>
      <c r="C95" s="21"/>
      <c r="D95" s="21"/>
      <c r="E95" s="21"/>
      <c r="F95" s="21"/>
      <c r="G95" s="21"/>
      <c r="H95" s="21"/>
      <c r="I95" s="21"/>
      <c r="J95" s="20" t="str">
        <f aca="false">IF($F95="","",SUMIFS(SeatApproved,SeatUnit,$D95,SeatTitle,$F95))</f>
        <v/>
      </c>
      <c r="K95" s="20" t="str">
        <f aca="false">IF($F95="","",SUM($L95:$O95))</f>
        <v/>
      </c>
      <c r="L95" s="22"/>
      <c r="M95" s="22"/>
      <c r="N95" s="22"/>
      <c r="O95" s="22"/>
      <c r="P95" s="18" t="str">
        <f aca="false">IF($Q95="","",IFERROR(INDEX(DriverCategory,MATCH($Q95,DriverList,0)),"?"))</f>
        <v/>
      </c>
      <c r="Q95" s="21"/>
      <c r="R95" s="21"/>
      <c r="S95" s="23" t="str">
        <f aca="false">IF(COUNTA($B95:$H95)+COUNTA($L95:$O95)=0,"",MID(IF($B95="",", division","")&amp;IF($D95="",", unit","")&amp;IF($F95="",", job title","")&amp;IF($G95="",", career level","")&amp;IF($H95="",", job family","")&amp;IF($I95="",", worker type","")&amp;IF(N($K95)&lt;=0,", the quarter split","")&amp;IF($Q95="",", driver","")&amp;IF($R95="",", alternatives","")&amp;IF(AND($D95&lt;&gt;"",COUNTIF(UnitList,$D95)=0),", a unit that is not in your structure",""),3,300))</f>
        <v/>
      </c>
      <c r="T95" s="17" t="str">
        <f aca="false">IF($S95="","",COUNTIF($S$6:$S95,"?*"))</f>
        <v/>
      </c>
    </row>
    <row r="96" customFormat="false" ht="15" hidden="false" customHeight="false" outlineLevel="0" collapsed="false">
      <c r="A96" s="17" t="n">
        <v>91</v>
      </c>
      <c r="B96" s="21"/>
      <c r="C96" s="21"/>
      <c r="D96" s="21"/>
      <c r="E96" s="21"/>
      <c r="F96" s="21"/>
      <c r="G96" s="21"/>
      <c r="H96" s="21"/>
      <c r="I96" s="21"/>
      <c r="J96" s="20" t="str">
        <f aca="false">IF($F96="","",SUMIFS(SeatApproved,SeatUnit,$D96,SeatTitle,$F96))</f>
        <v/>
      </c>
      <c r="K96" s="20" t="str">
        <f aca="false">IF($F96="","",SUM($L96:$O96))</f>
        <v/>
      </c>
      <c r="L96" s="22"/>
      <c r="M96" s="22"/>
      <c r="N96" s="22"/>
      <c r="O96" s="22"/>
      <c r="P96" s="18" t="str">
        <f aca="false">IF($Q96="","",IFERROR(INDEX(DriverCategory,MATCH($Q96,DriverList,0)),"?"))</f>
        <v/>
      </c>
      <c r="Q96" s="21"/>
      <c r="R96" s="21"/>
      <c r="S96" s="23" t="str">
        <f aca="false">IF(COUNTA($B96:$H96)+COUNTA($L96:$O96)=0,"",MID(IF($B96="",", division","")&amp;IF($D96="",", unit","")&amp;IF($F96="",", job title","")&amp;IF($G96="",", career level","")&amp;IF($H96="",", job family","")&amp;IF($I96="",", worker type","")&amp;IF(N($K96)&lt;=0,", the quarter split","")&amp;IF($Q96="",", driver","")&amp;IF($R96="",", alternatives","")&amp;IF(AND($D96&lt;&gt;"",COUNTIF(UnitList,$D96)=0),", a unit that is not in your structure",""),3,300))</f>
        <v/>
      </c>
      <c r="T96" s="17" t="str">
        <f aca="false">IF($S96="","",COUNTIF($S$6:$S96,"?*"))</f>
        <v/>
      </c>
    </row>
    <row r="97" customFormat="false" ht="15" hidden="false" customHeight="false" outlineLevel="0" collapsed="false">
      <c r="A97" s="17" t="n">
        <v>92</v>
      </c>
      <c r="B97" s="21"/>
      <c r="C97" s="21"/>
      <c r="D97" s="21"/>
      <c r="E97" s="21"/>
      <c r="F97" s="21"/>
      <c r="G97" s="21"/>
      <c r="H97" s="21"/>
      <c r="I97" s="21"/>
      <c r="J97" s="20" t="str">
        <f aca="false">IF($F97="","",SUMIFS(SeatApproved,SeatUnit,$D97,SeatTitle,$F97))</f>
        <v/>
      </c>
      <c r="K97" s="20" t="str">
        <f aca="false">IF($F97="","",SUM($L97:$O97))</f>
        <v/>
      </c>
      <c r="L97" s="22"/>
      <c r="M97" s="22"/>
      <c r="N97" s="22"/>
      <c r="O97" s="22"/>
      <c r="P97" s="18" t="str">
        <f aca="false">IF($Q97="","",IFERROR(INDEX(DriverCategory,MATCH($Q97,DriverList,0)),"?"))</f>
        <v/>
      </c>
      <c r="Q97" s="21"/>
      <c r="R97" s="21"/>
      <c r="S97" s="23" t="str">
        <f aca="false">IF(COUNTA($B97:$H97)+COUNTA($L97:$O97)=0,"",MID(IF($B97="",", division","")&amp;IF($D97="",", unit","")&amp;IF($F97="",", job title","")&amp;IF($G97="",", career level","")&amp;IF($H97="",", job family","")&amp;IF($I97="",", worker type","")&amp;IF(N($K97)&lt;=0,", the quarter split","")&amp;IF($Q97="",", driver","")&amp;IF($R97="",", alternatives","")&amp;IF(AND($D97&lt;&gt;"",COUNTIF(UnitList,$D97)=0),", a unit that is not in your structure",""),3,300))</f>
        <v/>
      </c>
      <c r="T97" s="17" t="str">
        <f aca="false">IF($S97="","",COUNTIF($S$6:$S97,"?*"))</f>
        <v/>
      </c>
    </row>
    <row r="98" customFormat="false" ht="15" hidden="false" customHeight="false" outlineLevel="0" collapsed="false">
      <c r="A98" s="17" t="n">
        <v>93</v>
      </c>
      <c r="B98" s="21"/>
      <c r="C98" s="21"/>
      <c r="D98" s="21"/>
      <c r="E98" s="21"/>
      <c r="F98" s="21"/>
      <c r="G98" s="21"/>
      <c r="H98" s="21"/>
      <c r="I98" s="21"/>
      <c r="J98" s="20" t="str">
        <f aca="false">IF($F98="","",SUMIFS(SeatApproved,SeatUnit,$D98,SeatTitle,$F98))</f>
        <v/>
      </c>
      <c r="K98" s="20" t="str">
        <f aca="false">IF($F98="","",SUM($L98:$O98))</f>
        <v/>
      </c>
      <c r="L98" s="22"/>
      <c r="M98" s="22"/>
      <c r="N98" s="22"/>
      <c r="O98" s="22"/>
      <c r="P98" s="18" t="str">
        <f aca="false">IF($Q98="","",IFERROR(INDEX(DriverCategory,MATCH($Q98,DriverList,0)),"?"))</f>
        <v/>
      </c>
      <c r="Q98" s="21"/>
      <c r="R98" s="21"/>
      <c r="S98" s="23" t="str">
        <f aca="false">IF(COUNTA($B98:$H98)+COUNTA($L98:$O98)=0,"",MID(IF($B98="",", division","")&amp;IF($D98="",", unit","")&amp;IF($F98="",", job title","")&amp;IF($G98="",", career level","")&amp;IF($H98="",", job family","")&amp;IF($I98="",", worker type","")&amp;IF(N($K98)&lt;=0,", the quarter split","")&amp;IF($Q98="",", driver","")&amp;IF($R98="",", alternatives","")&amp;IF(AND($D98&lt;&gt;"",COUNTIF(UnitList,$D98)=0),", a unit that is not in your structure",""),3,300))</f>
        <v/>
      </c>
      <c r="T98" s="17" t="str">
        <f aca="false">IF($S98="","",COUNTIF($S$6:$S98,"?*"))</f>
        <v/>
      </c>
    </row>
    <row r="99" customFormat="false" ht="15" hidden="false" customHeight="false" outlineLevel="0" collapsed="false">
      <c r="A99" s="17" t="n">
        <v>94</v>
      </c>
      <c r="B99" s="21"/>
      <c r="C99" s="21"/>
      <c r="D99" s="21"/>
      <c r="E99" s="21"/>
      <c r="F99" s="21"/>
      <c r="G99" s="21"/>
      <c r="H99" s="21"/>
      <c r="I99" s="21"/>
      <c r="J99" s="20" t="str">
        <f aca="false">IF($F99="","",SUMIFS(SeatApproved,SeatUnit,$D99,SeatTitle,$F99))</f>
        <v/>
      </c>
      <c r="K99" s="20" t="str">
        <f aca="false">IF($F99="","",SUM($L99:$O99))</f>
        <v/>
      </c>
      <c r="L99" s="22"/>
      <c r="M99" s="22"/>
      <c r="N99" s="22"/>
      <c r="O99" s="22"/>
      <c r="P99" s="18" t="str">
        <f aca="false">IF($Q99="","",IFERROR(INDEX(DriverCategory,MATCH($Q99,DriverList,0)),"?"))</f>
        <v/>
      </c>
      <c r="Q99" s="21"/>
      <c r="R99" s="21"/>
      <c r="S99" s="23" t="str">
        <f aca="false">IF(COUNTA($B99:$H99)+COUNTA($L99:$O99)=0,"",MID(IF($B99="",", division","")&amp;IF($D99="",", unit","")&amp;IF($F99="",", job title","")&amp;IF($G99="",", career level","")&amp;IF($H99="",", job family","")&amp;IF($I99="",", worker type","")&amp;IF(N($K99)&lt;=0,", the quarter split","")&amp;IF($Q99="",", driver","")&amp;IF($R99="",", alternatives","")&amp;IF(AND($D99&lt;&gt;"",COUNTIF(UnitList,$D99)=0),", a unit that is not in your structure",""),3,300))</f>
        <v/>
      </c>
      <c r="T99" s="17" t="str">
        <f aca="false">IF($S99="","",COUNTIF($S$6:$S99,"?*"))</f>
        <v/>
      </c>
    </row>
    <row r="100" customFormat="false" ht="15" hidden="false" customHeight="false" outlineLevel="0" collapsed="false">
      <c r="A100" s="17" t="n">
        <v>95</v>
      </c>
      <c r="B100" s="21"/>
      <c r="C100" s="21"/>
      <c r="D100" s="21"/>
      <c r="E100" s="21"/>
      <c r="F100" s="21"/>
      <c r="G100" s="21"/>
      <c r="H100" s="21"/>
      <c r="I100" s="21"/>
      <c r="J100" s="20" t="str">
        <f aca="false">IF($F100="","",SUMIFS(SeatApproved,SeatUnit,$D100,SeatTitle,$F100))</f>
        <v/>
      </c>
      <c r="K100" s="20" t="str">
        <f aca="false">IF($F100="","",SUM($L100:$O100))</f>
        <v/>
      </c>
      <c r="L100" s="22"/>
      <c r="M100" s="22"/>
      <c r="N100" s="22"/>
      <c r="O100" s="22"/>
      <c r="P100" s="18" t="str">
        <f aca="false">IF($Q100="","",IFERROR(INDEX(DriverCategory,MATCH($Q100,DriverList,0)),"?"))</f>
        <v/>
      </c>
      <c r="Q100" s="21"/>
      <c r="R100" s="21"/>
      <c r="S100" s="23" t="str">
        <f aca="false">IF(COUNTA($B100:$H100)+COUNTA($L100:$O100)=0,"",MID(IF($B100="",", division","")&amp;IF($D100="",", unit","")&amp;IF($F100="",", job title","")&amp;IF($G100="",", career level","")&amp;IF($H100="",", job family","")&amp;IF($I100="",", worker type","")&amp;IF(N($K100)&lt;=0,", the quarter split","")&amp;IF($Q100="",", driver","")&amp;IF($R100="",", alternatives","")&amp;IF(AND($D100&lt;&gt;"",COUNTIF(UnitList,$D100)=0),", a unit that is not in your structure",""),3,300))</f>
        <v/>
      </c>
      <c r="T100" s="17" t="str">
        <f aca="false">IF($S100="","",COUNTIF($S$6:$S100,"?*"))</f>
        <v/>
      </c>
    </row>
    <row r="101" customFormat="false" ht="15" hidden="false" customHeight="false" outlineLevel="0" collapsed="false">
      <c r="A101" s="17" t="n">
        <v>96</v>
      </c>
      <c r="B101" s="21"/>
      <c r="C101" s="21"/>
      <c r="D101" s="21"/>
      <c r="E101" s="21"/>
      <c r="F101" s="21"/>
      <c r="G101" s="21"/>
      <c r="H101" s="21"/>
      <c r="I101" s="21"/>
      <c r="J101" s="20" t="str">
        <f aca="false">IF($F101="","",SUMIFS(SeatApproved,SeatUnit,$D101,SeatTitle,$F101))</f>
        <v/>
      </c>
      <c r="K101" s="20" t="str">
        <f aca="false">IF($F101="","",SUM($L101:$O101))</f>
        <v/>
      </c>
      <c r="L101" s="22"/>
      <c r="M101" s="22"/>
      <c r="N101" s="22"/>
      <c r="O101" s="22"/>
      <c r="P101" s="18" t="str">
        <f aca="false">IF($Q101="","",IFERROR(INDEX(DriverCategory,MATCH($Q101,DriverList,0)),"?"))</f>
        <v/>
      </c>
      <c r="Q101" s="21"/>
      <c r="R101" s="21"/>
      <c r="S101" s="23" t="str">
        <f aca="false">IF(COUNTA($B101:$H101)+COUNTA($L101:$O101)=0,"",MID(IF($B101="",", division","")&amp;IF($D101="",", unit","")&amp;IF($F101="",", job title","")&amp;IF($G101="",", career level","")&amp;IF($H101="",", job family","")&amp;IF($I101="",", worker type","")&amp;IF(N($K101)&lt;=0,", the quarter split","")&amp;IF($Q101="",", driver","")&amp;IF($R101="",", alternatives","")&amp;IF(AND($D101&lt;&gt;"",COUNTIF(UnitList,$D101)=0),", a unit that is not in your structure",""),3,300))</f>
        <v/>
      </c>
      <c r="T101" s="17" t="str">
        <f aca="false">IF($S101="","",COUNTIF($S$6:$S101,"?*"))</f>
        <v/>
      </c>
    </row>
    <row r="102" customFormat="false" ht="15" hidden="false" customHeight="false" outlineLevel="0" collapsed="false">
      <c r="A102" s="17" t="n">
        <v>97</v>
      </c>
      <c r="B102" s="21"/>
      <c r="C102" s="21"/>
      <c r="D102" s="21"/>
      <c r="E102" s="21"/>
      <c r="F102" s="21"/>
      <c r="G102" s="21"/>
      <c r="H102" s="21"/>
      <c r="I102" s="21"/>
      <c r="J102" s="20" t="str">
        <f aca="false">IF($F102="","",SUMIFS(SeatApproved,SeatUnit,$D102,SeatTitle,$F102))</f>
        <v/>
      </c>
      <c r="K102" s="20" t="str">
        <f aca="false">IF($F102="","",SUM($L102:$O102))</f>
        <v/>
      </c>
      <c r="L102" s="22"/>
      <c r="M102" s="22"/>
      <c r="N102" s="22"/>
      <c r="O102" s="22"/>
      <c r="P102" s="18" t="str">
        <f aca="false">IF($Q102="","",IFERROR(INDEX(DriverCategory,MATCH($Q102,DriverList,0)),"?"))</f>
        <v/>
      </c>
      <c r="Q102" s="21"/>
      <c r="R102" s="21"/>
      <c r="S102" s="23" t="str">
        <f aca="false">IF(COUNTA($B102:$H102)+COUNTA($L102:$O102)=0,"",MID(IF($B102="",", division","")&amp;IF($D102="",", unit","")&amp;IF($F102="",", job title","")&amp;IF($G102="",", career level","")&amp;IF($H102="",", job family","")&amp;IF($I102="",", worker type","")&amp;IF(N($K102)&lt;=0,", the quarter split","")&amp;IF($Q102="",", driver","")&amp;IF($R102="",", alternatives","")&amp;IF(AND($D102&lt;&gt;"",COUNTIF(UnitList,$D102)=0),", a unit that is not in your structure",""),3,300))</f>
        <v/>
      </c>
      <c r="T102" s="17" t="str">
        <f aca="false">IF($S102="","",COUNTIF($S$6:$S102,"?*"))</f>
        <v/>
      </c>
    </row>
    <row r="103" customFormat="false" ht="15" hidden="false" customHeight="false" outlineLevel="0" collapsed="false">
      <c r="A103" s="17" t="n">
        <v>98</v>
      </c>
      <c r="B103" s="21"/>
      <c r="C103" s="21"/>
      <c r="D103" s="21"/>
      <c r="E103" s="21"/>
      <c r="F103" s="21"/>
      <c r="G103" s="21"/>
      <c r="H103" s="21"/>
      <c r="I103" s="21"/>
      <c r="J103" s="20" t="str">
        <f aca="false">IF($F103="","",SUMIFS(SeatApproved,SeatUnit,$D103,SeatTitle,$F103))</f>
        <v/>
      </c>
      <c r="K103" s="20" t="str">
        <f aca="false">IF($F103="","",SUM($L103:$O103))</f>
        <v/>
      </c>
      <c r="L103" s="22"/>
      <c r="M103" s="22"/>
      <c r="N103" s="22"/>
      <c r="O103" s="22"/>
      <c r="P103" s="18" t="str">
        <f aca="false">IF($Q103="","",IFERROR(INDEX(DriverCategory,MATCH($Q103,DriverList,0)),"?"))</f>
        <v/>
      </c>
      <c r="Q103" s="21"/>
      <c r="R103" s="21"/>
      <c r="S103" s="23" t="str">
        <f aca="false">IF(COUNTA($B103:$H103)+COUNTA($L103:$O103)=0,"",MID(IF($B103="",", division","")&amp;IF($D103="",", unit","")&amp;IF($F103="",", job title","")&amp;IF($G103="",", career level","")&amp;IF($H103="",", job family","")&amp;IF($I103="",", worker type","")&amp;IF(N($K103)&lt;=0,", the quarter split","")&amp;IF($Q103="",", driver","")&amp;IF($R103="",", alternatives","")&amp;IF(AND($D103&lt;&gt;"",COUNTIF(UnitList,$D103)=0),", a unit that is not in your structure",""),3,300))</f>
        <v/>
      </c>
      <c r="T103" s="17" t="str">
        <f aca="false">IF($S103="","",COUNTIF($S$6:$S103,"?*"))</f>
        <v/>
      </c>
    </row>
    <row r="104" customFormat="false" ht="15" hidden="false" customHeight="false" outlineLevel="0" collapsed="false">
      <c r="A104" s="17" t="n">
        <v>99</v>
      </c>
      <c r="B104" s="21"/>
      <c r="C104" s="21"/>
      <c r="D104" s="21"/>
      <c r="E104" s="21"/>
      <c r="F104" s="21"/>
      <c r="G104" s="21"/>
      <c r="H104" s="21"/>
      <c r="I104" s="21"/>
      <c r="J104" s="20" t="str">
        <f aca="false">IF($F104="","",SUMIFS(SeatApproved,SeatUnit,$D104,SeatTitle,$F104))</f>
        <v/>
      </c>
      <c r="K104" s="20" t="str">
        <f aca="false">IF($F104="","",SUM($L104:$O104))</f>
        <v/>
      </c>
      <c r="L104" s="22"/>
      <c r="M104" s="22"/>
      <c r="N104" s="22"/>
      <c r="O104" s="22"/>
      <c r="P104" s="18" t="str">
        <f aca="false">IF($Q104="","",IFERROR(INDEX(DriverCategory,MATCH($Q104,DriverList,0)),"?"))</f>
        <v/>
      </c>
      <c r="Q104" s="21"/>
      <c r="R104" s="21"/>
      <c r="S104" s="23" t="str">
        <f aca="false">IF(COUNTA($B104:$H104)+COUNTA($L104:$O104)=0,"",MID(IF($B104="",", division","")&amp;IF($D104="",", unit","")&amp;IF($F104="",", job title","")&amp;IF($G104="",", career level","")&amp;IF($H104="",", job family","")&amp;IF($I104="",", worker type","")&amp;IF(N($K104)&lt;=0,", the quarter split","")&amp;IF($Q104="",", driver","")&amp;IF($R104="",", alternatives","")&amp;IF(AND($D104&lt;&gt;"",COUNTIF(UnitList,$D104)=0),", a unit that is not in your structure",""),3,300))</f>
        <v/>
      </c>
      <c r="T104" s="17" t="str">
        <f aca="false">IF($S104="","",COUNTIF($S$6:$S104,"?*"))</f>
        <v/>
      </c>
    </row>
    <row r="105" customFormat="false" ht="15" hidden="false" customHeight="false" outlineLevel="0" collapsed="false">
      <c r="A105" s="17" t="n">
        <v>100</v>
      </c>
      <c r="B105" s="21"/>
      <c r="C105" s="21"/>
      <c r="D105" s="21"/>
      <c r="E105" s="21"/>
      <c r="F105" s="21"/>
      <c r="G105" s="21"/>
      <c r="H105" s="21"/>
      <c r="I105" s="21"/>
      <c r="J105" s="20" t="str">
        <f aca="false">IF($F105="","",SUMIFS(SeatApproved,SeatUnit,$D105,SeatTitle,$F105))</f>
        <v/>
      </c>
      <c r="K105" s="20" t="str">
        <f aca="false">IF($F105="","",SUM($L105:$O105))</f>
        <v/>
      </c>
      <c r="L105" s="22"/>
      <c r="M105" s="22"/>
      <c r="N105" s="22"/>
      <c r="O105" s="22"/>
      <c r="P105" s="18" t="str">
        <f aca="false">IF($Q105="","",IFERROR(INDEX(DriverCategory,MATCH($Q105,DriverList,0)),"?"))</f>
        <v/>
      </c>
      <c r="Q105" s="21"/>
      <c r="R105" s="21"/>
      <c r="S105" s="23" t="str">
        <f aca="false">IF(COUNTA($B105:$H105)+COUNTA($L105:$O105)=0,"",MID(IF($B105="",", division","")&amp;IF($D105="",", unit","")&amp;IF($F105="",", job title","")&amp;IF($G105="",", career level","")&amp;IF($H105="",", job family","")&amp;IF($I105="",", worker type","")&amp;IF(N($K105)&lt;=0,", the quarter split","")&amp;IF($Q105="",", driver","")&amp;IF($R105="",", alternatives","")&amp;IF(AND($D105&lt;&gt;"",COUNTIF(UnitList,$D105)=0),", a unit that is not in your structure",""),3,300))</f>
        <v/>
      </c>
      <c r="T105" s="17" t="str">
        <f aca="false">IF($S105="","",COUNTIF($S$6:$S105,"?*"))</f>
        <v/>
      </c>
    </row>
    <row r="106" customFormat="false" ht="15" hidden="false" customHeight="false" outlineLevel="0" collapsed="false">
      <c r="A106" s="17" t="n">
        <v>101</v>
      </c>
      <c r="B106" s="21"/>
      <c r="C106" s="21"/>
      <c r="D106" s="21"/>
      <c r="E106" s="21"/>
      <c r="F106" s="21"/>
      <c r="G106" s="21"/>
      <c r="H106" s="21"/>
      <c r="I106" s="21"/>
      <c r="J106" s="20" t="str">
        <f aca="false">IF($F106="","",SUMIFS(SeatApproved,SeatUnit,$D106,SeatTitle,$F106))</f>
        <v/>
      </c>
      <c r="K106" s="20" t="str">
        <f aca="false">IF($F106="","",SUM($L106:$O106))</f>
        <v/>
      </c>
      <c r="L106" s="22"/>
      <c r="M106" s="22"/>
      <c r="N106" s="22"/>
      <c r="O106" s="22"/>
      <c r="P106" s="18" t="str">
        <f aca="false">IF($Q106="","",IFERROR(INDEX(DriverCategory,MATCH($Q106,DriverList,0)),"?"))</f>
        <v/>
      </c>
      <c r="Q106" s="21"/>
      <c r="R106" s="21"/>
      <c r="S106" s="23" t="str">
        <f aca="false">IF(COUNTA($B106:$H106)+COUNTA($L106:$O106)=0,"",MID(IF($B106="",", division","")&amp;IF($D106="",", unit","")&amp;IF($F106="",", job title","")&amp;IF($G106="",", career level","")&amp;IF($H106="",", job family","")&amp;IF($I106="",", worker type","")&amp;IF(N($K106)&lt;=0,", the quarter split","")&amp;IF($Q106="",", driver","")&amp;IF($R106="",", alternatives","")&amp;IF(AND($D106&lt;&gt;"",COUNTIF(UnitList,$D106)=0),", a unit that is not in your structure",""),3,300))</f>
        <v/>
      </c>
      <c r="T106" s="17" t="str">
        <f aca="false">IF($S106="","",COUNTIF($S$6:$S106,"?*"))</f>
        <v/>
      </c>
    </row>
    <row r="107" customFormat="false" ht="15" hidden="false" customHeight="false" outlineLevel="0" collapsed="false">
      <c r="A107" s="17" t="n">
        <v>102</v>
      </c>
      <c r="B107" s="21"/>
      <c r="C107" s="21"/>
      <c r="D107" s="21"/>
      <c r="E107" s="21"/>
      <c r="F107" s="21"/>
      <c r="G107" s="21"/>
      <c r="H107" s="21"/>
      <c r="I107" s="21"/>
      <c r="J107" s="20" t="str">
        <f aca="false">IF($F107="","",SUMIFS(SeatApproved,SeatUnit,$D107,SeatTitle,$F107))</f>
        <v/>
      </c>
      <c r="K107" s="20" t="str">
        <f aca="false">IF($F107="","",SUM($L107:$O107))</f>
        <v/>
      </c>
      <c r="L107" s="22"/>
      <c r="M107" s="22"/>
      <c r="N107" s="22"/>
      <c r="O107" s="22"/>
      <c r="P107" s="18" t="str">
        <f aca="false">IF($Q107="","",IFERROR(INDEX(DriverCategory,MATCH($Q107,DriverList,0)),"?"))</f>
        <v/>
      </c>
      <c r="Q107" s="21"/>
      <c r="R107" s="21"/>
      <c r="S107" s="23" t="str">
        <f aca="false">IF(COUNTA($B107:$H107)+COUNTA($L107:$O107)=0,"",MID(IF($B107="",", division","")&amp;IF($D107="",", unit","")&amp;IF($F107="",", job title","")&amp;IF($G107="",", career level","")&amp;IF($H107="",", job family","")&amp;IF($I107="",", worker type","")&amp;IF(N($K107)&lt;=0,", the quarter split","")&amp;IF($Q107="",", driver","")&amp;IF($R107="",", alternatives","")&amp;IF(AND($D107&lt;&gt;"",COUNTIF(UnitList,$D107)=0),", a unit that is not in your structure",""),3,300))</f>
        <v/>
      </c>
      <c r="T107" s="17" t="str">
        <f aca="false">IF($S107="","",COUNTIF($S$6:$S107,"?*"))</f>
        <v/>
      </c>
    </row>
    <row r="108" customFormat="false" ht="15" hidden="false" customHeight="false" outlineLevel="0" collapsed="false">
      <c r="A108" s="17" t="n">
        <v>103</v>
      </c>
      <c r="B108" s="21"/>
      <c r="C108" s="21"/>
      <c r="D108" s="21"/>
      <c r="E108" s="21"/>
      <c r="F108" s="21"/>
      <c r="G108" s="21"/>
      <c r="H108" s="21"/>
      <c r="I108" s="21"/>
      <c r="J108" s="20" t="str">
        <f aca="false">IF($F108="","",SUMIFS(SeatApproved,SeatUnit,$D108,SeatTitle,$F108))</f>
        <v/>
      </c>
      <c r="K108" s="20" t="str">
        <f aca="false">IF($F108="","",SUM($L108:$O108))</f>
        <v/>
      </c>
      <c r="L108" s="22"/>
      <c r="M108" s="22"/>
      <c r="N108" s="22"/>
      <c r="O108" s="22"/>
      <c r="P108" s="18" t="str">
        <f aca="false">IF($Q108="","",IFERROR(INDEX(DriverCategory,MATCH($Q108,DriverList,0)),"?"))</f>
        <v/>
      </c>
      <c r="Q108" s="21"/>
      <c r="R108" s="21"/>
      <c r="S108" s="23" t="str">
        <f aca="false">IF(COUNTA($B108:$H108)+COUNTA($L108:$O108)=0,"",MID(IF($B108="",", division","")&amp;IF($D108="",", unit","")&amp;IF($F108="",", job title","")&amp;IF($G108="",", career level","")&amp;IF($H108="",", job family","")&amp;IF($I108="",", worker type","")&amp;IF(N($K108)&lt;=0,", the quarter split","")&amp;IF($Q108="",", driver","")&amp;IF($R108="",", alternatives","")&amp;IF(AND($D108&lt;&gt;"",COUNTIF(UnitList,$D108)=0),", a unit that is not in your structure",""),3,300))</f>
        <v/>
      </c>
      <c r="T108" s="17" t="str">
        <f aca="false">IF($S108="","",COUNTIF($S$6:$S108,"?*"))</f>
        <v/>
      </c>
    </row>
    <row r="109" customFormat="false" ht="15" hidden="false" customHeight="false" outlineLevel="0" collapsed="false">
      <c r="A109" s="17" t="n">
        <v>104</v>
      </c>
      <c r="B109" s="21"/>
      <c r="C109" s="21"/>
      <c r="D109" s="21"/>
      <c r="E109" s="21"/>
      <c r="F109" s="21"/>
      <c r="G109" s="21"/>
      <c r="H109" s="21"/>
      <c r="I109" s="21"/>
      <c r="J109" s="20" t="str">
        <f aca="false">IF($F109="","",SUMIFS(SeatApproved,SeatUnit,$D109,SeatTitle,$F109))</f>
        <v/>
      </c>
      <c r="K109" s="20" t="str">
        <f aca="false">IF($F109="","",SUM($L109:$O109))</f>
        <v/>
      </c>
      <c r="L109" s="22"/>
      <c r="M109" s="22"/>
      <c r="N109" s="22"/>
      <c r="O109" s="22"/>
      <c r="P109" s="18" t="str">
        <f aca="false">IF($Q109="","",IFERROR(INDEX(DriverCategory,MATCH($Q109,DriverList,0)),"?"))</f>
        <v/>
      </c>
      <c r="Q109" s="21"/>
      <c r="R109" s="21"/>
      <c r="S109" s="23" t="str">
        <f aca="false">IF(COUNTA($B109:$H109)+COUNTA($L109:$O109)=0,"",MID(IF($B109="",", division","")&amp;IF($D109="",", unit","")&amp;IF($F109="",", job title","")&amp;IF($G109="",", career level","")&amp;IF($H109="",", job family","")&amp;IF($I109="",", worker type","")&amp;IF(N($K109)&lt;=0,", the quarter split","")&amp;IF($Q109="",", driver","")&amp;IF($R109="",", alternatives","")&amp;IF(AND($D109&lt;&gt;"",COUNTIF(UnitList,$D109)=0),", a unit that is not in your structure",""),3,300))</f>
        <v/>
      </c>
      <c r="T109" s="17" t="str">
        <f aca="false">IF($S109="","",COUNTIF($S$6:$S109,"?*"))</f>
        <v/>
      </c>
    </row>
    <row r="110" customFormat="false" ht="15" hidden="false" customHeight="false" outlineLevel="0" collapsed="false">
      <c r="A110" s="17" t="n">
        <v>105</v>
      </c>
      <c r="B110" s="21"/>
      <c r="C110" s="21"/>
      <c r="D110" s="21"/>
      <c r="E110" s="21"/>
      <c r="F110" s="21"/>
      <c r="G110" s="21"/>
      <c r="H110" s="21"/>
      <c r="I110" s="21"/>
      <c r="J110" s="20" t="str">
        <f aca="false">IF($F110="","",SUMIFS(SeatApproved,SeatUnit,$D110,SeatTitle,$F110))</f>
        <v/>
      </c>
      <c r="K110" s="20" t="str">
        <f aca="false">IF($F110="","",SUM($L110:$O110))</f>
        <v/>
      </c>
      <c r="L110" s="22"/>
      <c r="M110" s="22"/>
      <c r="N110" s="22"/>
      <c r="O110" s="22"/>
      <c r="P110" s="18" t="str">
        <f aca="false">IF($Q110="","",IFERROR(INDEX(DriverCategory,MATCH($Q110,DriverList,0)),"?"))</f>
        <v/>
      </c>
      <c r="Q110" s="21"/>
      <c r="R110" s="21"/>
      <c r="S110" s="23" t="str">
        <f aca="false">IF(COUNTA($B110:$H110)+COUNTA($L110:$O110)=0,"",MID(IF($B110="",", division","")&amp;IF($D110="",", unit","")&amp;IF($F110="",", job title","")&amp;IF($G110="",", career level","")&amp;IF($H110="",", job family","")&amp;IF($I110="",", worker type","")&amp;IF(N($K110)&lt;=0,", the quarter split","")&amp;IF($Q110="",", driver","")&amp;IF($R110="",", alternatives","")&amp;IF(AND($D110&lt;&gt;"",COUNTIF(UnitList,$D110)=0),", a unit that is not in your structure",""),3,300))</f>
        <v/>
      </c>
      <c r="T110" s="17" t="str">
        <f aca="false">IF($S110="","",COUNTIF($S$6:$S110,"?*"))</f>
        <v/>
      </c>
    </row>
    <row r="111" customFormat="false" ht="15" hidden="false" customHeight="false" outlineLevel="0" collapsed="false">
      <c r="A111" s="17" t="n">
        <v>106</v>
      </c>
      <c r="B111" s="21"/>
      <c r="C111" s="21"/>
      <c r="D111" s="21"/>
      <c r="E111" s="21"/>
      <c r="F111" s="21"/>
      <c r="G111" s="21"/>
      <c r="H111" s="21"/>
      <c r="I111" s="21"/>
      <c r="J111" s="20" t="str">
        <f aca="false">IF($F111="","",SUMIFS(SeatApproved,SeatUnit,$D111,SeatTitle,$F111))</f>
        <v/>
      </c>
      <c r="K111" s="20" t="str">
        <f aca="false">IF($F111="","",SUM($L111:$O111))</f>
        <v/>
      </c>
      <c r="L111" s="22"/>
      <c r="M111" s="22"/>
      <c r="N111" s="22"/>
      <c r="O111" s="22"/>
      <c r="P111" s="18" t="str">
        <f aca="false">IF($Q111="","",IFERROR(INDEX(DriverCategory,MATCH($Q111,DriverList,0)),"?"))</f>
        <v/>
      </c>
      <c r="Q111" s="21"/>
      <c r="R111" s="21"/>
      <c r="S111" s="23" t="str">
        <f aca="false">IF(COUNTA($B111:$H111)+COUNTA($L111:$O111)=0,"",MID(IF($B111="",", division","")&amp;IF($D111="",", unit","")&amp;IF($F111="",", job title","")&amp;IF($G111="",", career level","")&amp;IF($H111="",", job family","")&amp;IF($I111="",", worker type","")&amp;IF(N($K111)&lt;=0,", the quarter split","")&amp;IF($Q111="",", driver","")&amp;IF($R111="",", alternatives","")&amp;IF(AND($D111&lt;&gt;"",COUNTIF(UnitList,$D111)=0),", a unit that is not in your structure",""),3,300))</f>
        <v/>
      </c>
      <c r="T111" s="17" t="str">
        <f aca="false">IF($S111="","",COUNTIF($S$6:$S111,"?*"))</f>
        <v/>
      </c>
    </row>
    <row r="112" customFormat="false" ht="15" hidden="false" customHeight="false" outlineLevel="0" collapsed="false">
      <c r="A112" s="17" t="n">
        <v>107</v>
      </c>
      <c r="B112" s="21"/>
      <c r="C112" s="21"/>
      <c r="D112" s="21"/>
      <c r="E112" s="21"/>
      <c r="F112" s="21"/>
      <c r="G112" s="21"/>
      <c r="H112" s="21"/>
      <c r="I112" s="21"/>
      <c r="J112" s="20" t="str">
        <f aca="false">IF($F112="","",SUMIFS(SeatApproved,SeatUnit,$D112,SeatTitle,$F112))</f>
        <v/>
      </c>
      <c r="K112" s="20" t="str">
        <f aca="false">IF($F112="","",SUM($L112:$O112))</f>
        <v/>
      </c>
      <c r="L112" s="22"/>
      <c r="M112" s="22"/>
      <c r="N112" s="22"/>
      <c r="O112" s="22"/>
      <c r="P112" s="18" t="str">
        <f aca="false">IF($Q112="","",IFERROR(INDEX(DriverCategory,MATCH($Q112,DriverList,0)),"?"))</f>
        <v/>
      </c>
      <c r="Q112" s="21"/>
      <c r="R112" s="21"/>
      <c r="S112" s="23" t="str">
        <f aca="false">IF(COUNTA($B112:$H112)+COUNTA($L112:$O112)=0,"",MID(IF($B112="",", division","")&amp;IF($D112="",", unit","")&amp;IF($F112="",", job title","")&amp;IF($G112="",", career level","")&amp;IF($H112="",", job family","")&amp;IF($I112="",", worker type","")&amp;IF(N($K112)&lt;=0,", the quarter split","")&amp;IF($Q112="",", driver","")&amp;IF($R112="",", alternatives","")&amp;IF(AND($D112&lt;&gt;"",COUNTIF(UnitList,$D112)=0),", a unit that is not in your structure",""),3,300))</f>
        <v/>
      </c>
      <c r="T112" s="17" t="str">
        <f aca="false">IF($S112="","",COUNTIF($S$6:$S112,"?*"))</f>
        <v/>
      </c>
    </row>
    <row r="113" customFormat="false" ht="15" hidden="false" customHeight="false" outlineLevel="0" collapsed="false">
      <c r="A113" s="17" t="n">
        <v>108</v>
      </c>
      <c r="B113" s="21"/>
      <c r="C113" s="21"/>
      <c r="D113" s="21"/>
      <c r="E113" s="21"/>
      <c r="F113" s="21"/>
      <c r="G113" s="21"/>
      <c r="H113" s="21"/>
      <c r="I113" s="21"/>
      <c r="J113" s="20" t="str">
        <f aca="false">IF($F113="","",SUMIFS(SeatApproved,SeatUnit,$D113,SeatTitle,$F113))</f>
        <v/>
      </c>
      <c r="K113" s="20" t="str">
        <f aca="false">IF($F113="","",SUM($L113:$O113))</f>
        <v/>
      </c>
      <c r="L113" s="22"/>
      <c r="M113" s="22"/>
      <c r="N113" s="22"/>
      <c r="O113" s="22"/>
      <c r="P113" s="18" t="str">
        <f aca="false">IF($Q113="","",IFERROR(INDEX(DriverCategory,MATCH($Q113,DriverList,0)),"?"))</f>
        <v/>
      </c>
      <c r="Q113" s="21"/>
      <c r="R113" s="21"/>
      <c r="S113" s="23" t="str">
        <f aca="false">IF(COUNTA($B113:$H113)+COUNTA($L113:$O113)=0,"",MID(IF($B113="",", division","")&amp;IF($D113="",", unit","")&amp;IF($F113="",", job title","")&amp;IF($G113="",", career level","")&amp;IF($H113="",", job family","")&amp;IF($I113="",", worker type","")&amp;IF(N($K113)&lt;=0,", the quarter split","")&amp;IF($Q113="",", driver","")&amp;IF($R113="",", alternatives","")&amp;IF(AND($D113&lt;&gt;"",COUNTIF(UnitList,$D113)=0),", a unit that is not in your structure",""),3,300))</f>
        <v/>
      </c>
      <c r="T113" s="17" t="str">
        <f aca="false">IF($S113="","",COUNTIF($S$6:$S113,"?*"))</f>
        <v/>
      </c>
    </row>
    <row r="114" customFormat="false" ht="15" hidden="false" customHeight="false" outlineLevel="0" collapsed="false">
      <c r="A114" s="17" t="n">
        <v>109</v>
      </c>
      <c r="B114" s="21"/>
      <c r="C114" s="21"/>
      <c r="D114" s="21"/>
      <c r="E114" s="21"/>
      <c r="F114" s="21"/>
      <c r="G114" s="21"/>
      <c r="H114" s="21"/>
      <c r="I114" s="21"/>
      <c r="J114" s="20" t="str">
        <f aca="false">IF($F114="","",SUMIFS(SeatApproved,SeatUnit,$D114,SeatTitle,$F114))</f>
        <v/>
      </c>
      <c r="K114" s="20" t="str">
        <f aca="false">IF($F114="","",SUM($L114:$O114))</f>
        <v/>
      </c>
      <c r="L114" s="22"/>
      <c r="M114" s="22"/>
      <c r="N114" s="22"/>
      <c r="O114" s="22"/>
      <c r="P114" s="18" t="str">
        <f aca="false">IF($Q114="","",IFERROR(INDEX(DriverCategory,MATCH($Q114,DriverList,0)),"?"))</f>
        <v/>
      </c>
      <c r="Q114" s="21"/>
      <c r="R114" s="21"/>
      <c r="S114" s="23" t="str">
        <f aca="false">IF(COUNTA($B114:$H114)+COUNTA($L114:$O114)=0,"",MID(IF($B114="",", division","")&amp;IF($D114="",", unit","")&amp;IF($F114="",", job title","")&amp;IF($G114="",", career level","")&amp;IF($H114="",", job family","")&amp;IF($I114="",", worker type","")&amp;IF(N($K114)&lt;=0,", the quarter split","")&amp;IF($Q114="",", driver","")&amp;IF($R114="",", alternatives","")&amp;IF(AND($D114&lt;&gt;"",COUNTIF(UnitList,$D114)=0),", a unit that is not in your structure",""),3,300))</f>
        <v/>
      </c>
      <c r="T114" s="17" t="str">
        <f aca="false">IF($S114="","",COUNTIF($S$6:$S114,"?*"))</f>
        <v/>
      </c>
    </row>
    <row r="115" customFormat="false" ht="15" hidden="false" customHeight="false" outlineLevel="0" collapsed="false">
      <c r="A115" s="17" t="n">
        <v>110</v>
      </c>
      <c r="B115" s="21"/>
      <c r="C115" s="21"/>
      <c r="D115" s="21"/>
      <c r="E115" s="21"/>
      <c r="F115" s="21"/>
      <c r="G115" s="21"/>
      <c r="H115" s="21"/>
      <c r="I115" s="21"/>
      <c r="J115" s="20" t="str">
        <f aca="false">IF($F115="","",SUMIFS(SeatApproved,SeatUnit,$D115,SeatTitle,$F115))</f>
        <v/>
      </c>
      <c r="K115" s="20" t="str">
        <f aca="false">IF($F115="","",SUM($L115:$O115))</f>
        <v/>
      </c>
      <c r="L115" s="22"/>
      <c r="M115" s="22"/>
      <c r="N115" s="22"/>
      <c r="O115" s="22"/>
      <c r="P115" s="18" t="str">
        <f aca="false">IF($Q115="","",IFERROR(INDEX(DriverCategory,MATCH($Q115,DriverList,0)),"?"))</f>
        <v/>
      </c>
      <c r="Q115" s="21"/>
      <c r="R115" s="21"/>
      <c r="S115" s="23" t="str">
        <f aca="false">IF(COUNTA($B115:$H115)+COUNTA($L115:$O115)=0,"",MID(IF($B115="",", division","")&amp;IF($D115="",", unit","")&amp;IF($F115="",", job title","")&amp;IF($G115="",", career level","")&amp;IF($H115="",", job family","")&amp;IF($I115="",", worker type","")&amp;IF(N($K115)&lt;=0,", the quarter split","")&amp;IF($Q115="",", driver","")&amp;IF($R115="",", alternatives","")&amp;IF(AND($D115&lt;&gt;"",COUNTIF(UnitList,$D115)=0),", a unit that is not in your structure",""),3,300))</f>
        <v/>
      </c>
      <c r="T115" s="17" t="str">
        <f aca="false">IF($S115="","",COUNTIF($S$6:$S115,"?*"))</f>
        <v/>
      </c>
    </row>
    <row r="116" customFormat="false" ht="15" hidden="false" customHeight="false" outlineLevel="0" collapsed="false">
      <c r="A116" s="17" t="n">
        <v>111</v>
      </c>
      <c r="B116" s="21"/>
      <c r="C116" s="21"/>
      <c r="D116" s="21"/>
      <c r="E116" s="21"/>
      <c r="F116" s="21"/>
      <c r="G116" s="21"/>
      <c r="H116" s="21"/>
      <c r="I116" s="21"/>
      <c r="J116" s="20" t="str">
        <f aca="false">IF($F116="","",SUMIFS(SeatApproved,SeatUnit,$D116,SeatTitle,$F116))</f>
        <v/>
      </c>
      <c r="K116" s="20" t="str">
        <f aca="false">IF($F116="","",SUM($L116:$O116))</f>
        <v/>
      </c>
      <c r="L116" s="22"/>
      <c r="M116" s="22"/>
      <c r="N116" s="22"/>
      <c r="O116" s="22"/>
      <c r="P116" s="18" t="str">
        <f aca="false">IF($Q116="","",IFERROR(INDEX(DriverCategory,MATCH($Q116,DriverList,0)),"?"))</f>
        <v/>
      </c>
      <c r="Q116" s="21"/>
      <c r="R116" s="21"/>
      <c r="S116" s="23" t="str">
        <f aca="false">IF(COUNTA($B116:$H116)+COUNTA($L116:$O116)=0,"",MID(IF($B116="",", division","")&amp;IF($D116="",", unit","")&amp;IF($F116="",", job title","")&amp;IF($G116="",", career level","")&amp;IF($H116="",", job family","")&amp;IF($I116="",", worker type","")&amp;IF(N($K116)&lt;=0,", the quarter split","")&amp;IF($Q116="",", driver","")&amp;IF($R116="",", alternatives","")&amp;IF(AND($D116&lt;&gt;"",COUNTIF(UnitList,$D116)=0),", a unit that is not in your structure",""),3,300))</f>
        <v/>
      </c>
      <c r="T116" s="17" t="str">
        <f aca="false">IF($S116="","",COUNTIF($S$6:$S116,"?*"))</f>
        <v/>
      </c>
    </row>
    <row r="117" customFormat="false" ht="15" hidden="false" customHeight="false" outlineLevel="0" collapsed="false">
      <c r="A117" s="17" t="n">
        <v>112</v>
      </c>
      <c r="B117" s="21"/>
      <c r="C117" s="21"/>
      <c r="D117" s="21"/>
      <c r="E117" s="21"/>
      <c r="F117" s="21"/>
      <c r="G117" s="21"/>
      <c r="H117" s="21"/>
      <c r="I117" s="21"/>
      <c r="J117" s="20" t="str">
        <f aca="false">IF($F117="","",SUMIFS(SeatApproved,SeatUnit,$D117,SeatTitle,$F117))</f>
        <v/>
      </c>
      <c r="K117" s="20" t="str">
        <f aca="false">IF($F117="","",SUM($L117:$O117))</f>
        <v/>
      </c>
      <c r="L117" s="22"/>
      <c r="M117" s="22"/>
      <c r="N117" s="22"/>
      <c r="O117" s="22"/>
      <c r="P117" s="18" t="str">
        <f aca="false">IF($Q117="","",IFERROR(INDEX(DriverCategory,MATCH($Q117,DriverList,0)),"?"))</f>
        <v/>
      </c>
      <c r="Q117" s="21"/>
      <c r="R117" s="21"/>
      <c r="S117" s="23" t="str">
        <f aca="false">IF(COUNTA($B117:$H117)+COUNTA($L117:$O117)=0,"",MID(IF($B117="",", division","")&amp;IF($D117="",", unit","")&amp;IF($F117="",", job title","")&amp;IF($G117="",", career level","")&amp;IF($H117="",", job family","")&amp;IF($I117="",", worker type","")&amp;IF(N($K117)&lt;=0,", the quarter split","")&amp;IF($Q117="",", driver","")&amp;IF($R117="",", alternatives","")&amp;IF(AND($D117&lt;&gt;"",COUNTIF(UnitList,$D117)=0),", a unit that is not in your structure",""),3,300))</f>
        <v/>
      </c>
      <c r="T117" s="17" t="str">
        <f aca="false">IF($S117="","",COUNTIF($S$6:$S117,"?*"))</f>
        <v/>
      </c>
    </row>
    <row r="118" customFormat="false" ht="15" hidden="false" customHeight="false" outlineLevel="0" collapsed="false">
      <c r="A118" s="17" t="n">
        <v>113</v>
      </c>
      <c r="B118" s="21"/>
      <c r="C118" s="21"/>
      <c r="D118" s="21"/>
      <c r="E118" s="21"/>
      <c r="F118" s="21"/>
      <c r="G118" s="21"/>
      <c r="H118" s="21"/>
      <c r="I118" s="21"/>
      <c r="J118" s="20" t="str">
        <f aca="false">IF($F118="","",SUMIFS(SeatApproved,SeatUnit,$D118,SeatTitle,$F118))</f>
        <v/>
      </c>
      <c r="K118" s="20" t="str">
        <f aca="false">IF($F118="","",SUM($L118:$O118))</f>
        <v/>
      </c>
      <c r="L118" s="22"/>
      <c r="M118" s="22"/>
      <c r="N118" s="22"/>
      <c r="O118" s="22"/>
      <c r="P118" s="18" t="str">
        <f aca="false">IF($Q118="","",IFERROR(INDEX(DriverCategory,MATCH($Q118,DriverList,0)),"?"))</f>
        <v/>
      </c>
      <c r="Q118" s="21"/>
      <c r="R118" s="21"/>
      <c r="S118" s="23" t="str">
        <f aca="false">IF(COUNTA($B118:$H118)+COUNTA($L118:$O118)=0,"",MID(IF($B118="",", division","")&amp;IF($D118="",", unit","")&amp;IF($F118="",", job title","")&amp;IF($G118="",", career level","")&amp;IF($H118="",", job family","")&amp;IF($I118="",", worker type","")&amp;IF(N($K118)&lt;=0,", the quarter split","")&amp;IF($Q118="",", driver","")&amp;IF($R118="",", alternatives","")&amp;IF(AND($D118&lt;&gt;"",COUNTIF(UnitList,$D118)=0),", a unit that is not in your structure",""),3,300))</f>
        <v/>
      </c>
      <c r="T118" s="17" t="str">
        <f aca="false">IF($S118="","",COUNTIF($S$6:$S118,"?*"))</f>
        <v/>
      </c>
    </row>
    <row r="119" customFormat="false" ht="15" hidden="false" customHeight="false" outlineLevel="0" collapsed="false">
      <c r="A119" s="17" t="n">
        <v>114</v>
      </c>
      <c r="B119" s="21"/>
      <c r="C119" s="21"/>
      <c r="D119" s="21"/>
      <c r="E119" s="21"/>
      <c r="F119" s="21"/>
      <c r="G119" s="21"/>
      <c r="H119" s="21"/>
      <c r="I119" s="21"/>
      <c r="J119" s="20" t="str">
        <f aca="false">IF($F119="","",SUMIFS(SeatApproved,SeatUnit,$D119,SeatTitle,$F119))</f>
        <v/>
      </c>
      <c r="K119" s="20" t="str">
        <f aca="false">IF($F119="","",SUM($L119:$O119))</f>
        <v/>
      </c>
      <c r="L119" s="22"/>
      <c r="M119" s="22"/>
      <c r="N119" s="22"/>
      <c r="O119" s="22"/>
      <c r="P119" s="18" t="str">
        <f aca="false">IF($Q119="","",IFERROR(INDEX(DriverCategory,MATCH($Q119,DriverList,0)),"?"))</f>
        <v/>
      </c>
      <c r="Q119" s="21"/>
      <c r="R119" s="21"/>
      <c r="S119" s="23" t="str">
        <f aca="false">IF(COUNTA($B119:$H119)+COUNTA($L119:$O119)=0,"",MID(IF($B119="",", division","")&amp;IF($D119="",", unit","")&amp;IF($F119="",", job title","")&amp;IF($G119="",", career level","")&amp;IF($H119="",", job family","")&amp;IF($I119="",", worker type","")&amp;IF(N($K119)&lt;=0,", the quarter split","")&amp;IF($Q119="",", driver","")&amp;IF($R119="",", alternatives","")&amp;IF(AND($D119&lt;&gt;"",COUNTIF(UnitList,$D119)=0),", a unit that is not in your structure",""),3,300))</f>
        <v/>
      </c>
      <c r="T119" s="17" t="str">
        <f aca="false">IF($S119="","",COUNTIF($S$6:$S119,"?*"))</f>
        <v/>
      </c>
    </row>
    <row r="120" customFormat="false" ht="15" hidden="false" customHeight="false" outlineLevel="0" collapsed="false">
      <c r="A120" s="17" t="n">
        <v>115</v>
      </c>
      <c r="B120" s="21"/>
      <c r="C120" s="21"/>
      <c r="D120" s="21"/>
      <c r="E120" s="21"/>
      <c r="F120" s="21"/>
      <c r="G120" s="21"/>
      <c r="H120" s="21"/>
      <c r="I120" s="21"/>
      <c r="J120" s="20" t="str">
        <f aca="false">IF($F120="","",SUMIFS(SeatApproved,SeatUnit,$D120,SeatTitle,$F120))</f>
        <v/>
      </c>
      <c r="K120" s="20" t="str">
        <f aca="false">IF($F120="","",SUM($L120:$O120))</f>
        <v/>
      </c>
      <c r="L120" s="22"/>
      <c r="M120" s="22"/>
      <c r="N120" s="22"/>
      <c r="O120" s="22"/>
      <c r="P120" s="18" t="str">
        <f aca="false">IF($Q120="","",IFERROR(INDEX(DriverCategory,MATCH($Q120,DriverList,0)),"?"))</f>
        <v/>
      </c>
      <c r="Q120" s="21"/>
      <c r="R120" s="21"/>
      <c r="S120" s="23" t="str">
        <f aca="false">IF(COUNTA($B120:$H120)+COUNTA($L120:$O120)=0,"",MID(IF($B120="",", division","")&amp;IF($D120="",", unit","")&amp;IF($F120="",", job title","")&amp;IF($G120="",", career level","")&amp;IF($H120="",", job family","")&amp;IF($I120="",", worker type","")&amp;IF(N($K120)&lt;=0,", the quarter split","")&amp;IF($Q120="",", driver","")&amp;IF($R120="",", alternatives","")&amp;IF(AND($D120&lt;&gt;"",COUNTIF(UnitList,$D120)=0),", a unit that is not in your structure",""),3,300))</f>
        <v/>
      </c>
      <c r="T120" s="17" t="str">
        <f aca="false">IF($S120="","",COUNTIF($S$6:$S120,"?*"))</f>
        <v/>
      </c>
    </row>
    <row r="121" customFormat="false" ht="15" hidden="false" customHeight="false" outlineLevel="0" collapsed="false">
      <c r="A121" s="17" t="n">
        <v>116</v>
      </c>
      <c r="B121" s="21"/>
      <c r="C121" s="21"/>
      <c r="D121" s="21"/>
      <c r="E121" s="21"/>
      <c r="F121" s="21"/>
      <c r="G121" s="21"/>
      <c r="H121" s="21"/>
      <c r="I121" s="21"/>
      <c r="J121" s="20" t="str">
        <f aca="false">IF($F121="","",SUMIFS(SeatApproved,SeatUnit,$D121,SeatTitle,$F121))</f>
        <v/>
      </c>
      <c r="K121" s="20" t="str">
        <f aca="false">IF($F121="","",SUM($L121:$O121))</f>
        <v/>
      </c>
      <c r="L121" s="22"/>
      <c r="M121" s="22"/>
      <c r="N121" s="22"/>
      <c r="O121" s="22"/>
      <c r="P121" s="18" t="str">
        <f aca="false">IF($Q121="","",IFERROR(INDEX(DriverCategory,MATCH($Q121,DriverList,0)),"?"))</f>
        <v/>
      </c>
      <c r="Q121" s="21"/>
      <c r="R121" s="21"/>
      <c r="S121" s="23" t="str">
        <f aca="false">IF(COUNTA($B121:$H121)+COUNTA($L121:$O121)=0,"",MID(IF($B121="",", division","")&amp;IF($D121="",", unit","")&amp;IF($F121="",", job title","")&amp;IF($G121="",", career level","")&amp;IF($H121="",", job family","")&amp;IF($I121="",", worker type","")&amp;IF(N($K121)&lt;=0,", the quarter split","")&amp;IF($Q121="",", driver","")&amp;IF($R121="",", alternatives","")&amp;IF(AND($D121&lt;&gt;"",COUNTIF(UnitList,$D121)=0),", a unit that is not in your structure",""),3,300))</f>
        <v/>
      </c>
      <c r="T121" s="17" t="str">
        <f aca="false">IF($S121="","",COUNTIF($S$6:$S121,"?*"))</f>
        <v/>
      </c>
    </row>
    <row r="122" customFormat="false" ht="15" hidden="false" customHeight="false" outlineLevel="0" collapsed="false">
      <c r="A122" s="17" t="n">
        <v>117</v>
      </c>
      <c r="B122" s="21"/>
      <c r="C122" s="21"/>
      <c r="D122" s="21"/>
      <c r="E122" s="21"/>
      <c r="F122" s="21"/>
      <c r="G122" s="21"/>
      <c r="H122" s="21"/>
      <c r="I122" s="21"/>
      <c r="J122" s="20" t="str">
        <f aca="false">IF($F122="","",SUMIFS(SeatApproved,SeatUnit,$D122,SeatTitle,$F122))</f>
        <v/>
      </c>
      <c r="K122" s="20" t="str">
        <f aca="false">IF($F122="","",SUM($L122:$O122))</f>
        <v/>
      </c>
      <c r="L122" s="22"/>
      <c r="M122" s="22"/>
      <c r="N122" s="22"/>
      <c r="O122" s="22"/>
      <c r="P122" s="18" t="str">
        <f aca="false">IF($Q122="","",IFERROR(INDEX(DriverCategory,MATCH($Q122,DriverList,0)),"?"))</f>
        <v/>
      </c>
      <c r="Q122" s="21"/>
      <c r="R122" s="21"/>
      <c r="S122" s="23" t="str">
        <f aca="false">IF(COUNTA($B122:$H122)+COUNTA($L122:$O122)=0,"",MID(IF($B122="",", division","")&amp;IF($D122="",", unit","")&amp;IF($F122="",", job title","")&amp;IF($G122="",", career level","")&amp;IF($H122="",", job family","")&amp;IF($I122="",", worker type","")&amp;IF(N($K122)&lt;=0,", the quarter split","")&amp;IF($Q122="",", driver","")&amp;IF($R122="",", alternatives","")&amp;IF(AND($D122&lt;&gt;"",COUNTIF(UnitList,$D122)=0),", a unit that is not in your structure",""),3,300))</f>
        <v/>
      </c>
      <c r="T122" s="17" t="str">
        <f aca="false">IF($S122="","",COUNTIF($S$6:$S122,"?*"))</f>
        <v/>
      </c>
    </row>
    <row r="123" customFormat="false" ht="15" hidden="false" customHeight="false" outlineLevel="0" collapsed="false">
      <c r="A123" s="17" t="n">
        <v>118</v>
      </c>
      <c r="B123" s="21"/>
      <c r="C123" s="21"/>
      <c r="D123" s="21"/>
      <c r="E123" s="21"/>
      <c r="F123" s="21"/>
      <c r="G123" s="21"/>
      <c r="H123" s="21"/>
      <c r="I123" s="21"/>
      <c r="J123" s="20" t="str">
        <f aca="false">IF($F123="","",SUMIFS(SeatApproved,SeatUnit,$D123,SeatTitle,$F123))</f>
        <v/>
      </c>
      <c r="K123" s="20" t="str">
        <f aca="false">IF($F123="","",SUM($L123:$O123))</f>
        <v/>
      </c>
      <c r="L123" s="22"/>
      <c r="M123" s="22"/>
      <c r="N123" s="22"/>
      <c r="O123" s="22"/>
      <c r="P123" s="18" t="str">
        <f aca="false">IF($Q123="","",IFERROR(INDEX(DriverCategory,MATCH($Q123,DriverList,0)),"?"))</f>
        <v/>
      </c>
      <c r="Q123" s="21"/>
      <c r="R123" s="21"/>
      <c r="S123" s="23" t="str">
        <f aca="false">IF(COUNTA($B123:$H123)+COUNTA($L123:$O123)=0,"",MID(IF($B123="",", division","")&amp;IF($D123="",", unit","")&amp;IF($F123="",", job title","")&amp;IF($G123="",", career level","")&amp;IF($H123="",", job family","")&amp;IF($I123="",", worker type","")&amp;IF(N($K123)&lt;=0,", the quarter split","")&amp;IF($Q123="",", driver","")&amp;IF($R123="",", alternatives","")&amp;IF(AND($D123&lt;&gt;"",COUNTIF(UnitList,$D123)=0),", a unit that is not in your structure",""),3,300))</f>
        <v/>
      </c>
      <c r="T123" s="17" t="str">
        <f aca="false">IF($S123="","",COUNTIF($S$6:$S123,"?*"))</f>
        <v/>
      </c>
    </row>
    <row r="124" customFormat="false" ht="15" hidden="false" customHeight="false" outlineLevel="0" collapsed="false">
      <c r="A124" s="17" t="n">
        <v>119</v>
      </c>
      <c r="B124" s="21"/>
      <c r="C124" s="21"/>
      <c r="D124" s="21"/>
      <c r="E124" s="21"/>
      <c r="F124" s="21"/>
      <c r="G124" s="21"/>
      <c r="H124" s="21"/>
      <c r="I124" s="21"/>
      <c r="J124" s="20" t="str">
        <f aca="false">IF($F124="","",SUMIFS(SeatApproved,SeatUnit,$D124,SeatTitle,$F124))</f>
        <v/>
      </c>
      <c r="K124" s="20" t="str">
        <f aca="false">IF($F124="","",SUM($L124:$O124))</f>
        <v/>
      </c>
      <c r="L124" s="22"/>
      <c r="M124" s="22"/>
      <c r="N124" s="22"/>
      <c r="O124" s="22"/>
      <c r="P124" s="18" t="str">
        <f aca="false">IF($Q124="","",IFERROR(INDEX(DriverCategory,MATCH($Q124,DriverList,0)),"?"))</f>
        <v/>
      </c>
      <c r="Q124" s="21"/>
      <c r="R124" s="21"/>
      <c r="S124" s="23" t="str">
        <f aca="false">IF(COUNTA($B124:$H124)+COUNTA($L124:$O124)=0,"",MID(IF($B124="",", division","")&amp;IF($D124="",", unit","")&amp;IF($F124="",", job title","")&amp;IF($G124="",", career level","")&amp;IF($H124="",", job family","")&amp;IF($I124="",", worker type","")&amp;IF(N($K124)&lt;=0,", the quarter split","")&amp;IF($Q124="",", driver","")&amp;IF($R124="",", alternatives","")&amp;IF(AND($D124&lt;&gt;"",COUNTIF(UnitList,$D124)=0),", a unit that is not in your structure",""),3,300))</f>
        <v/>
      </c>
      <c r="T124" s="17" t="str">
        <f aca="false">IF($S124="","",COUNTIF($S$6:$S124,"?*"))</f>
        <v/>
      </c>
    </row>
    <row r="125" customFormat="false" ht="15" hidden="false" customHeight="false" outlineLevel="0" collapsed="false">
      <c r="A125" s="17" t="n">
        <v>120</v>
      </c>
      <c r="B125" s="21"/>
      <c r="C125" s="21"/>
      <c r="D125" s="21"/>
      <c r="E125" s="21"/>
      <c r="F125" s="21"/>
      <c r="G125" s="21"/>
      <c r="H125" s="21"/>
      <c r="I125" s="21"/>
      <c r="J125" s="20" t="str">
        <f aca="false">IF($F125="","",SUMIFS(SeatApproved,SeatUnit,$D125,SeatTitle,$F125))</f>
        <v/>
      </c>
      <c r="K125" s="20" t="str">
        <f aca="false">IF($F125="","",SUM($L125:$O125))</f>
        <v/>
      </c>
      <c r="L125" s="22"/>
      <c r="M125" s="22"/>
      <c r="N125" s="22"/>
      <c r="O125" s="22"/>
      <c r="P125" s="18" t="str">
        <f aca="false">IF($Q125="","",IFERROR(INDEX(DriverCategory,MATCH($Q125,DriverList,0)),"?"))</f>
        <v/>
      </c>
      <c r="Q125" s="21"/>
      <c r="R125" s="21"/>
      <c r="S125" s="23" t="str">
        <f aca="false">IF(COUNTA($B125:$H125)+COUNTA($L125:$O125)=0,"",MID(IF($B125="",", division","")&amp;IF($D125="",", unit","")&amp;IF($F125="",", job title","")&amp;IF($G125="",", career level","")&amp;IF($H125="",", job family","")&amp;IF($I125="",", worker type","")&amp;IF(N($K125)&lt;=0,", the quarter split","")&amp;IF($Q125="",", driver","")&amp;IF($R125="",", alternatives","")&amp;IF(AND($D125&lt;&gt;"",COUNTIF(UnitList,$D125)=0),", a unit that is not in your structure",""),3,300))</f>
        <v/>
      </c>
      <c r="T125" s="17" t="str">
        <f aca="false">IF($S125="","",COUNTIF($S$6:$S125,"?*"))</f>
        <v/>
      </c>
    </row>
    <row r="126" customFormat="false" ht="15" hidden="false" customHeight="false" outlineLevel="0" collapsed="false">
      <c r="A126" s="17" t="n">
        <v>121</v>
      </c>
      <c r="B126" s="21"/>
      <c r="C126" s="21"/>
      <c r="D126" s="21"/>
      <c r="E126" s="21"/>
      <c r="F126" s="21"/>
      <c r="G126" s="21"/>
      <c r="H126" s="21"/>
      <c r="I126" s="21"/>
      <c r="J126" s="20" t="str">
        <f aca="false">IF($F126="","",SUMIFS(SeatApproved,SeatUnit,$D126,SeatTitle,$F126))</f>
        <v/>
      </c>
      <c r="K126" s="20" t="str">
        <f aca="false">IF($F126="","",SUM($L126:$O126))</f>
        <v/>
      </c>
      <c r="L126" s="22"/>
      <c r="M126" s="22"/>
      <c r="N126" s="22"/>
      <c r="O126" s="22"/>
      <c r="P126" s="18" t="str">
        <f aca="false">IF($Q126="","",IFERROR(INDEX(DriverCategory,MATCH($Q126,DriverList,0)),"?"))</f>
        <v/>
      </c>
      <c r="Q126" s="21"/>
      <c r="R126" s="21"/>
      <c r="S126" s="23" t="str">
        <f aca="false">IF(COUNTA($B126:$H126)+COUNTA($L126:$O126)=0,"",MID(IF($B126="",", division","")&amp;IF($D126="",", unit","")&amp;IF($F126="",", job title","")&amp;IF($G126="",", career level","")&amp;IF($H126="",", job family","")&amp;IF($I126="",", worker type","")&amp;IF(N($K126)&lt;=0,", the quarter split","")&amp;IF($Q126="",", driver","")&amp;IF($R126="",", alternatives","")&amp;IF(AND($D126&lt;&gt;"",COUNTIF(UnitList,$D126)=0),", a unit that is not in your structure",""),3,300))</f>
        <v/>
      </c>
      <c r="T126" s="17" t="str">
        <f aca="false">IF($S126="","",COUNTIF($S$6:$S126,"?*"))</f>
        <v/>
      </c>
    </row>
    <row r="127" customFormat="false" ht="15" hidden="false" customHeight="false" outlineLevel="0" collapsed="false">
      <c r="A127" s="17" t="n">
        <v>122</v>
      </c>
      <c r="B127" s="21"/>
      <c r="C127" s="21"/>
      <c r="D127" s="21"/>
      <c r="E127" s="21"/>
      <c r="F127" s="21"/>
      <c r="G127" s="21"/>
      <c r="H127" s="21"/>
      <c r="I127" s="21"/>
      <c r="J127" s="20" t="str">
        <f aca="false">IF($F127="","",SUMIFS(SeatApproved,SeatUnit,$D127,SeatTitle,$F127))</f>
        <v/>
      </c>
      <c r="K127" s="20" t="str">
        <f aca="false">IF($F127="","",SUM($L127:$O127))</f>
        <v/>
      </c>
      <c r="L127" s="22"/>
      <c r="M127" s="22"/>
      <c r="N127" s="22"/>
      <c r="O127" s="22"/>
      <c r="P127" s="18" t="str">
        <f aca="false">IF($Q127="","",IFERROR(INDEX(DriverCategory,MATCH($Q127,DriverList,0)),"?"))</f>
        <v/>
      </c>
      <c r="Q127" s="21"/>
      <c r="R127" s="21"/>
      <c r="S127" s="23" t="str">
        <f aca="false">IF(COUNTA($B127:$H127)+COUNTA($L127:$O127)=0,"",MID(IF($B127="",", division","")&amp;IF($D127="",", unit","")&amp;IF($F127="",", job title","")&amp;IF($G127="",", career level","")&amp;IF($H127="",", job family","")&amp;IF($I127="",", worker type","")&amp;IF(N($K127)&lt;=0,", the quarter split","")&amp;IF($Q127="",", driver","")&amp;IF($R127="",", alternatives","")&amp;IF(AND($D127&lt;&gt;"",COUNTIF(UnitList,$D127)=0),", a unit that is not in your structure",""),3,300))</f>
        <v/>
      </c>
      <c r="T127" s="17" t="str">
        <f aca="false">IF($S127="","",COUNTIF($S$6:$S127,"?*"))</f>
        <v/>
      </c>
    </row>
    <row r="128" customFormat="false" ht="15" hidden="false" customHeight="false" outlineLevel="0" collapsed="false">
      <c r="A128" s="17" t="n">
        <v>123</v>
      </c>
      <c r="B128" s="21"/>
      <c r="C128" s="21"/>
      <c r="D128" s="21"/>
      <c r="E128" s="21"/>
      <c r="F128" s="21"/>
      <c r="G128" s="21"/>
      <c r="H128" s="21"/>
      <c r="I128" s="21"/>
      <c r="J128" s="20" t="str">
        <f aca="false">IF($F128="","",SUMIFS(SeatApproved,SeatUnit,$D128,SeatTitle,$F128))</f>
        <v/>
      </c>
      <c r="K128" s="20" t="str">
        <f aca="false">IF($F128="","",SUM($L128:$O128))</f>
        <v/>
      </c>
      <c r="L128" s="22"/>
      <c r="M128" s="22"/>
      <c r="N128" s="22"/>
      <c r="O128" s="22"/>
      <c r="P128" s="18" t="str">
        <f aca="false">IF($Q128="","",IFERROR(INDEX(DriverCategory,MATCH($Q128,DriverList,0)),"?"))</f>
        <v/>
      </c>
      <c r="Q128" s="21"/>
      <c r="R128" s="21"/>
      <c r="S128" s="23" t="str">
        <f aca="false">IF(COUNTA($B128:$H128)+COUNTA($L128:$O128)=0,"",MID(IF($B128="",", division","")&amp;IF($D128="",", unit","")&amp;IF($F128="",", job title","")&amp;IF($G128="",", career level","")&amp;IF($H128="",", job family","")&amp;IF($I128="",", worker type","")&amp;IF(N($K128)&lt;=0,", the quarter split","")&amp;IF($Q128="",", driver","")&amp;IF($R128="",", alternatives","")&amp;IF(AND($D128&lt;&gt;"",COUNTIF(UnitList,$D128)=0),", a unit that is not in your structure",""),3,300))</f>
        <v/>
      </c>
      <c r="T128" s="17" t="str">
        <f aca="false">IF($S128="","",COUNTIF($S$6:$S128,"?*"))</f>
        <v/>
      </c>
    </row>
    <row r="129" customFormat="false" ht="15" hidden="false" customHeight="false" outlineLevel="0" collapsed="false">
      <c r="A129" s="17" t="n">
        <v>124</v>
      </c>
      <c r="B129" s="21"/>
      <c r="C129" s="21"/>
      <c r="D129" s="21"/>
      <c r="E129" s="21"/>
      <c r="F129" s="21"/>
      <c r="G129" s="21"/>
      <c r="H129" s="21"/>
      <c r="I129" s="21"/>
      <c r="J129" s="20" t="str">
        <f aca="false">IF($F129="","",SUMIFS(SeatApproved,SeatUnit,$D129,SeatTitle,$F129))</f>
        <v/>
      </c>
      <c r="K129" s="20" t="str">
        <f aca="false">IF($F129="","",SUM($L129:$O129))</f>
        <v/>
      </c>
      <c r="L129" s="22"/>
      <c r="M129" s="22"/>
      <c r="N129" s="22"/>
      <c r="O129" s="22"/>
      <c r="P129" s="18" t="str">
        <f aca="false">IF($Q129="","",IFERROR(INDEX(DriverCategory,MATCH($Q129,DriverList,0)),"?"))</f>
        <v/>
      </c>
      <c r="Q129" s="21"/>
      <c r="R129" s="21"/>
      <c r="S129" s="23" t="str">
        <f aca="false">IF(COUNTA($B129:$H129)+COUNTA($L129:$O129)=0,"",MID(IF($B129="",", division","")&amp;IF($D129="",", unit","")&amp;IF($F129="",", job title","")&amp;IF($G129="",", career level","")&amp;IF($H129="",", job family","")&amp;IF($I129="",", worker type","")&amp;IF(N($K129)&lt;=0,", the quarter split","")&amp;IF($Q129="",", driver","")&amp;IF($R129="",", alternatives","")&amp;IF(AND($D129&lt;&gt;"",COUNTIF(UnitList,$D129)=0),", a unit that is not in your structure",""),3,300))</f>
        <v/>
      </c>
      <c r="T129" s="17" t="str">
        <f aca="false">IF($S129="","",COUNTIF($S$6:$S129,"?*"))</f>
        <v/>
      </c>
    </row>
    <row r="130" customFormat="false" ht="15" hidden="false" customHeight="false" outlineLevel="0" collapsed="false">
      <c r="A130" s="17" t="n">
        <v>125</v>
      </c>
      <c r="B130" s="21"/>
      <c r="C130" s="21"/>
      <c r="D130" s="21"/>
      <c r="E130" s="21"/>
      <c r="F130" s="21"/>
      <c r="G130" s="21"/>
      <c r="H130" s="21"/>
      <c r="I130" s="21"/>
      <c r="J130" s="20" t="str">
        <f aca="false">IF($F130="","",SUMIFS(SeatApproved,SeatUnit,$D130,SeatTitle,$F130))</f>
        <v/>
      </c>
      <c r="K130" s="20" t="str">
        <f aca="false">IF($F130="","",SUM($L130:$O130))</f>
        <v/>
      </c>
      <c r="L130" s="22"/>
      <c r="M130" s="22"/>
      <c r="N130" s="22"/>
      <c r="O130" s="22"/>
      <c r="P130" s="18" t="str">
        <f aca="false">IF($Q130="","",IFERROR(INDEX(DriverCategory,MATCH($Q130,DriverList,0)),"?"))</f>
        <v/>
      </c>
      <c r="Q130" s="21"/>
      <c r="R130" s="21"/>
      <c r="S130" s="23" t="str">
        <f aca="false">IF(COUNTA($B130:$H130)+COUNTA($L130:$O130)=0,"",MID(IF($B130="",", division","")&amp;IF($D130="",", unit","")&amp;IF($F130="",", job title","")&amp;IF($G130="",", career level","")&amp;IF($H130="",", job family","")&amp;IF($I130="",", worker type","")&amp;IF(N($K130)&lt;=0,", the quarter split","")&amp;IF($Q130="",", driver","")&amp;IF($R130="",", alternatives","")&amp;IF(AND($D130&lt;&gt;"",COUNTIF(UnitList,$D130)=0),", a unit that is not in your structure",""),3,300))</f>
        <v/>
      </c>
      <c r="T130" s="17" t="str">
        <f aca="false">IF($S130="","",COUNTIF($S$6:$S130,"?*"))</f>
        <v/>
      </c>
    </row>
    <row r="131" customFormat="false" ht="15" hidden="false" customHeight="false" outlineLevel="0" collapsed="false">
      <c r="A131" s="17" t="n">
        <v>126</v>
      </c>
      <c r="B131" s="21"/>
      <c r="C131" s="21"/>
      <c r="D131" s="21"/>
      <c r="E131" s="21"/>
      <c r="F131" s="21"/>
      <c r="G131" s="21"/>
      <c r="H131" s="21"/>
      <c r="I131" s="21"/>
      <c r="J131" s="20" t="str">
        <f aca="false">IF($F131="","",SUMIFS(SeatApproved,SeatUnit,$D131,SeatTitle,$F131))</f>
        <v/>
      </c>
      <c r="K131" s="20" t="str">
        <f aca="false">IF($F131="","",SUM($L131:$O131))</f>
        <v/>
      </c>
      <c r="L131" s="22"/>
      <c r="M131" s="22"/>
      <c r="N131" s="22"/>
      <c r="O131" s="22"/>
      <c r="P131" s="18" t="str">
        <f aca="false">IF($Q131="","",IFERROR(INDEX(DriverCategory,MATCH($Q131,DriverList,0)),"?"))</f>
        <v/>
      </c>
      <c r="Q131" s="21"/>
      <c r="R131" s="21"/>
      <c r="S131" s="23" t="str">
        <f aca="false">IF(COUNTA($B131:$H131)+COUNTA($L131:$O131)=0,"",MID(IF($B131="",", division","")&amp;IF($D131="",", unit","")&amp;IF($F131="",", job title","")&amp;IF($G131="",", career level","")&amp;IF($H131="",", job family","")&amp;IF($I131="",", worker type","")&amp;IF(N($K131)&lt;=0,", the quarter split","")&amp;IF($Q131="",", driver","")&amp;IF($R131="",", alternatives","")&amp;IF(AND($D131&lt;&gt;"",COUNTIF(UnitList,$D131)=0),", a unit that is not in your structure",""),3,300))</f>
        <v/>
      </c>
      <c r="T131" s="17" t="str">
        <f aca="false">IF($S131="","",COUNTIF($S$6:$S131,"?*"))</f>
        <v/>
      </c>
    </row>
    <row r="132" customFormat="false" ht="15" hidden="false" customHeight="false" outlineLevel="0" collapsed="false">
      <c r="A132" s="17" t="n">
        <v>127</v>
      </c>
      <c r="B132" s="21"/>
      <c r="C132" s="21"/>
      <c r="D132" s="21"/>
      <c r="E132" s="21"/>
      <c r="F132" s="21"/>
      <c r="G132" s="21"/>
      <c r="H132" s="21"/>
      <c r="I132" s="21"/>
      <c r="J132" s="20" t="str">
        <f aca="false">IF($F132="","",SUMIFS(SeatApproved,SeatUnit,$D132,SeatTitle,$F132))</f>
        <v/>
      </c>
      <c r="K132" s="20" t="str">
        <f aca="false">IF($F132="","",SUM($L132:$O132))</f>
        <v/>
      </c>
      <c r="L132" s="22"/>
      <c r="M132" s="22"/>
      <c r="N132" s="22"/>
      <c r="O132" s="22"/>
      <c r="P132" s="18" t="str">
        <f aca="false">IF($Q132="","",IFERROR(INDEX(DriverCategory,MATCH($Q132,DriverList,0)),"?"))</f>
        <v/>
      </c>
      <c r="Q132" s="21"/>
      <c r="R132" s="21"/>
      <c r="S132" s="23" t="str">
        <f aca="false">IF(COUNTA($B132:$H132)+COUNTA($L132:$O132)=0,"",MID(IF($B132="",", division","")&amp;IF($D132="",", unit","")&amp;IF($F132="",", job title","")&amp;IF($G132="",", career level","")&amp;IF($H132="",", job family","")&amp;IF($I132="",", worker type","")&amp;IF(N($K132)&lt;=0,", the quarter split","")&amp;IF($Q132="",", driver","")&amp;IF($R132="",", alternatives","")&amp;IF(AND($D132&lt;&gt;"",COUNTIF(UnitList,$D132)=0),", a unit that is not in your structure",""),3,300))</f>
        <v/>
      </c>
      <c r="T132" s="17" t="str">
        <f aca="false">IF($S132="","",COUNTIF($S$6:$S132,"?*"))</f>
        <v/>
      </c>
    </row>
    <row r="133" customFormat="false" ht="15" hidden="false" customHeight="false" outlineLevel="0" collapsed="false">
      <c r="A133" s="17" t="n">
        <v>128</v>
      </c>
      <c r="B133" s="21"/>
      <c r="C133" s="21"/>
      <c r="D133" s="21"/>
      <c r="E133" s="21"/>
      <c r="F133" s="21"/>
      <c r="G133" s="21"/>
      <c r="H133" s="21"/>
      <c r="I133" s="21"/>
      <c r="J133" s="20" t="str">
        <f aca="false">IF($F133="","",SUMIFS(SeatApproved,SeatUnit,$D133,SeatTitle,$F133))</f>
        <v/>
      </c>
      <c r="K133" s="20" t="str">
        <f aca="false">IF($F133="","",SUM($L133:$O133))</f>
        <v/>
      </c>
      <c r="L133" s="22"/>
      <c r="M133" s="22"/>
      <c r="N133" s="22"/>
      <c r="O133" s="22"/>
      <c r="P133" s="18" t="str">
        <f aca="false">IF($Q133="","",IFERROR(INDEX(DriverCategory,MATCH($Q133,DriverList,0)),"?"))</f>
        <v/>
      </c>
      <c r="Q133" s="21"/>
      <c r="R133" s="21"/>
      <c r="S133" s="23" t="str">
        <f aca="false">IF(COUNTA($B133:$H133)+COUNTA($L133:$O133)=0,"",MID(IF($B133="",", division","")&amp;IF($D133="",", unit","")&amp;IF($F133="",", job title","")&amp;IF($G133="",", career level","")&amp;IF($H133="",", job family","")&amp;IF($I133="",", worker type","")&amp;IF(N($K133)&lt;=0,", the quarter split","")&amp;IF($Q133="",", driver","")&amp;IF($R133="",", alternatives","")&amp;IF(AND($D133&lt;&gt;"",COUNTIF(UnitList,$D133)=0),", a unit that is not in your structure",""),3,300))</f>
        <v/>
      </c>
      <c r="T133" s="17" t="str">
        <f aca="false">IF($S133="","",COUNTIF($S$6:$S133,"?*"))</f>
        <v/>
      </c>
    </row>
    <row r="134" customFormat="false" ht="15" hidden="false" customHeight="false" outlineLevel="0" collapsed="false">
      <c r="A134" s="17" t="n">
        <v>129</v>
      </c>
      <c r="B134" s="21"/>
      <c r="C134" s="21"/>
      <c r="D134" s="21"/>
      <c r="E134" s="21"/>
      <c r="F134" s="21"/>
      <c r="G134" s="21"/>
      <c r="H134" s="21"/>
      <c r="I134" s="21"/>
      <c r="J134" s="20" t="str">
        <f aca="false">IF($F134="","",SUMIFS(SeatApproved,SeatUnit,$D134,SeatTitle,$F134))</f>
        <v/>
      </c>
      <c r="K134" s="20" t="str">
        <f aca="false">IF($F134="","",SUM($L134:$O134))</f>
        <v/>
      </c>
      <c r="L134" s="22"/>
      <c r="M134" s="22"/>
      <c r="N134" s="22"/>
      <c r="O134" s="22"/>
      <c r="P134" s="18" t="str">
        <f aca="false">IF($Q134="","",IFERROR(INDEX(DriverCategory,MATCH($Q134,DriverList,0)),"?"))</f>
        <v/>
      </c>
      <c r="Q134" s="21"/>
      <c r="R134" s="21"/>
      <c r="S134" s="23" t="str">
        <f aca="false">IF(COUNTA($B134:$H134)+COUNTA($L134:$O134)=0,"",MID(IF($B134="",", division","")&amp;IF($D134="",", unit","")&amp;IF($F134="",", job title","")&amp;IF($G134="",", career level","")&amp;IF($H134="",", job family","")&amp;IF($I134="",", worker type","")&amp;IF(N($K134)&lt;=0,", the quarter split","")&amp;IF($Q134="",", driver","")&amp;IF($R134="",", alternatives","")&amp;IF(AND($D134&lt;&gt;"",COUNTIF(UnitList,$D134)=0),", a unit that is not in your structure",""),3,300))</f>
        <v/>
      </c>
      <c r="T134" s="17" t="str">
        <f aca="false">IF($S134="","",COUNTIF($S$6:$S134,"?*"))</f>
        <v/>
      </c>
    </row>
    <row r="135" customFormat="false" ht="15" hidden="false" customHeight="false" outlineLevel="0" collapsed="false">
      <c r="A135" s="17" t="n">
        <v>130</v>
      </c>
      <c r="B135" s="21"/>
      <c r="C135" s="21"/>
      <c r="D135" s="21"/>
      <c r="E135" s="21"/>
      <c r="F135" s="21"/>
      <c r="G135" s="21"/>
      <c r="H135" s="21"/>
      <c r="I135" s="21"/>
      <c r="J135" s="20" t="str">
        <f aca="false">IF($F135="","",SUMIFS(SeatApproved,SeatUnit,$D135,SeatTitle,$F135))</f>
        <v/>
      </c>
      <c r="K135" s="20" t="str">
        <f aca="false">IF($F135="","",SUM($L135:$O135))</f>
        <v/>
      </c>
      <c r="L135" s="22"/>
      <c r="M135" s="22"/>
      <c r="N135" s="22"/>
      <c r="O135" s="22"/>
      <c r="P135" s="18" t="str">
        <f aca="false">IF($Q135="","",IFERROR(INDEX(DriverCategory,MATCH($Q135,DriverList,0)),"?"))</f>
        <v/>
      </c>
      <c r="Q135" s="21"/>
      <c r="R135" s="21"/>
      <c r="S135" s="23" t="str">
        <f aca="false">IF(COUNTA($B135:$H135)+COUNTA($L135:$O135)=0,"",MID(IF($B135="",", division","")&amp;IF($D135="",", unit","")&amp;IF($F135="",", job title","")&amp;IF($G135="",", career level","")&amp;IF($H135="",", job family","")&amp;IF($I135="",", worker type","")&amp;IF(N($K135)&lt;=0,", the quarter split","")&amp;IF($Q135="",", driver","")&amp;IF($R135="",", alternatives","")&amp;IF(AND($D135&lt;&gt;"",COUNTIF(UnitList,$D135)=0),", a unit that is not in your structure",""),3,300))</f>
        <v/>
      </c>
      <c r="T135" s="17" t="str">
        <f aca="false">IF($S135="","",COUNTIF($S$6:$S135,"?*"))</f>
        <v/>
      </c>
    </row>
    <row r="136" customFormat="false" ht="15" hidden="false" customHeight="false" outlineLevel="0" collapsed="false">
      <c r="A136" s="17" t="n">
        <v>131</v>
      </c>
      <c r="B136" s="21"/>
      <c r="C136" s="21"/>
      <c r="D136" s="21"/>
      <c r="E136" s="21"/>
      <c r="F136" s="21"/>
      <c r="G136" s="21"/>
      <c r="H136" s="21"/>
      <c r="I136" s="21"/>
      <c r="J136" s="20" t="str">
        <f aca="false">IF($F136="","",SUMIFS(SeatApproved,SeatUnit,$D136,SeatTitle,$F136))</f>
        <v/>
      </c>
      <c r="K136" s="20" t="str">
        <f aca="false">IF($F136="","",SUM($L136:$O136))</f>
        <v/>
      </c>
      <c r="L136" s="22"/>
      <c r="M136" s="22"/>
      <c r="N136" s="22"/>
      <c r="O136" s="22"/>
      <c r="P136" s="18" t="str">
        <f aca="false">IF($Q136="","",IFERROR(INDEX(DriverCategory,MATCH($Q136,DriverList,0)),"?"))</f>
        <v/>
      </c>
      <c r="Q136" s="21"/>
      <c r="R136" s="21"/>
      <c r="S136" s="23" t="str">
        <f aca="false">IF(COUNTA($B136:$H136)+COUNTA($L136:$O136)=0,"",MID(IF($B136="",", division","")&amp;IF($D136="",", unit","")&amp;IF($F136="",", job title","")&amp;IF($G136="",", career level","")&amp;IF($H136="",", job family","")&amp;IF($I136="",", worker type","")&amp;IF(N($K136)&lt;=0,", the quarter split","")&amp;IF($Q136="",", driver","")&amp;IF($R136="",", alternatives","")&amp;IF(AND($D136&lt;&gt;"",COUNTIF(UnitList,$D136)=0),", a unit that is not in your structure",""),3,300))</f>
        <v/>
      </c>
      <c r="T136" s="17" t="str">
        <f aca="false">IF($S136="","",COUNTIF($S$6:$S136,"?*"))</f>
        <v/>
      </c>
    </row>
    <row r="137" customFormat="false" ht="15" hidden="false" customHeight="false" outlineLevel="0" collapsed="false">
      <c r="A137" s="17" t="n">
        <v>132</v>
      </c>
      <c r="B137" s="21"/>
      <c r="C137" s="21"/>
      <c r="D137" s="21"/>
      <c r="E137" s="21"/>
      <c r="F137" s="21"/>
      <c r="G137" s="21"/>
      <c r="H137" s="21"/>
      <c r="I137" s="21"/>
      <c r="J137" s="20" t="str">
        <f aca="false">IF($F137="","",SUMIFS(SeatApproved,SeatUnit,$D137,SeatTitle,$F137))</f>
        <v/>
      </c>
      <c r="K137" s="20" t="str">
        <f aca="false">IF($F137="","",SUM($L137:$O137))</f>
        <v/>
      </c>
      <c r="L137" s="22"/>
      <c r="M137" s="22"/>
      <c r="N137" s="22"/>
      <c r="O137" s="22"/>
      <c r="P137" s="18" t="str">
        <f aca="false">IF($Q137="","",IFERROR(INDEX(DriverCategory,MATCH($Q137,DriverList,0)),"?"))</f>
        <v/>
      </c>
      <c r="Q137" s="21"/>
      <c r="R137" s="21"/>
      <c r="S137" s="23" t="str">
        <f aca="false">IF(COUNTA($B137:$H137)+COUNTA($L137:$O137)=0,"",MID(IF($B137="",", division","")&amp;IF($D137="",", unit","")&amp;IF($F137="",", job title","")&amp;IF($G137="",", career level","")&amp;IF($H137="",", job family","")&amp;IF($I137="",", worker type","")&amp;IF(N($K137)&lt;=0,", the quarter split","")&amp;IF($Q137="",", driver","")&amp;IF($R137="",", alternatives","")&amp;IF(AND($D137&lt;&gt;"",COUNTIF(UnitList,$D137)=0),", a unit that is not in your structure",""),3,300))</f>
        <v/>
      </c>
      <c r="T137" s="17" t="str">
        <f aca="false">IF($S137="","",COUNTIF($S$6:$S137,"?*"))</f>
        <v/>
      </c>
    </row>
    <row r="138" customFormat="false" ht="15" hidden="false" customHeight="false" outlineLevel="0" collapsed="false">
      <c r="A138" s="17" t="n">
        <v>133</v>
      </c>
      <c r="B138" s="21"/>
      <c r="C138" s="21"/>
      <c r="D138" s="21"/>
      <c r="E138" s="21"/>
      <c r="F138" s="21"/>
      <c r="G138" s="21"/>
      <c r="H138" s="21"/>
      <c r="I138" s="21"/>
      <c r="J138" s="20" t="str">
        <f aca="false">IF($F138="","",SUMIFS(SeatApproved,SeatUnit,$D138,SeatTitle,$F138))</f>
        <v/>
      </c>
      <c r="K138" s="20" t="str">
        <f aca="false">IF($F138="","",SUM($L138:$O138))</f>
        <v/>
      </c>
      <c r="L138" s="22"/>
      <c r="M138" s="22"/>
      <c r="N138" s="22"/>
      <c r="O138" s="22"/>
      <c r="P138" s="18" t="str">
        <f aca="false">IF($Q138="","",IFERROR(INDEX(DriverCategory,MATCH($Q138,DriverList,0)),"?"))</f>
        <v/>
      </c>
      <c r="Q138" s="21"/>
      <c r="R138" s="21"/>
      <c r="S138" s="23" t="str">
        <f aca="false">IF(COUNTA($B138:$H138)+COUNTA($L138:$O138)=0,"",MID(IF($B138="",", division","")&amp;IF($D138="",", unit","")&amp;IF($F138="",", job title","")&amp;IF($G138="",", career level","")&amp;IF($H138="",", job family","")&amp;IF($I138="",", worker type","")&amp;IF(N($K138)&lt;=0,", the quarter split","")&amp;IF($Q138="",", driver","")&amp;IF($R138="",", alternatives","")&amp;IF(AND($D138&lt;&gt;"",COUNTIF(UnitList,$D138)=0),", a unit that is not in your structure",""),3,300))</f>
        <v/>
      </c>
      <c r="T138" s="17" t="str">
        <f aca="false">IF($S138="","",COUNTIF($S$6:$S138,"?*"))</f>
        <v/>
      </c>
    </row>
    <row r="139" customFormat="false" ht="15" hidden="false" customHeight="false" outlineLevel="0" collapsed="false">
      <c r="A139" s="17" t="n">
        <v>134</v>
      </c>
      <c r="B139" s="21"/>
      <c r="C139" s="21"/>
      <c r="D139" s="21"/>
      <c r="E139" s="21"/>
      <c r="F139" s="21"/>
      <c r="G139" s="21"/>
      <c r="H139" s="21"/>
      <c r="I139" s="21"/>
      <c r="J139" s="20" t="str">
        <f aca="false">IF($F139="","",SUMIFS(SeatApproved,SeatUnit,$D139,SeatTitle,$F139))</f>
        <v/>
      </c>
      <c r="K139" s="20" t="str">
        <f aca="false">IF($F139="","",SUM($L139:$O139))</f>
        <v/>
      </c>
      <c r="L139" s="22"/>
      <c r="M139" s="22"/>
      <c r="N139" s="22"/>
      <c r="O139" s="22"/>
      <c r="P139" s="18" t="str">
        <f aca="false">IF($Q139="","",IFERROR(INDEX(DriverCategory,MATCH($Q139,DriverList,0)),"?"))</f>
        <v/>
      </c>
      <c r="Q139" s="21"/>
      <c r="R139" s="21"/>
      <c r="S139" s="23" t="str">
        <f aca="false">IF(COUNTA($B139:$H139)+COUNTA($L139:$O139)=0,"",MID(IF($B139="",", division","")&amp;IF($D139="",", unit","")&amp;IF($F139="",", job title","")&amp;IF($G139="",", career level","")&amp;IF($H139="",", job family","")&amp;IF($I139="",", worker type","")&amp;IF(N($K139)&lt;=0,", the quarter split","")&amp;IF($Q139="",", driver","")&amp;IF($R139="",", alternatives","")&amp;IF(AND($D139&lt;&gt;"",COUNTIF(UnitList,$D139)=0),", a unit that is not in your structure",""),3,300))</f>
        <v/>
      </c>
      <c r="T139" s="17" t="str">
        <f aca="false">IF($S139="","",COUNTIF($S$6:$S139,"?*"))</f>
        <v/>
      </c>
    </row>
    <row r="140" customFormat="false" ht="15" hidden="false" customHeight="false" outlineLevel="0" collapsed="false">
      <c r="A140" s="17" t="n">
        <v>135</v>
      </c>
      <c r="B140" s="21"/>
      <c r="C140" s="21"/>
      <c r="D140" s="21"/>
      <c r="E140" s="21"/>
      <c r="F140" s="21"/>
      <c r="G140" s="21"/>
      <c r="H140" s="21"/>
      <c r="I140" s="21"/>
      <c r="J140" s="20" t="str">
        <f aca="false">IF($F140="","",SUMIFS(SeatApproved,SeatUnit,$D140,SeatTitle,$F140))</f>
        <v/>
      </c>
      <c r="K140" s="20" t="str">
        <f aca="false">IF($F140="","",SUM($L140:$O140))</f>
        <v/>
      </c>
      <c r="L140" s="22"/>
      <c r="M140" s="22"/>
      <c r="N140" s="22"/>
      <c r="O140" s="22"/>
      <c r="P140" s="18" t="str">
        <f aca="false">IF($Q140="","",IFERROR(INDEX(DriverCategory,MATCH($Q140,DriverList,0)),"?"))</f>
        <v/>
      </c>
      <c r="Q140" s="21"/>
      <c r="R140" s="21"/>
      <c r="S140" s="23" t="str">
        <f aca="false">IF(COUNTA($B140:$H140)+COUNTA($L140:$O140)=0,"",MID(IF($B140="",", division","")&amp;IF($D140="",", unit","")&amp;IF($F140="",", job title","")&amp;IF($G140="",", career level","")&amp;IF($H140="",", job family","")&amp;IF($I140="",", worker type","")&amp;IF(N($K140)&lt;=0,", the quarter split","")&amp;IF($Q140="",", driver","")&amp;IF($R140="",", alternatives","")&amp;IF(AND($D140&lt;&gt;"",COUNTIF(UnitList,$D140)=0),", a unit that is not in your structure",""),3,300))</f>
        <v/>
      </c>
      <c r="T140" s="17" t="str">
        <f aca="false">IF($S140="","",COUNTIF($S$6:$S140,"?*"))</f>
        <v/>
      </c>
    </row>
    <row r="141" customFormat="false" ht="15" hidden="false" customHeight="false" outlineLevel="0" collapsed="false">
      <c r="A141" s="17" t="n">
        <v>136</v>
      </c>
      <c r="B141" s="21"/>
      <c r="C141" s="21"/>
      <c r="D141" s="21"/>
      <c r="E141" s="21"/>
      <c r="F141" s="21"/>
      <c r="G141" s="21"/>
      <c r="H141" s="21"/>
      <c r="I141" s="21"/>
      <c r="J141" s="20" t="str">
        <f aca="false">IF($F141="","",SUMIFS(SeatApproved,SeatUnit,$D141,SeatTitle,$F141))</f>
        <v/>
      </c>
      <c r="K141" s="20" t="str">
        <f aca="false">IF($F141="","",SUM($L141:$O141))</f>
        <v/>
      </c>
      <c r="L141" s="22"/>
      <c r="M141" s="22"/>
      <c r="N141" s="22"/>
      <c r="O141" s="22"/>
      <c r="P141" s="18" t="str">
        <f aca="false">IF($Q141="","",IFERROR(INDEX(DriverCategory,MATCH($Q141,DriverList,0)),"?"))</f>
        <v/>
      </c>
      <c r="Q141" s="21"/>
      <c r="R141" s="21"/>
      <c r="S141" s="23" t="str">
        <f aca="false">IF(COUNTA($B141:$H141)+COUNTA($L141:$O141)=0,"",MID(IF($B141="",", division","")&amp;IF($D141="",", unit","")&amp;IF($F141="",", job title","")&amp;IF($G141="",", career level","")&amp;IF($H141="",", job family","")&amp;IF($I141="",", worker type","")&amp;IF(N($K141)&lt;=0,", the quarter split","")&amp;IF($Q141="",", driver","")&amp;IF($R141="",", alternatives","")&amp;IF(AND($D141&lt;&gt;"",COUNTIF(UnitList,$D141)=0),", a unit that is not in your structure",""),3,300))</f>
        <v/>
      </c>
      <c r="T141" s="17" t="str">
        <f aca="false">IF($S141="","",COUNTIF($S$6:$S141,"?*"))</f>
        <v/>
      </c>
    </row>
    <row r="142" customFormat="false" ht="15" hidden="false" customHeight="false" outlineLevel="0" collapsed="false">
      <c r="A142" s="17" t="n">
        <v>137</v>
      </c>
      <c r="B142" s="21"/>
      <c r="C142" s="21"/>
      <c r="D142" s="21"/>
      <c r="E142" s="21"/>
      <c r="F142" s="21"/>
      <c r="G142" s="21"/>
      <c r="H142" s="21"/>
      <c r="I142" s="21"/>
      <c r="J142" s="20" t="str">
        <f aca="false">IF($F142="","",SUMIFS(SeatApproved,SeatUnit,$D142,SeatTitle,$F142))</f>
        <v/>
      </c>
      <c r="K142" s="20" t="str">
        <f aca="false">IF($F142="","",SUM($L142:$O142))</f>
        <v/>
      </c>
      <c r="L142" s="22"/>
      <c r="M142" s="22"/>
      <c r="N142" s="22"/>
      <c r="O142" s="22"/>
      <c r="P142" s="18" t="str">
        <f aca="false">IF($Q142="","",IFERROR(INDEX(DriverCategory,MATCH($Q142,DriverList,0)),"?"))</f>
        <v/>
      </c>
      <c r="Q142" s="21"/>
      <c r="R142" s="21"/>
      <c r="S142" s="23" t="str">
        <f aca="false">IF(COUNTA($B142:$H142)+COUNTA($L142:$O142)=0,"",MID(IF($B142="",", division","")&amp;IF($D142="",", unit","")&amp;IF($F142="",", job title","")&amp;IF($G142="",", career level","")&amp;IF($H142="",", job family","")&amp;IF($I142="",", worker type","")&amp;IF(N($K142)&lt;=0,", the quarter split","")&amp;IF($Q142="",", driver","")&amp;IF($R142="",", alternatives","")&amp;IF(AND($D142&lt;&gt;"",COUNTIF(UnitList,$D142)=0),", a unit that is not in your structure",""),3,300))</f>
        <v/>
      </c>
      <c r="T142" s="17" t="str">
        <f aca="false">IF($S142="","",COUNTIF($S$6:$S142,"?*"))</f>
        <v/>
      </c>
    </row>
    <row r="143" customFormat="false" ht="15" hidden="false" customHeight="false" outlineLevel="0" collapsed="false">
      <c r="A143" s="17" t="n">
        <v>138</v>
      </c>
      <c r="B143" s="21"/>
      <c r="C143" s="21"/>
      <c r="D143" s="21"/>
      <c r="E143" s="21"/>
      <c r="F143" s="21"/>
      <c r="G143" s="21"/>
      <c r="H143" s="21"/>
      <c r="I143" s="21"/>
      <c r="J143" s="20" t="str">
        <f aca="false">IF($F143="","",SUMIFS(SeatApproved,SeatUnit,$D143,SeatTitle,$F143))</f>
        <v/>
      </c>
      <c r="K143" s="20" t="str">
        <f aca="false">IF($F143="","",SUM($L143:$O143))</f>
        <v/>
      </c>
      <c r="L143" s="22"/>
      <c r="M143" s="22"/>
      <c r="N143" s="22"/>
      <c r="O143" s="22"/>
      <c r="P143" s="18" t="str">
        <f aca="false">IF($Q143="","",IFERROR(INDEX(DriverCategory,MATCH($Q143,DriverList,0)),"?"))</f>
        <v/>
      </c>
      <c r="Q143" s="21"/>
      <c r="R143" s="21"/>
      <c r="S143" s="23" t="str">
        <f aca="false">IF(COUNTA($B143:$H143)+COUNTA($L143:$O143)=0,"",MID(IF($B143="",", division","")&amp;IF($D143="",", unit","")&amp;IF($F143="",", job title","")&amp;IF($G143="",", career level","")&amp;IF($H143="",", job family","")&amp;IF($I143="",", worker type","")&amp;IF(N($K143)&lt;=0,", the quarter split","")&amp;IF($Q143="",", driver","")&amp;IF($R143="",", alternatives","")&amp;IF(AND($D143&lt;&gt;"",COUNTIF(UnitList,$D143)=0),", a unit that is not in your structure",""),3,300))</f>
        <v/>
      </c>
      <c r="T143" s="17" t="str">
        <f aca="false">IF($S143="","",COUNTIF($S$6:$S143,"?*"))</f>
        <v/>
      </c>
    </row>
    <row r="144" customFormat="false" ht="15" hidden="false" customHeight="false" outlineLevel="0" collapsed="false">
      <c r="A144" s="17" t="n">
        <v>139</v>
      </c>
      <c r="B144" s="21"/>
      <c r="C144" s="21"/>
      <c r="D144" s="21"/>
      <c r="E144" s="21"/>
      <c r="F144" s="21"/>
      <c r="G144" s="21"/>
      <c r="H144" s="21"/>
      <c r="I144" s="21"/>
      <c r="J144" s="20" t="str">
        <f aca="false">IF($F144="","",SUMIFS(SeatApproved,SeatUnit,$D144,SeatTitle,$F144))</f>
        <v/>
      </c>
      <c r="K144" s="20" t="str">
        <f aca="false">IF($F144="","",SUM($L144:$O144))</f>
        <v/>
      </c>
      <c r="L144" s="22"/>
      <c r="M144" s="22"/>
      <c r="N144" s="22"/>
      <c r="O144" s="22"/>
      <c r="P144" s="18" t="str">
        <f aca="false">IF($Q144="","",IFERROR(INDEX(DriverCategory,MATCH($Q144,DriverList,0)),"?"))</f>
        <v/>
      </c>
      <c r="Q144" s="21"/>
      <c r="R144" s="21"/>
      <c r="S144" s="23" t="str">
        <f aca="false">IF(COUNTA($B144:$H144)+COUNTA($L144:$O144)=0,"",MID(IF($B144="",", division","")&amp;IF($D144="",", unit","")&amp;IF($F144="",", job title","")&amp;IF($G144="",", career level","")&amp;IF($H144="",", job family","")&amp;IF($I144="",", worker type","")&amp;IF(N($K144)&lt;=0,", the quarter split","")&amp;IF($Q144="",", driver","")&amp;IF($R144="",", alternatives","")&amp;IF(AND($D144&lt;&gt;"",COUNTIF(UnitList,$D144)=0),", a unit that is not in your structure",""),3,300))</f>
        <v/>
      </c>
      <c r="T144" s="17" t="str">
        <f aca="false">IF($S144="","",COUNTIF($S$6:$S144,"?*"))</f>
        <v/>
      </c>
    </row>
    <row r="145" customFormat="false" ht="15" hidden="false" customHeight="false" outlineLevel="0" collapsed="false">
      <c r="A145" s="17" t="n">
        <v>140</v>
      </c>
      <c r="B145" s="21"/>
      <c r="C145" s="21"/>
      <c r="D145" s="21"/>
      <c r="E145" s="21"/>
      <c r="F145" s="21"/>
      <c r="G145" s="21"/>
      <c r="H145" s="21"/>
      <c r="I145" s="21"/>
      <c r="J145" s="20" t="str">
        <f aca="false">IF($F145="","",SUMIFS(SeatApproved,SeatUnit,$D145,SeatTitle,$F145))</f>
        <v/>
      </c>
      <c r="K145" s="20" t="str">
        <f aca="false">IF($F145="","",SUM($L145:$O145))</f>
        <v/>
      </c>
      <c r="L145" s="22"/>
      <c r="M145" s="22"/>
      <c r="N145" s="22"/>
      <c r="O145" s="22"/>
      <c r="P145" s="18" t="str">
        <f aca="false">IF($Q145="","",IFERROR(INDEX(DriverCategory,MATCH($Q145,DriverList,0)),"?"))</f>
        <v/>
      </c>
      <c r="Q145" s="21"/>
      <c r="R145" s="21"/>
      <c r="S145" s="23" t="str">
        <f aca="false">IF(COUNTA($B145:$H145)+COUNTA($L145:$O145)=0,"",MID(IF($B145="",", division","")&amp;IF($D145="",", unit","")&amp;IF($F145="",", job title","")&amp;IF($G145="",", career level","")&amp;IF($H145="",", job family","")&amp;IF($I145="",", worker type","")&amp;IF(N($K145)&lt;=0,", the quarter split","")&amp;IF($Q145="",", driver","")&amp;IF($R145="",", alternatives","")&amp;IF(AND($D145&lt;&gt;"",COUNTIF(UnitList,$D145)=0),", a unit that is not in your structure",""),3,300))</f>
        <v/>
      </c>
      <c r="T145" s="17" t="str">
        <f aca="false">IF($S145="","",COUNTIF($S$6:$S145,"?*"))</f>
        <v/>
      </c>
    </row>
    <row r="146" customFormat="false" ht="15" hidden="false" customHeight="false" outlineLevel="0" collapsed="false">
      <c r="A146" s="17" t="n">
        <v>141</v>
      </c>
      <c r="B146" s="21"/>
      <c r="C146" s="21"/>
      <c r="D146" s="21"/>
      <c r="E146" s="21"/>
      <c r="F146" s="21"/>
      <c r="G146" s="21"/>
      <c r="H146" s="21"/>
      <c r="I146" s="21"/>
      <c r="J146" s="20" t="str">
        <f aca="false">IF($F146="","",SUMIFS(SeatApproved,SeatUnit,$D146,SeatTitle,$F146))</f>
        <v/>
      </c>
      <c r="K146" s="20" t="str">
        <f aca="false">IF($F146="","",SUM($L146:$O146))</f>
        <v/>
      </c>
      <c r="L146" s="22"/>
      <c r="M146" s="22"/>
      <c r="N146" s="22"/>
      <c r="O146" s="22"/>
      <c r="P146" s="18" t="str">
        <f aca="false">IF($Q146="","",IFERROR(INDEX(DriverCategory,MATCH($Q146,DriverList,0)),"?"))</f>
        <v/>
      </c>
      <c r="Q146" s="21"/>
      <c r="R146" s="21"/>
      <c r="S146" s="23" t="str">
        <f aca="false">IF(COUNTA($B146:$H146)+COUNTA($L146:$O146)=0,"",MID(IF($B146="",", division","")&amp;IF($D146="",", unit","")&amp;IF($F146="",", job title","")&amp;IF($G146="",", career level","")&amp;IF($H146="",", job family","")&amp;IF($I146="",", worker type","")&amp;IF(N($K146)&lt;=0,", the quarter split","")&amp;IF($Q146="",", driver","")&amp;IF($R146="",", alternatives","")&amp;IF(AND($D146&lt;&gt;"",COUNTIF(UnitList,$D146)=0),", a unit that is not in your structure",""),3,300))</f>
        <v/>
      </c>
      <c r="T146" s="17" t="str">
        <f aca="false">IF($S146="","",COUNTIF($S$6:$S146,"?*"))</f>
        <v/>
      </c>
    </row>
    <row r="147" customFormat="false" ht="15" hidden="false" customHeight="false" outlineLevel="0" collapsed="false">
      <c r="A147" s="17" t="n">
        <v>142</v>
      </c>
      <c r="B147" s="21"/>
      <c r="C147" s="21"/>
      <c r="D147" s="21"/>
      <c r="E147" s="21"/>
      <c r="F147" s="21"/>
      <c r="G147" s="21"/>
      <c r="H147" s="21"/>
      <c r="I147" s="21"/>
      <c r="J147" s="20" t="str">
        <f aca="false">IF($F147="","",SUMIFS(SeatApproved,SeatUnit,$D147,SeatTitle,$F147))</f>
        <v/>
      </c>
      <c r="K147" s="20" t="str">
        <f aca="false">IF($F147="","",SUM($L147:$O147))</f>
        <v/>
      </c>
      <c r="L147" s="22"/>
      <c r="M147" s="22"/>
      <c r="N147" s="22"/>
      <c r="O147" s="22"/>
      <c r="P147" s="18" t="str">
        <f aca="false">IF($Q147="","",IFERROR(INDEX(DriverCategory,MATCH($Q147,DriverList,0)),"?"))</f>
        <v/>
      </c>
      <c r="Q147" s="21"/>
      <c r="R147" s="21"/>
      <c r="S147" s="23" t="str">
        <f aca="false">IF(COUNTA($B147:$H147)+COUNTA($L147:$O147)=0,"",MID(IF($B147="",", division","")&amp;IF($D147="",", unit","")&amp;IF($F147="",", job title","")&amp;IF($G147="",", career level","")&amp;IF($H147="",", job family","")&amp;IF($I147="",", worker type","")&amp;IF(N($K147)&lt;=0,", the quarter split","")&amp;IF($Q147="",", driver","")&amp;IF($R147="",", alternatives","")&amp;IF(AND($D147&lt;&gt;"",COUNTIF(UnitList,$D147)=0),", a unit that is not in your structure",""),3,300))</f>
        <v/>
      </c>
      <c r="T147" s="17" t="str">
        <f aca="false">IF($S147="","",COUNTIF($S$6:$S147,"?*"))</f>
        <v/>
      </c>
    </row>
    <row r="148" customFormat="false" ht="15" hidden="false" customHeight="false" outlineLevel="0" collapsed="false">
      <c r="A148" s="17" t="n">
        <v>143</v>
      </c>
      <c r="B148" s="21"/>
      <c r="C148" s="21"/>
      <c r="D148" s="21"/>
      <c r="E148" s="21"/>
      <c r="F148" s="21"/>
      <c r="G148" s="21"/>
      <c r="H148" s="21"/>
      <c r="I148" s="21"/>
      <c r="J148" s="20" t="str">
        <f aca="false">IF($F148="","",SUMIFS(SeatApproved,SeatUnit,$D148,SeatTitle,$F148))</f>
        <v/>
      </c>
      <c r="K148" s="20" t="str">
        <f aca="false">IF($F148="","",SUM($L148:$O148))</f>
        <v/>
      </c>
      <c r="L148" s="22"/>
      <c r="M148" s="22"/>
      <c r="N148" s="22"/>
      <c r="O148" s="22"/>
      <c r="P148" s="18" t="str">
        <f aca="false">IF($Q148="","",IFERROR(INDEX(DriverCategory,MATCH($Q148,DriverList,0)),"?"))</f>
        <v/>
      </c>
      <c r="Q148" s="21"/>
      <c r="R148" s="21"/>
      <c r="S148" s="23" t="str">
        <f aca="false">IF(COUNTA($B148:$H148)+COUNTA($L148:$O148)=0,"",MID(IF($B148="",", division","")&amp;IF($D148="",", unit","")&amp;IF($F148="",", job title","")&amp;IF($G148="",", career level","")&amp;IF($H148="",", job family","")&amp;IF($I148="",", worker type","")&amp;IF(N($K148)&lt;=0,", the quarter split","")&amp;IF($Q148="",", driver","")&amp;IF($R148="",", alternatives","")&amp;IF(AND($D148&lt;&gt;"",COUNTIF(UnitList,$D148)=0),", a unit that is not in your structure",""),3,300))</f>
        <v/>
      </c>
      <c r="T148" s="17" t="str">
        <f aca="false">IF($S148="","",COUNTIF($S$6:$S148,"?*"))</f>
        <v/>
      </c>
    </row>
    <row r="149" customFormat="false" ht="15" hidden="false" customHeight="false" outlineLevel="0" collapsed="false">
      <c r="A149" s="17" t="n">
        <v>144</v>
      </c>
      <c r="B149" s="21"/>
      <c r="C149" s="21"/>
      <c r="D149" s="21"/>
      <c r="E149" s="21"/>
      <c r="F149" s="21"/>
      <c r="G149" s="21"/>
      <c r="H149" s="21"/>
      <c r="I149" s="21"/>
      <c r="J149" s="20" t="str">
        <f aca="false">IF($F149="","",SUMIFS(SeatApproved,SeatUnit,$D149,SeatTitle,$F149))</f>
        <v/>
      </c>
      <c r="K149" s="20" t="str">
        <f aca="false">IF($F149="","",SUM($L149:$O149))</f>
        <v/>
      </c>
      <c r="L149" s="22"/>
      <c r="M149" s="22"/>
      <c r="N149" s="22"/>
      <c r="O149" s="22"/>
      <c r="P149" s="18" t="str">
        <f aca="false">IF($Q149="","",IFERROR(INDEX(DriverCategory,MATCH($Q149,DriverList,0)),"?"))</f>
        <v/>
      </c>
      <c r="Q149" s="21"/>
      <c r="R149" s="21"/>
      <c r="S149" s="23" t="str">
        <f aca="false">IF(COUNTA($B149:$H149)+COUNTA($L149:$O149)=0,"",MID(IF($B149="",", division","")&amp;IF($D149="",", unit","")&amp;IF($F149="",", job title","")&amp;IF($G149="",", career level","")&amp;IF($H149="",", job family","")&amp;IF($I149="",", worker type","")&amp;IF(N($K149)&lt;=0,", the quarter split","")&amp;IF($Q149="",", driver","")&amp;IF($R149="",", alternatives","")&amp;IF(AND($D149&lt;&gt;"",COUNTIF(UnitList,$D149)=0),", a unit that is not in your structure",""),3,300))</f>
        <v/>
      </c>
      <c r="T149" s="17" t="str">
        <f aca="false">IF($S149="","",COUNTIF($S$6:$S149,"?*"))</f>
        <v/>
      </c>
    </row>
    <row r="150" customFormat="false" ht="15" hidden="false" customHeight="false" outlineLevel="0" collapsed="false">
      <c r="A150" s="17" t="n">
        <v>145</v>
      </c>
      <c r="B150" s="21"/>
      <c r="C150" s="21"/>
      <c r="D150" s="21"/>
      <c r="E150" s="21"/>
      <c r="F150" s="21"/>
      <c r="G150" s="21"/>
      <c r="H150" s="21"/>
      <c r="I150" s="21"/>
      <c r="J150" s="20" t="str">
        <f aca="false">IF($F150="","",SUMIFS(SeatApproved,SeatUnit,$D150,SeatTitle,$F150))</f>
        <v/>
      </c>
      <c r="K150" s="20" t="str">
        <f aca="false">IF($F150="","",SUM($L150:$O150))</f>
        <v/>
      </c>
      <c r="L150" s="22"/>
      <c r="M150" s="22"/>
      <c r="N150" s="22"/>
      <c r="O150" s="22"/>
      <c r="P150" s="18" t="str">
        <f aca="false">IF($Q150="","",IFERROR(INDEX(DriverCategory,MATCH($Q150,DriverList,0)),"?"))</f>
        <v/>
      </c>
      <c r="Q150" s="21"/>
      <c r="R150" s="21"/>
      <c r="S150" s="23" t="str">
        <f aca="false">IF(COUNTA($B150:$H150)+COUNTA($L150:$O150)=0,"",MID(IF($B150="",", division","")&amp;IF($D150="",", unit","")&amp;IF($F150="",", job title","")&amp;IF($G150="",", career level","")&amp;IF($H150="",", job family","")&amp;IF($I150="",", worker type","")&amp;IF(N($K150)&lt;=0,", the quarter split","")&amp;IF($Q150="",", driver","")&amp;IF($R150="",", alternatives","")&amp;IF(AND($D150&lt;&gt;"",COUNTIF(UnitList,$D150)=0),", a unit that is not in your structure",""),3,300))</f>
        <v/>
      </c>
      <c r="T150" s="17" t="str">
        <f aca="false">IF($S150="","",COUNTIF($S$6:$S150,"?*"))</f>
        <v/>
      </c>
    </row>
    <row r="151" customFormat="false" ht="15" hidden="false" customHeight="false" outlineLevel="0" collapsed="false">
      <c r="A151" s="17" t="n">
        <v>146</v>
      </c>
      <c r="B151" s="21"/>
      <c r="C151" s="21"/>
      <c r="D151" s="21"/>
      <c r="E151" s="21"/>
      <c r="F151" s="21"/>
      <c r="G151" s="21"/>
      <c r="H151" s="21"/>
      <c r="I151" s="21"/>
      <c r="J151" s="20" t="str">
        <f aca="false">IF($F151="","",SUMIFS(SeatApproved,SeatUnit,$D151,SeatTitle,$F151))</f>
        <v/>
      </c>
      <c r="K151" s="20" t="str">
        <f aca="false">IF($F151="","",SUM($L151:$O151))</f>
        <v/>
      </c>
      <c r="L151" s="22"/>
      <c r="M151" s="22"/>
      <c r="N151" s="22"/>
      <c r="O151" s="22"/>
      <c r="P151" s="18" t="str">
        <f aca="false">IF($Q151="","",IFERROR(INDEX(DriverCategory,MATCH($Q151,DriverList,0)),"?"))</f>
        <v/>
      </c>
      <c r="Q151" s="21"/>
      <c r="R151" s="21"/>
      <c r="S151" s="23" t="str">
        <f aca="false">IF(COUNTA($B151:$H151)+COUNTA($L151:$O151)=0,"",MID(IF($B151="",", division","")&amp;IF($D151="",", unit","")&amp;IF($F151="",", job title","")&amp;IF($G151="",", career level","")&amp;IF($H151="",", job family","")&amp;IF($I151="",", worker type","")&amp;IF(N($K151)&lt;=0,", the quarter split","")&amp;IF($Q151="",", driver","")&amp;IF($R151="",", alternatives","")&amp;IF(AND($D151&lt;&gt;"",COUNTIF(UnitList,$D151)=0),", a unit that is not in your structure",""),3,300))</f>
        <v/>
      </c>
      <c r="T151" s="17" t="str">
        <f aca="false">IF($S151="","",COUNTIF($S$6:$S151,"?*"))</f>
        <v/>
      </c>
    </row>
    <row r="152" customFormat="false" ht="15" hidden="false" customHeight="false" outlineLevel="0" collapsed="false">
      <c r="A152" s="17" t="n">
        <v>147</v>
      </c>
      <c r="B152" s="21"/>
      <c r="C152" s="21"/>
      <c r="D152" s="21"/>
      <c r="E152" s="21"/>
      <c r="F152" s="21"/>
      <c r="G152" s="21"/>
      <c r="H152" s="21"/>
      <c r="I152" s="21"/>
      <c r="J152" s="20" t="str">
        <f aca="false">IF($F152="","",SUMIFS(SeatApproved,SeatUnit,$D152,SeatTitle,$F152))</f>
        <v/>
      </c>
      <c r="K152" s="20" t="str">
        <f aca="false">IF($F152="","",SUM($L152:$O152))</f>
        <v/>
      </c>
      <c r="L152" s="22"/>
      <c r="M152" s="22"/>
      <c r="N152" s="22"/>
      <c r="O152" s="22"/>
      <c r="P152" s="18" t="str">
        <f aca="false">IF($Q152="","",IFERROR(INDEX(DriverCategory,MATCH($Q152,DriverList,0)),"?"))</f>
        <v/>
      </c>
      <c r="Q152" s="21"/>
      <c r="R152" s="21"/>
      <c r="S152" s="23" t="str">
        <f aca="false">IF(COUNTA($B152:$H152)+COUNTA($L152:$O152)=0,"",MID(IF($B152="",", division","")&amp;IF($D152="",", unit","")&amp;IF($F152="",", job title","")&amp;IF($G152="",", career level","")&amp;IF($H152="",", job family","")&amp;IF($I152="",", worker type","")&amp;IF(N($K152)&lt;=0,", the quarter split","")&amp;IF($Q152="",", driver","")&amp;IF($R152="",", alternatives","")&amp;IF(AND($D152&lt;&gt;"",COUNTIF(UnitList,$D152)=0),", a unit that is not in your structure",""),3,300))</f>
        <v/>
      </c>
      <c r="T152" s="17" t="str">
        <f aca="false">IF($S152="","",COUNTIF($S$6:$S152,"?*"))</f>
        <v/>
      </c>
    </row>
    <row r="153" customFormat="false" ht="15" hidden="false" customHeight="false" outlineLevel="0" collapsed="false">
      <c r="A153" s="17" t="n">
        <v>148</v>
      </c>
      <c r="B153" s="21"/>
      <c r="C153" s="21"/>
      <c r="D153" s="21"/>
      <c r="E153" s="21"/>
      <c r="F153" s="21"/>
      <c r="G153" s="21"/>
      <c r="H153" s="21"/>
      <c r="I153" s="21"/>
      <c r="J153" s="20" t="str">
        <f aca="false">IF($F153="","",SUMIFS(SeatApproved,SeatUnit,$D153,SeatTitle,$F153))</f>
        <v/>
      </c>
      <c r="K153" s="20" t="str">
        <f aca="false">IF($F153="","",SUM($L153:$O153))</f>
        <v/>
      </c>
      <c r="L153" s="22"/>
      <c r="M153" s="22"/>
      <c r="N153" s="22"/>
      <c r="O153" s="22"/>
      <c r="P153" s="18" t="str">
        <f aca="false">IF($Q153="","",IFERROR(INDEX(DriverCategory,MATCH($Q153,DriverList,0)),"?"))</f>
        <v/>
      </c>
      <c r="Q153" s="21"/>
      <c r="R153" s="21"/>
      <c r="S153" s="23" t="str">
        <f aca="false">IF(COUNTA($B153:$H153)+COUNTA($L153:$O153)=0,"",MID(IF($B153="",", division","")&amp;IF($D153="",", unit","")&amp;IF($F153="",", job title","")&amp;IF($G153="",", career level","")&amp;IF($H153="",", job family","")&amp;IF($I153="",", worker type","")&amp;IF(N($K153)&lt;=0,", the quarter split","")&amp;IF($Q153="",", driver","")&amp;IF($R153="",", alternatives","")&amp;IF(AND($D153&lt;&gt;"",COUNTIF(UnitList,$D153)=0),", a unit that is not in your structure",""),3,300))</f>
        <v/>
      </c>
      <c r="T153" s="17" t="str">
        <f aca="false">IF($S153="","",COUNTIF($S$6:$S153,"?*"))</f>
        <v/>
      </c>
    </row>
    <row r="154" customFormat="false" ht="15" hidden="false" customHeight="false" outlineLevel="0" collapsed="false">
      <c r="A154" s="17" t="n">
        <v>149</v>
      </c>
      <c r="B154" s="21"/>
      <c r="C154" s="21"/>
      <c r="D154" s="21"/>
      <c r="E154" s="21"/>
      <c r="F154" s="21"/>
      <c r="G154" s="21"/>
      <c r="H154" s="21"/>
      <c r="I154" s="21"/>
      <c r="J154" s="20" t="str">
        <f aca="false">IF($F154="","",SUMIFS(SeatApproved,SeatUnit,$D154,SeatTitle,$F154))</f>
        <v/>
      </c>
      <c r="K154" s="20" t="str">
        <f aca="false">IF($F154="","",SUM($L154:$O154))</f>
        <v/>
      </c>
      <c r="L154" s="22"/>
      <c r="M154" s="22"/>
      <c r="N154" s="22"/>
      <c r="O154" s="22"/>
      <c r="P154" s="18" t="str">
        <f aca="false">IF($Q154="","",IFERROR(INDEX(DriverCategory,MATCH($Q154,DriverList,0)),"?"))</f>
        <v/>
      </c>
      <c r="Q154" s="21"/>
      <c r="R154" s="21"/>
      <c r="S154" s="23" t="str">
        <f aca="false">IF(COUNTA($B154:$H154)+COUNTA($L154:$O154)=0,"",MID(IF($B154="",", division","")&amp;IF($D154="",", unit","")&amp;IF($F154="",", job title","")&amp;IF($G154="",", career level","")&amp;IF($H154="",", job family","")&amp;IF($I154="",", worker type","")&amp;IF(N($K154)&lt;=0,", the quarter split","")&amp;IF($Q154="",", driver","")&amp;IF($R154="",", alternatives","")&amp;IF(AND($D154&lt;&gt;"",COUNTIF(UnitList,$D154)=0),", a unit that is not in your structure",""),3,300))</f>
        <v/>
      </c>
      <c r="T154" s="17" t="str">
        <f aca="false">IF($S154="","",COUNTIF($S$6:$S154,"?*"))</f>
        <v/>
      </c>
    </row>
    <row r="155" customFormat="false" ht="15" hidden="false" customHeight="false" outlineLevel="0" collapsed="false">
      <c r="A155" s="17" t="n">
        <v>150</v>
      </c>
      <c r="B155" s="21"/>
      <c r="C155" s="21"/>
      <c r="D155" s="21"/>
      <c r="E155" s="21"/>
      <c r="F155" s="21"/>
      <c r="G155" s="21"/>
      <c r="H155" s="21"/>
      <c r="I155" s="21"/>
      <c r="J155" s="20" t="str">
        <f aca="false">IF($F155="","",SUMIFS(SeatApproved,SeatUnit,$D155,SeatTitle,$F155))</f>
        <v/>
      </c>
      <c r="K155" s="20" t="str">
        <f aca="false">IF($F155="","",SUM($L155:$O155))</f>
        <v/>
      </c>
      <c r="L155" s="22"/>
      <c r="M155" s="22"/>
      <c r="N155" s="22"/>
      <c r="O155" s="22"/>
      <c r="P155" s="18" t="str">
        <f aca="false">IF($Q155="","",IFERROR(INDEX(DriverCategory,MATCH($Q155,DriverList,0)),"?"))</f>
        <v/>
      </c>
      <c r="Q155" s="21"/>
      <c r="R155" s="21"/>
      <c r="S155" s="23" t="str">
        <f aca="false">IF(COUNTA($B155:$H155)+COUNTA($L155:$O155)=0,"",MID(IF($B155="",", division","")&amp;IF($D155="",", unit","")&amp;IF($F155="",", job title","")&amp;IF($G155="",", career level","")&amp;IF($H155="",", job family","")&amp;IF($I155="",", worker type","")&amp;IF(N($K155)&lt;=0,", the quarter split","")&amp;IF($Q155="",", driver","")&amp;IF($R155="",", alternatives","")&amp;IF(AND($D155&lt;&gt;"",COUNTIF(UnitList,$D155)=0),", a unit that is not in your structure",""),3,300))</f>
        <v/>
      </c>
      <c r="T155" s="17" t="str">
        <f aca="false">IF($S155="","",COUNTIF($S$6:$S155,"?*"))</f>
        <v/>
      </c>
    </row>
    <row r="156" customFormat="false" ht="15" hidden="false" customHeight="false" outlineLevel="0" collapsed="false">
      <c r="A156" s="17" t="n">
        <v>151</v>
      </c>
      <c r="B156" s="21"/>
      <c r="C156" s="21"/>
      <c r="D156" s="21"/>
      <c r="E156" s="21"/>
      <c r="F156" s="21"/>
      <c r="G156" s="21"/>
      <c r="H156" s="21"/>
      <c r="I156" s="21"/>
      <c r="J156" s="20" t="str">
        <f aca="false">IF($F156="","",SUMIFS(SeatApproved,SeatUnit,$D156,SeatTitle,$F156))</f>
        <v/>
      </c>
      <c r="K156" s="20" t="str">
        <f aca="false">IF($F156="","",SUM($L156:$O156))</f>
        <v/>
      </c>
      <c r="L156" s="22"/>
      <c r="M156" s="22"/>
      <c r="N156" s="22"/>
      <c r="O156" s="22"/>
      <c r="P156" s="18" t="str">
        <f aca="false">IF($Q156="","",IFERROR(INDEX(DriverCategory,MATCH($Q156,DriverList,0)),"?"))</f>
        <v/>
      </c>
      <c r="Q156" s="21"/>
      <c r="R156" s="21"/>
      <c r="S156" s="23" t="str">
        <f aca="false">IF(COUNTA($B156:$H156)+COUNTA($L156:$O156)=0,"",MID(IF($B156="",", division","")&amp;IF($D156="",", unit","")&amp;IF($F156="",", job title","")&amp;IF($G156="",", career level","")&amp;IF($H156="",", job family","")&amp;IF($I156="",", worker type","")&amp;IF(N($K156)&lt;=0,", the quarter split","")&amp;IF($Q156="",", driver","")&amp;IF($R156="",", alternatives","")&amp;IF(AND($D156&lt;&gt;"",COUNTIF(UnitList,$D156)=0),", a unit that is not in your structure",""),3,300))</f>
        <v/>
      </c>
      <c r="T156" s="17" t="str">
        <f aca="false">IF($S156="","",COUNTIF($S$6:$S156,"?*"))</f>
        <v/>
      </c>
    </row>
    <row r="157" customFormat="false" ht="15" hidden="false" customHeight="false" outlineLevel="0" collapsed="false">
      <c r="A157" s="17" t="n">
        <v>152</v>
      </c>
      <c r="B157" s="21"/>
      <c r="C157" s="21"/>
      <c r="D157" s="21"/>
      <c r="E157" s="21"/>
      <c r="F157" s="21"/>
      <c r="G157" s="21"/>
      <c r="H157" s="21"/>
      <c r="I157" s="21"/>
      <c r="J157" s="20" t="str">
        <f aca="false">IF($F157="","",SUMIFS(SeatApproved,SeatUnit,$D157,SeatTitle,$F157))</f>
        <v/>
      </c>
      <c r="K157" s="20" t="str">
        <f aca="false">IF($F157="","",SUM($L157:$O157))</f>
        <v/>
      </c>
      <c r="L157" s="22"/>
      <c r="M157" s="22"/>
      <c r="N157" s="22"/>
      <c r="O157" s="22"/>
      <c r="P157" s="18" t="str">
        <f aca="false">IF($Q157="","",IFERROR(INDEX(DriverCategory,MATCH($Q157,DriverList,0)),"?"))</f>
        <v/>
      </c>
      <c r="Q157" s="21"/>
      <c r="R157" s="21"/>
      <c r="S157" s="23" t="str">
        <f aca="false">IF(COUNTA($B157:$H157)+COUNTA($L157:$O157)=0,"",MID(IF($B157="",", division","")&amp;IF($D157="",", unit","")&amp;IF($F157="",", job title","")&amp;IF($G157="",", career level","")&amp;IF($H157="",", job family","")&amp;IF($I157="",", worker type","")&amp;IF(N($K157)&lt;=0,", the quarter split","")&amp;IF($Q157="",", driver","")&amp;IF($R157="",", alternatives","")&amp;IF(AND($D157&lt;&gt;"",COUNTIF(UnitList,$D157)=0),", a unit that is not in your structure",""),3,300))</f>
        <v/>
      </c>
      <c r="T157" s="17" t="str">
        <f aca="false">IF($S157="","",COUNTIF($S$6:$S157,"?*"))</f>
        <v/>
      </c>
    </row>
    <row r="158" customFormat="false" ht="15" hidden="false" customHeight="false" outlineLevel="0" collapsed="false">
      <c r="A158" s="17" t="n">
        <v>153</v>
      </c>
      <c r="B158" s="21"/>
      <c r="C158" s="21"/>
      <c r="D158" s="21"/>
      <c r="E158" s="21"/>
      <c r="F158" s="21"/>
      <c r="G158" s="21"/>
      <c r="H158" s="21"/>
      <c r="I158" s="21"/>
      <c r="J158" s="20" t="str">
        <f aca="false">IF($F158="","",SUMIFS(SeatApproved,SeatUnit,$D158,SeatTitle,$F158))</f>
        <v/>
      </c>
      <c r="K158" s="20" t="str">
        <f aca="false">IF($F158="","",SUM($L158:$O158))</f>
        <v/>
      </c>
      <c r="L158" s="22"/>
      <c r="M158" s="22"/>
      <c r="N158" s="22"/>
      <c r="O158" s="22"/>
      <c r="P158" s="18" t="str">
        <f aca="false">IF($Q158="","",IFERROR(INDEX(DriverCategory,MATCH($Q158,DriverList,0)),"?"))</f>
        <v/>
      </c>
      <c r="Q158" s="21"/>
      <c r="R158" s="21"/>
      <c r="S158" s="23" t="str">
        <f aca="false">IF(COUNTA($B158:$H158)+COUNTA($L158:$O158)=0,"",MID(IF($B158="",", division","")&amp;IF($D158="",", unit","")&amp;IF($F158="",", job title","")&amp;IF($G158="",", career level","")&amp;IF($H158="",", job family","")&amp;IF($I158="",", worker type","")&amp;IF(N($K158)&lt;=0,", the quarter split","")&amp;IF($Q158="",", driver","")&amp;IF($R158="",", alternatives","")&amp;IF(AND($D158&lt;&gt;"",COUNTIF(UnitList,$D158)=0),", a unit that is not in your structure",""),3,300))</f>
        <v/>
      </c>
      <c r="T158" s="17" t="str">
        <f aca="false">IF($S158="","",COUNTIF($S$6:$S158,"?*"))</f>
        <v/>
      </c>
    </row>
    <row r="159" customFormat="false" ht="15" hidden="false" customHeight="false" outlineLevel="0" collapsed="false">
      <c r="A159" s="17" t="n">
        <v>154</v>
      </c>
      <c r="B159" s="21"/>
      <c r="C159" s="21"/>
      <c r="D159" s="21"/>
      <c r="E159" s="21"/>
      <c r="F159" s="21"/>
      <c r="G159" s="21"/>
      <c r="H159" s="21"/>
      <c r="I159" s="21"/>
      <c r="J159" s="20" t="str">
        <f aca="false">IF($F159="","",SUMIFS(SeatApproved,SeatUnit,$D159,SeatTitle,$F159))</f>
        <v/>
      </c>
      <c r="K159" s="20" t="str">
        <f aca="false">IF($F159="","",SUM($L159:$O159))</f>
        <v/>
      </c>
      <c r="L159" s="22"/>
      <c r="M159" s="22"/>
      <c r="N159" s="22"/>
      <c r="O159" s="22"/>
      <c r="P159" s="18" t="str">
        <f aca="false">IF($Q159="","",IFERROR(INDEX(DriverCategory,MATCH($Q159,DriverList,0)),"?"))</f>
        <v/>
      </c>
      <c r="Q159" s="21"/>
      <c r="R159" s="21"/>
      <c r="S159" s="23" t="str">
        <f aca="false">IF(COUNTA($B159:$H159)+COUNTA($L159:$O159)=0,"",MID(IF($B159="",", division","")&amp;IF($D159="",", unit","")&amp;IF($F159="",", job title","")&amp;IF($G159="",", career level","")&amp;IF($H159="",", job family","")&amp;IF($I159="",", worker type","")&amp;IF(N($K159)&lt;=0,", the quarter split","")&amp;IF($Q159="",", driver","")&amp;IF($R159="",", alternatives","")&amp;IF(AND($D159&lt;&gt;"",COUNTIF(UnitList,$D159)=0),", a unit that is not in your structure",""),3,300))</f>
        <v/>
      </c>
      <c r="T159" s="17" t="str">
        <f aca="false">IF($S159="","",COUNTIF($S$6:$S159,"?*"))</f>
        <v/>
      </c>
    </row>
    <row r="160" customFormat="false" ht="15" hidden="false" customHeight="false" outlineLevel="0" collapsed="false">
      <c r="A160" s="17" t="n">
        <v>155</v>
      </c>
      <c r="B160" s="21"/>
      <c r="C160" s="21"/>
      <c r="D160" s="21"/>
      <c r="E160" s="21"/>
      <c r="F160" s="21"/>
      <c r="G160" s="21"/>
      <c r="H160" s="21"/>
      <c r="I160" s="21"/>
      <c r="J160" s="20" t="str">
        <f aca="false">IF($F160="","",SUMIFS(SeatApproved,SeatUnit,$D160,SeatTitle,$F160))</f>
        <v/>
      </c>
      <c r="K160" s="20" t="str">
        <f aca="false">IF($F160="","",SUM($L160:$O160))</f>
        <v/>
      </c>
      <c r="L160" s="22"/>
      <c r="M160" s="22"/>
      <c r="N160" s="22"/>
      <c r="O160" s="22"/>
      <c r="P160" s="18" t="str">
        <f aca="false">IF($Q160="","",IFERROR(INDEX(DriverCategory,MATCH($Q160,DriverList,0)),"?"))</f>
        <v/>
      </c>
      <c r="Q160" s="21"/>
      <c r="R160" s="21"/>
      <c r="S160" s="23" t="str">
        <f aca="false">IF(COUNTA($B160:$H160)+COUNTA($L160:$O160)=0,"",MID(IF($B160="",", division","")&amp;IF($D160="",", unit","")&amp;IF($F160="",", job title","")&amp;IF($G160="",", career level","")&amp;IF($H160="",", job family","")&amp;IF($I160="",", worker type","")&amp;IF(N($K160)&lt;=0,", the quarter split","")&amp;IF($Q160="",", driver","")&amp;IF($R160="",", alternatives","")&amp;IF(AND($D160&lt;&gt;"",COUNTIF(UnitList,$D160)=0),", a unit that is not in your structure",""),3,300))</f>
        <v/>
      </c>
      <c r="T160" s="17" t="str">
        <f aca="false">IF($S160="","",COUNTIF($S$6:$S160,"?*"))</f>
        <v/>
      </c>
    </row>
    <row r="161" customFormat="false" ht="15" hidden="false" customHeight="false" outlineLevel="0" collapsed="false">
      <c r="A161" s="17" t="n">
        <v>156</v>
      </c>
      <c r="B161" s="21"/>
      <c r="C161" s="21"/>
      <c r="D161" s="21"/>
      <c r="E161" s="21"/>
      <c r="F161" s="21"/>
      <c r="G161" s="21"/>
      <c r="H161" s="21"/>
      <c r="I161" s="21"/>
      <c r="J161" s="20" t="str">
        <f aca="false">IF($F161="","",SUMIFS(SeatApproved,SeatUnit,$D161,SeatTitle,$F161))</f>
        <v/>
      </c>
      <c r="K161" s="20" t="str">
        <f aca="false">IF($F161="","",SUM($L161:$O161))</f>
        <v/>
      </c>
      <c r="L161" s="22"/>
      <c r="M161" s="22"/>
      <c r="N161" s="22"/>
      <c r="O161" s="22"/>
      <c r="P161" s="18" t="str">
        <f aca="false">IF($Q161="","",IFERROR(INDEX(DriverCategory,MATCH($Q161,DriverList,0)),"?"))</f>
        <v/>
      </c>
      <c r="Q161" s="21"/>
      <c r="R161" s="21"/>
      <c r="S161" s="23" t="str">
        <f aca="false">IF(COUNTA($B161:$H161)+COUNTA($L161:$O161)=0,"",MID(IF($B161="",", division","")&amp;IF($D161="",", unit","")&amp;IF($F161="",", job title","")&amp;IF($G161="",", career level","")&amp;IF($H161="",", job family","")&amp;IF($I161="",", worker type","")&amp;IF(N($K161)&lt;=0,", the quarter split","")&amp;IF($Q161="",", driver","")&amp;IF($R161="",", alternatives","")&amp;IF(AND($D161&lt;&gt;"",COUNTIF(UnitList,$D161)=0),", a unit that is not in your structure",""),3,300))</f>
        <v/>
      </c>
      <c r="T161" s="17" t="str">
        <f aca="false">IF($S161="","",COUNTIF($S$6:$S161,"?*"))</f>
        <v/>
      </c>
    </row>
    <row r="162" customFormat="false" ht="15" hidden="false" customHeight="false" outlineLevel="0" collapsed="false">
      <c r="A162" s="17" t="n">
        <v>157</v>
      </c>
      <c r="B162" s="21"/>
      <c r="C162" s="21"/>
      <c r="D162" s="21"/>
      <c r="E162" s="21"/>
      <c r="F162" s="21"/>
      <c r="G162" s="21"/>
      <c r="H162" s="21"/>
      <c r="I162" s="21"/>
      <c r="J162" s="20" t="str">
        <f aca="false">IF($F162="","",SUMIFS(SeatApproved,SeatUnit,$D162,SeatTitle,$F162))</f>
        <v/>
      </c>
      <c r="K162" s="20" t="str">
        <f aca="false">IF($F162="","",SUM($L162:$O162))</f>
        <v/>
      </c>
      <c r="L162" s="22"/>
      <c r="M162" s="22"/>
      <c r="N162" s="22"/>
      <c r="O162" s="22"/>
      <c r="P162" s="18" t="str">
        <f aca="false">IF($Q162="","",IFERROR(INDEX(DriverCategory,MATCH($Q162,DriverList,0)),"?"))</f>
        <v/>
      </c>
      <c r="Q162" s="21"/>
      <c r="R162" s="21"/>
      <c r="S162" s="23" t="str">
        <f aca="false">IF(COUNTA($B162:$H162)+COUNTA($L162:$O162)=0,"",MID(IF($B162="",", division","")&amp;IF($D162="",", unit","")&amp;IF($F162="",", job title","")&amp;IF($G162="",", career level","")&amp;IF($H162="",", job family","")&amp;IF($I162="",", worker type","")&amp;IF(N($K162)&lt;=0,", the quarter split","")&amp;IF($Q162="",", driver","")&amp;IF($R162="",", alternatives","")&amp;IF(AND($D162&lt;&gt;"",COUNTIF(UnitList,$D162)=0),", a unit that is not in your structure",""),3,300))</f>
        <v/>
      </c>
      <c r="T162" s="17" t="str">
        <f aca="false">IF($S162="","",COUNTIF($S$6:$S162,"?*"))</f>
        <v/>
      </c>
    </row>
    <row r="163" customFormat="false" ht="15" hidden="false" customHeight="false" outlineLevel="0" collapsed="false">
      <c r="A163" s="17" t="n">
        <v>158</v>
      </c>
      <c r="B163" s="21"/>
      <c r="C163" s="21"/>
      <c r="D163" s="21"/>
      <c r="E163" s="21"/>
      <c r="F163" s="21"/>
      <c r="G163" s="21"/>
      <c r="H163" s="21"/>
      <c r="I163" s="21"/>
      <c r="J163" s="20" t="str">
        <f aca="false">IF($F163="","",SUMIFS(SeatApproved,SeatUnit,$D163,SeatTitle,$F163))</f>
        <v/>
      </c>
      <c r="K163" s="20" t="str">
        <f aca="false">IF($F163="","",SUM($L163:$O163))</f>
        <v/>
      </c>
      <c r="L163" s="22"/>
      <c r="M163" s="22"/>
      <c r="N163" s="22"/>
      <c r="O163" s="22"/>
      <c r="P163" s="18" t="str">
        <f aca="false">IF($Q163="","",IFERROR(INDEX(DriverCategory,MATCH($Q163,DriverList,0)),"?"))</f>
        <v/>
      </c>
      <c r="Q163" s="21"/>
      <c r="R163" s="21"/>
      <c r="S163" s="23" t="str">
        <f aca="false">IF(COUNTA($B163:$H163)+COUNTA($L163:$O163)=0,"",MID(IF($B163="",", division","")&amp;IF($D163="",", unit","")&amp;IF($F163="",", job title","")&amp;IF($G163="",", career level","")&amp;IF($H163="",", job family","")&amp;IF($I163="",", worker type","")&amp;IF(N($K163)&lt;=0,", the quarter split","")&amp;IF($Q163="",", driver","")&amp;IF($R163="",", alternatives","")&amp;IF(AND($D163&lt;&gt;"",COUNTIF(UnitList,$D163)=0),", a unit that is not in your structure",""),3,300))</f>
        <v/>
      </c>
      <c r="T163" s="17" t="str">
        <f aca="false">IF($S163="","",COUNTIF($S$6:$S163,"?*"))</f>
        <v/>
      </c>
    </row>
    <row r="164" customFormat="false" ht="15" hidden="false" customHeight="false" outlineLevel="0" collapsed="false">
      <c r="A164" s="17" t="n">
        <v>159</v>
      </c>
      <c r="B164" s="21"/>
      <c r="C164" s="21"/>
      <c r="D164" s="21"/>
      <c r="E164" s="21"/>
      <c r="F164" s="21"/>
      <c r="G164" s="21"/>
      <c r="H164" s="21"/>
      <c r="I164" s="21"/>
      <c r="J164" s="20" t="str">
        <f aca="false">IF($F164="","",SUMIFS(SeatApproved,SeatUnit,$D164,SeatTitle,$F164))</f>
        <v/>
      </c>
      <c r="K164" s="20" t="str">
        <f aca="false">IF($F164="","",SUM($L164:$O164))</f>
        <v/>
      </c>
      <c r="L164" s="22"/>
      <c r="M164" s="22"/>
      <c r="N164" s="22"/>
      <c r="O164" s="22"/>
      <c r="P164" s="18" t="str">
        <f aca="false">IF($Q164="","",IFERROR(INDEX(DriverCategory,MATCH($Q164,DriverList,0)),"?"))</f>
        <v/>
      </c>
      <c r="Q164" s="21"/>
      <c r="R164" s="21"/>
      <c r="S164" s="23" t="str">
        <f aca="false">IF(COUNTA($B164:$H164)+COUNTA($L164:$O164)=0,"",MID(IF($B164="",", division","")&amp;IF($D164="",", unit","")&amp;IF($F164="",", job title","")&amp;IF($G164="",", career level","")&amp;IF($H164="",", job family","")&amp;IF($I164="",", worker type","")&amp;IF(N($K164)&lt;=0,", the quarter split","")&amp;IF($Q164="",", driver","")&amp;IF($R164="",", alternatives","")&amp;IF(AND($D164&lt;&gt;"",COUNTIF(UnitList,$D164)=0),", a unit that is not in your structure",""),3,300))</f>
        <v/>
      </c>
      <c r="T164" s="17" t="str">
        <f aca="false">IF($S164="","",COUNTIF($S$6:$S164,"?*"))</f>
        <v/>
      </c>
    </row>
    <row r="165" customFormat="false" ht="15" hidden="false" customHeight="false" outlineLevel="0" collapsed="false">
      <c r="A165" s="17" t="n">
        <v>160</v>
      </c>
      <c r="B165" s="21"/>
      <c r="C165" s="21"/>
      <c r="D165" s="21"/>
      <c r="E165" s="21"/>
      <c r="F165" s="21"/>
      <c r="G165" s="21"/>
      <c r="H165" s="21"/>
      <c r="I165" s="21"/>
      <c r="J165" s="20" t="str">
        <f aca="false">IF($F165="","",SUMIFS(SeatApproved,SeatUnit,$D165,SeatTitle,$F165))</f>
        <v/>
      </c>
      <c r="K165" s="20" t="str">
        <f aca="false">IF($F165="","",SUM($L165:$O165))</f>
        <v/>
      </c>
      <c r="L165" s="22"/>
      <c r="M165" s="22"/>
      <c r="N165" s="22"/>
      <c r="O165" s="22"/>
      <c r="P165" s="18" t="str">
        <f aca="false">IF($Q165="","",IFERROR(INDEX(DriverCategory,MATCH($Q165,DriverList,0)),"?"))</f>
        <v/>
      </c>
      <c r="Q165" s="21"/>
      <c r="R165" s="21"/>
      <c r="S165" s="23" t="str">
        <f aca="false">IF(COUNTA($B165:$H165)+COUNTA($L165:$O165)=0,"",MID(IF($B165="",", division","")&amp;IF($D165="",", unit","")&amp;IF($F165="",", job title","")&amp;IF($G165="",", career level","")&amp;IF($H165="",", job family","")&amp;IF($I165="",", worker type","")&amp;IF(N($K165)&lt;=0,", the quarter split","")&amp;IF($Q165="",", driver","")&amp;IF($R165="",", alternatives","")&amp;IF(AND($D165&lt;&gt;"",COUNTIF(UnitList,$D165)=0),", a unit that is not in your structure",""),3,300))</f>
        <v/>
      </c>
      <c r="T165" s="17" t="str">
        <f aca="false">IF($S165="","",COUNTIF($S$6:$S165,"?*"))</f>
        <v/>
      </c>
    </row>
    <row r="166" customFormat="false" ht="15" hidden="false" customHeight="false" outlineLevel="0" collapsed="false">
      <c r="A166" s="17" t="n">
        <v>161</v>
      </c>
      <c r="B166" s="21"/>
      <c r="C166" s="21"/>
      <c r="D166" s="21"/>
      <c r="E166" s="21"/>
      <c r="F166" s="21"/>
      <c r="G166" s="21"/>
      <c r="H166" s="21"/>
      <c r="I166" s="21"/>
      <c r="J166" s="20" t="str">
        <f aca="false">IF($F166="","",SUMIFS(SeatApproved,SeatUnit,$D166,SeatTitle,$F166))</f>
        <v/>
      </c>
      <c r="K166" s="20" t="str">
        <f aca="false">IF($F166="","",SUM($L166:$O166))</f>
        <v/>
      </c>
      <c r="L166" s="22"/>
      <c r="M166" s="22"/>
      <c r="N166" s="22"/>
      <c r="O166" s="22"/>
      <c r="P166" s="18" t="str">
        <f aca="false">IF($Q166="","",IFERROR(INDEX(DriverCategory,MATCH($Q166,DriverList,0)),"?"))</f>
        <v/>
      </c>
      <c r="Q166" s="21"/>
      <c r="R166" s="21"/>
      <c r="S166" s="23" t="str">
        <f aca="false">IF(COUNTA($B166:$H166)+COUNTA($L166:$O166)=0,"",MID(IF($B166="",", division","")&amp;IF($D166="",", unit","")&amp;IF($F166="",", job title","")&amp;IF($G166="",", career level","")&amp;IF($H166="",", job family","")&amp;IF($I166="",", worker type","")&amp;IF(N($K166)&lt;=0,", the quarter split","")&amp;IF($Q166="",", driver","")&amp;IF($R166="",", alternatives","")&amp;IF(AND($D166&lt;&gt;"",COUNTIF(UnitList,$D166)=0),", a unit that is not in your structure",""),3,300))</f>
        <v/>
      </c>
      <c r="T166" s="17" t="str">
        <f aca="false">IF($S166="","",COUNTIF($S$6:$S166,"?*"))</f>
        <v/>
      </c>
    </row>
    <row r="167" customFormat="false" ht="15" hidden="false" customHeight="false" outlineLevel="0" collapsed="false">
      <c r="A167" s="17" t="n">
        <v>162</v>
      </c>
      <c r="B167" s="21"/>
      <c r="C167" s="21"/>
      <c r="D167" s="21"/>
      <c r="E167" s="21"/>
      <c r="F167" s="21"/>
      <c r="G167" s="21"/>
      <c r="H167" s="21"/>
      <c r="I167" s="21"/>
      <c r="J167" s="20" t="str">
        <f aca="false">IF($F167="","",SUMIFS(SeatApproved,SeatUnit,$D167,SeatTitle,$F167))</f>
        <v/>
      </c>
      <c r="K167" s="20" t="str">
        <f aca="false">IF($F167="","",SUM($L167:$O167))</f>
        <v/>
      </c>
      <c r="L167" s="22"/>
      <c r="M167" s="22"/>
      <c r="N167" s="22"/>
      <c r="O167" s="22"/>
      <c r="P167" s="18" t="str">
        <f aca="false">IF($Q167="","",IFERROR(INDEX(DriverCategory,MATCH($Q167,DriverList,0)),"?"))</f>
        <v/>
      </c>
      <c r="Q167" s="21"/>
      <c r="R167" s="21"/>
      <c r="S167" s="23" t="str">
        <f aca="false">IF(COUNTA($B167:$H167)+COUNTA($L167:$O167)=0,"",MID(IF($B167="",", division","")&amp;IF($D167="",", unit","")&amp;IF($F167="",", job title","")&amp;IF($G167="",", career level","")&amp;IF($H167="",", job family","")&amp;IF($I167="",", worker type","")&amp;IF(N($K167)&lt;=0,", the quarter split","")&amp;IF($Q167="",", driver","")&amp;IF($R167="",", alternatives","")&amp;IF(AND($D167&lt;&gt;"",COUNTIF(UnitList,$D167)=0),", a unit that is not in your structure",""),3,300))</f>
        <v/>
      </c>
      <c r="T167" s="17" t="str">
        <f aca="false">IF($S167="","",COUNTIF($S$6:$S167,"?*"))</f>
        <v/>
      </c>
    </row>
    <row r="168" customFormat="false" ht="15" hidden="false" customHeight="false" outlineLevel="0" collapsed="false">
      <c r="A168" s="17" t="n">
        <v>163</v>
      </c>
      <c r="B168" s="21"/>
      <c r="C168" s="21"/>
      <c r="D168" s="21"/>
      <c r="E168" s="21"/>
      <c r="F168" s="21"/>
      <c r="G168" s="21"/>
      <c r="H168" s="21"/>
      <c r="I168" s="21"/>
      <c r="J168" s="20" t="str">
        <f aca="false">IF($F168="","",SUMIFS(SeatApproved,SeatUnit,$D168,SeatTitle,$F168))</f>
        <v/>
      </c>
      <c r="K168" s="20" t="str">
        <f aca="false">IF($F168="","",SUM($L168:$O168))</f>
        <v/>
      </c>
      <c r="L168" s="22"/>
      <c r="M168" s="22"/>
      <c r="N168" s="22"/>
      <c r="O168" s="22"/>
      <c r="P168" s="18" t="str">
        <f aca="false">IF($Q168="","",IFERROR(INDEX(DriverCategory,MATCH($Q168,DriverList,0)),"?"))</f>
        <v/>
      </c>
      <c r="Q168" s="21"/>
      <c r="R168" s="21"/>
      <c r="S168" s="23" t="str">
        <f aca="false">IF(COUNTA($B168:$H168)+COUNTA($L168:$O168)=0,"",MID(IF($B168="",", division","")&amp;IF($D168="",", unit","")&amp;IF($F168="",", job title","")&amp;IF($G168="",", career level","")&amp;IF($H168="",", job family","")&amp;IF($I168="",", worker type","")&amp;IF(N($K168)&lt;=0,", the quarter split","")&amp;IF($Q168="",", driver","")&amp;IF($R168="",", alternatives","")&amp;IF(AND($D168&lt;&gt;"",COUNTIF(UnitList,$D168)=0),", a unit that is not in your structure",""),3,300))</f>
        <v/>
      </c>
      <c r="T168" s="17" t="str">
        <f aca="false">IF($S168="","",COUNTIF($S$6:$S168,"?*"))</f>
        <v/>
      </c>
    </row>
    <row r="169" customFormat="false" ht="15" hidden="false" customHeight="false" outlineLevel="0" collapsed="false">
      <c r="A169" s="17" t="n">
        <v>164</v>
      </c>
      <c r="B169" s="21"/>
      <c r="C169" s="21"/>
      <c r="D169" s="21"/>
      <c r="E169" s="21"/>
      <c r="F169" s="21"/>
      <c r="G169" s="21"/>
      <c r="H169" s="21"/>
      <c r="I169" s="21"/>
      <c r="J169" s="20" t="str">
        <f aca="false">IF($F169="","",SUMIFS(SeatApproved,SeatUnit,$D169,SeatTitle,$F169))</f>
        <v/>
      </c>
      <c r="K169" s="20" t="str">
        <f aca="false">IF($F169="","",SUM($L169:$O169))</f>
        <v/>
      </c>
      <c r="L169" s="22"/>
      <c r="M169" s="22"/>
      <c r="N169" s="22"/>
      <c r="O169" s="22"/>
      <c r="P169" s="18" t="str">
        <f aca="false">IF($Q169="","",IFERROR(INDEX(DriverCategory,MATCH($Q169,DriverList,0)),"?"))</f>
        <v/>
      </c>
      <c r="Q169" s="21"/>
      <c r="R169" s="21"/>
      <c r="S169" s="23" t="str">
        <f aca="false">IF(COUNTA($B169:$H169)+COUNTA($L169:$O169)=0,"",MID(IF($B169="",", division","")&amp;IF($D169="",", unit","")&amp;IF($F169="",", job title","")&amp;IF($G169="",", career level","")&amp;IF($H169="",", job family","")&amp;IF($I169="",", worker type","")&amp;IF(N($K169)&lt;=0,", the quarter split","")&amp;IF($Q169="",", driver","")&amp;IF($R169="",", alternatives","")&amp;IF(AND($D169&lt;&gt;"",COUNTIF(UnitList,$D169)=0),", a unit that is not in your structure",""),3,300))</f>
        <v/>
      </c>
      <c r="T169" s="17" t="str">
        <f aca="false">IF($S169="","",COUNTIF($S$6:$S169,"?*"))</f>
        <v/>
      </c>
    </row>
    <row r="170" customFormat="false" ht="15" hidden="false" customHeight="false" outlineLevel="0" collapsed="false">
      <c r="A170" s="17" t="n">
        <v>165</v>
      </c>
      <c r="B170" s="21"/>
      <c r="C170" s="21"/>
      <c r="D170" s="21"/>
      <c r="E170" s="21"/>
      <c r="F170" s="21"/>
      <c r="G170" s="21"/>
      <c r="H170" s="21"/>
      <c r="I170" s="21"/>
      <c r="J170" s="20" t="str">
        <f aca="false">IF($F170="","",SUMIFS(SeatApproved,SeatUnit,$D170,SeatTitle,$F170))</f>
        <v/>
      </c>
      <c r="K170" s="20" t="str">
        <f aca="false">IF($F170="","",SUM($L170:$O170))</f>
        <v/>
      </c>
      <c r="L170" s="22"/>
      <c r="M170" s="22"/>
      <c r="N170" s="22"/>
      <c r="O170" s="22"/>
      <c r="P170" s="18" t="str">
        <f aca="false">IF($Q170="","",IFERROR(INDEX(DriverCategory,MATCH($Q170,DriverList,0)),"?"))</f>
        <v/>
      </c>
      <c r="Q170" s="21"/>
      <c r="R170" s="21"/>
      <c r="S170" s="23" t="str">
        <f aca="false">IF(COUNTA($B170:$H170)+COUNTA($L170:$O170)=0,"",MID(IF($B170="",", division","")&amp;IF($D170="",", unit","")&amp;IF($F170="",", job title","")&amp;IF($G170="",", career level","")&amp;IF($H170="",", job family","")&amp;IF($I170="",", worker type","")&amp;IF(N($K170)&lt;=0,", the quarter split","")&amp;IF($Q170="",", driver","")&amp;IF($R170="",", alternatives","")&amp;IF(AND($D170&lt;&gt;"",COUNTIF(UnitList,$D170)=0),", a unit that is not in your structure",""),3,300))</f>
        <v/>
      </c>
      <c r="T170" s="17" t="str">
        <f aca="false">IF($S170="","",COUNTIF($S$6:$S170,"?*"))</f>
        <v/>
      </c>
    </row>
    <row r="171" customFormat="false" ht="15" hidden="false" customHeight="false" outlineLevel="0" collapsed="false">
      <c r="A171" s="17" t="n">
        <v>166</v>
      </c>
      <c r="B171" s="21"/>
      <c r="C171" s="21"/>
      <c r="D171" s="21"/>
      <c r="E171" s="21"/>
      <c r="F171" s="21"/>
      <c r="G171" s="21"/>
      <c r="H171" s="21"/>
      <c r="I171" s="21"/>
      <c r="J171" s="20" t="str">
        <f aca="false">IF($F171="","",SUMIFS(SeatApproved,SeatUnit,$D171,SeatTitle,$F171))</f>
        <v/>
      </c>
      <c r="K171" s="20" t="str">
        <f aca="false">IF($F171="","",SUM($L171:$O171))</f>
        <v/>
      </c>
      <c r="L171" s="22"/>
      <c r="M171" s="22"/>
      <c r="N171" s="22"/>
      <c r="O171" s="22"/>
      <c r="P171" s="18" t="str">
        <f aca="false">IF($Q171="","",IFERROR(INDEX(DriverCategory,MATCH($Q171,DriverList,0)),"?"))</f>
        <v/>
      </c>
      <c r="Q171" s="21"/>
      <c r="R171" s="21"/>
      <c r="S171" s="23" t="str">
        <f aca="false">IF(COUNTA($B171:$H171)+COUNTA($L171:$O171)=0,"",MID(IF($B171="",", division","")&amp;IF($D171="",", unit","")&amp;IF($F171="",", job title","")&amp;IF($G171="",", career level","")&amp;IF($H171="",", job family","")&amp;IF($I171="",", worker type","")&amp;IF(N($K171)&lt;=0,", the quarter split","")&amp;IF($Q171="",", driver","")&amp;IF($R171="",", alternatives","")&amp;IF(AND($D171&lt;&gt;"",COUNTIF(UnitList,$D171)=0),", a unit that is not in your structure",""),3,300))</f>
        <v/>
      </c>
      <c r="T171" s="17" t="str">
        <f aca="false">IF($S171="","",COUNTIF($S$6:$S171,"?*"))</f>
        <v/>
      </c>
    </row>
    <row r="172" customFormat="false" ht="15" hidden="false" customHeight="false" outlineLevel="0" collapsed="false">
      <c r="A172" s="17" t="n">
        <v>167</v>
      </c>
      <c r="B172" s="21"/>
      <c r="C172" s="21"/>
      <c r="D172" s="21"/>
      <c r="E172" s="21"/>
      <c r="F172" s="21"/>
      <c r="G172" s="21"/>
      <c r="H172" s="21"/>
      <c r="I172" s="21"/>
      <c r="J172" s="20" t="str">
        <f aca="false">IF($F172="","",SUMIFS(SeatApproved,SeatUnit,$D172,SeatTitle,$F172))</f>
        <v/>
      </c>
      <c r="K172" s="20" t="str">
        <f aca="false">IF($F172="","",SUM($L172:$O172))</f>
        <v/>
      </c>
      <c r="L172" s="22"/>
      <c r="M172" s="22"/>
      <c r="N172" s="22"/>
      <c r="O172" s="22"/>
      <c r="P172" s="18" t="str">
        <f aca="false">IF($Q172="","",IFERROR(INDEX(DriverCategory,MATCH($Q172,DriverList,0)),"?"))</f>
        <v/>
      </c>
      <c r="Q172" s="21"/>
      <c r="R172" s="21"/>
      <c r="S172" s="23" t="str">
        <f aca="false">IF(COUNTA($B172:$H172)+COUNTA($L172:$O172)=0,"",MID(IF($B172="",", division","")&amp;IF($D172="",", unit","")&amp;IF($F172="",", job title","")&amp;IF($G172="",", career level","")&amp;IF($H172="",", job family","")&amp;IF($I172="",", worker type","")&amp;IF(N($K172)&lt;=0,", the quarter split","")&amp;IF($Q172="",", driver","")&amp;IF($R172="",", alternatives","")&amp;IF(AND($D172&lt;&gt;"",COUNTIF(UnitList,$D172)=0),", a unit that is not in your structure",""),3,300))</f>
        <v/>
      </c>
      <c r="T172" s="17" t="str">
        <f aca="false">IF($S172="","",COUNTIF($S$6:$S172,"?*"))</f>
        <v/>
      </c>
    </row>
    <row r="173" customFormat="false" ht="15" hidden="false" customHeight="false" outlineLevel="0" collapsed="false">
      <c r="A173" s="17" t="n">
        <v>168</v>
      </c>
      <c r="B173" s="21"/>
      <c r="C173" s="21"/>
      <c r="D173" s="21"/>
      <c r="E173" s="21"/>
      <c r="F173" s="21"/>
      <c r="G173" s="21"/>
      <c r="H173" s="21"/>
      <c r="I173" s="21"/>
      <c r="J173" s="20" t="str">
        <f aca="false">IF($F173="","",SUMIFS(SeatApproved,SeatUnit,$D173,SeatTitle,$F173))</f>
        <v/>
      </c>
      <c r="K173" s="20" t="str">
        <f aca="false">IF($F173="","",SUM($L173:$O173))</f>
        <v/>
      </c>
      <c r="L173" s="22"/>
      <c r="M173" s="22"/>
      <c r="N173" s="22"/>
      <c r="O173" s="22"/>
      <c r="P173" s="18" t="str">
        <f aca="false">IF($Q173="","",IFERROR(INDEX(DriverCategory,MATCH($Q173,DriverList,0)),"?"))</f>
        <v/>
      </c>
      <c r="Q173" s="21"/>
      <c r="R173" s="21"/>
      <c r="S173" s="23" t="str">
        <f aca="false">IF(COUNTA($B173:$H173)+COUNTA($L173:$O173)=0,"",MID(IF($B173="",", division","")&amp;IF($D173="",", unit","")&amp;IF($F173="",", job title","")&amp;IF($G173="",", career level","")&amp;IF($H173="",", job family","")&amp;IF($I173="",", worker type","")&amp;IF(N($K173)&lt;=0,", the quarter split","")&amp;IF($Q173="",", driver","")&amp;IF($R173="",", alternatives","")&amp;IF(AND($D173&lt;&gt;"",COUNTIF(UnitList,$D173)=0),", a unit that is not in your structure",""),3,300))</f>
        <v/>
      </c>
      <c r="T173" s="17" t="str">
        <f aca="false">IF($S173="","",COUNTIF($S$6:$S173,"?*"))</f>
        <v/>
      </c>
    </row>
    <row r="174" customFormat="false" ht="15" hidden="false" customHeight="false" outlineLevel="0" collapsed="false">
      <c r="A174" s="17" t="n">
        <v>169</v>
      </c>
      <c r="B174" s="21"/>
      <c r="C174" s="21"/>
      <c r="D174" s="21"/>
      <c r="E174" s="21"/>
      <c r="F174" s="21"/>
      <c r="G174" s="21"/>
      <c r="H174" s="21"/>
      <c r="I174" s="21"/>
      <c r="J174" s="20" t="str">
        <f aca="false">IF($F174="","",SUMIFS(SeatApproved,SeatUnit,$D174,SeatTitle,$F174))</f>
        <v/>
      </c>
      <c r="K174" s="20" t="str">
        <f aca="false">IF($F174="","",SUM($L174:$O174))</f>
        <v/>
      </c>
      <c r="L174" s="22"/>
      <c r="M174" s="22"/>
      <c r="N174" s="22"/>
      <c r="O174" s="22"/>
      <c r="P174" s="18" t="str">
        <f aca="false">IF($Q174="","",IFERROR(INDEX(DriverCategory,MATCH($Q174,DriverList,0)),"?"))</f>
        <v/>
      </c>
      <c r="Q174" s="21"/>
      <c r="R174" s="21"/>
      <c r="S174" s="23" t="str">
        <f aca="false">IF(COUNTA($B174:$H174)+COUNTA($L174:$O174)=0,"",MID(IF($B174="",", division","")&amp;IF($D174="",", unit","")&amp;IF($F174="",", job title","")&amp;IF($G174="",", career level","")&amp;IF($H174="",", job family","")&amp;IF($I174="",", worker type","")&amp;IF(N($K174)&lt;=0,", the quarter split","")&amp;IF($Q174="",", driver","")&amp;IF($R174="",", alternatives","")&amp;IF(AND($D174&lt;&gt;"",COUNTIF(UnitList,$D174)=0),", a unit that is not in your structure",""),3,300))</f>
        <v/>
      </c>
      <c r="T174" s="17" t="str">
        <f aca="false">IF($S174="","",COUNTIF($S$6:$S174,"?*"))</f>
        <v/>
      </c>
    </row>
    <row r="175" customFormat="false" ht="15" hidden="false" customHeight="false" outlineLevel="0" collapsed="false">
      <c r="A175" s="17" t="n">
        <v>170</v>
      </c>
      <c r="B175" s="21"/>
      <c r="C175" s="21"/>
      <c r="D175" s="21"/>
      <c r="E175" s="21"/>
      <c r="F175" s="21"/>
      <c r="G175" s="21"/>
      <c r="H175" s="21"/>
      <c r="I175" s="21"/>
      <c r="J175" s="20" t="str">
        <f aca="false">IF($F175="","",SUMIFS(SeatApproved,SeatUnit,$D175,SeatTitle,$F175))</f>
        <v/>
      </c>
      <c r="K175" s="20" t="str">
        <f aca="false">IF($F175="","",SUM($L175:$O175))</f>
        <v/>
      </c>
      <c r="L175" s="22"/>
      <c r="M175" s="22"/>
      <c r="N175" s="22"/>
      <c r="O175" s="22"/>
      <c r="P175" s="18" t="str">
        <f aca="false">IF($Q175="","",IFERROR(INDEX(DriverCategory,MATCH($Q175,DriverList,0)),"?"))</f>
        <v/>
      </c>
      <c r="Q175" s="21"/>
      <c r="R175" s="21"/>
      <c r="S175" s="23" t="str">
        <f aca="false">IF(COUNTA($B175:$H175)+COUNTA($L175:$O175)=0,"",MID(IF($B175="",", division","")&amp;IF($D175="",", unit","")&amp;IF($F175="",", job title","")&amp;IF($G175="",", career level","")&amp;IF($H175="",", job family","")&amp;IF($I175="",", worker type","")&amp;IF(N($K175)&lt;=0,", the quarter split","")&amp;IF($Q175="",", driver","")&amp;IF($R175="",", alternatives","")&amp;IF(AND($D175&lt;&gt;"",COUNTIF(UnitList,$D175)=0),", a unit that is not in your structure",""),3,300))</f>
        <v/>
      </c>
      <c r="T175" s="17" t="str">
        <f aca="false">IF($S175="","",COUNTIF($S$6:$S175,"?*"))</f>
        <v/>
      </c>
    </row>
    <row r="176" customFormat="false" ht="15" hidden="false" customHeight="false" outlineLevel="0" collapsed="false">
      <c r="A176" s="17" t="n">
        <v>171</v>
      </c>
      <c r="B176" s="21"/>
      <c r="C176" s="21"/>
      <c r="D176" s="21"/>
      <c r="E176" s="21"/>
      <c r="F176" s="21"/>
      <c r="G176" s="21"/>
      <c r="H176" s="21"/>
      <c r="I176" s="21"/>
      <c r="J176" s="20" t="str">
        <f aca="false">IF($F176="","",SUMIFS(SeatApproved,SeatUnit,$D176,SeatTitle,$F176))</f>
        <v/>
      </c>
      <c r="K176" s="20" t="str">
        <f aca="false">IF($F176="","",SUM($L176:$O176))</f>
        <v/>
      </c>
      <c r="L176" s="22"/>
      <c r="M176" s="22"/>
      <c r="N176" s="22"/>
      <c r="O176" s="22"/>
      <c r="P176" s="18" t="str">
        <f aca="false">IF($Q176="","",IFERROR(INDEX(DriverCategory,MATCH($Q176,DriverList,0)),"?"))</f>
        <v/>
      </c>
      <c r="Q176" s="21"/>
      <c r="R176" s="21"/>
      <c r="S176" s="23" t="str">
        <f aca="false">IF(COUNTA($B176:$H176)+COUNTA($L176:$O176)=0,"",MID(IF($B176="",", division","")&amp;IF($D176="",", unit","")&amp;IF($F176="",", job title","")&amp;IF($G176="",", career level","")&amp;IF($H176="",", job family","")&amp;IF($I176="",", worker type","")&amp;IF(N($K176)&lt;=0,", the quarter split","")&amp;IF($Q176="",", driver","")&amp;IF($R176="",", alternatives","")&amp;IF(AND($D176&lt;&gt;"",COUNTIF(UnitList,$D176)=0),", a unit that is not in your structure",""),3,300))</f>
        <v/>
      </c>
      <c r="T176" s="17" t="str">
        <f aca="false">IF($S176="","",COUNTIF($S$6:$S176,"?*"))</f>
        <v/>
      </c>
    </row>
    <row r="177" customFormat="false" ht="15" hidden="false" customHeight="false" outlineLevel="0" collapsed="false">
      <c r="A177" s="17" t="n">
        <v>172</v>
      </c>
      <c r="B177" s="21"/>
      <c r="C177" s="21"/>
      <c r="D177" s="21"/>
      <c r="E177" s="21"/>
      <c r="F177" s="21"/>
      <c r="G177" s="21"/>
      <c r="H177" s="21"/>
      <c r="I177" s="21"/>
      <c r="J177" s="20" t="str">
        <f aca="false">IF($F177="","",SUMIFS(SeatApproved,SeatUnit,$D177,SeatTitle,$F177))</f>
        <v/>
      </c>
      <c r="K177" s="20" t="str">
        <f aca="false">IF($F177="","",SUM($L177:$O177))</f>
        <v/>
      </c>
      <c r="L177" s="22"/>
      <c r="M177" s="22"/>
      <c r="N177" s="22"/>
      <c r="O177" s="22"/>
      <c r="P177" s="18" t="str">
        <f aca="false">IF($Q177="","",IFERROR(INDEX(DriverCategory,MATCH($Q177,DriverList,0)),"?"))</f>
        <v/>
      </c>
      <c r="Q177" s="21"/>
      <c r="R177" s="21"/>
      <c r="S177" s="23" t="str">
        <f aca="false">IF(COUNTA($B177:$H177)+COUNTA($L177:$O177)=0,"",MID(IF($B177="",", division","")&amp;IF($D177="",", unit","")&amp;IF($F177="",", job title","")&amp;IF($G177="",", career level","")&amp;IF($H177="",", job family","")&amp;IF($I177="",", worker type","")&amp;IF(N($K177)&lt;=0,", the quarter split","")&amp;IF($Q177="",", driver","")&amp;IF($R177="",", alternatives","")&amp;IF(AND($D177&lt;&gt;"",COUNTIF(UnitList,$D177)=0),", a unit that is not in your structure",""),3,300))</f>
        <v/>
      </c>
      <c r="T177" s="17" t="str">
        <f aca="false">IF($S177="","",COUNTIF($S$6:$S177,"?*"))</f>
        <v/>
      </c>
    </row>
    <row r="178" customFormat="false" ht="15" hidden="false" customHeight="false" outlineLevel="0" collapsed="false">
      <c r="A178" s="17" t="n">
        <v>173</v>
      </c>
      <c r="B178" s="21"/>
      <c r="C178" s="21"/>
      <c r="D178" s="21"/>
      <c r="E178" s="21"/>
      <c r="F178" s="21"/>
      <c r="G178" s="21"/>
      <c r="H178" s="21"/>
      <c r="I178" s="21"/>
      <c r="J178" s="20" t="str">
        <f aca="false">IF($F178="","",SUMIFS(SeatApproved,SeatUnit,$D178,SeatTitle,$F178))</f>
        <v/>
      </c>
      <c r="K178" s="20" t="str">
        <f aca="false">IF($F178="","",SUM($L178:$O178))</f>
        <v/>
      </c>
      <c r="L178" s="22"/>
      <c r="M178" s="22"/>
      <c r="N178" s="22"/>
      <c r="O178" s="22"/>
      <c r="P178" s="18" t="str">
        <f aca="false">IF($Q178="","",IFERROR(INDEX(DriverCategory,MATCH($Q178,DriverList,0)),"?"))</f>
        <v/>
      </c>
      <c r="Q178" s="21"/>
      <c r="R178" s="21"/>
      <c r="S178" s="23" t="str">
        <f aca="false">IF(COUNTA($B178:$H178)+COUNTA($L178:$O178)=0,"",MID(IF($B178="",", division","")&amp;IF($D178="",", unit","")&amp;IF($F178="",", job title","")&amp;IF($G178="",", career level","")&amp;IF($H178="",", job family","")&amp;IF($I178="",", worker type","")&amp;IF(N($K178)&lt;=0,", the quarter split","")&amp;IF($Q178="",", driver","")&amp;IF($R178="",", alternatives","")&amp;IF(AND($D178&lt;&gt;"",COUNTIF(UnitList,$D178)=0),", a unit that is not in your structure",""),3,300))</f>
        <v/>
      </c>
      <c r="T178" s="17" t="str">
        <f aca="false">IF($S178="","",COUNTIF($S$6:$S178,"?*"))</f>
        <v/>
      </c>
    </row>
    <row r="179" customFormat="false" ht="15" hidden="false" customHeight="false" outlineLevel="0" collapsed="false">
      <c r="A179" s="17" t="n">
        <v>174</v>
      </c>
      <c r="B179" s="21"/>
      <c r="C179" s="21"/>
      <c r="D179" s="21"/>
      <c r="E179" s="21"/>
      <c r="F179" s="21"/>
      <c r="G179" s="21"/>
      <c r="H179" s="21"/>
      <c r="I179" s="21"/>
      <c r="J179" s="20" t="str">
        <f aca="false">IF($F179="","",SUMIFS(SeatApproved,SeatUnit,$D179,SeatTitle,$F179))</f>
        <v/>
      </c>
      <c r="K179" s="20" t="str">
        <f aca="false">IF($F179="","",SUM($L179:$O179))</f>
        <v/>
      </c>
      <c r="L179" s="22"/>
      <c r="M179" s="22"/>
      <c r="N179" s="22"/>
      <c r="O179" s="22"/>
      <c r="P179" s="18" t="str">
        <f aca="false">IF($Q179="","",IFERROR(INDEX(DriverCategory,MATCH($Q179,DriverList,0)),"?"))</f>
        <v/>
      </c>
      <c r="Q179" s="21"/>
      <c r="R179" s="21"/>
      <c r="S179" s="23" t="str">
        <f aca="false">IF(COUNTA($B179:$H179)+COUNTA($L179:$O179)=0,"",MID(IF($B179="",", division","")&amp;IF($D179="",", unit","")&amp;IF($F179="",", job title","")&amp;IF($G179="",", career level","")&amp;IF($H179="",", job family","")&amp;IF($I179="",", worker type","")&amp;IF(N($K179)&lt;=0,", the quarter split","")&amp;IF($Q179="",", driver","")&amp;IF($R179="",", alternatives","")&amp;IF(AND($D179&lt;&gt;"",COUNTIF(UnitList,$D179)=0),", a unit that is not in your structure",""),3,300))</f>
        <v/>
      </c>
      <c r="T179" s="17" t="str">
        <f aca="false">IF($S179="","",COUNTIF($S$6:$S179,"?*"))</f>
        <v/>
      </c>
    </row>
    <row r="180" customFormat="false" ht="15" hidden="false" customHeight="false" outlineLevel="0" collapsed="false">
      <c r="A180" s="17" t="n">
        <v>175</v>
      </c>
      <c r="B180" s="21"/>
      <c r="C180" s="21"/>
      <c r="D180" s="21"/>
      <c r="E180" s="21"/>
      <c r="F180" s="21"/>
      <c r="G180" s="21"/>
      <c r="H180" s="21"/>
      <c r="I180" s="21"/>
      <c r="J180" s="20" t="str">
        <f aca="false">IF($F180="","",SUMIFS(SeatApproved,SeatUnit,$D180,SeatTitle,$F180))</f>
        <v/>
      </c>
      <c r="K180" s="20" t="str">
        <f aca="false">IF($F180="","",SUM($L180:$O180))</f>
        <v/>
      </c>
      <c r="L180" s="22"/>
      <c r="M180" s="22"/>
      <c r="N180" s="22"/>
      <c r="O180" s="22"/>
      <c r="P180" s="18" t="str">
        <f aca="false">IF($Q180="","",IFERROR(INDEX(DriverCategory,MATCH($Q180,DriverList,0)),"?"))</f>
        <v/>
      </c>
      <c r="Q180" s="21"/>
      <c r="R180" s="21"/>
      <c r="S180" s="23" t="str">
        <f aca="false">IF(COUNTA($B180:$H180)+COUNTA($L180:$O180)=0,"",MID(IF($B180="",", division","")&amp;IF($D180="",", unit","")&amp;IF($F180="",", job title","")&amp;IF($G180="",", career level","")&amp;IF($H180="",", job family","")&amp;IF($I180="",", worker type","")&amp;IF(N($K180)&lt;=0,", the quarter split","")&amp;IF($Q180="",", driver","")&amp;IF($R180="",", alternatives","")&amp;IF(AND($D180&lt;&gt;"",COUNTIF(UnitList,$D180)=0),", a unit that is not in your structure",""),3,300))</f>
        <v/>
      </c>
      <c r="T180" s="17" t="str">
        <f aca="false">IF($S180="","",COUNTIF($S$6:$S180,"?*"))</f>
        <v/>
      </c>
    </row>
    <row r="181" customFormat="false" ht="15" hidden="false" customHeight="false" outlineLevel="0" collapsed="false">
      <c r="A181" s="17" t="n">
        <v>176</v>
      </c>
      <c r="B181" s="21"/>
      <c r="C181" s="21"/>
      <c r="D181" s="21"/>
      <c r="E181" s="21"/>
      <c r="F181" s="21"/>
      <c r="G181" s="21"/>
      <c r="H181" s="21"/>
      <c r="I181" s="21"/>
      <c r="J181" s="20" t="str">
        <f aca="false">IF($F181="","",SUMIFS(SeatApproved,SeatUnit,$D181,SeatTitle,$F181))</f>
        <v/>
      </c>
      <c r="K181" s="20" t="str">
        <f aca="false">IF($F181="","",SUM($L181:$O181))</f>
        <v/>
      </c>
      <c r="L181" s="22"/>
      <c r="M181" s="22"/>
      <c r="N181" s="22"/>
      <c r="O181" s="22"/>
      <c r="P181" s="18" t="str">
        <f aca="false">IF($Q181="","",IFERROR(INDEX(DriverCategory,MATCH($Q181,DriverList,0)),"?"))</f>
        <v/>
      </c>
      <c r="Q181" s="21"/>
      <c r="R181" s="21"/>
      <c r="S181" s="23" t="str">
        <f aca="false">IF(COUNTA($B181:$H181)+COUNTA($L181:$O181)=0,"",MID(IF($B181="",", division","")&amp;IF($D181="",", unit","")&amp;IF($F181="",", job title","")&amp;IF($G181="",", career level","")&amp;IF($H181="",", job family","")&amp;IF($I181="",", worker type","")&amp;IF(N($K181)&lt;=0,", the quarter split","")&amp;IF($Q181="",", driver","")&amp;IF($R181="",", alternatives","")&amp;IF(AND($D181&lt;&gt;"",COUNTIF(UnitList,$D181)=0),", a unit that is not in your structure",""),3,300))</f>
        <v/>
      </c>
      <c r="T181" s="17" t="str">
        <f aca="false">IF($S181="","",COUNTIF($S$6:$S181,"?*"))</f>
        <v/>
      </c>
    </row>
    <row r="182" customFormat="false" ht="15" hidden="false" customHeight="false" outlineLevel="0" collapsed="false">
      <c r="A182" s="17" t="n">
        <v>177</v>
      </c>
      <c r="B182" s="21"/>
      <c r="C182" s="21"/>
      <c r="D182" s="21"/>
      <c r="E182" s="21"/>
      <c r="F182" s="21"/>
      <c r="G182" s="21"/>
      <c r="H182" s="21"/>
      <c r="I182" s="21"/>
      <c r="J182" s="20" t="str">
        <f aca="false">IF($F182="","",SUMIFS(SeatApproved,SeatUnit,$D182,SeatTitle,$F182))</f>
        <v/>
      </c>
      <c r="K182" s="20" t="str">
        <f aca="false">IF($F182="","",SUM($L182:$O182))</f>
        <v/>
      </c>
      <c r="L182" s="22"/>
      <c r="M182" s="22"/>
      <c r="N182" s="22"/>
      <c r="O182" s="22"/>
      <c r="P182" s="18" t="str">
        <f aca="false">IF($Q182="","",IFERROR(INDEX(DriverCategory,MATCH($Q182,DriverList,0)),"?"))</f>
        <v/>
      </c>
      <c r="Q182" s="21"/>
      <c r="R182" s="21"/>
      <c r="S182" s="23" t="str">
        <f aca="false">IF(COUNTA($B182:$H182)+COUNTA($L182:$O182)=0,"",MID(IF($B182="",", division","")&amp;IF($D182="",", unit","")&amp;IF($F182="",", job title","")&amp;IF($G182="",", career level","")&amp;IF($H182="",", job family","")&amp;IF($I182="",", worker type","")&amp;IF(N($K182)&lt;=0,", the quarter split","")&amp;IF($Q182="",", driver","")&amp;IF($R182="",", alternatives","")&amp;IF(AND($D182&lt;&gt;"",COUNTIF(UnitList,$D182)=0),", a unit that is not in your structure",""),3,300))</f>
        <v/>
      </c>
      <c r="T182" s="17" t="str">
        <f aca="false">IF($S182="","",COUNTIF($S$6:$S182,"?*"))</f>
        <v/>
      </c>
    </row>
    <row r="183" customFormat="false" ht="15" hidden="false" customHeight="false" outlineLevel="0" collapsed="false">
      <c r="A183" s="17" t="n">
        <v>178</v>
      </c>
      <c r="B183" s="21"/>
      <c r="C183" s="21"/>
      <c r="D183" s="21"/>
      <c r="E183" s="21"/>
      <c r="F183" s="21"/>
      <c r="G183" s="21"/>
      <c r="H183" s="21"/>
      <c r="I183" s="21"/>
      <c r="J183" s="20" t="str">
        <f aca="false">IF($F183="","",SUMIFS(SeatApproved,SeatUnit,$D183,SeatTitle,$F183))</f>
        <v/>
      </c>
      <c r="K183" s="20" t="str">
        <f aca="false">IF($F183="","",SUM($L183:$O183))</f>
        <v/>
      </c>
      <c r="L183" s="22"/>
      <c r="M183" s="22"/>
      <c r="N183" s="22"/>
      <c r="O183" s="22"/>
      <c r="P183" s="18" t="str">
        <f aca="false">IF($Q183="","",IFERROR(INDEX(DriverCategory,MATCH($Q183,DriverList,0)),"?"))</f>
        <v/>
      </c>
      <c r="Q183" s="21"/>
      <c r="R183" s="21"/>
      <c r="S183" s="23" t="str">
        <f aca="false">IF(COUNTA($B183:$H183)+COUNTA($L183:$O183)=0,"",MID(IF($B183="",", division","")&amp;IF($D183="",", unit","")&amp;IF($F183="",", job title","")&amp;IF($G183="",", career level","")&amp;IF($H183="",", job family","")&amp;IF($I183="",", worker type","")&amp;IF(N($K183)&lt;=0,", the quarter split","")&amp;IF($Q183="",", driver","")&amp;IF($R183="",", alternatives","")&amp;IF(AND($D183&lt;&gt;"",COUNTIF(UnitList,$D183)=0),", a unit that is not in your structure",""),3,300))</f>
        <v/>
      </c>
      <c r="T183" s="17" t="str">
        <f aca="false">IF($S183="","",COUNTIF($S$6:$S183,"?*"))</f>
        <v/>
      </c>
    </row>
    <row r="184" customFormat="false" ht="15" hidden="false" customHeight="false" outlineLevel="0" collapsed="false">
      <c r="A184" s="17" t="n">
        <v>179</v>
      </c>
      <c r="B184" s="21"/>
      <c r="C184" s="21"/>
      <c r="D184" s="21"/>
      <c r="E184" s="21"/>
      <c r="F184" s="21"/>
      <c r="G184" s="21"/>
      <c r="H184" s="21"/>
      <c r="I184" s="21"/>
      <c r="J184" s="20" t="str">
        <f aca="false">IF($F184="","",SUMIFS(SeatApproved,SeatUnit,$D184,SeatTitle,$F184))</f>
        <v/>
      </c>
      <c r="K184" s="20" t="str">
        <f aca="false">IF($F184="","",SUM($L184:$O184))</f>
        <v/>
      </c>
      <c r="L184" s="22"/>
      <c r="M184" s="22"/>
      <c r="N184" s="22"/>
      <c r="O184" s="22"/>
      <c r="P184" s="18" t="str">
        <f aca="false">IF($Q184="","",IFERROR(INDEX(DriverCategory,MATCH($Q184,DriverList,0)),"?"))</f>
        <v/>
      </c>
      <c r="Q184" s="21"/>
      <c r="R184" s="21"/>
      <c r="S184" s="23" t="str">
        <f aca="false">IF(COUNTA($B184:$H184)+COUNTA($L184:$O184)=0,"",MID(IF($B184="",", division","")&amp;IF($D184="",", unit","")&amp;IF($F184="",", job title","")&amp;IF($G184="",", career level","")&amp;IF($H184="",", job family","")&amp;IF($I184="",", worker type","")&amp;IF(N($K184)&lt;=0,", the quarter split","")&amp;IF($Q184="",", driver","")&amp;IF($R184="",", alternatives","")&amp;IF(AND($D184&lt;&gt;"",COUNTIF(UnitList,$D184)=0),", a unit that is not in your structure",""),3,300))</f>
        <v/>
      </c>
      <c r="T184" s="17" t="str">
        <f aca="false">IF($S184="","",COUNTIF($S$6:$S184,"?*"))</f>
        <v/>
      </c>
    </row>
    <row r="185" customFormat="false" ht="15" hidden="false" customHeight="false" outlineLevel="0" collapsed="false">
      <c r="A185" s="17" t="n">
        <v>180</v>
      </c>
      <c r="B185" s="21"/>
      <c r="C185" s="21"/>
      <c r="D185" s="21"/>
      <c r="E185" s="21"/>
      <c r="F185" s="21"/>
      <c r="G185" s="21"/>
      <c r="H185" s="21"/>
      <c r="I185" s="21"/>
      <c r="J185" s="20" t="str">
        <f aca="false">IF($F185="","",SUMIFS(SeatApproved,SeatUnit,$D185,SeatTitle,$F185))</f>
        <v/>
      </c>
      <c r="K185" s="20" t="str">
        <f aca="false">IF($F185="","",SUM($L185:$O185))</f>
        <v/>
      </c>
      <c r="L185" s="22"/>
      <c r="M185" s="22"/>
      <c r="N185" s="22"/>
      <c r="O185" s="22"/>
      <c r="P185" s="18" t="str">
        <f aca="false">IF($Q185="","",IFERROR(INDEX(DriverCategory,MATCH($Q185,DriverList,0)),"?"))</f>
        <v/>
      </c>
      <c r="Q185" s="21"/>
      <c r="R185" s="21"/>
      <c r="S185" s="23" t="str">
        <f aca="false">IF(COUNTA($B185:$H185)+COUNTA($L185:$O185)=0,"",MID(IF($B185="",", division","")&amp;IF($D185="",", unit","")&amp;IF($F185="",", job title","")&amp;IF($G185="",", career level","")&amp;IF($H185="",", job family","")&amp;IF($I185="",", worker type","")&amp;IF(N($K185)&lt;=0,", the quarter split","")&amp;IF($Q185="",", driver","")&amp;IF($R185="",", alternatives","")&amp;IF(AND($D185&lt;&gt;"",COUNTIF(UnitList,$D185)=0),", a unit that is not in your structure",""),3,300))</f>
        <v/>
      </c>
      <c r="T185" s="17" t="str">
        <f aca="false">IF($S185="","",COUNTIF($S$6:$S185,"?*"))</f>
        <v/>
      </c>
    </row>
    <row r="186" customFormat="false" ht="15" hidden="false" customHeight="false" outlineLevel="0" collapsed="false">
      <c r="A186" s="17" t="n">
        <v>181</v>
      </c>
      <c r="B186" s="21"/>
      <c r="C186" s="21"/>
      <c r="D186" s="21"/>
      <c r="E186" s="21"/>
      <c r="F186" s="21"/>
      <c r="G186" s="21"/>
      <c r="H186" s="21"/>
      <c r="I186" s="21"/>
      <c r="J186" s="20" t="str">
        <f aca="false">IF($F186="","",SUMIFS(SeatApproved,SeatUnit,$D186,SeatTitle,$F186))</f>
        <v/>
      </c>
      <c r="K186" s="20" t="str">
        <f aca="false">IF($F186="","",SUM($L186:$O186))</f>
        <v/>
      </c>
      <c r="L186" s="22"/>
      <c r="M186" s="22"/>
      <c r="N186" s="22"/>
      <c r="O186" s="22"/>
      <c r="P186" s="18" t="str">
        <f aca="false">IF($Q186="","",IFERROR(INDEX(DriverCategory,MATCH($Q186,DriverList,0)),"?"))</f>
        <v/>
      </c>
      <c r="Q186" s="21"/>
      <c r="R186" s="21"/>
      <c r="S186" s="23" t="str">
        <f aca="false">IF(COUNTA($B186:$H186)+COUNTA($L186:$O186)=0,"",MID(IF($B186="",", division","")&amp;IF($D186="",", unit","")&amp;IF($F186="",", job title","")&amp;IF($G186="",", career level","")&amp;IF($H186="",", job family","")&amp;IF($I186="",", worker type","")&amp;IF(N($K186)&lt;=0,", the quarter split","")&amp;IF($Q186="",", driver","")&amp;IF($R186="",", alternatives","")&amp;IF(AND($D186&lt;&gt;"",COUNTIF(UnitList,$D186)=0),", a unit that is not in your structure",""),3,300))</f>
        <v/>
      </c>
      <c r="T186" s="17" t="str">
        <f aca="false">IF($S186="","",COUNTIF($S$6:$S186,"?*"))</f>
        <v/>
      </c>
    </row>
    <row r="187" customFormat="false" ht="15" hidden="false" customHeight="false" outlineLevel="0" collapsed="false">
      <c r="A187" s="17" t="n">
        <v>182</v>
      </c>
      <c r="B187" s="21"/>
      <c r="C187" s="21"/>
      <c r="D187" s="21"/>
      <c r="E187" s="21"/>
      <c r="F187" s="21"/>
      <c r="G187" s="21"/>
      <c r="H187" s="21"/>
      <c r="I187" s="21"/>
      <c r="J187" s="20" t="str">
        <f aca="false">IF($F187="","",SUMIFS(SeatApproved,SeatUnit,$D187,SeatTitle,$F187))</f>
        <v/>
      </c>
      <c r="K187" s="20" t="str">
        <f aca="false">IF($F187="","",SUM($L187:$O187))</f>
        <v/>
      </c>
      <c r="L187" s="22"/>
      <c r="M187" s="22"/>
      <c r="N187" s="22"/>
      <c r="O187" s="22"/>
      <c r="P187" s="18" t="str">
        <f aca="false">IF($Q187="","",IFERROR(INDEX(DriverCategory,MATCH($Q187,DriverList,0)),"?"))</f>
        <v/>
      </c>
      <c r="Q187" s="21"/>
      <c r="R187" s="21"/>
      <c r="S187" s="23" t="str">
        <f aca="false">IF(COUNTA($B187:$H187)+COUNTA($L187:$O187)=0,"",MID(IF($B187="",", division","")&amp;IF($D187="",", unit","")&amp;IF($F187="",", job title","")&amp;IF($G187="",", career level","")&amp;IF($H187="",", job family","")&amp;IF($I187="",", worker type","")&amp;IF(N($K187)&lt;=0,", the quarter split","")&amp;IF($Q187="",", driver","")&amp;IF($R187="",", alternatives","")&amp;IF(AND($D187&lt;&gt;"",COUNTIF(UnitList,$D187)=0),", a unit that is not in your structure",""),3,300))</f>
        <v/>
      </c>
      <c r="T187" s="17" t="str">
        <f aca="false">IF($S187="","",COUNTIF($S$6:$S187,"?*"))</f>
        <v/>
      </c>
    </row>
    <row r="188" customFormat="false" ht="15" hidden="false" customHeight="false" outlineLevel="0" collapsed="false">
      <c r="A188" s="17" t="n">
        <v>183</v>
      </c>
      <c r="B188" s="21"/>
      <c r="C188" s="21"/>
      <c r="D188" s="21"/>
      <c r="E188" s="21"/>
      <c r="F188" s="21"/>
      <c r="G188" s="21"/>
      <c r="H188" s="21"/>
      <c r="I188" s="21"/>
      <c r="J188" s="20" t="str">
        <f aca="false">IF($F188="","",SUMIFS(SeatApproved,SeatUnit,$D188,SeatTitle,$F188))</f>
        <v/>
      </c>
      <c r="K188" s="20" t="str">
        <f aca="false">IF($F188="","",SUM($L188:$O188))</f>
        <v/>
      </c>
      <c r="L188" s="22"/>
      <c r="M188" s="22"/>
      <c r="N188" s="22"/>
      <c r="O188" s="22"/>
      <c r="P188" s="18" t="str">
        <f aca="false">IF($Q188="","",IFERROR(INDEX(DriverCategory,MATCH($Q188,DriverList,0)),"?"))</f>
        <v/>
      </c>
      <c r="Q188" s="21"/>
      <c r="R188" s="21"/>
      <c r="S188" s="23" t="str">
        <f aca="false">IF(COUNTA($B188:$H188)+COUNTA($L188:$O188)=0,"",MID(IF($B188="",", division","")&amp;IF($D188="",", unit","")&amp;IF($F188="",", job title","")&amp;IF($G188="",", career level","")&amp;IF($H188="",", job family","")&amp;IF($I188="",", worker type","")&amp;IF(N($K188)&lt;=0,", the quarter split","")&amp;IF($Q188="",", driver","")&amp;IF($R188="",", alternatives","")&amp;IF(AND($D188&lt;&gt;"",COUNTIF(UnitList,$D188)=0),", a unit that is not in your structure",""),3,300))</f>
        <v/>
      </c>
      <c r="T188" s="17" t="str">
        <f aca="false">IF($S188="","",COUNTIF($S$6:$S188,"?*"))</f>
        <v/>
      </c>
    </row>
    <row r="189" customFormat="false" ht="15" hidden="false" customHeight="false" outlineLevel="0" collapsed="false">
      <c r="A189" s="17" t="n">
        <v>184</v>
      </c>
      <c r="B189" s="21"/>
      <c r="C189" s="21"/>
      <c r="D189" s="21"/>
      <c r="E189" s="21"/>
      <c r="F189" s="21"/>
      <c r="G189" s="21"/>
      <c r="H189" s="21"/>
      <c r="I189" s="21"/>
      <c r="J189" s="20" t="str">
        <f aca="false">IF($F189="","",SUMIFS(SeatApproved,SeatUnit,$D189,SeatTitle,$F189))</f>
        <v/>
      </c>
      <c r="K189" s="20" t="str">
        <f aca="false">IF($F189="","",SUM($L189:$O189))</f>
        <v/>
      </c>
      <c r="L189" s="22"/>
      <c r="M189" s="22"/>
      <c r="N189" s="22"/>
      <c r="O189" s="22"/>
      <c r="P189" s="18" t="str">
        <f aca="false">IF($Q189="","",IFERROR(INDEX(DriverCategory,MATCH($Q189,DriverList,0)),"?"))</f>
        <v/>
      </c>
      <c r="Q189" s="21"/>
      <c r="R189" s="21"/>
      <c r="S189" s="23" t="str">
        <f aca="false">IF(COUNTA($B189:$H189)+COUNTA($L189:$O189)=0,"",MID(IF($B189="",", division","")&amp;IF($D189="",", unit","")&amp;IF($F189="",", job title","")&amp;IF($G189="",", career level","")&amp;IF($H189="",", job family","")&amp;IF($I189="",", worker type","")&amp;IF(N($K189)&lt;=0,", the quarter split","")&amp;IF($Q189="",", driver","")&amp;IF($R189="",", alternatives","")&amp;IF(AND($D189&lt;&gt;"",COUNTIF(UnitList,$D189)=0),", a unit that is not in your structure",""),3,300))</f>
        <v/>
      </c>
      <c r="T189" s="17" t="str">
        <f aca="false">IF($S189="","",COUNTIF($S$6:$S189,"?*"))</f>
        <v/>
      </c>
    </row>
    <row r="190" customFormat="false" ht="15" hidden="false" customHeight="false" outlineLevel="0" collapsed="false">
      <c r="A190" s="17" t="n">
        <v>185</v>
      </c>
      <c r="B190" s="21"/>
      <c r="C190" s="21"/>
      <c r="D190" s="21"/>
      <c r="E190" s="21"/>
      <c r="F190" s="21"/>
      <c r="G190" s="21"/>
      <c r="H190" s="21"/>
      <c r="I190" s="21"/>
      <c r="J190" s="20" t="str">
        <f aca="false">IF($F190="","",SUMIFS(SeatApproved,SeatUnit,$D190,SeatTitle,$F190))</f>
        <v/>
      </c>
      <c r="K190" s="20" t="str">
        <f aca="false">IF($F190="","",SUM($L190:$O190))</f>
        <v/>
      </c>
      <c r="L190" s="22"/>
      <c r="M190" s="22"/>
      <c r="N190" s="22"/>
      <c r="O190" s="22"/>
      <c r="P190" s="18" t="str">
        <f aca="false">IF($Q190="","",IFERROR(INDEX(DriverCategory,MATCH($Q190,DriverList,0)),"?"))</f>
        <v/>
      </c>
      <c r="Q190" s="21"/>
      <c r="R190" s="21"/>
      <c r="S190" s="23" t="str">
        <f aca="false">IF(COUNTA($B190:$H190)+COUNTA($L190:$O190)=0,"",MID(IF($B190="",", division","")&amp;IF($D190="",", unit","")&amp;IF($F190="",", job title","")&amp;IF($G190="",", career level","")&amp;IF($H190="",", job family","")&amp;IF($I190="",", worker type","")&amp;IF(N($K190)&lt;=0,", the quarter split","")&amp;IF($Q190="",", driver","")&amp;IF($R190="",", alternatives","")&amp;IF(AND($D190&lt;&gt;"",COUNTIF(UnitList,$D190)=0),", a unit that is not in your structure",""),3,300))</f>
        <v/>
      </c>
      <c r="T190" s="17" t="str">
        <f aca="false">IF($S190="","",COUNTIF($S$6:$S190,"?*"))</f>
        <v/>
      </c>
    </row>
    <row r="191" customFormat="false" ht="15" hidden="false" customHeight="false" outlineLevel="0" collapsed="false">
      <c r="A191" s="17" t="n">
        <v>186</v>
      </c>
      <c r="B191" s="21"/>
      <c r="C191" s="21"/>
      <c r="D191" s="21"/>
      <c r="E191" s="21"/>
      <c r="F191" s="21"/>
      <c r="G191" s="21"/>
      <c r="H191" s="21"/>
      <c r="I191" s="21"/>
      <c r="J191" s="20" t="str">
        <f aca="false">IF($F191="","",SUMIFS(SeatApproved,SeatUnit,$D191,SeatTitle,$F191))</f>
        <v/>
      </c>
      <c r="K191" s="20" t="str">
        <f aca="false">IF($F191="","",SUM($L191:$O191))</f>
        <v/>
      </c>
      <c r="L191" s="22"/>
      <c r="M191" s="22"/>
      <c r="N191" s="22"/>
      <c r="O191" s="22"/>
      <c r="P191" s="18" t="str">
        <f aca="false">IF($Q191="","",IFERROR(INDEX(DriverCategory,MATCH($Q191,DriverList,0)),"?"))</f>
        <v/>
      </c>
      <c r="Q191" s="21"/>
      <c r="R191" s="21"/>
      <c r="S191" s="23" t="str">
        <f aca="false">IF(COUNTA($B191:$H191)+COUNTA($L191:$O191)=0,"",MID(IF($B191="",", division","")&amp;IF($D191="",", unit","")&amp;IF($F191="",", job title","")&amp;IF($G191="",", career level","")&amp;IF($H191="",", job family","")&amp;IF($I191="",", worker type","")&amp;IF(N($K191)&lt;=0,", the quarter split","")&amp;IF($Q191="",", driver","")&amp;IF($R191="",", alternatives","")&amp;IF(AND($D191&lt;&gt;"",COUNTIF(UnitList,$D191)=0),", a unit that is not in your structure",""),3,300))</f>
        <v/>
      </c>
      <c r="T191" s="17" t="str">
        <f aca="false">IF($S191="","",COUNTIF($S$6:$S191,"?*"))</f>
        <v/>
      </c>
    </row>
    <row r="192" customFormat="false" ht="15" hidden="false" customHeight="false" outlineLevel="0" collapsed="false">
      <c r="A192" s="17" t="n">
        <v>187</v>
      </c>
      <c r="B192" s="21"/>
      <c r="C192" s="21"/>
      <c r="D192" s="21"/>
      <c r="E192" s="21"/>
      <c r="F192" s="21"/>
      <c r="G192" s="21"/>
      <c r="H192" s="21"/>
      <c r="I192" s="21"/>
      <c r="J192" s="20" t="str">
        <f aca="false">IF($F192="","",SUMIFS(SeatApproved,SeatUnit,$D192,SeatTitle,$F192))</f>
        <v/>
      </c>
      <c r="K192" s="20" t="str">
        <f aca="false">IF($F192="","",SUM($L192:$O192))</f>
        <v/>
      </c>
      <c r="L192" s="22"/>
      <c r="M192" s="22"/>
      <c r="N192" s="22"/>
      <c r="O192" s="22"/>
      <c r="P192" s="18" t="str">
        <f aca="false">IF($Q192="","",IFERROR(INDEX(DriverCategory,MATCH($Q192,DriverList,0)),"?"))</f>
        <v/>
      </c>
      <c r="Q192" s="21"/>
      <c r="R192" s="21"/>
      <c r="S192" s="23" t="str">
        <f aca="false">IF(COUNTA($B192:$H192)+COUNTA($L192:$O192)=0,"",MID(IF($B192="",", division","")&amp;IF($D192="",", unit","")&amp;IF($F192="",", job title","")&amp;IF($G192="",", career level","")&amp;IF($H192="",", job family","")&amp;IF($I192="",", worker type","")&amp;IF(N($K192)&lt;=0,", the quarter split","")&amp;IF($Q192="",", driver","")&amp;IF($R192="",", alternatives","")&amp;IF(AND($D192&lt;&gt;"",COUNTIF(UnitList,$D192)=0),", a unit that is not in your structure",""),3,300))</f>
        <v/>
      </c>
      <c r="T192" s="17" t="str">
        <f aca="false">IF($S192="","",COUNTIF($S$6:$S192,"?*"))</f>
        <v/>
      </c>
    </row>
    <row r="193" customFormat="false" ht="15" hidden="false" customHeight="false" outlineLevel="0" collapsed="false">
      <c r="A193" s="17" t="n">
        <v>188</v>
      </c>
      <c r="B193" s="21"/>
      <c r="C193" s="21"/>
      <c r="D193" s="21"/>
      <c r="E193" s="21"/>
      <c r="F193" s="21"/>
      <c r="G193" s="21"/>
      <c r="H193" s="21"/>
      <c r="I193" s="21"/>
      <c r="J193" s="20" t="str">
        <f aca="false">IF($F193="","",SUMIFS(SeatApproved,SeatUnit,$D193,SeatTitle,$F193))</f>
        <v/>
      </c>
      <c r="K193" s="20" t="str">
        <f aca="false">IF($F193="","",SUM($L193:$O193))</f>
        <v/>
      </c>
      <c r="L193" s="22"/>
      <c r="M193" s="22"/>
      <c r="N193" s="22"/>
      <c r="O193" s="22"/>
      <c r="P193" s="18" t="str">
        <f aca="false">IF($Q193="","",IFERROR(INDEX(DriverCategory,MATCH($Q193,DriverList,0)),"?"))</f>
        <v/>
      </c>
      <c r="Q193" s="21"/>
      <c r="R193" s="21"/>
      <c r="S193" s="23" t="str">
        <f aca="false">IF(COUNTA($B193:$H193)+COUNTA($L193:$O193)=0,"",MID(IF($B193="",", division","")&amp;IF($D193="",", unit","")&amp;IF($F193="",", job title","")&amp;IF($G193="",", career level","")&amp;IF($H193="",", job family","")&amp;IF($I193="",", worker type","")&amp;IF(N($K193)&lt;=0,", the quarter split","")&amp;IF($Q193="",", driver","")&amp;IF($R193="",", alternatives","")&amp;IF(AND($D193&lt;&gt;"",COUNTIF(UnitList,$D193)=0),", a unit that is not in your structure",""),3,300))</f>
        <v/>
      </c>
      <c r="T193" s="17" t="str">
        <f aca="false">IF($S193="","",COUNTIF($S$6:$S193,"?*"))</f>
        <v/>
      </c>
    </row>
    <row r="194" customFormat="false" ht="15" hidden="false" customHeight="false" outlineLevel="0" collapsed="false">
      <c r="A194" s="17" t="n">
        <v>189</v>
      </c>
      <c r="B194" s="21"/>
      <c r="C194" s="21"/>
      <c r="D194" s="21"/>
      <c r="E194" s="21"/>
      <c r="F194" s="21"/>
      <c r="G194" s="21"/>
      <c r="H194" s="21"/>
      <c r="I194" s="21"/>
      <c r="J194" s="20" t="str">
        <f aca="false">IF($F194="","",SUMIFS(SeatApproved,SeatUnit,$D194,SeatTitle,$F194))</f>
        <v/>
      </c>
      <c r="K194" s="20" t="str">
        <f aca="false">IF($F194="","",SUM($L194:$O194))</f>
        <v/>
      </c>
      <c r="L194" s="22"/>
      <c r="M194" s="22"/>
      <c r="N194" s="22"/>
      <c r="O194" s="22"/>
      <c r="P194" s="18" t="str">
        <f aca="false">IF($Q194="","",IFERROR(INDEX(DriverCategory,MATCH($Q194,DriverList,0)),"?"))</f>
        <v/>
      </c>
      <c r="Q194" s="21"/>
      <c r="R194" s="21"/>
      <c r="S194" s="23" t="str">
        <f aca="false">IF(COUNTA($B194:$H194)+COUNTA($L194:$O194)=0,"",MID(IF($B194="",", division","")&amp;IF($D194="",", unit","")&amp;IF($F194="",", job title","")&amp;IF($G194="",", career level","")&amp;IF($H194="",", job family","")&amp;IF($I194="",", worker type","")&amp;IF(N($K194)&lt;=0,", the quarter split","")&amp;IF($Q194="",", driver","")&amp;IF($R194="",", alternatives","")&amp;IF(AND($D194&lt;&gt;"",COUNTIF(UnitList,$D194)=0),", a unit that is not in your structure",""),3,300))</f>
        <v/>
      </c>
      <c r="T194" s="17" t="str">
        <f aca="false">IF($S194="","",COUNTIF($S$6:$S194,"?*"))</f>
        <v/>
      </c>
    </row>
    <row r="195" customFormat="false" ht="15" hidden="false" customHeight="false" outlineLevel="0" collapsed="false">
      <c r="A195" s="17" t="n">
        <v>190</v>
      </c>
      <c r="B195" s="21"/>
      <c r="C195" s="21"/>
      <c r="D195" s="21"/>
      <c r="E195" s="21"/>
      <c r="F195" s="21"/>
      <c r="G195" s="21"/>
      <c r="H195" s="21"/>
      <c r="I195" s="21"/>
      <c r="J195" s="20" t="str">
        <f aca="false">IF($F195="","",SUMIFS(SeatApproved,SeatUnit,$D195,SeatTitle,$F195))</f>
        <v/>
      </c>
      <c r="K195" s="20" t="str">
        <f aca="false">IF($F195="","",SUM($L195:$O195))</f>
        <v/>
      </c>
      <c r="L195" s="22"/>
      <c r="M195" s="22"/>
      <c r="N195" s="22"/>
      <c r="O195" s="22"/>
      <c r="P195" s="18" t="str">
        <f aca="false">IF($Q195="","",IFERROR(INDEX(DriverCategory,MATCH($Q195,DriverList,0)),"?"))</f>
        <v/>
      </c>
      <c r="Q195" s="21"/>
      <c r="R195" s="21"/>
      <c r="S195" s="23" t="str">
        <f aca="false">IF(COUNTA($B195:$H195)+COUNTA($L195:$O195)=0,"",MID(IF($B195="",", division","")&amp;IF($D195="",", unit","")&amp;IF($F195="",", job title","")&amp;IF($G195="",", career level","")&amp;IF($H195="",", job family","")&amp;IF($I195="",", worker type","")&amp;IF(N($K195)&lt;=0,", the quarter split","")&amp;IF($Q195="",", driver","")&amp;IF($R195="",", alternatives","")&amp;IF(AND($D195&lt;&gt;"",COUNTIF(UnitList,$D195)=0),", a unit that is not in your structure",""),3,300))</f>
        <v/>
      </c>
      <c r="T195" s="17" t="str">
        <f aca="false">IF($S195="","",COUNTIF($S$6:$S195,"?*"))</f>
        <v/>
      </c>
    </row>
    <row r="196" customFormat="false" ht="15" hidden="false" customHeight="false" outlineLevel="0" collapsed="false">
      <c r="A196" s="17" t="n">
        <v>191</v>
      </c>
      <c r="B196" s="21"/>
      <c r="C196" s="21"/>
      <c r="D196" s="21"/>
      <c r="E196" s="21"/>
      <c r="F196" s="21"/>
      <c r="G196" s="21"/>
      <c r="H196" s="21"/>
      <c r="I196" s="21"/>
      <c r="J196" s="20" t="str">
        <f aca="false">IF($F196="","",SUMIFS(SeatApproved,SeatUnit,$D196,SeatTitle,$F196))</f>
        <v/>
      </c>
      <c r="K196" s="20" t="str">
        <f aca="false">IF($F196="","",SUM($L196:$O196))</f>
        <v/>
      </c>
      <c r="L196" s="22"/>
      <c r="M196" s="22"/>
      <c r="N196" s="22"/>
      <c r="O196" s="22"/>
      <c r="P196" s="18" t="str">
        <f aca="false">IF($Q196="","",IFERROR(INDEX(DriverCategory,MATCH($Q196,DriverList,0)),"?"))</f>
        <v/>
      </c>
      <c r="Q196" s="21"/>
      <c r="R196" s="21"/>
      <c r="S196" s="23" t="str">
        <f aca="false">IF(COUNTA($B196:$H196)+COUNTA($L196:$O196)=0,"",MID(IF($B196="",", division","")&amp;IF($D196="",", unit","")&amp;IF($F196="",", job title","")&amp;IF($G196="",", career level","")&amp;IF($H196="",", job family","")&amp;IF($I196="",", worker type","")&amp;IF(N($K196)&lt;=0,", the quarter split","")&amp;IF($Q196="",", driver","")&amp;IF($R196="",", alternatives","")&amp;IF(AND($D196&lt;&gt;"",COUNTIF(UnitList,$D196)=0),", a unit that is not in your structure",""),3,300))</f>
        <v/>
      </c>
      <c r="T196" s="17" t="str">
        <f aca="false">IF($S196="","",COUNTIF($S$6:$S196,"?*"))</f>
        <v/>
      </c>
    </row>
    <row r="197" customFormat="false" ht="15" hidden="false" customHeight="false" outlineLevel="0" collapsed="false">
      <c r="A197" s="17" t="n">
        <v>192</v>
      </c>
      <c r="B197" s="21"/>
      <c r="C197" s="21"/>
      <c r="D197" s="21"/>
      <c r="E197" s="21"/>
      <c r="F197" s="21"/>
      <c r="G197" s="21"/>
      <c r="H197" s="21"/>
      <c r="I197" s="21"/>
      <c r="J197" s="20" t="str">
        <f aca="false">IF($F197="","",SUMIFS(SeatApproved,SeatUnit,$D197,SeatTitle,$F197))</f>
        <v/>
      </c>
      <c r="K197" s="20" t="str">
        <f aca="false">IF($F197="","",SUM($L197:$O197))</f>
        <v/>
      </c>
      <c r="L197" s="22"/>
      <c r="M197" s="22"/>
      <c r="N197" s="22"/>
      <c r="O197" s="22"/>
      <c r="P197" s="18" t="str">
        <f aca="false">IF($Q197="","",IFERROR(INDEX(DriverCategory,MATCH($Q197,DriverList,0)),"?"))</f>
        <v/>
      </c>
      <c r="Q197" s="21"/>
      <c r="R197" s="21"/>
      <c r="S197" s="23" t="str">
        <f aca="false">IF(COUNTA($B197:$H197)+COUNTA($L197:$O197)=0,"",MID(IF($B197="",", division","")&amp;IF($D197="",", unit","")&amp;IF($F197="",", job title","")&amp;IF($G197="",", career level","")&amp;IF($H197="",", job family","")&amp;IF($I197="",", worker type","")&amp;IF(N($K197)&lt;=0,", the quarter split","")&amp;IF($Q197="",", driver","")&amp;IF($R197="",", alternatives","")&amp;IF(AND($D197&lt;&gt;"",COUNTIF(UnitList,$D197)=0),", a unit that is not in your structure",""),3,300))</f>
        <v/>
      </c>
      <c r="T197" s="17" t="str">
        <f aca="false">IF($S197="","",COUNTIF($S$6:$S197,"?*"))</f>
        <v/>
      </c>
    </row>
    <row r="198" customFormat="false" ht="15" hidden="false" customHeight="false" outlineLevel="0" collapsed="false">
      <c r="A198" s="17" t="n">
        <v>193</v>
      </c>
      <c r="B198" s="21"/>
      <c r="C198" s="21"/>
      <c r="D198" s="21"/>
      <c r="E198" s="21"/>
      <c r="F198" s="21"/>
      <c r="G198" s="21"/>
      <c r="H198" s="21"/>
      <c r="I198" s="21"/>
      <c r="J198" s="20" t="str">
        <f aca="false">IF($F198="","",SUMIFS(SeatApproved,SeatUnit,$D198,SeatTitle,$F198))</f>
        <v/>
      </c>
      <c r="K198" s="20" t="str">
        <f aca="false">IF($F198="","",SUM($L198:$O198))</f>
        <v/>
      </c>
      <c r="L198" s="22"/>
      <c r="M198" s="22"/>
      <c r="N198" s="22"/>
      <c r="O198" s="22"/>
      <c r="P198" s="18" t="str">
        <f aca="false">IF($Q198="","",IFERROR(INDEX(DriverCategory,MATCH($Q198,DriverList,0)),"?"))</f>
        <v/>
      </c>
      <c r="Q198" s="21"/>
      <c r="R198" s="21"/>
      <c r="S198" s="23" t="str">
        <f aca="false">IF(COUNTA($B198:$H198)+COUNTA($L198:$O198)=0,"",MID(IF($B198="",", division","")&amp;IF($D198="",", unit","")&amp;IF($F198="",", job title","")&amp;IF($G198="",", career level","")&amp;IF($H198="",", job family","")&amp;IF($I198="",", worker type","")&amp;IF(N($K198)&lt;=0,", the quarter split","")&amp;IF($Q198="",", driver","")&amp;IF($R198="",", alternatives","")&amp;IF(AND($D198&lt;&gt;"",COUNTIF(UnitList,$D198)=0),", a unit that is not in your structure",""),3,300))</f>
        <v/>
      </c>
      <c r="T198" s="17" t="str">
        <f aca="false">IF($S198="","",COUNTIF($S$6:$S198,"?*"))</f>
        <v/>
      </c>
    </row>
    <row r="199" customFormat="false" ht="15" hidden="false" customHeight="false" outlineLevel="0" collapsed="false">
      <c r="A199" s="17" t="n">
        <v>194</v>
      </c>
      <c r="B199" s="21"/>
      <c r="C199" s="21"/>
      <c r="D199" s="21"/>
      <c r="E199" s="21"/>
      <c r="F199" s="21"/>
      <c r="G199" s="21"/>
      <c r="H199" s="21"/>
      <c r="I199" s="21"/>
      <c r="J199" s="20" t="str">
        <f aca="false">IF($F199="","",SUMIFS(SeatApproved,SeatUnit,$D199,SeatTitle,$F199))</f>
        <v/>
      </c>
      <c r="K199" s="20" t="str">
        <f aca="false">IF($F199="","",SUM($L199:$O199))</f>
        <v/>
      </c>
      <c r="L199" s="22"/>
      <c r="M199" s="22"/>
      <c r="N199" s="22"/>
      <c r="O199" s="22"/>
      <c r="P199" s="18" t="str">
        <f aca="false">IF($Q199="","",IFERROR(INDEX(DriverCategory,MATCH($Q199,DriverList,0)),"?"))</f>
        <v/>
      </c>
      <c r="Q199" s="21"/>
      <c r="R199" s="21"/>
      <c r="S199" s="23" t="str">
        <f aca="false">IF(COUNTA($B199:$H199)+COUNTA($L199:$O199)=0,"",MID(IF($B199="",", division","")&amp;IF($D199="",", unit","")&amp;IF($F199="",", job title","")&amp;IF($G199="",", career level","")&amp;IF($H199="",", job family","")&amp;IF($I199="",", worker type","")&amp;IF(N($K199)&lt;=0,", the quarter split","")&amp;IF($Q199="",", driver","")&amp;IF($R199="",", alternatives","")&amp;IF(AND($D199&lt;&gt;"",COUNTIF(UnitList,$D199)=0),", a unit that is not in your structure",""),3,300))</f>
        <v/>
      </c>
      <c r="T199" s="17" t="str">
        <f aca="false">IF($S199="","",COUNTIF($S$6:$S199,"?*"))</f>
        <v/>
      </c>
    </row>
    <row r="200" customFormat="false" ht="15" hidden="false" customHeight="false" outlineLevel="0" collapsed="false">
      <c r="A200" s="17" t="n">
        <v>195</v>
      </c>
      <c r="B200" s="21"/>
      <c r="C200" s="21"/>
      <c r="D200" s="21"/>
      <c r="E200" s="21"/>
      <c r="F200" s="21"/>
      <c r="G200" s="21"/>
      <c r="H200" s="21"/>
      <c r="I200" s="21"/>
      <c r="J200" s="20" t="str">
        <f aca="false">IF($F200="","",SUMIFS(SeatApproved,SeatUnit,$D200,SeatTitle,$F200))</f>
        <v/>
      </c>
      <c r="K200" s="20" t="str">
        <f aca="false">IF($F200="","",SUM($L200:$O200))</f>
        <v/>
      </c>
      <c r="L200" s="22"/>
      <c r="M200" s="22"/>
      <c r="N200" s="22"/>
      <c r="O200" s="22"/>
      <c r="P200" s="18" t="str">
        <f aca="false">IF($Q200="","",IFERROR(INDEX(DriverCategory,MATCH($Q200,DriverList,0)),"?"))</f>
        <v/>
      </c>
      <c r="Q200" s="21"/>
      <c r="R200" s="21"/>
      <c r="S200" s="23" t="str">
        <f aca="false">IF(COUNTA($B200:$H200)+COUNTA($L200:$O200)=0,"",MID(IF($B200="",", division","")&amp;IF($D200="",", unit","")&amp;IF($F200="",", job title","")&amp;IF($G200="",", career level","")&amp;IF($H200="",", job family","")&amp;IF($I200="",", worker type","")&amp;IF(N($K200)&lt;=0,", the quarter split","")&amp;IF($Q200="",", driver","")&amp;IF($R200="",", alternatives","")&amp;IF(AND($D200&lt;&gt;"",COUNTIF(UnitList,$D200)=0),", a unit that is not in your structure",""),3,300))</f>
        <v/>
      </c>
      <c r="T200" s="17" t="str">
        <f aca="false">IF($S200="","",COUNTIF($S$6:$S200,"?*"))</f>
        <v/>
      </c>
    </row>
    <row r="201" customFormat="false" ht="15" hidden="false" customHeight="false" outlineLevel="0" collapsed="false">
      <c r="A201" s="17" t="n">
        <v>196</v>
      </c>
      <c r="B201" s="21"/>
      <c r="C201" s="21"/>
      <c r="D201" s="21"/>
      <c r="E201" s="21"/>
      <c r="F201" s="21"/>
      <c r="G201" s="21"/>
      <c r="H201" s="21"/>
      <c r="I201" s="21"/>
      <c r="J201" s="20" t="str">
        <f aca="false">IF($F201="","",SUMIFS(SeatApproved,SeatUnit,$D201,SeatTitle,$F201))</f>
        <v/>
      </c>
      <c r="K201" s="20" t="str">
        <f aca="false">IF($F201="","",SUM($L201:$O201))</f>
        <v/>
      </c>
      <c r="L201" s="22"/>
      <c r="M201" s="22"/>
      <c r="N201" s="22"/>
      <c r="O201" s="22"/>
      <c r="P201" s="18" t="str">
        <f aca="false">IF($Q201="","",IFERROR(INDEX(DriverCategory,MATCH($Q201,DriverList,0)),"?"))</f>
        <v/>
      </c>
      <c r="Q201" s="21"/>
      <c r="R201" s="21"/>
      <c r="S201" s="23" t="str">
        <f aca="false">IF(COUNTA($B201:$H201)+COUNTA($L201:$O201)=0,"",MID(IF($B201="",", division","")&amp;IF($D201="",", unit","")&amp;IF($F201="",", job title","")&amp;IF($G201="",", career level","")&amp;IF($H201="",", job family","")&amp;IF($I201="",", worker type","")&amp;IF(N($K201)&lt;=0,", the quarter split","")&amp;IF($Q201="",", driver","")&amp;IF($R201="",", alternatives","")&amp;IF(AND($D201&lt;&gt;"",COUNTIF(UnitList,$D201)=0),", a unit that is not in your structure",""),3,300))</f>
        <v/>
      </c>
      <c r="T201" s="17" t="str">
        <f aca="false">IF($S201="","",COUNTIF($S$6:$S201,"?*"))</f>
        <v/>
      </c>
    </row>
    <row r="202" customFormat="false" ht="15" hidden="false" customHeight="false" outlineLevel="0" collapsed="false">
      <c r="A202" s="17" t="n">
        <v>197</v>
      </c>
      <c r="B202" s="21"/>
      <c r="C202" s="21"/>
      <c r="D202" s="21"/>
      <c r="E202" s="21"/>
      <c r="F202" s="21"/>
      <c r="G202" s="21"/>
      <c r="H202" s="21"/>
      <c r="I202" s="21"/>
      <c r="J202" s="20" t="str">
        <f aca="false">IF($F202="","",SUMIFS(SeatApproved,SeatUnit,$D202,SeatTitle,$F202))</f>
        <v/>
      </c>
      <c r="K202" s="20" t="str">
        <f aca="false">IF($F202="","",SUM($L202:$O202))</f>
        <v/>
      </c>
      <c r="L202" s="22"/>
      <c r="M202" s="22"/>
      <c r="N202" s="22"/>
      <c r="O202" s="22"/>
      <c r="P202" s="18" t="str">
        <f aca="false">IF($Q202="","",IFERROR(INDEX(DriverCategory,MATCH($Q202,DriverList,0)),"?"))</f>
        <v/>
      </c>
      <c r="Q202" s="21"/>
      <c r="R202" s="21"/>
      <c r="S202" s="23" t="str">
        <f aca="false">IF(COUNTA($B202:$H202)+COUNTA($L202:$O202)=0,"",MID(IF($B202="",", division","")&amp;IF($D202="",", unit","")&amp;IF($F202="",", job title","")&amp;IF($G202="",", career level","")&amp;IF($H202="",", job family","")&amp;IF($I202="",", worker type","")&amp;IF(N($K202)&lt;=0,", the quarter split","")&amp;IF($Q202="",", driver","")&amp;IF($R202="",", alternatives","")&amp;IF(AND($D202&lt;&gt;"",COUNTIF(UnitList,$D202)=0),", a unit that is not in your structure",""),3,300))</f>
        <v/>
      </c>
      <c r="T202" s="17" t="str">
        <f aca="false">IF($S202="","",COUNTIF($S$6:$S202,"?*"))</f>
        <v/>
      </c>
    </row>
    <row r="203" customFormat="false" ht="15" hidden="false" customHeight="false" outlineLevel="0" collapsed="false">
      <c r="A203" s="17" t="n">
        <v>198</v>
      </c>
      <c r="B203" s="21"/>
      <c r="C203" s="21"/>
      <c r="D203" s="21"/>
      <c r="E203" s="21"/>
      <c r="F203" s="21"/>
      <c r="G203" s="21"/>
      <c r="H203" s="21"/>
      <c r="I203" s="21"/>
      <c r="J203" s="20" t="str">
        <f aca="false">IF($F203="","",SUMIFS(SeatApproved,SeatUnit,$D203,SeatTitle,$F203))</f>
        <v/>
      </c>
      <c r="K203" s="20" t="str">
        <f aca="false">IF($F203="","",SUM($L203:$O203))</f>
        <v/>
      </c>
      <c r="L203" s="22"/>
      <c r="M203" s="22"/>
      <c r="N203" s="22"/>
      <c r="O203" s="22"/>
      <c r="P203" s="18" t="str">
        <f aca="false">IF($Q203="","",IFERROR(INDEX(DriverCategory,MATCH($Q203,DriverList,0)),"?"))</f>
        <v/>
      </c>
      <c r="Q203" s="21"/>
      <c r="R203" s="21"/>
      <c r="S203" s="23" t="str">
        <f aca="false">IF(COUNTA($B203:$H203)+COUNTA($L203:$O203)=0,"",MID(IF($B203="",", division","")&amp;IF($D203="",", unit","")&amp;IF($F203="",", job title","")&amp;IF($G203="",", career level","")&amp;IF($H203="",", job family","")&amp;IF($I203="",", worker type","")&amp;IF(N($K203)&lt;=0,", the quarter split","")&amp;IF($Q203="",", driver","")&amp;IF($R203="",", alternatives","")&amp;IF(AND($D203&lt;&gt;"",COUNTIF(UnitList,$D203)=0),", a unit that is not in your structure",""),3,300))</f>
        <v/>
      </c>
      <c r="T203" s="17" t="str">
        <f aca="false">IF($S203="","",COUNTIF($S$6:$S203,"?*"))</f>
        <v/>
      </c>
    </row>
    <row r="204" customFormat="false" ht="15" hidden="false" customHeight="false" outlineLevel="0" collapsed="false">
      <c r="A204" s="17" t="n">
        <v>199</v>
      </c>
      <c r="B204" s="21"/>
      <c r="C204" s="21"/>
      <c r="D204" s="21"/>
      <c r="E204" s="21"/>
      <c r="F204" s="21"/>
      <c r="G204" s="21"/>
      <c r="H204" s="21"/>
      <c r="I204" s="21"/>
      <c r="J204" s="20" t="str">
        <f aca="false">IF($F204="","",SUMIFS(SeatApproved,SeatUnit,$D204,SeatTitle,$F204))</f>
        <v/>
      </c>
      <c r="K204" s="20" t="str">
        <f aca="false">IF($F204="","",SUM($L204:$O204))</f>
        <v/>
      </c>
      <c r="L204" s="22"/>
      <c r="M204" s="22"/>
      <c r="N204" s="22"/>
      <c r="O204" s="22"/>
      <c r="P204" s="18" t="str">
        <f aca="false">IF($Q204="","",IFERROR(INDEX(DriverCategory,MATCH($Q204,DriverList,0)),"?"))</f>
        <v/>
      </c>
      <c r="Q204" s="21"/>
      <c r="R204" s="21"/>
      <c r="S204" s="23" t="str">
        <f aca="false">IF(COUNTA($B204:$H204)+COUNTA($L204:$O204)=0,"",MID(IF($B204="",", division","")&amp;IF($D204="",", unit","")&amp;IF($F204="",", job title","")&amp;IF($G204="",", career level","")&amp;IF($H204="",", job family","")&amp;IF($I204="",", worker type","")&amp;IF(N($K204)&lt;=0,", the quarter split","")&amp;IF($Q204="",", driver","")&amp;IF($R204="",", alternatives","")&amp;IF(AND($D204&lt;&gt;"",COUNTIF(UnitList,$D204)=0),", a unit that is not in your structure",""),3,300))</f>
        <v/>
      </c>
      <c r="T204" s="17" t="str">
        <f aca="false">IF($S204="","",COUNTIF($S$6:$S204,"?*"))</f>
        <v/>
      </c>
    </row>
    <row r="205" customFormat="false" ht="15" hidden="false" customHeight="false" outlineLevel="0" collapsed="false">
      <c r="A205" s="17" t="n">
        <v>200</v>
      </c>
      <c r="B205" s="21"/>
      <c r="C205" s="21"/>
      <c r="D205" s="21"/>
      <c r="E205" s="21"/>
      <c r="F205" s="21"/>
      <c r="G205" s="21"/>
      <c r="H205" s="21"/>
      <c r="I205" s="21"/>
      <c r="J205" s="20" t="str">
        <f aca="false">IF($F205="","",SUMIFS(SeatApproved,SeatUnit,$D205,SeatTitle,$F205))</f>
        <v/>
      </c>
      <c r="K205" s="20" t="str">
        <f aca="false">IF($F205="","",SUM($L205:$O205))</f>
        <v/>
      </c>
      <c r="L205" s="22"/>
      <c r="M205" s="22"/>
      <c r="N205" s="22"/>
      <c r="O205" s="22"/>
      <c r="P205" s="18" t="str">
        <f aca="false">IF($Q205="","",IFERROR(INDEX(DriverCategory,MATCH($Q205,DriverList,0)),"?"))</f>
        <v/>
      </c>
      <c r="Q205" s="21"/>
      <c r="R205" s="21"/>
      <c r="S205" s="23" t="str">
        <f aca="false">IF(COUNTA($B205:$H205)+COUNTA($L205:$O205)=0,"",MID(IF($B205="",", division","")&amp;IF($D205="",", unit","")&amp;IF($F205="",", job title","")&amp;IF($G205="",", career level","")&amp;IF($H205="",", job family","")&amp;IF($I205="",", worker type","")&amp;IF(N($K205)&lt;=0,", the quarter split","")&amp;IF($Q205="",", driver","")&amp;IF($R205="",", alternatives","")&amp;IF(AND($D205&lt;&gt;"",COUNTIF(UnitList,$D205)=0),", a unit that is not in your structure",""),3,300))</f>
        <v/>
      </c>
      <c r="T205" s="17" t="str">
        <f aca="false">IF($S205="","",COUNTIF($S$6:$S205,"?*"))</f>
        <v/>
      </c>
    </row>
  </sheetData>
  <sheetProtection sheet="true" sort="false" autoFilter="false"/>
  <autoFilter ref="A5:T205"/>
  <mergeCells count="2">
    <mergeCell ref="A2:J2"/>
    <mergeCell ref="L4:O4"/>
  </mergeCells>
  <conditionalFormatting sqref="P6:P205">
    <cfRule type="cellIs" priority="2" operator="equal" aboveAverage="0" equalAverage="0" bottom="0" percent="0" rank="0" text="" dxfId="1">
      <formula>"Regulatory"</formula>
    </cfRule>
  </conditionalFormatting>
  <conditionalFormatting sqref="A6:T205">
    <cfRule type="expression" priority="3" aboveAverage="0" equalAverage="0" bottom="0" percent="0" rank="0" text="" dxfId="12">
      <formula>$S6&lt;&gt;""</formula>
    </cfRule>
  </conditionalFormatting>
  <dataValidations count="7">
    <dataValidation allowBlank="true" error="Pick a value from the list." errorStyle="stop" operator="between" showDropDown="false" showErrorMessage="true" showInputMessage="false" sqref="B6:B205" type="list">
      <formula1>DivisionList</formula1>
      <formula2>0</formula2>
    </dataValidation>
    <dataValidation allowBlank="true" error="Pick a value from the list." errorStyle="stop" operator="between" showDropDown="false" showErrorMessage="true" showInputMessage="false" sqref="D6:D205" type="list">
      <formula1>UnitList</formula1>
      <formula2>0</formula2>
    </dataValidation>
    <dataValidation allowBlank="true" error="Pick a value from the list." errorStyle="stop" operator="between" showDropDown="false" showErrorMessage="true" showInputMessage="false" sqref="G6:G205" type="list">
      <formula1>CareerLevels</formula1>
      <formula2>0</formula2>
    </dataValidation>
    <dataValidation allowBlank="true" error="Pick a value from the list." errorStyle="stop" operator="between" showDropDown="false" showErrorMessage="true" showInputMessage="false" sqref="H6:H205" type="list">
      <formula1>JobFamilies</formula1>
      <formula2>0</formula2>
    </dataValidation>
    <dataValidation allowBlank="true" error="Pick a value from the list." errorStyle="stop" operator="between" showDropDown="false" showErrorMessage="true" showInputMessage="false" sqref="I6:I205" type="list">
      <formula1>WorkerTypes</formula1>
      <formula2>0</formula2>
    </dataValidation>
    <dataValidation allowBlank="true" error="Pick a value from the list." errorStyle="stop" operator="between" showDropDown="false" showErrorMessage="true" showInputMessage="false" sqref="Q6:Q205" type="list">
      <formula1>DriverList</formula1>
      <formula2>0</formula2>
    </dataValidation>
    <dataValidation allowBlank="true" error="A quarter takes between 0 and 50 positions." errorStyle="stop" operator="between" showDropDown="false" showErrorMessage="true" showInputMessage="false" sqref="L6:O2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44"/>
  </cols>
  <sheetData>
    <row r="1" customFormat="false" ht="24" hidden="false" customHeight="true" outlineLevel="0" collapsed="false">
      <c r="A1" s="1" t="s">
        <v>234</v>
      </c>
    </row>
    <row r="2" customFormat="false" ht="15" hidden="false" customHeight="false" outlineLevel="0" collapsed="false">
      <c r="A2" s="2" t="s">
        <v>235</v>
      </c>
      <c r="B2" s="2"/>
      <c r="C2" s="2"/>
      <c r="D2" s="2"/>
      <c r="E2" s="2"/>
      <c r="F2" s="2"/>
      <c r="G2" s="2"/>
      <c r="H2" s="2"/>
      <c r="I2" s="2"/>
      <c r="J2" s="2"/>
    </row>
    <row r="4" customFormat="false" ht="15" hidden="false" customHeight="false" outlineLevel="0" collapsed="false">
      <c r="A4" s="3" t="s">
        <v>236</v>
      </c>
    </row>
    <row r="5" customFormat="false" ht="27.75" hidden="false" customHeight="true" outlineLevel="0" collapsed="false">
      <c r="A5" s="12" t="s">
        <v>38</v>
      </c>
      <c r="B5" s="12" t="s">
        <v>224</v>
      </c>
      <c r="C5" s="12" t="s">
        <v>113</v>
      </c>
      <c r="D5" s="12" t="s">
        <v>225</v>
      </c>
      <c r="E5" s="12" t="s">
        <v>237</v>
      </c>
      <c r="F5" s="12" t="s">
        <v>34</v>
      </c>
      <c r="G5" s="12"/>
    </row>
    <row r="6" customFormat="false" ht="15" hidden="false" customHeight="false" outlineLevel="0" collapsed="false">
      <c r="A6" s="9" t="s">
        <v>40</v>
      </c>
      <c r="B6" s="25" t="n">
        <f aca="false">SUMIFS(SeatApproved,SeatDivision,"Business Audit Division")</f>
        <v>70</v>
      </c>
      <c r="C6" s="25" t="n">
        <f aca="false">SUMIFS(SeatExits,SeatDivision,"Business Audit Division")</f>
        <v>0</v>
      </c>
      <c r="D6" s="25" t="n">
        <f aca="false">SUMIFS(AskTotal,AskDivision,"Business Audit Division")</f>
        <v>0</v>
      </c>
      <c r="E6" s="25" t="n">
        <f aca="false">$B6-$C6+$D6</f>
        <v>70</v>
      </c>
      <c r="F6" s="25" t="n">
        <f aca="false">$E6-$B6</f>
        <v>0</v>
      </c>
    </row>
    <row r="7" customFormat="false" ht="15" hidden="false" customHeight="false" outlineLevel="0" collapsed="false">
      <c r="A7" s="9" t="s">
        <v>72</v>
      </c>
      <c r="B7" s="25" t="n">
        <f aca="false">SUMIFS(SeatApproved,SeatDivision,"Technology Audit Division")</f>
        <v>70</v>
      </c>
      <c r="C7" s="25" t="n">
        <f aca="false">SUMIFS(SeatExits,SeatDivision,"Technology Audit Division")</f>
        <v>0</v>
      </c>
      <c r="D7" s="25" t="n">
        <f aca="false">SUMIFS(AskTotal,AskDivision,"Technology Audit Division")</f>
        <v>0</v>
      </c>
      <c r="E7" s="25" t="n">
        <f aca="false">$B7-$C7+$D7</f>
        <v>70</v>
      </c>
      <c r="F7" s="25" t="n">
        <f aca="false">$E7-$B7</f>
        <v>0</v>
      </c>
    </row>
    <row r="8" customFormat="false" ht="15" hidden="false" customHeight="false" outlineLevel="0" collapsed="false">
      <c r="A8" s="9" t="s">
        <v>238</v>
      </c>
      <c r="B8" s="25" t="n">
        <f aca="false">SUMIFS(SeatApproved,SeatDivision,"")</f>
        <v>1</v>
      </c>
      <c r="C8" s="25" t="n">
        <f aca="false">SUMIFS(SeatExits,SeatDivision,"")</f>
        <v>0</v>
      </c>
      <c r="D8" s="25" t="n">
        <f aca="false">SUMIFS(AskTotal,AskDivision,"")</f>
        <v>0</v>
      </c>
      <c r="E8" s="25" t="n">
        <f aca="false">$B8-$C8+$D8</f>
        <v>1</v>
      </c>
      <c r="F8" s="25" t="n">
        <f aca="false">$E8-$B8</f>
        <v>0</v>
      </c>
    </row>
    <row r="9" customFormat="false" ht="15" hidden="false" customHeight="false" outlineLevel="0" collapsed="false">
      <c r="A9" s="26" t="s">
        <v>239</v>
      </c>
      <c r="B9" s="16" t="n">
        <f aca="false">SUM(B6:B8)</f>
        <v>141</v>
      </c>
      <c r="C9" s="16" t="n">
        <f aca="false">SUM(C6:C8)</f>
        <v>0</v>
      </c>
      <c r="D9" s="16" t="n">
        <f aca="false">SUM(D6:D8)</f>
        <v>0</v>
      </c>
      <c r="E9" s="16" t="n">
        <f aca="false">SUM(E6:E8)</f>
        <v>141</v>
      </c>
      <c r="F9" s="16" t="n">
        <f aca="false">SUM(F6:F8)</f>
        <v>0</v>
      </c>
    </row>
    <row r="11" customFormat="false" ht="15" hidden="false" customHeight="false" outlineLevel="0" collapsed="false">
      <c r="A11" s="3" t="s">
        <v>240</v>
      </c>
      <c r="G11" s="27" t="s">
        <v>241</v>
      </c>
    </row>
    <row r="12" customFormat="false" ht="27.75" hidden="false" customHeight="true" outlineLevel="0" collapsed="false">
      <c r="A12" s="12" t="s">
        <v>38</v>
      </c>
      <c r="B12" s="12" t="s">
        <v>224</v>
      </c>
      <c r="C12" s="12" t="s">
        <v>113</v>
      </c>
      <c r="D12" s="12" t="s">
        <v>225</v>
      </c>
      <c r="E12" s="12" t="s">
        <v>237</v>
      </c>
      <c r="F12" s="12" t="s">
        <v>34</v>
      </c>
      <c r="G12" s="12"/>
    </row>
    <row r="13" customFormat="false" ht="15" hidden="false" customHeight="false" outlineLevel="0" collapsed="false">
      <c r="A13" s="9" t="s">
        <v>40</v>
      </c>
      <c r="B13" s="28" t="n">
        <f aca="false">SUMIFS(SeatApproved,SeatDivision,"Business Audit Division",SeatLevel,INDEX(LevelList,1),SeatMandate,"Yes")*(INDEX(LevelBasic,1)+INDEX(LevelHousing,1)+INDEX(LevelTransport,1)+INDEX(LevelBasic,1)*INDEX(LevelBonus,1)+(INDEX(LevelBasic,1)+INDEX(LevelHousing,1))*GosiSaudi)+SUMIFS(SeatApproved,SeatDivision,"Business Audit Division",SeatLevel,INDEX(LevelList,1),SeatMandate,"No")*(INDEX(LevelBasic,1)+INDEX(LevelHousing,1)+INDEX(LevelTransport,1)+INDEX(LevelBasic,1)*INDEX(LevelBonus,1)+(INDEX(LevelBasic,1)+INDEX(LevelHousing,1))*GosiOther)+SUMIFS(SeatApproved,SeatDivision,"Business Audit Division",SeatLevel,INDEX(LevelList,2),SeatMandate,"Yes")*(INDEX(LevelBasic,2)+INDEX(LevelHousing,2)+INDEX(LevelTransport,2)+INDEX(LevelBasic,2)*INDEX(LevelBonus,2)+(INDEX(LevelBasic,2)+INDEX(LevelHousing,2))*GosiSaudi)+SUMIFS(SeatApproved,SeatDivision,"Business Audit Division",SeatLevel,INDEX(LevelList,2),SeatMandate,"No")*(INDEX(LevelBasic,2)+INDEX(LevelHousing,2)+INDEX(LevelTransport,2)+INDEX(LevelBasic,2)*INDEX(LevelBonus,2)+(INDEX(LevelBasic,2)+INDEX(LevelHousing,2))*GosiOther)+SUMIFS(SeatApproved,SeatDivision,"Business Audit Division",SeatLevel,INDEX(LevelList,3),SeatMandate,"Yes")*(INDEX(LevelBasic,3)+INDEX(LevelHousing,3)+INDEX(LevelTransport,3)+INDEX(LevelBasic,3)*INDEX(LevelBonus,3)+(INDEX(LevelBasic,3)+INDEX(LevelHousing,3))*GosiSaudi)+SUMIFS(SeatApproved,SeatDivision,"Business Audit Division",SeatLevel,INDEX(LevelList,3),SeatMandate,"No")*(INDEX(LevelBasic,3)+INDEX(LevelHousing,3)+INDEX(LevelTransport,3)+INDEX(LevelBasic,3)*INDEX(LevelBonus,3)+(INDEX(LevelBasic,3)+INDEX(LevelHousing,3))*GosiOther)+SUMIFS(SeatApproved,SeatDivision,"Business Audit Division",SeatLevel,INDEX(LevelList,4),SeatMandate,"Yes")*(INDEX(LevelBasic,4)+INDEX(LevelHousing,4)+INDEX(LevelTransport,4)+INDEX(LevelBasic,4)*INDEX(LevelBonus,4)+(INDEX(LevelBasic,4)+INDEX(LevelHousing,4))*GosiSaudi)+SUMIFS(SeatApproved,SeatDivision,"Business Audit Division",SeatLevel,INDEX(LevelList,4),SeatMandate,"No")*(INDEX(LevelBasic,4)+INDEX(LevelHousing,4)+INDEX(LevelTransport,4)+INDEX(LevelBasic,4)*INDEX(LevelBonus,4)+(INDEX(LevelBasic,4)+INDEX(LevelHousing,4))*GosiOther)+SUMIFS(SeatApproved,SeatDivision,"Business Audit Division",SeatLevel,INDEX(LevelList,5),SeatMandate,"Yes")*(INDEX(LevelBasic,5)+INDEX(LevelHousing,5)+INDEX(LevelTransport,5)+INDEX(LevelBasic,5)*INDEX(LevelBonus,5)+(INDEX(LevelBasic,5)+INDEX(LevelHousing,5))*GosiSaudi)+SUMIFS(SeatApproved,SeatDivision,"Business Audit Division",SeatLevel,INDEX(LevelList,5),SeatMandate,"No")*(INDEX(LevelBasic,5)+INDEX(LevelHousing,5)+INDEX(LevelTransport,5)+INDEX(LevelBasic,5)*INDEX(LevelBonus,5)+(INDEX(LevelBasic,5)+INDEX(LevelHousing,5))*GosiOther)+SUMIFS(SeatApproved,SeatDivision,"Business Audit Division",SeatLevel,INDEX(LevelList,6),SeatMandate,"Yes")*(INDEX(LevelBasic,6)+INDEX(LevelHousing,6)+INDEX(LevelTransport,6)+INDEX(LevelBasic,6)*INDEX(LevelBonus,6)+(INDEX(LevelBasic,6)+INDEX(LevelHousing,6))*GosiSaudi)+SUMIFS(SeatApproved,SeatDivision,"Business Audit Division",SeatLevel,INDEX(LevelList,6),SeatMandate,"No")*(INDEX(LevelBasic,6)+INDEX(LevelHousing,6)+INDEX(LevelTransport,6)+INDEX(LevelBasic,6)*INDEX(LevelBonus,6)+(INDEX(LevelBasic,6)+INDEX(LevelHousing,6))*GosiOther)</f>
        <v>0</v>
      </c>
      <c r="C13" s="28" t="n">
        <f aca="false">SUMIFS(SeatExits,SeatDivision,"Business Audit Division",SeatLevel,INDEX(LevelList,1),SeatMandate,"Yes")*(INDEX(LevelBasic,1)+INDEX(LevelHousing,1)+INDEX(LevelTransport,1)+INDEX(LevelBasic,1)*INDEX(LevelBonus,1)+(INDEX(LevelBasic,1)+INDEX(LevelHousing,1))*GosiSaudi)+SUMIFS(SeatExits,SeatDivision,"Business Audit Division",SeatLevel,INDEX(LevelList,1),SeatMandate,"No")*(INDEX(LevelBasic,1)+INDEX(LevelHousing,1)+INDEX(LevelTransport,1)+INDEX(LevelBasic,1)*INDEX(LevelBonus,1)+(INDEX(LevelBasic,1)+INDEX(LevelHousing,1))*GosiOther)+SUMIFS(SeatExits,SeatDivision,"Business Audit Division",SeatLevel,INDEX(LevelList,2),SeatMandate,"Yes")*(INDEX(LevelBasic,2)+INDEX(LevelHousing,2)+INDEX(LevelTransport,2)+INDEX(LevelBasic,2)*INDEX(LevelBonus,2)+(INDEX(LevelBasic,2)+INDEX(LevelHousing,2))*GosiSaudi)+SUMIFS(SeatExits,SeatDivision,"Business Audit Division",SeatLevel,INDEX(LevelList,2),SeatMandate,"No")*(INDEX(LevelBasic,2)+INDEX(LevelHousing,2)+INDEX(LevelTransport,2)+INDEX(LevelBasic,2)*INDEX(LevelBonus,2)+(INDEX(LevelBasic,2)+INDEX(LevelHousing,2))*GosiOther)+SUMIFS(SeatExits,SeatDivision,"Business Audit Division",SeatLevel,INDEX(LevelList,3),SeatMandate,"Yes")*(INDEX(LevelBasic,3)+INDEX(LevelHousing,3)+INDEX(LevelTransport,3)+INDEX(LevelBasic,3)*INDEX(LevelBonus,3)+(INDEX(LevelBasic,3)+INDEX(LevelHousing,3))*GosiSaudi)+SUMIFS(SeatExits,SeatDivision,"Business Audit Division",SeatLevel,INDEX(LevelList,3),SeatMandate,"No")*(INDEX(LevelBasic,3)+INDEX(LevelHousing,3)+INDEX(LevelTransport,3)+INDEX(LevelBasic,3)*INDEX(LevelBonus,3)+(INDEX(LevelBasic,3)+INDEX(LevelHousing,3))*GosiOther)+SUMIFS(SeatExits,SeatDivision,"Business Audit Division",SeatLevel,INDEX(LevelList,4),SeatMandate,"Yes")*(INDEX(LevelBasic,4)+INDEX(LevelHousing,4)+INDEX(LevelTransport,4)+INDEX(LevelBasic,4)*INDEX(LevelBonus,4)+(INDEX(LevelBasic,4)+INDEX(LevelHousing,4))*GosiSaudi)+SUMIFS(SeatExits,SeatDivision,"Business Audit Division",SeatLevel,INDEX(LevelList,4),SeatMandate,"No")*(INDEX(LevelBasic,4)+INDEX(LevelHousing,4)+INDEX(LevelTransport,4)+INDEX(LevelBasic,4)*INDEX(LevelBonus,4)+(INDEX(LevelBasic,4)+INDEX(LevelHousing,4))*GosiOther)+SUMIFS(SeatExits,SeatDivision,"Business Audit Division",SeatLevel,INDEX(LevelList,5),SeatMandate,"Yes")*(INDEX(LevelBasic,5)+INDEX(LevelHousing,5)+INDEX(LevelTransport,5)+INDEX(LevelBasic,5)*INDEX(LevelBonus,5)+(INDEX(LevelBasic,5)+INDEX(LevelHousing,5))*GosiSaudi)+SUMIFS(SeatExits,SeatDivision,"Business Audit Division",SeatLevel,INDEX(LevelList,5),SeatMandate,"No")*(INDEX(LevelBasic,5)+INDEX(LevelHousing,5)+INDEX(LevelTransport,5)+INDEX(LevelBasic,5)*INDEX(LevelBonus,5)+(INDEX(LevelBasic,5)+INDEX(LevelHousing,5))*GosiOther)+SUMIFS(SeatExits,SeatDivision,"Business Audit Division",SeatLevel,INDEX(LevelList,6),SeatMandate,"Yes")*(INDEX(LevelBasic,6)+INDEX(LevelHousing,6)+INDEX(LevelTransport,6)+INDEX(LevelBasic,6)*INDEX(LevelBonus,6)+(INDEX(LevelBasic,6)+INDEX(LevelHousing,6))*GosiSaudi)+SUMIFS(SeatExits,SeatDivision,"Business Audit Division",SeatLevel,INDEX(LevelList,6),SeatMandate,"No")*(INDEX(LevelBasic,6)+INDEX(LevelHousing,6)+INDEX(LevelTransport,6)+INDEX(LevelBasic,6)*INDEX(LevelBonus,6)+(INDEX(LevelBasic,6)+INDEX(LevelHousing,6))*GosiOther)</f>
        <v>0</v>
      </c>
      <c r="D13" s="28" t="n">
        <f aca="false">SUMIFS(AskTotal,AskDivision,"Business Audit Division",AskLevel,INDEX(LevelList,1))*(INDEX(LevelBasic,1)+INDEX(LevelHousing,1)+INDEX(LevelTransport,1)+INDEX(LevelBasic,1)*INDEX(LevelBonus,1)+(INDEX(LevelBasic,1)+INDEX(LevelHousing,1))*GosiSaudi)+SUMIFS(AskTotal,AskDivision,"Business Audit Division",AskLevel,INDEX(LevelList,2))*(INDEX(LevelBasic,2)+INDEX(LevelHousing,2)+INDEX(LevelTransport,2)+INDEX(LevelBasic,2)*INDEX(LevelBonus,2)+(INDEX(LevelBasic,2)+INDEX(LevelHousing,2))*GosiSaudi)+SUMIFS(AskTotal,AskDivision,"Business Audit Division",AskLevel,INDEX(LevelList,3))*(INDEX(LevelBasic,3)+INDEX(LevelHousing,3)+INDEX(LevelTransport,3)+INDEX(LevelBasic,3)*INDEX(LevelBonus,3)+(INDEX(LevelBasic,3)+INDEX(LevelHousing,3))*GosiSaudi)+SUMIFS(AskTotal,AskDivision,"Business Audit Division",AskLevel,INDEX(LevelList,4))*(INDEX(LevelBasic,4)+INDEX(LevelHousing,4)+INDEX(LevelTransport,4)+INDEX(LevelBasic,4)*INDEX(LevelBonus,4)+(INDEX(LevelBasic,4)+INDEX(LevelHousing,4))*GosiSaudi)+SUMIFS(AskTotal,AskDivision,"Business Audit Division",AskLevel,INDEX(LevelList,5))*(INDEX(LevelBasic,5)+INDEX(LevelHousing,5)+INDEX(LevelTransport,5)+INDEX(LevelBasic,5)*INDEX(LevelBonus,5)+(INDEX(LevelBasic,5)+INDEX(LevelHousing,5))*GosiSaudi)+SUMIFS(AskTotal,AskDivision,"Business Audit Division",AskLevel,INDEX(LevelList,6))*(INDEX(LevelBasic,6)+INDEX(LevelHousing,6)+INDEX(LevelTransport,6)+INDEX(LevelBasic,6)*INDEX(LevelBonus,6)+(INDEX(LevelBasic,6)+INDEX(LevelHousing,6))*GosiSaudi)</f>
        <v>0</v>
      </c>
      <c r="E13" s="28" t="n">
        <f aca="false">$B13-$C13+$D13</f>
        <v>0</v>
      </c>
      <c r="F13" s="28" t="n">
        <f aca="false">$E13-$B13</f>
        <v>0</v>
      </c>
    </row>
    <row r="14" customFormat="false" ht="15" hidden="false" customHeight="false" outlineLevel="0" collapsed="false">
      <c r="A14" s="9" t="s">
        <v>72</v>
      </c>
      <c r="B14" s="28" t="n">
        <f aca="false">SUMIFS(SeatApproved,SeatDivision,"Technology Audit Division",SeatLevel,INDEX(LevelList,1),SeatMandate,"Yes")*(INDEX(LevelBasic,1)+INDEX(LevelHousing,1)+INDEX(LevelTransport,1)+INDEX(LevelBasic,1)*INDEX(LevelBonus,1)+(INDEX(LevelBasic,1)+INDEX(LevelHousing,1))*GosiSaudi)+SUMIFS(SeatApproved,SeatDivision,"Technology Audit Division",SeatLevel,INDEX(LevelList,1),SeatMandate,"No")*(INDEX(LevelBasic,1)+INDEX(LevelHousing,1)+INDEX(LevelTransport,1)+INDEX(LevelBasic,1)*INDEX(LevelBonus,1)+(INDEX(LevelBasic,1)+INDEX(LevelHousing,1))*GosiOther)+SUMIFS(SeatApproved,SeatDivision,"Technology Audit Division",SeatLevel,INDEX(LevelList,2),SeatMandate,"Yes")*(INDEX(LevelBasic,2)+INDEX(LevelHousing,2)+INDEX(LevelTransport,2)+INDEX(LevelBasic,2)*INDEX(LevelBonus,2)+(INDEX(LevelBasic,2)+INDEX(LevelHousing,2))*GosiSaudi)+SUMIFS(SeatApproved,SeatDivision,"Technology Audit Division",SeatLevel,INDEX(LevelList,2),SeatMandate,"No")*(INDEX(LevelBasic,2)+INDEX(LevelHousing,2)+INDEX(LevelTransport,2)+INDEX(LevelBasic,2)*INDEX(LevelBonus,2)+(INDEX(LevelBasic,2)+INDEX(LevelHousing,2))*GosiOther)+SUMIFS(SeatApproved,SeatDivision,"Technology Audit Division",SeatLevel,INDEX(LevelList,3),SeatMandate,"Yes")*(INDEX(LevelBasic,3)+INDEX(LevelHousing,3)+INDEX(LevelTransport,3)+INDEX(LevelBasic,3)*INDEX(LevelBonus,3)+(INDEX(LevelBasic,3)+INDEX(LevelHousing,3))*GosiSaudi)+SUMIFS(SeatApproved,SeatDivision,"Technology Audit Division",SeatLevel,INDEX(LevelList,3),SeatMandate,"No")*(INDEX(LevelBasic,3)+INDEX(LevelHousing,3)+INDEX(LevelTransport,3)+INDEX(LevelBasic,3)*INDEX(LevelBonus,3)+(INDEX(LevelBasic,3)+INDEX(LevelHousing,3))*GosiOther)+SUMIFS(SeatApproved,SeatDivision,"Technology Audit Division",SeatLevel,INDEX(LevelList,4),SeatMandate,"Yes")*(INDEX(LevelBasic,4)+INDEX(LevelHousing,4)+INDEX(LevelTransport,4)+INDEX(LevelBasic,4)*INDEX(LevelBonus,4)+(INDEX(LevelBasic,4)+INDEX(LevelHousing,4))*GosiSaudi)+SUMIFS(SeatApproved,SeatDivision,"Technology Audit Division",SeatLevel,INDEX(LevelList,4),SeatMandate,"No")*(INDEX(LevelBasic,4)+INDEX(LevelHousing,4)+INDEX(LevelTransport,4)+INDEX(LevelBasic,4)*INDEX(LevelBonus,4)+(INDEX(LevelBasic,4)+INDEX(LevelHousing,4))*GosiOther)+SUMIFS(SeatApproved,SeatDivision,"Technology Audit Division",SeatLevel,INDEX(LevelList,5),SeatMandate,"Yes")*(INDEX(LevelBasic,5)+INDEX(LevelHousing,5)+INDEX(LevelTransport,5)+INDEX(LevelBasic,5)*INDEX(LevelBonus,5)+(INDEX(LevelBasic,5)+INDEX(LevelHousing,5))*GosiSaudi)+SUMIFS(SeatApproved,SeatDivision,"Technology Audit Division",SeatLevel,INDEX(LevelList,5),SeatMandate,"No")*(INDEX(LevelBasic,5)+INDEX(LevelHousing,5)+INDEX(LevelTransport,5)+INDEX(LevelBasic,5)*INDEX(LevelBonus,5)+(INDEX(LevelBasic,5)+INDEX(LevelHousing,5))*GosiOther)+SUMIFS(SeatApproved,SeatDivision,"Technology Audit Division",SeatLevel,INDEX(LevelList,6),SeatMandate,"Yes")*(INDEX(LevelBasic,6)+INDEX(LevelHousing,6)+INDEX(LevelTransport,6)+INDEX(LevelBasic,6)*INDEX(LevelBonus,6)+(INDEX(LevelBasic,6)+INDEX(LevelHousing,6))*GosiSaudi)+SUMIFS(SeatApproved,SeatDivision,"Technology Audit Division",SeatLevel,INDEX(LevelList,6),SeatMandate,"No")*(INDEX(LevelBasic,6)+INDEX(LevelHousing,6)+INDEX(LevelTransport,6)+INDEX(LevelBasic,6)*INDEX(LevelBonus,6)+(INDEX(LevelBasic,6)+INDEX(LevelHousing,6))*GosiOther)</f>
        <v>0</v>
      </c>
      <c r="C14" s="28" t="n">
        <f aca="false">SUMIFS(SeatExits,SeatDivision,"Technology Audit Division",SeatLevel,INDEX(LevelList,1),SeatMandate,"Yes")*(INDEX(LevelBasic,1)+INDEX(LevelHousing,1)+INDEX(LevelTransport,1)+INDEX(LevelBasic,1)*INDEX(LevelBonus,1)+(INDEX(LevelBasic,1)+INDEX(LevelHousing,1))*GosiSaudi)+SUMIFS(SeatExits,SeatDivision,"Technology Audit Division",SeatLevel,INDEX(LevelList,1),SeatMandate,"No")*(INDEX(LevelBasic,1)+INDEX(LevelHousing,1)+INDEX(LevelTransport,1)+INDEX(LevelBasic,1)*INDEX(LevelBonus,1)+(INDEX(LevelBasic,1)+INDEX(LevelHousing,1))*GosiOther)+SUMIFS(SeatExits,SeatDivision,"Technology Audit Division",SeatLevel,INDEX(LevelList,2),SeatMandate,"Yes")*(INDEX(LevelBasic,2)+INDEX(LevelHousing,2)+INDEX(LevelTransport,2)+INDEX(LevelBasic,2)*INDEX(LevelBonus,2)+(INDEX(LevelBasic,2)+INDEX(LevelHousing,2))*GosiSaudi)+SUMIFS(SeatExits,SeatDivision,"Technology Audit Division",SeatLevel,INDEX(LevelList,2),SeatMandate,"No")*(INDEX(LevelBasic,2)+INDEX(LevelHousing,2)+INDEX(LevelTransport,2)+INDEX(LevelBasic,2)*INDEX(LevelBonus,2)+(INDEX(LevelBasic,2)+INDEX(LevelHousing,2))*GosiOther)+SUMIFS(SeatExits,SeatDivision,"Technology Audit Division",SeatLevel,INDEX(LevelList,3),SeatMandate,"Yes")*(INDEX(LevelBasic,3)+INDEX(LevelHousing,3)+INDEX(LevelTransport,3)+INDEX(LevelBasic,3)*INDEX(LevelBonus,3)+(INDEX(LevelBasic,3)+INDEX(LevelHousing,3))*GosiSaudi)+SUMIFS(SeatExits,SeatDivision,"Technology Audit Division",SeatLevel,INDEX(LevelList,3),SeatMandate,"No")*(INDEX(LevelBasic,3)+INDEX(LevelHousing,3)+INDEX(LevelTransport,3)+INDEX(LevelBasic,3)*INDEX(LevelBonus,3)+(INDEX(LevelBasic,3)+INDEX(LevelHousing,3))*GosiOther)+SUMIFS(SeatExits,SeatDivision,"Technology Audit Division",SeatLevel,INDEX(LevelList,4),SeatMandate,"Yes")*(INDEX(LevelBasic,4)+INDEX(LevelHousing,4)+INDEX(LevelTransport,4)+INDEX(LevelBasic,4)*INDEX(LevelBonus,4)+(INDEX(LevelBasic,4)+INDEX(LevelHousing,4))*GosiSaudi)+SUMIFS(SeatExits,SeatDivision,"Technology Audit Division",SeatLevel,INDEX(LevelList,4),SeatMandate,"No")*(INDEX(LevelBasic,4)+INDEX(LevelHousing,4)+INDEX(LevelTransport,4)+INDEX(LevelBasic,4)*INDEX(LevelBonus,4)+(INDEX(LevelBasic,4)+INDEX(LevelHousing,4))*GosiOther)+SUMIFS(SeatExits,SeatDivision,"Technology Audit Division",SeatLevel,INDEX(LevelList,5),SeatMandate,"Yes")*(INDEX(LevelBasic,5)+INDEX(LevelHousing,5)+INDEX(LevelTransport,5)+INDEX(LevelBasic,5)*INDEX(LevelBonus,5)+(INDEX(LevelBasic,5)+INDEX(LevelHousing,5))*GosiSaudi)+SUMIFS(SeatExits,SeatDivision,"Technology Audit Division",SeatLevel,INDEX(LevelList,5),SeatMandate,"No")*(INDEX(LevelBasic,5)+INDEX(LevelHousing,5)+INDEX(LevelTransport,5)+INDEX(LevelBasic,5)*INDEX(LevelBonus,5)+(INDEX(LevelBasic,5)+INDEX(LevelHousing,5))*GosiOther)+SUMIFS(SeatExits,SeatDivision,"Technology Audit Division",SeatLevel,INDEX(LevelList,6),SeatMandate,"Yes")*(INDEX(LevelBasic,6)+INDEX(LevelHousing,6)+INDEX(LevelTransport,6)+INDEX(LevelBasic,6)*INDEX(LevelBonus,6)+(INDEX(LevelBasic,6)+INDEX(LevelHousing,6))*GosiSaudi)+SUMIFS(SeatExits,SeatDivision,"Technology Audit Division",SeatLevel,INDEX(LevelList,6),SeatMandate,"No")*(INDEX(LevelBasic,6)+INDEX(LevelHousing,6)+INDEX(LevelTransport,6)+INDEX(LevelBasic,6)*INDEX(LevelBonus,6)+(INDEX(LevelBasic,6)+INDEX(LevelHousing,6))*GosiOther)</f>
        <v>0</v>
      </c>
      <c r="D14" s="28" t="n">
        <f aca="false">SUMIFS(AskTotal,AskDivision,"Technology Audit Division",AskLevel,INDEX(LevelList,1))*(INDEX(LevelBasic,1)+INDEX(LevelHousing,1)+INDEX(LevelTransport,1)+INDEX(LevelBasic,1)*INDEX(LevelBonus,1)+(INDEX(LevelBasic,1)+INDEX(LevelHousing,1))*GosiSaudi)+SUMIFS(AskTotal,AskDivision,"Technology Audit Division",AskLevel,INDEX(LevelList,2))*(INDEX(LevelBasic,2)+INDEX(LevelHousing,2)+INDEX(LevelTransport,2)+INDEX(LevelBasic,2)*INDEX(LevelBonus,2)+(INDEX(LevelBasic,2)+INDEX(LevelHousing,2))*GosiSaudi)+SUMIFS(AskTotal,AskDivision,"Technology Audit Division",AskLevel,INDEX(LevelList,3))*(INDEX(LevelBasic,3)+INDEX(LevelHousing,3)+INDEX(LevelTransport,3)+INDEX(LevelBasic,3)*INDEX(LevelBonus,3)+(INDEX(LevelBasic,3)+INDEX(LevelHousing,3))*GosiSaudi)+SUMIFS(AskTotal,AskDivision,"Technology Audit Division",AskLevel,INDEX(LevelList,4))*(INDEX(LevelBasic,4)+INDEX(LevelHousing,4)+INDEX(LevelTransport,4)+INDEX(LevelBasic,4)*INDEX(LevelBonus,4)+(INDEX(LevelBasic,4)+INDEX(LevelHousing,4))*GosiSaudi)+SUMIFS(AskTotal,AskDivision,"Technology Audit Division",AskLevel,INDEX(LevelList,5))*(INDEX(LevelBasic,5)+INDEX(LevelHousing,5)+INDEX(LevelTransport,5)+INDEX(LevelBasic,5)*INDEX(LevelBonus,5)+(INDEX(LevelBasic,5)+INDEX(LevelHousing,5))*GosiSaudi)+SUMIFS(AskTotal,AskDivision,"Technology Audit Division",AskLevel,INDEX(LevelList,6))*(INDEX(LevelBasic,6)+INDEX(LevelHousing,6)+INDEX(LevelTransport,6)+INDEX(LevelBasic,6)*INDEX(LevelBonus,6)+(INDEX(LevelBasic,6)+INDEX(LevelHousing,6))*GosiSaudi)</f>
        <v>0</v>
      </c>
      <c r="E14" s="28" t="n">
        <f aca="false">$B14-$C14+$D14</f>
        <v>0</v>
      </c>
      <c r="F14" s="28" t="n">
        <f aca="false">$E14-$B14</f>
        <v>0</v>
      </c>
    </row>
    <row r="15" customFormat="false" ht="15" hidden="false" customHeight="false" outlineLevel="0" collapsed="false">
      <c r="A15" s="9" t="s">
        <v>238</v>
      </c>
      <c r="B15" s="28" t="n">
        <f aca="false">SUMIFS(SeatApproved,SeatDivision,"",SeatLevel,INDEX(LevelList,1),SeatMandate,"Yes")*(INDEX(LevelBasic,1)+INDEX(LevelHousing,1)+INDEX(LevelTransport,1)+INDEX(LevelBasic,1)*INDEX(LevelBonus,1)+(INDEX(LevelBasic,1)+INDEX(LevelHousing,1))*GosiSaudi)+SUMIFS(SeatApproved,SeatDivision,"",SeatLevel,INDEX(LevelList,1),SeatMandate,"No")*(INDEX(LevelBasic,1)+INDEX(LevelHousing,1)+INDEX(LevelTransport,1)+INDEX(LevelBasic,1)*INDEX(LevelBonus,1)+(INDEX(LevelBasic,1)+INDEX(LevelHousing,1))*GosiOther)+SUMIFS(SeatApproved,SeatDivision,"",SeatLevel,INDEX(LevelList,2),SeatMandate,"Yes")*(INDEX(LevelBasic,2)+INDEX(LevelHousing,2)+INDEX(LevelTransport,2)+INDEX(LevelBasic,2)*INDEX(LevelBonus,2)+(INDEX(LevelBasic,2)+INDEX(LevelHousing,2))*GosiSaudi)+SUMIFS(SeatApproved,SeatDivision,"",SeatLevel,INDEX(LevelList,2),SeatMandate,"No")*(INDEX(LevelBasic,2)+INDEX(LevelHousing,2)+INDEX(LevelTransport,2)+INDEX(LevelBasic,2)*INDEX(LevelBonus,2)+(INDEX(LevelBasic,2)+INDEX(LevelHousing,2))*GosiOther)+SUMIFS(SeatApproved,SeatDivision,"",SeatLevel,INDEX(LevelList,3),SeatMandate,"Yes")*(INDEX(LevelBasic,3)+INDEX(LevelHousing,3)+INDEX(LevelTransport,3)+INDEX(LevelBasic,3)*INDEX(LevelBonus,3)+(INDEX(LevelBasic,3)+INDEX(LevelHousing,3))*GosiSaudi)+SUMIFS(SeatApproved,SeatDivision,"",SeatLevel,INDEX(LevelList,3),SeatMandate,"No")*(INDEX(LevelBasic,3)+INDEX(LevelHousing,3)+INDEX(LevelTransport,3)+INDEX(LevelBasic,3)*INDEX(LevelBonus,3)+(INDEX(LevelBasic,3)+INDEX(LevelHousing,3))*GosiOther)+SUMIFS(SeatApproved,SeatDivision,"",SeatLevel,INDEX(LevelList,4),SeatMandate,"Yes")*(INDEX(LevelBasic,4)+INDEX(LevelHousing,4)+INDEX(LevelTransport,4)+INDEX(LevelBasic,4)*INDEX(LevelBonus,4)+(INDEX(LevelBasic,4)+INDEX(LevelHousing,4))*GosiSaudi)+SUMIFS(SeatApproved,SeatDivision,"",SeatLevel,INDEX(LevelList,4),SeatMandate,"No")*(INDEX(LevelBasic,4)+INDEX(LevelHousing,4)+INDEX(LevelTransport,4)+INDEX(LevelBasic,4)*INDEX(LevelBonus,4)+(INDEX(LevelBasic,4)+INDEX(LevelHousing,4))*GosiOther)+SUMIFS(SeatApproved,SeatDivision,"",SeatLevel,INDEX(LevelList,5),SeatMandate,"Yes")*(INDEX(LevelBasic,5)+INDEX(LevelHousing,5)+INDEX(LevelTransport,5)+INDEX(LevelBasic,5)*INDEX(LevelBonus,5)+(INDEX(LevelBasic,5)+INDEX(LevelHousing,5))*GosiSaudi)+SUMIFS(SeatApproved,SeatDivision,"",SeatLevel,INDEX(LevelList,5),SeatMandate,"No")*(INDEX(LevelBasic,5)+INDEX(LevelHousing,5)+INDEX(LevelTransport,5)+INDEX(LevelBasic,5)*INDEX(LevelBonus,5)+(INDEX(LevelBasic,5)+INDEX(LevelHousing,5))*GosiOther)+SUMIFS(SeatApproved,SeatDivision,"",SeatLevel,INDEX(LevelList,6),SeatMandate,"Yes")*(INDEX(LevelBasic,6)+INDEX(LevelHousing,6)+INDEX(LevelTransport,6)+INDEX(LevelBasic,6)*INDEX(LevelBonus,6)+(INDEX(LevelBasic,6)+INDEX(LevelHousing,6))*GosiSaudi)+SUMIFS(SeatApproved,SeatDivision,"",SeatLevel,INDEX(LevelList,6),SeatMandate,"No")*(INDEX(LevelBasic,6)+INDEX(LevelHousing,6)+INDEX(LevelTransport,6)+INDEX(LevelBasic,6)*INDEX(LevelBonus,6)+(INDEX(LevelBasic,6)+INDEX(LevelHousing,6))*GosiOther)</f>
        <v>0</v>
      </c>
      <c r="C15" s="28" t="n">
        <f aca="false">SUMIFS(SeatExits,SeatDivision,"",SeatLevel,INDEX(LevelList,1),SeatMandate,"Yes")*(INDEX(LevelBasic,1)+INDEX(LevelHousing,1)+INDEX(LevelTransport,1)+INDEX(LevelBasic,1)*INDEX(LevelBonus,1)+(INDEX(LevelBasic,1)+INDEX(LevelHousing,1))*GosiSaudi)+SUMIFS(SeatExits,SeatDivision,"",SeatLevel,INDEX(LevelList,1),SeatMandate,"No")*(INDEX(LevelBasic,1)+INDEX(LevelHousing,1)+INDEX(LevelTransport,1)+INDEX(LevelBasic,1)*INDEX(LevelBonus,1)+(INDEX(LevelBasic,1)+INDEX(LevelHousing,1))*GosiOther)+SUMIFS(SeatExits,SeatDivision,"",SeatLevel,INDEX(LevelList,2),SeatMandate,"Yes")*(INDEX(LevelBasic,2)+INDEX(LevelHousing,2)+INDEX(LevelTransport,2)+INDEX(LevelBasic,2)*INDEX(LevelBonus,2)+(INDEX(LevelBasic,2)+INDEX(LevelHousing,2))*GosiSaudi)+SUMIFS(SeatExits,SeatDivision,"",SeatLevel,INDEX(LevelList,2),SeatMandate,"No")*(INDEX(LevelBasic,2)+INDEX(LevelHousing,2)+INDEX(LevelTransport,2)+INDEX(LevelBasic,2)*INDEX(LevelBonus,2)+(INDEX(LevelBasic,2)+INDEX(LevelHousing,2))*GosiOther)+SUMIFS(SeatExits,SeatDivision,"",SeatLevel,INDEX(LevelList,3),SeatMandate,"Yes")*(INDEX(LevelBasic,3)+INDEX(LevelHousing,3)+INDEX(LevelTransport,3)+INDEX(LevelBasic,3)*INDEX(LevelBonus,3)+(INDEX(LevelBasic,3)+INDEX(LevelHousing,3))*GosiSaudi)+SUMIFS(SeatExits,SeatDivision,"",SeatLevel,INDEX(LevelList,3),SeatMandate,"No")*(INDEX(LevelBasic,3)+INDEX(LevelHousing,3)+INDEX(LevelTransport,3)+INDEX(LevelBasic,3)*INDEX(LevelBonus,3)+(INDEX(LevelBasic,3)+INDEX(LevelHousing,3))*GosiOther)+SUMIFS(SeatExits,SeatDivision,"",SeatLevel,INDEX(LevelList,4),SeatMandate,"Yes")*(INDEX(LevelBasic,4)+INDEX(LevelHousing,4)+INDEX(LevelTransport,4)+INDEX(LevelBasic,4)*INDEX(LevelBonus,4)+(INDEX(LevelBasic,4)+INDEX(LevelHousing,4))*GosiSaudi)+SUMIFS(SeatExits,SeatDivision,"",SeatLevel,INDEX(LevelList,4),SeatMandate,"No")*(INDEX(LevelBasic,4)+INDEX(LevelHousing,4)+INDEX(LevelTransport,4)+INDEX(LevelBasic,4)*INDEX(LevelBonus,4)+(INDEX(LevelBasic,4)+INDEX(LevelHousing,4))*GosiOther)+SUMIFS(SeatExits,SeatDivision,"",SeatLevel,INDEX(LevelList,5),SeatMandate,"Yes")*(INDEX(LevelBasic,5)+INDEX(LevelHousing,5)+INDEX(LevelTransport,5)+INDEX(LevelBasic,5)*INDEX(LevelBonus,5)+(INDEX(LevelBasic,5)+INDEX(LevelHousing,5))*GosiSaudi)+SUMIFS(SeatExits,SeatDivision,"",SeatLevel,INDEX(LevelList,5),SeatMandate,"No")*(INDEX(LevelBasic,5)+INDEX(LevelHousing,5)+INDEX(LevelTransport,5)+INDEX(LevelBasic,5)*INDEX(LevelBonus,5)+(INDEX(LevelBasic,5)+INDEX(LevelHousing,5))*GosiOther)+SUMIFS(SeatExits,SeatDivision,"",SeatLevel,INDEX(LevelList,6),SeatMandate,"Yes")*(INDEX(LevelBasic,6)+INDEX(LevelHousing,6)+INDEX(LevelTransport,6)+INDEX(LevelBasic,6)*INDEX(LevelBonus,6)+(INDEX(LevelBasic,6)+INDEX(LevelHousing,6))*GosiSaudi)+SUMIFS(SeatExits,SeatDivision,"",SeatLevel,INDEX(LevelList,6),SeatMandate,"No")*(INDEX(LevelBasic,6)+INDEX(LevelHousing,6)+INDEX(LevelTransport,6)+INDEX(LevelBasic,6)*INDEX(LevelBonus,6)+(INDEX(LevelBasic,6)+INDEX(LevelHousing,6))*GosiOther)</f>
        <v>0</v>
      </c>
      <c r="D15" s="28" t="n">
        <f aca="false">SUMIFS(AskTotal,AskDivision,"",AskLevel,INDEX(LevelList,1))*(INDEX(LevelBasic,1)+INDEX(LevelHousing,1)+INDEX(LevelTransport,1)+INDEX(LevelBasic,1)*INDEX(LevelBonus,1)+(INDEX(LevelBasic,1)+INDEX(LevelHousing,1))*GosiSaudi)+SUMIFS(AskTotal,AskDivision,"",AskLevel,INDEX(LevelList,2))*(INDEX(LevelBasic,2)+INDEX(LevelHousing,2)+INDEX(LevelTransport,2)+INDEX(LevelBasic,2)*INDEX(LevelBonus,2)+(INDEX(LevelBasic,2)+INDEX(LevelHousing,2))*GosiSaudi)+SUMIFS(AskTotal,AskDivision,"",AskLevel,INDEX(LevelList,3))*(INDEX(LevelBasic,3)+INDEX(LevelHousing,3)+INDEX(LevelTransport,3)+INDEX(LevelBasic,3)*INDEX(LevelBonus,3)+(INDEX(LevelBasic,3)+INDEX(LevelHousing,3))*GosiSaudi)+SUMIFS(AskTotal,AskDivision,"",AskLevel,INDEX(LevelList,4))*(INDEX(LevelBasic,4)+INDEX(LevelHousing,4)+INDEX(LevelTransport,4)+INDEX(LevelBasic,4)*INDEX(LevelBonus,4)+(INDEX(LevelBasic,4)+INDEX(LevelHousing,4))*GosiSaudi)+SUMIFS(AskTotal,AskDivision,"",AskLevel,INDEX(LevelList,5))*(INDEX(LevelBasic,5)+INDEX(LevelHousing,5)+INDEX(LevelTransport,5)+INDEX(LevelBasic,5)*INDEX(LevelBonus,5)+(INDEX(LevelBasic,5)+INDEX(LevelHousing,5))*GosiSaudi)+SUMIFS(AskTotal,AskDivision,"",AskLevel,INDEX(LevelList,6))*(INDEX(LevelBasic,6)+INDEX(LevelHousing,6)+INDEX(LevelTransport,6)+INDEX(LevelBasic,6)*INDEX(LevelBonus,6)+(INDEX(LevelBasic,6)+INDEX(LevelHousing,6))*GosiSaudi)</f>
        <v>0</v>
      </c>
      <c r="E15" s="28" t="n">
        <f aca="false">$B15-$C15+$D15</f>
        <v>0</v>
      </c>
      <c r="F15" s="28" t="n">
        <f aca="false">$E15-$B15</f>
        <v>0</v>
      </c>
    </row>
    <row r="16" customFormat="false" ht="15" hidden="false" customHeight="false" outlineLevel="0" collapsed="false">
      <c r="A16" s="26" t="s">
        <v>239</v>
      </c>
      <c r="B16" s="15" t="n">
        <f aca="false">SUM(B13:B15)</f>
        <v>0</v>
      </c>
      <c r="C16" s="15" t="n">
        <f aca="false">SUM(C13:C15)</f>
        <v>0</v>
      </c>
      <c r="D16" s="15" t="n">
        <f aca="false">SUM(D13:D15)</f>
        <v>0</v>
      </c>
      <c r="E16" s="15" t="n">
        <f aca="false">SUM(E13:E15)</f>
        <v>0</v>
      </c>
      <c r="F16" s="15" t="n">
        <f aca="false">SUM(F13:F15)</f>
        <v>0</v>
      </c>
    </row>
    <row r="18" customFormat="false" ht="15" hidden="false" customHeight="false" outlineLevel="0" collapsed="false">
      <c r="A18" s="3" t="s">
        <v>242</v>
      </c>
    </row>
    <row r="19" customFormat="false" ht="15" hidden="false" customHeight="false" outlineLevel="0" collapsed="false">
      <c r="A19" s="6" t="s">
        <v>243</v>
      </c>
      <c r="B19" s="19"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c r="C19" s="29" t="s">
        <v>244</v>
      </c>
    </row>
    <row r="20" customFormat="false" ht="15" hidden="false" customHeight="false" outlineLevel="0" collapsed="false">
      <c r="A20" s="6" t="s">
        <v>245</v>
      </c>
      <c r="B20" s="19" t="n">
        <f aca="false">SUMIFS(AskTotal,AskLevel,INDEX(LevelList,1))*INDEX(LevelOneOff,1)+SUMIFS(AskTotal,AskLevel,INDEX(LevelList,2))*INDEX(LevelOneOff,2)+SUMIFS(AskTotal,AskLevel,INDEX(LevelList,3))*INDEX(LevelOneOff,3)+SUMIFS(AskTotal,AskLevel,INDEX(LevelList,4))*INDEX(LevelOneOff,4)+SUMIFS(AskTotal,AskLevel,INDEX(LevelList,5))*INDEX(LevelOneOff,5)+SUMIFS(AskTotal,AskLevel,INDEX(LevelList,6))*INDEX(LevelOneOff,6)</f>
        <v>0</v>
      </c>
      <c r="C20" s="29" t="s">
        <v>246</v>
      </c>
    </row>
    <row r="22" customFormat="false" ht="15" hidden="false" customHeight="false" outlineLevel="0" collapsed="false">
      <c r="A22" s="3" t="s">
        <v>247</v>
      </c>
    </row>
    <row r="23" customFormat="false" ht="27.75" hidden="false" customHeight="true" outlineLevel="0" collapsed="false">
      <c r="A23" s="12" t="s">
        <v>248</v>
      </c>
      <c r="B23" s="12" t="s">
        <v>249</v>
      </c>
      <c r="C23" s="12" t="s">
        <v>250</v>
      </c>
      <c r="D23" s="12" t="s">
        <v>251</v>
      </c>
      <c r="E23" s="12" t="s">
        <v>252</v>
      </c>
      <c r="F23" s="12"/>
      <c r="G23" s="12"/>
    </row>
    <row r="24" customFormat="false" ht="15" hidden="false" customHeight="false" outlineLevel="0" collapsed="false">
      <c r="A24" s="30" t="s">
        <v>253</v>
      </c>
      <c r="B24" s="31" t="n">
        <f aca="false">CostEnvelope</f>
        <v>1938</v>
      </c>
      <c r="C24" s="32" t="n">
        <f aca="false">$F$16</f>
        <v>0</v>
      </c>
      <c r="D24" s="28" t="n">
        <f aca="false">$B24-$C24</f>
        <v>1938</v>
      </c>
      <c r="E24" s="33" t="str">
        <f aca="false">IF($D24&gt;=0,"Within envelope","Over envelope")</f>
        <v>Within envelope</v>
      </c>
      <c r="G24" s="34" t="s">
        <v>254</v>
      </c>
    </row>
    <row r="25" customFormat="false" ht="15" hidden="false" customHeight="false" outlineLevel="0" collapsed="false">
      <c r="A25" s="30" t="s">
        <v>255</v>
      </c>
      <c r="B25" s="35" t="n">
        <f aca="false">HeadEnvelope</f>
        <v>7</v>
      </c>
      <c r="C25" s="36" t="n">
        <f aca="false">$F$9</f>
        <v>0</v>
      </c>
      <c r="D25" s="25" t="n">
        <f aca="false">$B25-$C25</f>
        <v>7</v>
      </c>
      <c r="E25" s="33" t="str">
        <f aca="false">IF($D25&gt;=0,"Within envelope","Over envelope")</f>
        <v>Within envelope</v>
      </c>
      <c r="G25" s="34" t="s">
        <v>256</v>
      </c>
    </row>
    <row r="26" customFormat="false" ht="15" hidden="false" customHeight="false" outlineLevel="0" collapsed="false">
      <c r="A26" s="30" t="s">
        <v>257</v>
      </c>
      <c r="B26" s="37" t="n">
        <f aca="false">SaudiTarget</f>
        <v>0.65</v>
      </c>
      <c r="C26" s="38" t="n">
        <f aca="false">IFERROR(SUMIFS(SeatApproved,SeatMandate,"Yes")/SUM(SeatApproved),0)</f>
        <v>0</v>
      </c>
      <c r="D26" s="39" t="n">
        <f aca="false">$C26-$B26</f>
        <v>-0.65</v>
      </c>
      <c r="E26" s="33" t="str">
        <f aca="false">IF($C26&gt;=$B26,"At or above target","Below target")</f>
        <v>Below target</v>
      </c>
      <c r="G26" s="34" t="s">
        <v>258</v>
      </c>
    </row>
    <row r="28" customFormat="false" ht="15" hidden="false" customHeight="false" outlineLevel="0" collapsed="false">
      <c r="A28" s="3" t="s">
        <v>259</v>
      </c>
      <c r="G28" s="27" t="s">
        <v>260</v>
      </c>
    </row>
    <row r="29" customFormat="false" ht="27.75" hidden="false" customHeight="true" outlineLevel="0" collapsed="false">
      <c r="A29" s="12" t="s">
        <v>261</v>
      </c>
      <c r="B29" s="12" t="s">
        <v>225</v>
      </c>
      <c r="C29" s="12" t="s">
        <v>262</v>
      </c>
      <c r="D29" s="12" t="s">
        <v>263</v>
      </c>
      <c r="E29" s="12" t="s">
        <v>264</v>
      </c>
      <c r="F29" s="12"/>
      <c r="G29" s="12"/>
    </row>
    <row r="30" customFormat="false" ht="15" hidden="false" customHeight="false" outlineLevel="0" collapsed="false">
      <c r="A30" s="9" t="s">
        <v>265</v>
      </c>
      <c r="B30" s="25" t="n">
        <f aca="false">SUMIFS(AskTotal,AskCategory,"Regulatory")</f>
        <v>0</v>
      </c>
      <c r="C30" s="28" t="n">
        <f aca="false">SUMIFS(AskTotal,AskCategory,"Regulatory",AskLevel,INDEX(LevelList,1))*(INDEX(LevelBasic,1)+INDEX(LevelHousing,1)+INDEX(LevelTransport,1)+INDEX(LevelBasic,1)*INDEX(LevelBonus,1)+(INDEX(LevelBasic,1)+INDEX(LevelHousing,1))*GosiSaudi)+SUMIFS(AskTotal,AskCategory,"Regulatory",AskLevel,INDEX(LevelList,2))*(INDEX(LevelBasic,2)+INDEX(LevelHousing,2)+INDEX(LevelTransport,2)+INDEX(LevelBasic,2)*INDEX(LevelBonus,2)+(INDEX(LevelBasic,2)+INDEX(LevelHousing,2))*GosiSaudi)+SUMIFS(AskTotal,AskCategory,"Regulatory",AskLevel,INDEX(LevelList,3))*(INDEX(LevelBasic,3)+INDEX(LevelHousing,3)+INDEX(LevelTransport,3)+INDEX(LevelBasic,3)*INDEX(LevelBonus,3)+(INDEX(LevelBasic,3)+INDEX(LevelHousing,3))*GosiSaudi)+SUMIFS(AskTotal,AskCategory,"Regulatory",AskLevel,INDEX(LevelList,4))*(INDEX(LevelBasic,4)+INDEX(LevelHousing,4)+INDEX(LevelTransport,4)+INDEX(LevelBasic,4)*INDEX(LevelBonus,4)+(INDEX(LevelBasic,4)+INDEX(LevelHousing,4))*GosiSaudi)+SUMIFS(AskTotal,AskCategory,"Regulatory",AskLevel,INDEX(LevelList,5))*(INDEX(LevelBasic,5)+INDEX(LevelHousing,5)+INDEX(LevelTransport,5)+INDEX(LevelBasic,5)*INDEX(LevelBonus,5)+(INDEX(LevelBasic,5)+INDEX(LevelHousing,5))*GosiSaudi)+SUMIFS(AskTotal,AskCategory,"Regulatory",AskLevel,INDEX(LevelList,6))*(INDEX(LevelBasic,6)+INDEX(LevelHousing,6)+INDEX(LevelTransport,6)+INDEX(LevelBasic,6)*INDEX(LevelBonus,6)+(INDEX(LevelBasic,6)+INDEX(LevelHousing,6))*GosiSaudi)</f>
        <v>0</v>
      </c>
      <c r="D30" s="28" t="n">
        <f aca="false">SUM($C$30:$C30)</f>
        <v>0</v>
      </c>
      <c r="E30" s="33" t="str">
        <f aca="false">IF($D30&lt;=CostEnvelope,"Yes","No")</f>
        <v>Yes</v>
      </c>
      <c r="G30" s="34" t="s">
        <v>266</v>
      </c>
    </row>
    <row r="31" customFormat="false" ht="15" hidden="false" customHeight="false" outlineLevel="0" collapsed="false">
      <c r="A31" s="9" t="s">
        <v>267</v>
      </c>
      <c r="B31" s="25" t="n">
        <f aca="false">SUMIFS(AskTotal,AskCategory,"Strategic")</f>
        <v>0</v>
      </c>
      <c r="C31" s="28" t="n">
        <f aca="false">SUMIFS(AskTotal,AskCategory,"Strategic",AskLevel,INDEX(LevelList,1))*(INDEX(LevelBasic,1)+INDEX(LevelHousing,1)+INDEX(LevelTransport,1)+INDEX(LevelBasic,1)*INDEX(LevelBonus,1)+(INDEX(LevelBasic,1)+INDEX(LevelHousing,1))*GosiSaudi)+SUMIFS(AskTotal,AskCategory,"Strategic",AskLevel,INDEX(LevelList,2))*(INDEX(LevelBasic,2)+INDEX(LevelHousing,2)+INDEX(LevelTransport,2)+INDEX(LevelBasic,2)*INDEX(LevelBonus,2)+(INDEX(LevelBasic,2)+INDEX(LevelHousing,2))*GosiSaudi)+SUMIFS(AskTotal,AskCategory,"Strategic",AskLevel,INDEX(LevelList,3))*(INDEX(LevelBasic,3)+INDEX(LevelHousing,3)+INDEX(LevelTransport,3)+INDEX(LevelBasic,3)*INDEX(LevelBonus,3)+(INDEX(LevelBasic,3)+INDEX(LevelHousing,3))*GosiSaudi)+SUMIFS(AskTotal,AskCategory,"Strategic",AskLevel,INDEX(LevelList,4))*(INDEX(LevelBasic,4)+INDEX(LevelHousing,4)+INDEX(LevelTransport,4)+INDEX(LevelBasic,4)*INDEX(LevelBonus,4)+(INDEX(LevelBasic,4)+INDEX(LevelHousing,4))*GosiSaudi)+SUMIFS(AskTotal,AskCategory,"Strategic",AskLevel,INDEX(LevelList,5))*(INDEX(LevelBasic,5)+INDEX(LevelHousing,5)+INDEX(LevelTransport,5)+INDEX(LevelBasic,5)*INDEX(LevelBonus,5)+(INDEX(LevelBasic,5)+INDEX(LevelHousing,5))*GosiSaudi)+SUMIFS(AskTotal,AskCategory,"Strategic",AskLevel,INDEX(LevelList,6))*(INDEX(LevelBasic,6)+INDEX(LevelHousing,6)+INDEX(LevelTransport,6)+INDEX(LevelBasic,6)*INDEX(LevelBonus,6)+(INDEX(LevelBasic,6)+INDEX(LevelHousing,6))*GosiSaudi)</f>
        <v>0</v>
      </c>
      <c r="D31" s="28" t="n">
        <f aca="false">SUM($C$30:$C31)</f>
        <v>0</v>
      </c>
      <c r="E31" s="33" t="str">
        <f aca="false">IF($D31&lt;=CostEnvelope,"Yes","No")</f>
        <v>Yes</v>
      </c>
      <c r="G31" s="34" t="s">
        <v>268</v>
      </c>
    </row>
    <row r="32" customFormat="false" ht="15" hidden="false" customHeight="false" outlineLevel="0" collapsed="false">
      <c r="A32" s="9" t="s">
        <v>269</v>
      </c>
      <c r="B32" s="25" t="n">
        <f aca="false">SUMIFS(AskTotal,AskCategory,"Control")</f>
        <v>0</v>
      </c>
      <c r="C32" s="28" t="n">
        <f aca="false">SUMIFS(AskTotal,AskCategory,"Control",AskLevel,INDEX(LevelList,1))*(INDEX(LevelBasic,1)+INDEX(LevelHousing,1)+INDEX(LevelTransport,1)+INDEX(LevelBasic,1)*INDEX(LevelBonus,1)+(INDEX(LevelBasic,1)+INDEX(LevelHousing,1))*GosiSaudi)+SUMIFS(AskTotal,AskCategory,"Control",AskLevel,INDEX(LevelList,2))*(INDEX(LevelBasic,2)+INDEX(LevelHousing,2)+INDEX(LevelTransport,2)+INDEX(LevelBasic,2)*INDEX(LevelBonus,2)+(INDEX(LevelBasic,2)+INDEX(LevelHousing,2))*GosiSaudi)+SUMIFS(AskTotal,AskCategory,"Control",AskLevel,INDEX(LevelList,3))*(INDEX(LevelBasic,3)+INDEX(LevelHousing,3)+INDEX(LevelTransport,3)+INDEX(LevelBasic,3)*INDEX(LevelBonus,3)+(INDEX(LevelBasic,3)+INDEX(LevelHousing,3))*GosiSaudi)+SUMIFS(AskTotal,AskCategory,"Control",AskLevel,INDEX(LevelList,4))*(INDEX(LevelBasic,4)+INDEX(LevelHousing,4)+INDEX(LevelTransport,4)+INDEX(LevelBasic,4)*INDEX(LevelBonus,4)+(INDEX(LevelBasic,4)+INDEX(LevelHousing,4))*GosiSaudi)+SUMIFS(AskTotal,AskCategory,"Control",AskLevel,INDEX(LevelList,5))*(INDEX(LevelBasic,5)+INDEX(LevelHousing,5)+INDEX(LevelTransport,5)+INDEX(LevelBasic,5)*INDEX(LevelBonus,5)+(INDEX(LevelBasic,5)+INDEX(LevelHousing,5))*GosiSaudi)+SUMIFS(AskTotal,AskCategory,"Control",AskLevel,INDEX(LevelList,6))*(INDEX(LevelBasic,6)+INDEX(LevelHousing,6)+INDEX(LevelTransport,6)+INDEX(LevelBasic,6)*INDEX(LevelBonus,6)+(INDEX(LevelBasic,6)+INDEX(LevelHousing,6))*GosiSaudi)</f>
        <v>0</v>
      </c>
      <c r="D32" s="28" t="n">
        <f aca="false">SUM($C$30:$C32)</f>
        <v>0</v>
      </c>
      <c r="E32" s="33" t="str">
        <f aca="false">IF($D32&lt;=CostEnvelope,"Yes","No")</f>
        <v>Yes</v>
      </c>
      <c r="G32" s="34" t="s">
        <v>270</v>
      </c>
    </row>
    <row r="33" customFormat="false" ht="15" hidden="false" customHeight="false" outlineLevel="0" collapsed="false">
      <c r="A33" s="9" t="s">
        <v>271</v>
      </c>
      <c r="B33" s="25" t="n">
        <f aca="false">SUMIFS(AskTotal,AskCategory,"BAU")</f>
        <v>0</v>
      </c>
      <c r="C33" s="28" t="n">
        <f aca="false">SUMIFS(AskTotal,AskCategory,"BAU",AskLevel,INDEX(LevelList,1))*(INDEX(LevelBasic,1)+INDEX(LevelHousing,1)+INDEX(LevelTransport,1)+INDEX(LevelBasic,1)*INDEX(LevelBonus,1)+(INDEX(LevelBasic,1)+INDEX(LevelHousing,1))*GosiSaudi)+SUMIFS(AskTotal,AskCategory,"BAU",AskLevel,INDEX(LevelList,2))*(INDEX(LevelBasic,2)+INDEX(LevelHousing,2)+INDEX(LevelTransport,2)+INDEX(LevelBasic,2)*INDEX(LevelBonus,2)+(INDEX(LevelBasic,2)+INDEX(LevelHousing,2))*GosiSaudi)+SUMIFS(AskTotal,AskCategory,"BAU",AskLevel,INDEX(LevelList,3))*(INDEX(LevelBasic,3)+INDEX(LevelHousing,3)+INDEX(LevelTransport,3)+INDEX(LevelBasic,3)*INDEX(LevelBonus,3)+(INDEX(LevelBasic,3)+INDEX(LevelHousing,3))*GosiSaudi)+SUMIFS(AskTotal,AskCategory,"BAU",AskLevel,INDEX(LevelList,4))*(INDEX(LevelBasic,4)+INDEX(LevelHousing,4)+INDEX(LevelTransport,4)+INDEX(LevelBasic,4)*INDEX(LevelBonus,4)+(INDEX(LevelBasic,4)+INDEX(LevelHousing,4))*GosiSaudi)+SUMIFS(AskTotal,AskCategory,"BAU",AskLevel,INDEX(LevelList,5))*(INDEX(LevelBasic,5)+INDEX(LevelHousing,5)+INDEX(LevelTransport,5)+INDEX(LevelBasic,5)*INDEX(LevelBonus,5)+(INDEX(LevelBasic,5)+INDEX(LevelHousing,5))*GosiSaudi)+SUMIFS(AskTotal,AskCategory,"BAU",AskLevel,INDEX(LevelList,6))*(INDEX(LevelBasic,6)+INDEX(LevelHousing,6)+INDEX(LevelTransport,6)+INDEX(LevelBasic,6)*INDEX(LevelBonus,6)+(INDEX(LevelBasic,6)+INDEX(LevelHousing,6))*GosiSaudi)</f>
        <v>0</v>
      </c>
      <c r="D33" s="28" t="n">
        <f aca="false">SUM($C$30:$C33)</f>
        <v>0</v>
      </c>
      <c r="E33" s="33" t="str">
        <f aca="false">IF($D33&lt;=CostEnvelope,"Yes","No")</f>
        <v>Yes</v>
      </c>
      <c r="G33" s="34" t="s">
        <v>272</v>
      </c>
    </row>
    <row r="35" customFormat="false" ht="15" hidden="false" customHeight="false" outlineLevel="0" collapsed="false">
      <c r="A35" s="3" t="s">
        <v>273</v>
      </c>
    </row>
    <row r="36" customFormat="false" ht="27.75" hidden="false" customHeight="true" outlineLevel="0" collapsed="false">
      <c r="A36" s="12" t="s">
        <v>221</v>
      </c>
      <c r="B36" s="12" t="s">
        <v>225</v>
      </c>
      <c r="C36" s="12" t="s">
        <v>274</v>
      </c>
      <c r="D36" s="12" t="s">
        <v>275</v>
      </c>
      <c r="E36" s="12"/>
      <c r="F36" s="12"/>
      <c r="G36" s="12"/>
    </row>
    <row r="37" customFormat="false" ht="15" hidden="false" customHeight="false" outlineLevel="0" collapsed="false">
      <c r="A37" s="9" t="s">
        <v>226</v>
      </c>
      <c r="B37" s="25" t="n">
        <f aca="false">SUM(AskQ1)</f>
        <v>0</v>
      </c>
      <c r="C37" s="40" t="n">
        <v>1</v>
      </c>
      <c r="D37" s="28"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f>
        <v>0</v>
      </c>
    </row>
    <row r="38" customFormat="false" ht="15" hidden="false" customHeight="false" outlineLevel="0" collapsed="false">
      <c r="A38" s="9" t="s">
        <v>227</v>
      </c>
      <c r="B38" s="25" t="n">
        <f aca="false">SUM(AskQ2)</f>
        <v>0</v>
      </c>
      <c r="C38" s="40" t="n">
        <v>0.75</v>
      </c>
      <c r="D38" s="28" t="n">
        <f aca="false">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f>
        <v>0</v>
      </c>
    </row>
    <row r="39" customFormat="false" ht="15" hidden="false" customHeight="false" outlineLevel="0" collapsed="false">
      <c r="A39" s="9" t="s">
        <v>228</v>
      </c>
      <c r="B39" s="25" t="n">
        <f aca="false">SUM(AskQ3)</f>
        <v>0</v>
      </c>
      <c r="C39" s="40" t="n">
        <v>0.5</v>
      </c>
      <c r="D39" s="28" t="n">
        <f aca="false">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f>
        <v>0</v>
      </c>
    </row>
    <row r="40" customFormat="false" ht="15" hidden="false" customHeight="false" outlineLevel="0" collapsed="false">
      <c r="A40" s="9" t="s">
        <v>229</v>
      </c>
      <c r="B40" s="25" t="n">
        <f aca="false">SUM(AskQ4)</f>
        <v>0</v>
      </c>
      <c r="C40" s="40" t="n">
        <v>0.25</v>
      </c>
      <c r="D40" s="28" t="n">
        <f aca="false">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row>
    <row r="62" customFormat="false" ht="15" hidden="false" customHeight="false" outlineLevel="0" collapsed="false">
      <c r="A62" s="3" t="s">
        <v>276</v>
      </c>
      <c r="G62" s="27" t="s">
        <v>277</v>
      </c>
    </row>
    <row r="63" customFormat="false" ht="27.75" hidden="false" customHeight="true" outlineLevel="0" collapsed="false">
      <c r="A63" s="12" t="s">
        <v>38</v>
      </c>
      <c r="B63" s="12" t="s">
        <v>224</v>
      </c>
      <c r="C63" s="12" t="s">
        <v>113</v>
      </c>
      <c r="D63" s="12" t="s">
        <v>225</v>
      </c>
      <c r="E63" s="12" t="s">
        <v>237</v>
      </c>
      <c r="F63" s="12" t="s">
        <v>278</v>
      </c>
      <c r="G63" s="12" t="s">
        <v>262</v>
      </c>
    </row>
    <row r="64" customFormat="false" ht="15" hidden="false" customHeight="false" outlineLevel="0" collapsed="false">
      <c r="A64" s="10" t="str">
        <f aca="false">$A6</f>
        <v>Business Audit Division</v>
      </c>
      <c r="B64" s="25" t="n">
        <f aca="false">$B6</f>
        <v>70</v>
      </c>
      <c r="C64" s="25" t="n">
        <f aca="false">$C6</f>
        <v>0</v>
      </c>
      <c r="D64" s="25" t="n">
        <f aca="false">$D6</f>
        <v>0</v>
      </c>
      <c r="E64" s="25" t="n">
        <f aca="false">$E6</f>
        <v>70</v>
      </c>
      <c r="F64" s="25" t="n">
        <f aca="false">SUMIFS(SeatApproved,SeatDivision,"Business Audit Division",SeatMandate,"Yes")</f>
        <v>0</v>
      </c>
      <c r="G64" s="28" t="n">
        <f aca="false">$E13</f>
        <v>0</v>
      </c>
    </row>
    <row r="65" customFormat="false" ht="15" hidden="false" customHeight="false" outlineLevel="0" collapsed="false">
      <c r="A65" s="10" t="str">
        <f aca="false">$A7</f>
        <v>Technology Audit Division</v>
      </c>
      <c r="B65" s="25" t="n">
        <f aca="false">$B7</f>
        <v>70</v>
      </c>
      <c r="C65" s="25" t="n">
        <f aca="false">$C7</f>
        <v>0</v>
      </c>
      <c r="D65" s="25" t="n">
        <f aca="false">$D7</f>
        <v>0</v>
      </c>
      <c r="E65" s="25" t="n">
        <f aca="false">$E7</f>
        <v>70</v>
      </c>
      <c r="F65" s="25" t="n">
        <f aca="false">SUMIFS(SeatApproved,SeatDivision,"Technology Audit Division",SeatMandate,"Yes")</f>
        <v>0</v>
      </c>
      <c r="G65" s="28" t="n">
        <f aca="false">$E14</f>
        <v>0</v>
      </c>
    </row>
    <row r="66" customFormat="false" ht="15" hidden="false" customHeight="false" outlineLevel="0" collapsed="false">
      <c r="A66" s="10" t="str">
        <f aca="false">$A8</f>
        <v>Reporting to the group directly</v>
      </c>
      <c r="B66" s="25" t="n">
        <f aca="false">$B8</f>
        <v>1</v>
      </c>
      <c r="C66" s="25" t="n">
        <f aca="false">$C8</f>
        <v>0</v>
      </c>
      <c r="D66" s="25" t="n">
        <f aca="false">$D8</f>
        <v>0</v>
      </c>
      <c r="E66" s="25" t="n">
        <f aca="false">$E8</f>
        <v>1</v>
      </c>
      <c r="F66" s="25" t="n">
        <f aca="false">SUMIFS(SeatApproved,SeatDivision,"",SeatMandate,"Yes")</f>
        <v>0</v>
      </c>
      <c r="G66" s="28" t="n">
        <f aca="false">$E15</f>
        <v>0</v>
      </c>
    </row>
  </sheetData>
  <sheetProtection sheet="true" sort="false" autoFilter="false"/>
  <mergeCells count="1">
    <mergeCell ref="A2:J2"/>
  </mergeCells>
  <conditionalFormatting sqref="F6:F8">
    <cfRule type="cellIs" priority="2" operator="lessThan" aboveAverage="0" equalAverage="0" bottom="0" percent="0" rank="0" text="" dxfId="14">
      <formula>0</formula>
    </cfRule>
  </conditionalFormatting>
  <conditionalFormatting sqref="E24:E26">
    <cfRule type="expression" priority="3" aboveAverage="0" equalAverage="0" bottom="0" percent="0" rank="0" text="" dxfId="1">
      <formula>OR($E24="Over envelope",$E24="Below target")</formula>
    </cfRule>
    <cfRule type="expression" priority="4" aboveAverage="0" equalAverage="0" bottom="0" percent="0" rank="0" text="" dxfId="0">
      <formula>OR($E24="Within envelope",$E24="At or above target")</formula>
    </cfRule>
  </conditionalFormatting>
  <conditionalFormatting sqref="E30:E33">
    <cfRule type="cellIs" priority="5" operator="equal" aboveAverage="0" equalAverage="0" bottom="0" percent="0" rank="0" text="" dxfId="1">
      <formula>"No"</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279</v>
      </c>
    </row>
    <row r="2" customFormat="false" ht="15" hidden="false" customHeight="false" outlineLevel="0" collapsed="false">
      <c r="A2" s="2" t="s">
        <v>280</v>
      </c>
      <c r="B2" s="2"/>
      <c r="C2" s="2"/>
      <c r="D2" s="2"/>
      <c r="E2" s="2"/>
      <c r="F2" s="2"/>
      <c r="G2" s="2"/>
      <c r="H2" s="2"/>
      <c r="I2" s="2"/>
      <c r="J2" s="2"/>
    </row>
    <row r="4" customFormat="false" ht="15" hidden="false" customHeight="false" outlineLevel="0" collapsed="false">
      <c r="A4" s="3" t="s">
        <v>281</v>
      </c>
    </row>
    <row r="5" customFormat="false" ht="27.75" hidden="false" customHeight="true" outlineLevel="0" collapsed="false">
      <c r="A5" s="12" t="s">
        <v>282</v>
      </c>
      <c r="B5" s="12" t="s">
        <v>283</v>
      </c>
      <c r="C5" s="12" t="s">
        <v>252</v>
      </c>
      <c r="D5" s="12" t="s">
        <v>2</v>
      </c>
    </row>
    <row r="6" customFormat="false" ht="25.5" hidden="false" customHeight="true" outlineLevel="0" collapsed="false">
      <c r="A6" s="9" t="s">
        <v>284</v>
      </c>
      <c r="B6" s="28" t="n">
        <f aca="false">COUNTIF(SeatProblem,"?*")</f>
        <v>141</v>
      </c>
      <c r="C6" s="41" t="str">
        <f aca="false">IF($B6=0,"OK","Fix")</f>
        <v>Fix</v>
      </c>
      <c r="D6" s="42" t="s">
        <v>285</v>
      </c>
    </row>
    <row r="7" customFormat="false" ht="25.5" hidden="false" customHeight="true" outlineLevel="0" collapsed="false">
      <c r="A7" s="9" t="s">
        <v>286</v>
      </c>
      <c r="B7" s="28" t="n">
        <f aca="false">SUMPRODUCT((SeatTitle&lt;&gt;"")*(SeatLevel=""))</f>
        <v>141</v>
      </c>
      <c r="C7" s="41" t="str">
        <f aca="false">IF($B7=0,"OK","Fix")</f>
        <v>Fix</v>
      </c>
      <c r="D7" s="42" t="s">
        <v>287</v>
      </c>
    </row>
    <row r="8" customFormat="false" ht="25.5" hidden="false" customHeight="true" outlineLevel="0" collapsed="false">
      <c r="A8" s="9" t="s">
        <v>288</v>
      </c>
      <c r="B8" s="28" t="n">
        <f aca="false">SUMPRODUCT((SeatTitle&lt;&gt;"")*(SeatDirection=""))</f>
        <v>141</v>
      </c>
      <c r="C8" s="41" t="str">
        <f aca="false">IF($B8=0,"OK","Fix")</f>
        <v>Fix</v>
      </c>
      <c r="D8" s="42" t="s">
        <v>289</v>
      </c>
    </row>
    <row r="9" customFormat="false" ht="25.5" hidden="false" customHeight="true" outlineLevel="0" collapsed="false">
      <c r="A9" s="9" t="s">
        <v>290</v>
      </c>
      <c r="B9" s="28" t="n">
        <f aca="false">COUNTIF(AskProblem,"?*")</f>
        <v>0</v>
      </c>
      <c r="C9" s="41" t="str">
        <f aca="false">IF($B9=0,"OK","Fix")</f>
        <v>OK</v>
      </c>
      <c r="D9" s="42" t="s">
        <v>291</v>
      </c>
    </row>
    <row r="10" customFormat="false" ht="25.5" hidden="false" customHeight="true" outlineLevel="0" collapsed="false">
      <c r="A10" s="9" t="s">
        <v>292</v>
      </c>
      <c r="B10" s="28" t="n">
        <f aca="false">SUMPRODUCT((AskTitle&lt;&gt;"")*(N(AskTotal)&lt;=0))</f>
        <v>0</v>
      </c>
      <c r="C10" s="41" t="str">
        <f aca="false">IF($B10=0,"OK","Fix")</f>
        <v>OK</v>
      </c>
      <c r="D10" s="42" t="s">
        <v>293</v>
      </c>
    </row>
    <row r="11" customFormat="false" ht="25.5" hidden="false" customHeight="true" outlineLevel="0" collapsed="false">
      <c r="A11" s="9" t="s">
        <v>294</v>
      </c>
      <c r="B11" s="28" t="n">
        <f aca="false">SUMPRODUCT((AskUnit&lt;&gt;"")*(COUNTIF(UnitList,AskUnit)=0))</f>
        <v>0</v>
      </c>
      <c r="C11" s="41" t="str">
        <f aca="false">IF($B11=0,"OK","Fix")</f>
        <v>OK</v>
      </c>
      <c r="D11" s="42" t="s">
        <v>295</v>
      </c>
    </row>
    <row r="13" customFormat="false" ht="15" hidden="false" customHeight="false" outlineLevel="0" collapsed="false">
      <c r="A13" s="3" t="s">
        <v>296</v>
      </c>
    </row>
    <row r="14" customFormat="false" ht="27.75" hidden="false" customHeight="true" outlineLevel="0" collapsed="false">
      <c r="A14" s="12" t="s">
        <v>282</v>
      </c>
      <c r="B14" s="12" t="s">
        <v>283</v>
      </c>
      <c r="C14" s="12" t="s">
        <v>252</v>
      </c>
      <c r="D14" s="12" t="s">
        <v>2</v>
      </c>
    </row>
    <row r="15" customFormat="false" ht="25.5" hidden="false" customHeight="true" outlineLevel="0" collapsed="false">
      <c r="A15" s="9" t="s">
        <v>297</v>
      </c>
      <c r="B15" s="28" t="n">
        <f aca="false">IF(CostMine&gt;CostLimit,1,0)</f>
        <v>0</v>
      </c>
      <c r="C15" s="41" t="str">
        <f aca="false">IF($B15=0,"OK","Review")</f>
        <v>OK</v>
      </c>
      <c r="D15" s="42" t="s">
        <v>298</v>
      </c>
    </row>
    <row r="16" customFormat="false" ht="25.5" hidden="false" customHeight="true" outlineLevel="0" collapsed="false">
      <c r="A16" s="9" t="s">
        <v>299</v>
      </c>
      <c r="B16" s="28" t="n">
        <f aca="false">IF(HeadMine&gt;HeadLimit,1,0)</f>
        <v>0</v>
      </c>
      <c r="C16" s="41" t="str">
        <f aca="false">IF($B16=0,"OK","Review")</f>
        <v>OK</v>
      </c>
      <c r="D16" s="42" t="s">
        <v>300</v>
      </c>
    </row>
    <row r="17" customFormat="false" ht="25.5" hidden="false" customHeight="true" outlineLevel="0" collapsed="false">
      <c r="A17" s="9" t="s">
        <v>301</v>
      </c>
      <c r="B17" s="28" t="n">
        <f aca="false">IF(MandateMine&lt;MandateLimit,1,0)</f>
        <v>1</v>
      </c>
      <c r="C17" s="41" t="str">
        <f aca="false">IF($B17=0,"OK","Review")</f>
        <v>Review</v>
      </c>
      <c r="D17" s="42" t="s">
        <v>302</v>
      </c>
    </row>
    <row r="19" customFormat="false" ht="15" hidden="false" customHeight="false" outlineLevel="0" collapsed="false">
      <c r="A19" s="3" t="s">
        <v>303</v>
      </c>
      <c r="D19" s="27" t="s">
        <v>304</v>
      </c>
    </row>
    <row r="20" customFormat="false" ht="27.75" hidden="false" customHeight="true" outlineLevel="0" collapsed="false">
      <c r="A20" s="12" t="s">
        <v>305</v>
      </c>
      <c r="B20" s="12" t="s">
        <v>27</v>
      </c>
      <c r="C20" s="12" t="s">
        <v>223</v>
      </c>
      <c r="D20" s="12" t="s">
        <v>306</v>
      </c>
    </row>
    <row r="21" customFormat="false" ht="15" hidden="false" customHeight="false" outlineLevel="0" collapsed="false">
      <c r="A21" s="9" t="str">
        <f aca="false">IFERROR(IF(INDEX(AskRef,MATCH(1,AskIssueNo,0))=0,"",INDEX(AskRef,MATCH(1,AskIssueNo,0))),"")</f>
        <v/>
      </c>
      <c r="B21" s="9" t="str">
        <f aca="false">IFERROR(IF(INDEX(AskUnit,MATCH(1,AskIssueNo,0))=0,"",INDEX(AskUnit,MATCH(1,AskIssueNo,0))),"")</f>
        <v/>
      </c>
      <c r="C21" s="9" t="str">
        <f aca="false">IFERROR(IF(INDEX(AskTitle,MATCH(1,AskIssueNo,0))=0,"",INDEX(AskTitle,MATCH(1,AskIssueNo,0))),"")</f>
        <v/>
      </c>
      <c r="D21" s="43" t="str">
        <f aca="false">IFERROR(IF(INDEX(AskProblem,MATCH(1,AskIssueNo,0))=0,"",INDEX(AskProblem,MATCH(1,AskIssueNo,0))),"")</f>
        <v/>
      </c>
    </row>
    <row r="22" customFormat="false" ht="15" hidden="false" customHeight="false" outlineLevel="0" collapsed="false">
      <c r="A22" s="9" t="str">
        <f aca="false">IFERROR(IF(INDEX(AskRef,MATCH(2,AskIssueNo,0))=0,"",INDEX(AskRef,MATCH(2,AskIssueNo,0))),"")</f>
        <v/>
      </c>
      <c r="B22" s="9" t="str">
        <f aca="false">IFERROR(IF(INDEX(AskUnit,MATCH(2,AskIssueNo,0))=0,"",INDEX(AskUnit,MATCH(2,AskIssueNo,0))),"")</f>
        <v/>
      </c>
      <c r="C22" s="9" t="str">
        <f aca="false">IFERROR(IF(INDEX(AskTitle,MATCH(2,AskIssueNo,0))=0,"",INDEX(AskTitle,MATCH(2,AskIssueNo,0))),"")</f>
        <v/>
      </c>
      <c r="D22" s="43" t="str">
        <f aca="false">IFERROR(IF(INDEX(AskProblem,MATCH(2,AskIssueNo,0))=0,"",INDEX(AskProblem,MATCH(2,AskIssueNo,0))),"")</f>
        <v/>
      </c>
    </row>
    <row r="23" customFormat="false" ht="15" hidden="false" customHeight="false" outlineLevel="0" collapsed="false">
      <c r="A23" s="9" t="str">
        <f aca="false">IFERROR(IF(INDEX(AskRef,MATCH(3,AskIssueNo,0))=0,"",INDEX(AskRef,MATCH(3,AskIssueNo,0))),"")</f>
        <v/>
      </c>
      <c r="B23" s="9" t="str">
        <f aca="false">IFERROR(IF(INDEX(AskUnit,MATCH(3,AskIssueNo,0))=0,"",INDEX(AskUnit,MATCH(3,AskIssueNo,0))),"")</f>
        <v/>
      </c>
      <c r="C23" s="9" t="str">
        <f aca="false">IFERROR(IF(INDEX(AskTitle,MATCH(3,AskIssueNo,0))=0,"",INDEX(AskTitle,MATCH(3,AskIssueNo,0))),"")</f>
        <v/>
      </c>
      <c r="D23" s="43" t="str">
        <f aca="false">IFERROR(IF(INDEX(AskProblem,MATCH(3,AskIssueNo,0))=0,"",INDEX(AskProblem,MATCH(3,AskIssueNo,0))),"")</f>
        <v/>
      </c>
    </row>
    <row r="24" customFormat="false" ht="15" hidden="false" customHeight="false" outlineLevel="0" collapsed="false">
      <c r="A24" s="9" t="str">
        <f aca="false">IFERROR(IF(INDEX(AskRef,MATCH(4,AskIssueNo,0))=0,"",INDEX(AskRef,MATCH(4,AskIssueNo,0))),"")</f>
        <v/>
      </c>
      <c r="B24" s="9" t="str">
        <f aca="false">IFERROR(IF(INDEX(AskUnit,MATCH(4,AskIssueNo,0))=0,"",INDEX(AskUnit,MATCH(4,AskIssueNo,0))),"")</f>
        <v/>
      </c>
      <c r="C24" s="9" t="str">
        <f aca="false">IFERROR(IF(INDEX(AskTitle,MATCH(4,AskIssueNo,0))=0,"",INDEX(AskTitle,MATCH(4,AskIssueNo,0))),"")</f>
        <v/>
      </c>
      <c r="D24" s="43" t="str">
        <f aca="false">IFERROR(IF(INDEX(AskProblem,MATCH(4,AskIssueNo,0))=0,"",INDEX(AskProblem,MATCH(4,AskIssueNo,0))),"")</f>
        <v/>
      </c>
    </row>
    <row r="25" customFormat="false" ht="15" hidden="false" customHeight="false" outlineLevel="0" collapsed="false">
      <c r="A25" s="9" t="str">
        <f aca="false">IFERROR(IF(INDEX(AskRef,MATCH(5,AskIssueNo,0))=0,"",INDEX(AskRef,MATCH(5,AskIssueNo,0))),"")</f>
        <v/>
      </c>
      <c r="B25" s="9" t="str">
        <f aca="false">IFERROR(IF(INDEX(AskUnit,MATCH(5,AskIssueNo,0))=0,"",INDEX(AskUnit,MATCH(5,AskIssueNo,0))),"")</f>
        <v/>
      </c>
      <c r="C25" s="9" t="str">
        <f aca="false">IFERROR(IF(INDEX(AskTitle,MATCH(5,AskIssueNo,0))=0,"",INDEX(AskTitle,MATCH(5,AskIssueNo,0))),"")</f>
        <v/>
      </c>
      <c r="D25" s="43" t="str">
        <f aca="false">IFERROR(IF(INDEX(AskProblem,MATCH(5,AskIssueNo,0))=0,"",INDEX(AskProblem,MATCH(5,AskIssueNo,0))),"")</f>
        <v/>
      </c>
    </row>
    <row r="26" customFormat="false" ht="15" hidden="false" customHeight="false" outlineLevel="0" collapsed="false">
      <c r="A26" s="9" t="str">
        <f aca="false">IFERROR(IF(INDEX(AskRef,MATCH(6,AskIssueNo,0))=0,"",INDEX(AskRef,MATCH(6,AskIssueNo,0))),"")</f>
        <v/>
      </c>
      <c r="B26" s="9" t="str">
        <f aca="false">IFERROR(IF(INDEX(AskUnit,MATCH(6,AskIssueNo,0))=0,"",INDEX(AskUnit,MATCH(6,AskIssueNo,0))),"")</f>
        <v/>
      </c>
      <c r="C26" s="9" t="str">
        <f aca="false">IFERROR(IF(INDEX(AskTitle,MATCH(6,AskIssueNo,0))=0,"",INDEX(AskTitle,MATCH(6,AskIssueNo,0))),"")</f>
        <v/>
      </c>
      <c r="D26" s="43" t="str">
        <f aca="false">IFERROR(IF(INDEX(AskProblem,MATCH(6,AskIssueNo,0))=0,"",INDEX(AskProblem,MATCH(6,AskIssueNo,0))),"")</f>
        <v/>
      </c>
    </row>
    <row r="27" customFormat="false" ht="15" hidden="false" customHeight="false" outlineLevel="0" collapsed="false">
      <c r="A27" s="9" t="str">
        <f aca="false">IFERROR(IF(INDEX(AskRef,MATCH(7,AskIssueNo,0))=0,"",INDEX(AskRef,MATCH(7,AskIssueNo,0))),"")</f>
        <v/>
      </c>
      <c r="B27" s="9" t="str">
        <f aca="false">IFERROR(IF(INDEX(AskUnit,MATCH(7,AskIssueNo,0))=0,"",INDEX(AskUnit,MATCH(7,AskIssueNo,0))),"")</f>
        <v/>
      </c>
      <c r="C27" s="9" t="str">
        <f aca="false">IFERROR(IF(INDEX(AskTitle,MATCH(7,AskIssueNo,0))=0,"",INDEX(AskTitle,MATCH(7,AskIssueNo,0))),"")</f>
        <v/>
      </c>
      <c r="D27" s="43" t="str">
        <f aca="false">IFERROR(IF(INDEX(AskProblem,MATCH(7,AskIssueNo,0))=0,"",INDEX(AskProblem,MATCH(7,AskIssueNo,0))),"")</f>
        <v/>
      </c>
    </row>
    <row r="28" customFormat="false" ht="15" hidden="false" customHeight="false" outlineLevel="0" collapsed="false">
      <c r="A28" s="9" t="str">
        <f aca="false">IFERROR(IF(INDEX(AskRef,MATCH(8,AskIssueNo,0))=0,"",INDEX(AskRef,MATCH(8,AskIssueNo,0))),"")</f>
        <v/>
      </c>
      <c r="B28" s="9" t="str">
        <f aca="false">IFERROR(IF(INDEX(AskUnit,MATCH(8,AskIssueNo,0))=0,"",INDEX(AskUnit,MATCH(8,AskIssueNo,0))),"")</f>
        <v/>
      </c>
      <c r="C28" s="9" t="str">
        <f aca="false">IFERROR(IF(INDEX(AskTitle,MATCH(8,AskIssueNo,0))=0,"",INDEX(AskTitle,MATCH(8,AskIssueNo,0))),"")</f>
        <v/>
      </c>
      <c r="D28" s="43" t="str">
        <f aca="false">IFERROR(IF(INDEX(AskProblem,MATCH(8,AskIssueNo,0))=0,"",INDEX(AskProblem,MATCH(8,AskIssueNo,0))),"")</f>
        <v/>
      </c>
    </row>
    <row r="29" customFormat="false" ht="15" hidden="false" customHeight="false" outlineLevel="0" collapsed="false">
      <c r="A29" s="9" t="str">
        <f aca="false">IFERROR(IF(INDEX(AskRef,MATCH(9,AskIssueNo,0))=0,"",INDEX(AskRef,MATCH(9,AskIssueNo,0))),"")</f>
        <v/>
      </c>
      <c r="B29" s="9" t="str">
        <f aca="false">IFERROR(IF(INDEX(AskUnit,MATCH(9,AskIssueNo,0))=0,"",INDEX(AskUnit,MATCH(9,AskIssueNo,0))),"")</f>
        <v/>
      </c>
      <c r="C29" s="9" t="str">
        <f aca="false">IFERROR(IF(INDEX(AskTitle,MATCH(9,AskIssueNo,0))=0,"",INDEX(AskTitle,MATCH(9,AskIssueNo,0))),"")</f>
        <v/>
      </c>
      <c r="D29" s="43" t="str">
        <f aca="false">IFERROR(IF(INDEX(AskProblem,MATCH(9,AskIssueNo,0))=0,"",INDEX(AskProblem,MATCH(9,AskIssueNo,0))),"")</f>
        <v/>
      </c>
    </row>
    <row r="30" customFormat="false" ht="15" hidden="false" customHeight="false" outlineLevel="0" collapsed="false">
      <c r="A30" s="9" t="str">
        <f aca="false">IFERROR(IF(INDEX(AskRef,MATCH(10,AskIssueNo,0))=0,"",INDEX(AskRef,MATCH(10,AskIssueNo,0))),"")</f>
        <v/>
      </c>
      <c r="B30" s="9" t="str">
        <f aca="false">IFERROR(IF(INDEX(AskUnit,MATCH(10,AskIssueNo,0))=0,"",INDEX(AskUnit,MATCH(10,AskIssueNo,0))),"")</f>
        <v/>
      </c>
      <c r="C30" s="9" t="str">
        <f aca="false">IFERROR(IF(INDEX(AskTitle,MATCH(10,AskIssueNo,0))=0,"",INDEX(AskTitle,MATCH(10,AskIssueNo,0))),"")</f>
        <v/>
      </c>
      <c r="D30" s="43" t="str">
        <f aca="false">IFERROR(IF(INDEX(AskProblem,MATCH(10,AskIssueNo,0))=0,"",INDEX(AskProblem,MATCH(10,AskIssueNo,0))),"")</f>
        <v/>
      </c>
    </row>
    <row r="31" customFormat="false" ht="15" hidden="false" customHeight="false" outlineLevel="0" collapsed="false">
      <c r="A31" s="9" t="str">
        <f aca="false">IFERROR(IF(INDEX(AskRef,MATCH(11,AskIssueNo,0))=0,"",INDEX(AskRef,MATCH(11,AskIssueNo,0))),"")</f>
        <v/>
      </c>
      <c r="B31" s="9" t="str">
        <f aca="false">IFERROR(IF(INDEX(AskUnit,MATCH(11,AskIssueNo,0))=0,"",INDEX(AskUnit,MATCH(11,AskIssueNo,0))),"")</f>
        <v/>
      </c>
      <c r="C31" s="9" t="str">
        <f aca="false">IFERROR(IF(INDEX(AskTitle,MATCH(11,AskIssueNo,0))=0,"",INDEX(AskTitle,MATCH(11,AskIssueNo,0))),"")</f>
        <v/>
      </c>
      <c r="D31" s="43" t="str">
        <f aca="false">IFERROR(IF(INDEX(AskProblem,MATCH(11,AskIssueNo,0))=0,"",INDEX(AskProblem,MATCH(11,AskIssueNo,0))),"")</f>
        <v/>
      </c>
    </row>
    <row r="32" customFormat="false" ht="15" hidden="false" customHeight="false" outlineLevel="0" collapsed="false">
      <c r="A32" s="9" t="str">
        <f aca="false">IFERROR(IF(INDEX(AskRef,MATCH(12,AskIssueNo,0))=0,"",INDEX(AskRef,MATCH(12,AskIssueNo,0))),"")</f>
        <v/>
      </c>
      <c r="B32" s="9" t="str">
        <f aca="false">IFERROR(IF(INDEX(AskUnit,MATCH(12,AskIssueNo,0))=0,"",INDEX(AskUnit,MATCH(12,AskIssueNo,0))),"")</f>
        <v/>
      </c>
      <c r="C32" s="9" t="str">
        <f aca="false">IFERROR(IF(INDEX(AskTitle,MATCH(12,AskIssueNo,0))=0,"",INDEX(AskTitle,MATCH(12,AskIssueNo,0))),"")</f>
        <v/>
      </c>
      <c r="D32" s="43" t="str">
        <f aca="false">IFERROR(IF(INDEX(AskProblem,MATCH(12,AskIssueNo,0))=0,"",INDEX(AskProblem,MATCH(12,AskIssueNo,0))),"")</f>
        <v/>
      </c>
    </row>
    <row r="33" customFormat="false" ht="15" hidden="false" customHeight="false" outlineLevel="0" collapsed="false">
      <c r="A33" s="9" t="str">
        <f aca="false">IFERROR(IF(INDEX(AskRef,MATCH(13,AskIssueNo,0))=0,"",INDEX(AskRef,MATCH(13,AskIssueNo,0))),"")</f>
        <v/>
      </c>
      <c r="B33" s="9" t="str">
        <f aca="false">IFERROR(IF(INDEX(AskUnit,MATCH(13,AskIssueNo,0))=0,"",INDEX(AskUnit,MATCH(13,AskIssueNo,0))),"")</f>
        <v/>
      </c>
      <c r="C33" s="9" t="str">
        <f aca="false">IFERROR(IF(INDEX(AskTitle,MATCH(13,AskIssueNo,0))=0,"",INDEX(AskTitle,MATCH(13,AskIssueNo,0))),"")</f>
        <v/>
      </c>
      <c r="D33" s="43" t="str">
        <f aca="false">IFERROR(IF(INDEX(AskProblem,MATCH(13,AskIssueNo,0))=0,"",INDEX(AskProblem,MATCH(13,AskIssueNo,0))),"")</f>
        <v/>
      </c>
    </row>
    <row r="34" customFormat="false" ht="15" hidden="false" customHeight="false" outlineLevel="0" collapsed="false">
      <c r="A34" s="9" t="str">
        <f aca="false">IFERROR(IF(INDEX(AskRef,MATCH(14,AskIssueNo,0))=0,"",INDEX(AskRef,MATCH(14,AskIssueNo,0))),"")</f>
        <v/>
      </c>
      <c r="B34" s="9" t="str">
        <f aca="false">IFERROR(IF(INDEX(AskUnit,MATCH(14,AskIssueNo,0))=0,"",INDEX(AskUnit,MATCH(14,AskIssueNo,0))),"")</f>
        <v/>
      </c>
      <c r="C34" s="9" t="str">
        <f aca="false">IFERROR(IF(INDEX(AskTitle,MATCH(14,AskIssueNo,0))=0,"",INDEX(AskTitle,MATCH(14,AskIssueNo,0))),"")</f>
        <v/>
      </c>
      <c r="D34" s="43" t="str">
        <f aca="false">IFERROR(IF(INDEX(AskProblem,MATCH(14,AskIssueNo,0))=0,"",INDEX(AskProblem,MATCH(14,AskIssueNo,0))),"")</f>
        <v/>
      </c>
    </row>
    <row r="35" customFormat="false" ht="15" hidden="false" customHeight="false" outlineLevel="0" collapsed="false">
      <c r="A35" s="9" t="str">
        <f aca="false">IFERROR(IF(INDEX(AskRef,MATCH(15,AskIssueNo,0))=0,"",INDEX(AskRef,MATCH(15,AskIssueNo,0))),"")</f>
        <v/>
      </c>
      <c r="B35" s="9" t="str">
        <f aca="false">IFERROR(IF(INDEX(AskUnit,MATCH(15,AskIssueNo,0))=0,"",INDEX(AskUnit,MATCH(15,AskIssueNo,0))),"")</f>
        <v/>
      </c>
      <c r="C35" s="9" t="str">
        <f aca="false">IFERROR(IF(INDEX(AskTitle,MATCH(15,AskIssueNo,0))=0,"",INDEX(AskTitle,MATCH(15,AskIssueNo,0))),"")</f>
        <v/>
      </c>
      <c r="D35" s="43" t="str">
        <f aca="false">IFERROR(IF(INDEX(AskProblem,MATCH(15,AskIssueNo,0))=0,"",INDEX(AskProblem,MATCH(15,AskIssueNo,0))),"")</f>
        <v/>
      </c>
    </row>
    <row r="36" customFormat="false" ht="15" hidden="false" customHeight="false" outlineLevel="0" collapsed="false">
      <c r="A36" s="9" t="str">
        <f aca="false">IFERROR(IF(INDEX(AskRef,MATCH(16,AskIssueNo,0))=0,"",INDEX(AskRef,MATCH(16,AskIssueNo,0))),"")</f>
        <v/>
      </c>
      <c r="B36" s="9" t="str">
        <f aca="false">IFERROR(IF(INDEX(AskUnit,MATCH(16,AskIssueNo,0))=0,"",INDEX(AskUnit,MATCH(16,AskIssueNo,0))),"")</f>
        <v/>
      </c>
      <c r="C36" s="9" t="str">
        <f aca="false">IFERROR(IF(INDEX(AskTitle,MATCH(16,AskIssueNo,0))=0,"",INDEX(AskTitle,MATCH(16,AskIssueNo,0))),"")</f>
        <v/>
      </c>
      <c r="D36" s="43" t="str">
        <f aca="false">IFERROR(IF(INDEX(AskProblem,MATCH(16,AskIssueNo,0))=0,"",INDEX(AskProblem,MATCH(16,AskIssueNo,0))),"")</f>
        <v/>
      </c>
    </row>
    <row r="37" customFormat="false" ht="15" hidden="false" customHeight="false" outlineLevel="0" collapsed="false">
      <c r="A37" s="9" t="str">
        <f aca="false">IFERROR(IF(INDEX(AskRef,MATCH(17,AskIssueNo,0))=0,"",INDEX(AskRef,MATCH(17,AskIssueNo,0))),"")</f>
        <v/>
      </c>
      <c r="B37" s="9" t="str">
        <f aca="false">IFERROR(IF(INDEX(AskUnit,MATCH(17,AskIssueNo,0))=0,"",INDEX(AskUnit,MATCH(17,AskIssueNo,0))),"")</f>
        <v/>
      </c>
      <c r="C37" s="9" t="str">
        <f aca="false">IFERROR(IF(INDEX(AskTitle,MATCH(17,AskIssueNo,0))=0,"",INDEX(AskTitle,MATCH(17,AskIssueNo,0))),"")</f>
        <v/>
      </c>
      <c r="D37" s="43" t="str">
        <f aca="false">IFERROR(IF(INDEX(AskProblem,MATCH(17,AskIssueNo,0))=0,"",INDEX(AskProblem,MATCH(17,AskIssueNo,0))),"")</f>
        <v/>
      </c>
    </row>
    <row r="38" customFormat="false" ht="15" hidden="false" customHeight="false" outlineLevel="0" collapsed="false">
      <c r="A38" s="9" t="str">
        <f aca="false">IFERROR(IF(INDEX(AskRef,MATCH(18,AskIssueNo,0))=0,"",INDEX(AskRef,MATCH(18,AskIssueNo,0))),"")</f>
        <v/>
      </c>
      <c r="B38" s="9" t="str">
        <f aca="false">IFERROR(IF(INDEX(AskUnit,MATCH(18,AskIssueNo,0))=0,"",INDEX(AskUnit,MATCH(18,AskIssueNo,0))),"")</f>
        <v/>
      </c>
      <c r="C38" s="9" t="str">
        <f aca="false">IFERROR(IF(INDEX(AskTitle,MATCH(18,AskIssueNo,0))=0,"",INDEX(AskTitle,MATCH(18,AskIssueNo,0))),"")</f>
        <v/>
      </c>
      <c r="D38" s="43" t="str">
        <f aca="false">IFERROR(IF(INDEX(AskProblem,MATCH(18,AskIssueNo,0))=0,"",INDEX(AskProblem,MATCH(18,AskIssueNo,0))),"")</f>
        <v/>
      </c>
    </row>
    <row r="39" customFormat="false" ht="15" hidden="false" customHeight="false" outlineLevel="0" collapsed="false">
      <c r="A39" s="9" t="str">
        <f aca="false">IFERROR(IF(INDEX(AskRef,MATCH(19,AskIssueNo,0))=0,"",INDEX(AskRef,MATCH(19,AskIssueNo,0))),"")</f>
        <v/>
      </c>
      <c r="B39" s="9" t="str">
        <f aca="false">IFERROR(IF(INDEX(AskUnit,MATCH(19,AskIssueNo,0))=0,"",INDEX(AskUnit,MATCH(19,AskIssueNo,0))),"")</f>
        <v/>
      </c>
      <c r="C39" s="9" t="str">
        <f aca="false">IFERROR(IF(INDEX(AskTitle,MATCH(19,AskIssueNo,0))=0,"",INDEX(AskTitle,MATCH(19,AskIssueNo,0))),"")</f>
        <v/>
      </c>
      <c r="D39" s="43" t="str">
        <f aca="false">IFERROR(IF(INDEX(AskProblem,MATCH(19,AskIssueNo,0))=0,"",INDEX(AskProblem,MATCH(19,AskIssueNo,0))),"")</f>
        <v/>
      </c>
    </row>
    <row r="40" customFormat="false" ht="15" hidden="false" customHeight="false" outlineLevel="0" collapsed="false">
      <c r="A40" s="9" t="str">
        <f aca="false">IFERROR(IF(INDEX(AskRef,MATCH(20,AskIssueNo,0))=0,"",INDEX(AskRef,MATCH(20,AskIssueNo,0))),"")</f>
        <v/>
      </c>
      <c r="B40" s="9" t="str">
        <f aca="false">IFERROR(IF(INDEX(AskUnit,MATCH(20,AskIssueNo,0))=0,"",INDEX(AskUnit,MATCH(20,AskIssueNo,0))),"")</f>
        <v/>
      </c>
      <c r="C40" s="9" t="str">
        <f aca="false">IFERROR(IF(INDEX(AskTitle,MATCH(20,AskIssueNo,0))=0,"",INDEX(AskTitle,MATCH(20,AskIssueNo,0))),"")</f>
        <v/>
      </c>
      <c r="D40" s="43" t="str">
        <f aca="false">IFERROR(IF(INDEX(AskProblem,MATCH(20,AskIssueNo,0))=0,"",INDEX(AskProblem,MATCH(20,AskIssueNo,0))),"")</f>
        <v/>
      </c>
    </row>
    <row r="42" customFormat="false" ht="15" hidden="false" customHeight="false" outlineLevel="0" collapsed="false">
      <c r="A42" s="3" t="s">
        <v>307</v>
      </c>
    </row>
    <row r="43" customFormat="false" ht="15" hidden="false" customHeight="false" outlineLevel="0" collapsed="false">
      <c r="A43" s="6" t="s">
        <v>308</v>
      </c>
      <c r="B43" s="44" t="str">
        <f aca="false">IF(SUM($B$6:$B$11)=0,"Yes","No")</f>
        <v>No</v>
      </c>
      <c r="C43" s="29" t="s">
        <v>309</v>
      </c>
    </row>
    <row r="44" customFormat="false" ht="15" hidden="false" customHeight="false" outlineLevel="0" collapsed="false">
      <c r="A44" s="6" t="s">
        <v>310</v>
      </c>
      <c r="B44" s="21"/>
    </row>
    <row r="45" customFormat="false" ht="15" hidden="false" customHeight="false" outlineLevel="0" collapsed="false">
      <c r="A45" s="6" t="s">
        <v>311</v>
      </c>
      <c r="B45" s="21"/>
    </row>
    <row r="46" customFormat="false" ht="15" hidden="false" customHeight="false" outlineLevel="0" collapsed="false">
      <c r="A46" s="6" t="s">
        <v>312</v>
      </c>
      <c r="B46" s="21"/>
    </row>
    <row r="47" customFormat="false" ht="15" hidden="false" customHeight="false" outlineLevel="0" collapsed="false">
      <c r="A47" s="3" t="s">
        <v>313</v>
      </c>
      <c r="B47" s="45" t="s">
        <v>314</v>
      </c>
      <c r="C47" s="29" t="s">
        <v>315</v>
      </c>
    </row>
    <row r="49" customFormat="false" ht="25.5" hidden="false" customHeight="true" outlineLevel="0" collapsed="false">
      <c r="A49" s="11" t="s">
        <v>316</v>
      </c>
      <c r="B49" s="11"/>
      <c r="C49" s="11"/>
      <c r="D49" s="11"/>
    </row>
  </sheetData>
  <sheetProtection sheet="true" sort="false" autoFilter="false"/>
  <mergeCells count="2">
    <mergeCell ref="A2:J2"/>
    <mergeCell ref="A49:D49"/>
  </mergeCells>
  <conditionalFormatting sqref="C6:C11">
    <cfRule type="cellIs" priority="2" operator="equal" aboveAverage="0" equalAverage="0" bottom="0" percent="0" rank="0" text="" dxfId="0">
      <formula>"OK"</formula>
    </cfRule>
    <cfRule type="cellIs" priority="3" operator="equal" aboveAverage="0" equalAverage="0" bottom="0" percent="0" rank="0" text="" dxfId="1">
      <formula>"Fix"</formula>
    </cfRule>
    <cfRule type="cellIs" priority="4" operator="equal" aboveAverage="0" equalAverage="0" bottom="0" percent="0" rank="0" text="" dxfId="15">
      <formula>"Review"</formula>
    </cfRule>
  </conditionalFormatting>
  <conditionalFormatting sqref="C15:C17">
    <cfRule type="cellIs" priority="5" operator="equal" aboveAverage="0" equalAverage="0" bottom="0" percent="0" rank="0" text="" dxfId="0">
      <formula>"OK"</formula>
    </cfRule>
    <cfRule type="cellIs" priority="6" operator="equal" aboveAverage="0" equalAverage="0" bottom="0" percent="0" rank="0" text="" dxfId="1">
      <formula>"Fix"</formula>
    </cfRule>
    <cfRule type="cellIs" priority="7" operator="equal" aboveAverage="0" equalAverage="0" bottom="0" percent="0" rank="0" text="" dxfId="15">
      <formula>"Review"</formula>
    </cfRule>
  </conditionalFormatting>
  <conditionalFormatting sqref="B43">
    <cfRule type="cellIs" priority="8" operator="equal" aboveAverage="0" equalAverage="0" bottom="0" percent="0" rank="0" text="" dxfId="16">
      <formula>"Yes"</formula>
    </cfRule>
    <cfRule type="cellIs" priority="9" operator="equal" aboveAverage="0" equalAverage="0" bottom="0" percent="0" rank="0" text="" dxfId="17">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47" type="custom">
      <formula1>AND(OR($B$47="Draft",$B$47="Submitted"),OR($B$47="Draft",$B$43="Yes"))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16"/>
    <col collapsed="false" customWidth="true" hidden="false" outlineLevel="0" max="7" min="7" style="0" width="20"/>
  </cols>
  <sheetData>
    <row r="1" customFormat="false" ht="24" hidden="false" customHeight="true" outlineLevel="0" collapsed="false">
      <c r="A1" s="1" t="s">
        <v>317</v>
      </c>
    </row>
    <row r="2" customFormat="false" ht="15" hidden="false" customHeight="false" outlineLevel="0" collapsed="false">
      <c r="A2" s="2" t="s">
        <v>318</v>
      </c>
      <c r="B2" s="2"/>
      <c r="C2" s="2"/>
      <c r="D2" s="2"/>
      <c r="E2" s="2"/>
      <c r="F2" s="2"/>
      <c r="G2" s="2"/>
      <c r="H2" s="2"/>
      <c r="I2" s="2"/>
      <c r="J2" s="2"/>
    </row>
    <row r="4" customFormat="false" ht="15" hidden="false" customHeight="false" outlineLevel="0" collapsed="false">
      <c r="A4" s="3" t="s">
        <v>319</v>
      </c>
    </row>
    <row r="5" customFormat="false" ht="15" hidden="false" customHeight="false" outlineLevel="0" collapsed="false">
      <c r="A5" s="6" t="s">
        <v>320</v>
      </c>
      <c r="B5" s="46" t="n">
        <v>2027</v>
      </c>
    </row>
    <row r="6" customFormat="false" ht="15" hidden="false" customHeight="false" outlineLevel="0" collapsed="false">
      <c r="A6" s="6" t="s">
        <v>321</v>
      </c>
      <c r="B6" s="46" t="n">
        <v>2026</v>
      </c>
    </row>
    <row r="7" customFormat="false" ht="15" hidden="false" customHeight="false" outlineLevel="0" collapsed="false">
      <c r="A7" s="6" t="s">
        <v>322</v>
      </c>
      <c r="B7" s="47" t="n">
        <v>0.09</v>
      </c>
    </row>
    <row r="8" customFormat="false" ht="15" hidden="false" customHeight="false" outlineLevel="0" collapsed="false">
      <c r="A8" s="6" t="s">
        <v>323</v>
      </c>
      <c r="B8" s="47" t="n">
        <v>0.03</v>
      </c>
    </row>
    <row r="9" customFormat="false" ht="15" hidden="false" customHeight="false" outlineLevel="0" collapsed="false">
      <c r="A9" s="6" t="s">
        <v>324</v>
      </c>
      <c r="B9" s="47" t="n">
        <v>0.04</v>
      </c>
    </row>
    <row r="10" customFormat="false" ht="15" hidden="false" customHeight="false" outlineLevel="0" collapsed="false">
      <c r="A10" s="6" t="s">
        <v>325</v>
      </c>
      <c r="B10" s="47" t="n">
        <v>0.1175</v>
      </c>
    </row>
    <row r="11" customFormat="false" ht="15" hidden="false" customHeight="false" outlineLevel="0" collapsed="false">
      <c r="A11" s="6" t="s">
        <v>326</v>
      </c>
      <c r="B11" s="47" t="n">
        <v>0.02</v>
      </c>
    </row>
    <row r="12" customFormat="false" ht="15" hidden="false" customHeight="false" outlineLevel="0" collapsed="false">
      <c r="A12" s="6" t="s">
        <v>36</v>
      </c>
      <c r="B12" s="46" t="s">
        <v>37</v>
      </c>
    </row>
    <row r="14" customFormat="false" ht="15" hidden="false" customHeight="false" outlineLevel="0" collapsed="false">
      <c r="A14" s="3" t="s">
        <v>327</v>
      </c>
    </row>
    <row r="15" customFormat="false" ht="15" hidden="false" customHeight="false" outlineLevel="0" collapsed="false">
      <c r="A15" s="6" t="s">
        <v>328</v>
      </c>
      <c r="B15" s="48" t="n">
        <v>1938</v>
      </c>
      <c r="C15" s="29" t="s">
        <v>329</v>
      </c>
    </row>
    <row r="16" customFormat="false" ht="15" hidden="false" customHeight="false" outlineLevel="0" collapsed="false">
      <c r="A16" s="6" t="s">
        <v>330</v>
      </c>
      <c r="B16" s="48" t="n">
        <v>7</v>
      </c>
      <c r="C16" s="29" t="s">
        <v>331</v>
      </c>
    </row>
    <row r="17" customFormat="false" ht="15" hidden="false" customHeight="false" outlineLevel="0" collapsed="false">
      <c r="A17" s="6" t="s">
        <v>332</v>
      </c>
      <c r="B17" s="47" t="n">
        <v>0.65</v>
      </c>
      <c r="C17" s="29" t="s">
        <v>333</v>
      </c>
    </row>
    <row r="19" customFormat="false" ht="15" hidden="false" customHeight="false" outlineLevel="0" collapsed="false">
      <c r="A19" s="3" t="s">
        <v>334</v>
      </c>
      <c r="G19" s="27" t="s">
        <v>335</v>
      </c>
    </row>
    <row r="20" customFormat="false" ht="30" hidden="false" customHeight="true" outlineLevel="0" collapsed="false">
      <c r="A20" s="12" t="s">
        <v>336</v>
      </c>
      <c r="B20" s="12" t="s">
        <v>337</v>
      </c>
      <c r="C20" s="12" t="s">
        <v>338</v>
      </c>
      <c r="D20" s="12" t="s">
        <v>339</v>
      </c>
      <c r="E20" s="12" t="s">
        <v>340</v>
      </c>
      <c r="F20" s="12" t="s">
        <v>341</v>
      </c>
      <c r="G20" s="12" t="s">
        <v>342</v>
      </c>
    </row>
    <row r="21" customFormat="false" ht="15" hidden="false" customHeight="false" outlineLevel="0" collapsed="false">
      <c r="A21" s="0" t="s">
        <v>117</v>
      </c>
      <c r="B21" s="49" t="n">
        <v>900</v>
      </c>
      <c r="C21" s="49" t="n">
        <v>225</v>
      </c>
      <c r="D21" s="49" t="n">
        <v>36</v>
      </c>
      <c r="E21" s="50" t="n">
        <v>0.3</v>
      </c>
      <c r="F21" s="49" t="n">
        <v>45</v>
      </c>
      <c r="G21" s="49" t="n">
        <f aca="false">$B21+$C21+$D21+$B21*$E21+($B21+$C21)*GosiSaudi</f>
        <v>1563.1875</v>
      </c>
    </row>
    <row r="22" customFormat="false" ht="15" hidden="false" customHeight="false" outlineLevel="0" collapsed="false">
      <c r="A22" s="0" t="s">
        <v>343</v>
      </c>
      <c r="B22" s="49" t="n">
        <v>540</v>
      </c>
      <c r="C22" s="49" t="n">
        <v>135</v>
      </c>
      <c r="D22" s="49" t="n">
        <v>30</v>
      </c>
      <c r="E22" s="50" t="n">
        <v>0.22</v>
      </c>
      <c r="F22" s="49" t="n">
        <v>45</v>
      </c>
      <c r="G22" s="49" t="n">
        <f aca="false">$B22+$C22+$D22+$B22*$E22+($B22+$C22)*GosiSaudi</f>
        <v>903.1125</v>
      </c>
    </row>
    <row r="23" customFormat="false" ht="15" hidden="false" customHeight="false" outlineLevel="0" collapsed="false">
      <c r="A23" s="0" t="s">
        <v>126</v>
      </c>
      <c r="B23" s="49" t="n">
        <v>336</v>
      </c>
      <c r="C23" s="49" t="n">
        <v>84</v>
      </c>
      <c r="D23" s="49" t="n">
        <v>18</v>
      </c>
      <c r="E23" s="50" t="n">
        <v>0.15</v>
      </c>
      <c r="F23" s="49" t="n">
        <v>30</v>
      </c>
      <c r="G23" s="49" t="n">
        <f aca="false">$B23+$C23+$D23+$B23*$E23+($B23+$C23)*GosiSaudi</f>
        <v>537.75</v>
      </c>
    </row>
    <row r="24" customFormat="false" ht="15" hidden="false" customHeight="false" outlineLevel="0" collapsed="false">
      <c r="A24" s="0" t="s">
        <v>129</v>
      </c>
      <c r="B24" s="49" t="n">
        <v>216</v>
      </c>
      <c r="C24" s="49" t="n">
        <v>54</v>
      </c>
      <c r="D24" s="49" t="n">
        <v>14</v>
      </c>
      <c r="E24" s="50" t="n">
        <v>0.1</v>
      </c>
      <c r="F24" s="49" t="n">
        <v>18</v>
      </c>
      <c r="G24" s="49" t="n">
        <f aca="false">$B24+$C24+$D24+$B24*$E24+($B24+$C24)*GosiSaudi</f>
        <v>337.325</v>
      </c>
    </row>
    <row r="25" customFormat="false" ht="15" hidden="false" customHeight="false" outlineLevel="0" collapsed="false">
      <c r="A25" s="0" t="s">
        <v>344</v>
      </c>
      <c r="B25" s="49" t="n">
        <v>138</v>
      </c>
      <c r="C25" s="49" t="n">
        <v>35</v>
      </c>
      <c r="D25" s="49" t="n">
        <v>12</v>
      </c>
      <c r="E25" s="50" t="n">
        <v>0.07</v>
      </c>
      <c r="F25" s="49" t="n">
        <v>12</v>
      </c>
      <c r="G25" s="49" t="n">
        <f aca="false">$B25+$C25+$D25+$B25*$E25+($B25+$C25)*GosiSaudi</f>
        <v>214.9875</v>
      </c>
    </row>
    <row r="26" customFormat="false" ht="15" hidden="false" customHeight="false" outlineLevel="0" collapsed="false">
      <c r="A26" s="0" t="s">
        <v>345</v>
      </c>
      <c r="B26" s="49" t="n">
        <v>96</v>
      </c>
      <c r="C26" s="49" t="n">
        <v>24</v>
      </c>
      <c r="D26" s="49" t="n">
        <v>12</v>
      </c>
      <c r="E26" s="50" t="n">
        <v>0.05</v>
      </c>
      <c r="F26" s="49" t="n">
        <v>12</v>
      </c>
      <c r="G26" s="49" t="n">
        <f aca="false">$B26+$C26+$D26+$B26*$E26+($B26+$C26)*GosiSaudi</f>
        <v>150.9</v>
      </c>
    </row>
    <row r="28" customFormat="false" ht="15" hidden="false" customHeight="false" outlineLevel="0" collapsed="false">
      <c r="A28" s="3" t="s">
        <v>346</v>
      </c>
    </row>
    <row r="29" customFormat="false" ht="30" hidden="false" customHeight="true" outlineLevel="0" collapsed="false">
      <c r="A29" s="12" t="s">
        <v>231</v>
      </c>
      <c r="B29" s="12" t="s">
        <v>230</v>
      </c>
      <c r="C29" s="12" t="s">
        <v>347</v>
      </c>
    </row>
    <row r="30" customFormat="false" ht="15" hidden="false" customHeight="false" outlineLevel="0" collapsed="false">
      <c r="A30" s="0" t="s">
        <v>348</v>
      </c>
      <c r="B30" s="0" t="s">
        <v>349</v>
      </c>
      <c r="C30" s="0" t="n">
        <v>1</v>
      </c>
    </row>
    <row r="31" customFormat="false" ht="15" hidden="false" customHeight="false" outlineLevel="0" collapsed="false">
      <c r="A31" s="0" t="s">
        <v>350</v>
      </c>
      <c r="B31" s="0" t="s">
        <v>349</v>
      </c>
      <c r="C31" s="0" t="n">
        <v>1</v>
      </c>
    </row>
    <row r="32" customFormat="false" ht="15" hidden="false" customHeight="false" outlineLevel="0" collapsed="false">
      <c r="A32" s="0" t="s">
        <v>351</v>
      </c>
      <c r="B32" s="0" t="s">
        <v>349</v>
      </c>
      <c r="C32" s="0" t="n">
        <v>1</v>
      </c>
    </row>
    <row r="33" customFormat="false" ht="15" hidden="false" customHeight="false" outlineLevel="0" collapsed="false">
      <c r="A33" s="0" t="s">
        <v>352</v>
      </c>
      <c r="B33" s="0" t="s">
        <v>349</v>
      </c>
      <c r="C33" s="0" t="n">
        <v>1</v>
      </c>
    </row>
    <row r="34" customFormat="false" ht="15" hidden="false" customHeight="false" outlineLevel="0" collapsed="false">
      <c r="A34" s="0" t="s">
        <v>353</v>
      </c>
      <c r="B34" s="0" t="s">
        <v>354</v>
      </c>
      <c r="C34" s="0" t="n">
        <v>2</v>
      </c>
    </row>
    <row r="35" customFormat="false" ht="15" hidden="false" customHeight="false" outlineLevel="0" collapsed="false">
      <c r="A35" s="0" t="s">
        <v>355</v>
      </c>
      <c r="B35" s="0" t="s">
        <v>354</v>
      </c>
      <c r="C35" s="0" t="n">
        <v>2</v>
      </c>
    </row>
    <row r="36" customFormat="false" ht="15" hidden="false" customHeight="false" outlineLevel="0" collapsed="false">
      <c r="A36" s="0" t="s">
        <v>356</v>
      </c>
      <c r="B36" s="0" t="s">
        <v>354</v>
      </c>
      <c r="C36" s="0" t="n">
        <v>2</v>
      </c>
    </row>
    <row r="37" customFormat="false" ht="15" hidden="false" customHeight="false" outlineLevel="0" collapsed="false">
      <c r="A37" s="0" t="s">
        <v>357</v>
      </c>
      <c r="B37" s="0" t="s">
        <v>354</v>
      </c>
      <c r="C37" s="0" t="n">
        <v>2</v>
      </c>
    </row>
    <row r="38" customFormat="false" ht="15" hidden="false" customHeight="false" outlineLevel="0" collapsed="false">
      <c r="A38" s="0" t="s">
        <v>358</v>
      </c>
      <c r="B38" s="0" t="s">
        <v>354</v>
      </c>
      <c r="C38" s="0" t="n">
        <v>2</v>
      </c>
    </row>
    <row r="39" customFormat="false" ht="15" hidden="false" customHeight="false" outlineLevel="0" collapsed="false">
      <c r="A39" s="0" t="s">
        <v>359</v>
      </c>
      <c r="B39" s="0" t="s">
        <v>360</v>
      </c>
      <c r="C39" s="0" t="n">
        <v>3</v>
      </c>
    </row>
    <row r="40" customFormat="false" ht="15" hidden="false" customHeight="false" outlineLevel="0" collapsed="false">
      <c r="A40" s="0" t="s">
        <v>361</v>
      </c>
      <c r="B40" s="0" t="s">
        <v>360</v>
      </c>
      <c r="C40" s="0" t="n">
        <v>3</v>
      </c>
    </row>
    <row r="41" customFormat="false" ht="15" hidden="false" customHeight="false" outlineLevel="0" collapsed="false">
      <c r="A41" s="0" t="s">
        <v>362</v>
      </c>
      <c r="B41" s="0" t="s">
        <v>360</v>
      </c>
      <c r="C41" s="0" t="n">
        <v>3</v>
      </c>
    </row>
    <row r="42" customFormat="false" ht="15" hidden="false" customHeight="false" outlineLevel="0" collapsed="false">
      <c r="A42" s="0" t="s">
        <v>363</v>
      </c>
      <c r="B42" s="0" t="s">
        <v>364</v>
      </c>
      <c r="C42" s="0" t="n">
        <v>4</v>
      </c>
    </row>
    <row r="43" customFormat="false" ht="15" hidden="false" customHeight="false" outlineLevel="0" collapsed="false">
      <c r="A43" s="0" t="s">
        <v>365</v>
      </c>
      <c r="B43" s="0" t="s">
        <v>364</v>
      </c>
      <c r="C43" s="0" t="n">
        <v>4</v>
      </c>
    </row>
    <row r="44" customFormat="false" ht="15" hidden="false" customHeight="false" outlineLevel="0" collapsed="false">
      <c r="A44" s="0" t="s">
        <v>366</v>
      </c>
      <c r="B44" s="0" t="s">
        <v>364</v>
      </c>
      <c r="C44" s="0" t="n">
        <v>4</v>
      </c>
    </row>
    <row r="45" customFormat="false" ht="15" hidden="false" customHeight="false" outlineLevel="0" collapsed="false">
      <c r="A45" s="0" t="s">
        <v>367</v>
      </c>
      <c r="B45" s="0" t="s">
        <v>364</v>
      </c>
      <c r="C45" s="0" t="n">
        <v>4</v>
      </c>
    </row>
    <row r="46" customFormat="false" ht="15" hidden="false" customHeight="false" outlineLevel="0" collapsed="false">
      <c r="A46" s="0" t="s">
        <v>368</v>
      </c>
      <c r="B46" s="0" t="s">
        <v>364</v>
      </c>
      <c r="C46" s="0" t="n">
        <v>4</v>
      </c>
    </row>
    <row r="47" customFormat="false" ht="15" hidden="false" customHeight="false" outlineLevel="0" collapsed="false">
      <c r="A47" s="0" t="s">
        <v>369</v>
      </c>
      <c r="B47" s="0" t="s">
        <v>364</v>
      </c>
      <c r="C47" s="0" t="n">
        <v>4</v>
      </c>
    </row>
    <row r="48" customFormat="false" ht="15" hidden="false" customHeight="false" outlineLevel="0" collapsed="false">
      <c r="A48" s="0" t="s">
        <v>370</v>
      </c>
      <c r="B48" s="0" t="s">
        <v>364</v>
      </c>
      <c r="C48" s="0" t="n">
        <v>4</v>
      </c>
    </row>
    <row r="50" customFormat="false" ht="15" hidden="false" customHeight="false" outlineLevel="0" collapsed="false">
      <c r="A50" s="6" t="s">
        <v>371</v>
      </c>
      <c r="C50" s="6" t="s">
        <v>372</v>
      </c>
      <c r="E50" s="6" t="s">
        <v>373</v>
      </c>
      <c r="G50" s="6" t="s">
        <v>374</v>
      </c>
      <c r="I50" s="6" t="s">
        <v>230</v>
      </c>
      <c r="K50" s="6" t="s">
        <v>375</v>
      </c>
      <c r="M50" s="6" t="s">
        <v>376</v>
      </c>
      <c r="O50" s="6" t="s">
        <v>377</v>
      </c>
      <c r="Q50" s="6" t="s">
        <v>378</v>
      </c>
      <c r="S50" s="6" t="s">
        <v>379</v>
      </c>
    </row>
    <row r="51" customFormat="false" ht="15" hidden="false" customHeight="false" outlineLevel="0" collapsed="false">
      <c r="A51" s="0" t="s">
        <v>226</v>
      </c>
      <c r="C51" s="0" t="s">
        <v>118</v>
      </c>
      <c r="E51" s="0" t="s">
        <v>380</v>
      </c>
      <c r="G51" s="0" t="s">
        <v>36</v>
      </c>
      <c r="I51" s="0" t="s">
        <v>349</v>
      </c>
      <c r="K51" s="0" t="s">
        <v>381</v>
      </c>
      <c r="M51" s="0" t="s">
        <v>117</v>
      </c>
      <c r="O51" s="0" t="s">
        <v>117</v>
      </c>
      <c r="Q51" s="0" t="s">
        <v>40</v>
      </c>
      <c r="S51" s="0" t="s">
        <v>43</v>
      </c>
    </row>
    <row r="52" customFormat="false" ht="15" hidden="false" customHeight="false" outlineLevel="0" collapsed="false">
      <c r="A52" s="0" t="s">
        <v>227</v>
      </c>
      <c r="C52" s="0" t="s">
        <v>141</v>
      </c>
      <c r="E52" s="0" t="s">
        <v>382</v>
      </c>
      <c r="G52" s="0" t="s">
        <v>38</v>
      </c>
      <c r="I52" s="0" t="s">
        <v>354</v>
      </c>
      <c r="K52" s="0" t="s">
        <v>383</v>
      </c>
      <c r="M52" s="0" t="s">
        <v>343</v>
      </c>
      <c r="O52" s="0" t="s">
        <v>121</v>
      </c>
      <c r="Q52" s="0" t="s">
        <v>72</v>
      </c>
      <c r="S52" s="0" t="s">
        <v>45</v>
      </c>
    </row>
    <row r="53" customFormat="false" ht="15" hidden="false" customHeight="false" outlineLevel="0" collapsed="false">
      <c r="A53" s="0" t="s">
        <v>228</v>
      </c>
      <c r="C53" s="0" t="s">
        <v>384</v>
      </c>
      <c r="E53" s="0" t="s">
        <v>385</v>
      </c>
      <c r="G53" s="0" t="s">
        <v>41</v>
      </c>
      <c r="I53" s="0" t="s">
        <v>360</v>
      </c>
      <c r="M53" s="0" t="s">
        <v>126</v>
      </c>
      <c r="O53" s="0" t="s">
        <v>126</v>
      </c>
      <c r="S53" s="0" t="s">
        <v>48</v>
      </c>
    </row>
    <row r="54" customFormat="false" ht="15" hidden="false" customHeight="false" outlineLevel="0" collapsed="false">
      <c r="A54" s="0" t="s">
        <v>229</v>
      </c>
      <c r="E54" s="0" t="s">
        <v>386</v>
      </c>
      <c r="G54" s="0" t="s">
        <v>27</v>
      </c>
      <c r="I54" s="0" t="s">
        <v>364</v>
      </c>
      <c r="M54" s="0" t="s">
        <v>129</v>
      </c>
      <c r="O54" s="0" t="s">
        <v>129</v>
      </c>
      <c r="S54" s="0" t="s">
        <v>50</v>
      </c>
    </row>
    <row r="55" customFormat="false" ht="15" hidden="false" customHeight="false" outlineLevel="0" collapsed="false">
      <c r="G55" s="0" t="s">
        <v>46</v>
      </c>
      <c r="M55" s="0" t="s">
        <v>344</v>
      </c>
      <c r="S55" s="0" t="s">
        <v>52</v>
      </c>
    </row>
    <row r="56" customFormat="false" ht="15" hidden="false" customHeight="false" outlineLevel="0" collapsed="false">
      <c r="G56" s="0" t="s">
        <v>387</v>
      </c>
      <c r="M56" s="0" t="s">
        <v>345</v>
      </c>
      <c r="S56" s="0" t="s">
        <v>54</v>
      </c>
    </row>
    <row r="57" customFormat="false" ht="15" hidden="false" customHeight="false" outlineLevel="0" collapsed="false">
      <c r="S57" s="0" t="s">
        <v>56</v>
      </c>
    </row>
    <row r="58" customFormat="false" ht="15" hidden="false" customHeight="false" outlineLevel="0" collapsed="false">
      <c r="S58" s="0" t="s">
        <v>58</v>
      </c>
    </row>
    <row r="59" customFormat="false" ht="15" hidden="false" customHeight="false" outlineLevel="0" collapsed="false">
      <c r="S59" s="0" t="s">
        <v>60</v>
      </c>
    </row>
    <row r="60" customFormat="false" ht="15" hidden="false" customHeight="false" outlineLevel="0" collapsed="false">
      <c r="S60" s="0" t="s">
        <v>62</v>
      </c>
    </row>
    <row r="61" customFormat="false" ht="15" hidden="false" customHeight="false" outlineLevel="0" collapsed="false">
      <c r="S61" s="0" t="s">
        <v>64</v>
      </c>
    </row>
    <row r="62" customFormat="false" ht="15" hidden="false" customHeight="false" outlineLevel="0" collapsed="false">
      <c r="S62" s="0" t="s">
        <v>66</v>
      </c>
    </row>
    <row r="63" customFormat="false" ht="15" hidden="false" customHeight="false" outlineLevel="0" collapsed="false">
      <c r="S63" s="0" t="s">
        <v>68</v>
      </c>
    </row>
    <row r="64" customFormat="false" ht="15" hidden="false" customHeight="false" outlineLevel="0" collapsed="false">
      <c r="S64" s="0" t="s">
        <v>70</v>
      </c>
    </row>
    <row r="65" customFormat="false" ht="15" hidden="false" customHeight="false" outlineLevel="0" collapsed="false">
      <c r="S65" s="0" t="s">
        <v>74</v>
      </c>
    </row>
    <row r="66" customFormat="false" ht="15" hidden="false" customHeight="false" outlineLevel="0" collapsed="false">
      <c r="S66" s="0" t="s">
        <v>76</v>
      </c>
    </row>
    <row r="67" customFormat="false" ht="15" hidden="false" customHeight="false" outlineLevel="0" collapsed="false">
      <c r="S67" s="0" t="s">
        <v>78</v>
      </c>
    </row>
    <row r="68" customFormat="false" ht="15" hidden="false" customHeight="false" outlineLevel="0" collapsed="false">
      <c r="S68" s="0" t="s">
        <v>80</v>
      </c>
    </row>
    <row r="69" customFormat="false" ht="15" hidden="false" customHeight="false" outlineLevel="0" collapsed="false">
      <c r="S69" s="0" t="s">
        <v>82</v>
      </c>
    </row>
    <row r="70" customFormat="false" ht="15" hidden="false" customHeight="false" outlineLevel="0" collapsed="false">
      <c r="S70" s="0" t="s">
        <v>84</v>
      </c>
    </row>
    <row r="71" customFormat="false" ht="15" hidden="false" customHeight="false" outlineLevel="0" collapsed="false">
      <c r="S71" s="0" t="s">
        <v>86</v>
      </c>
    </row>
    <row r="72" customFormat="false" ht="15" hidden="false" customHeight="false" outlineLevel="0" collapsed="false">
      <c r="S72" s="0" t="s">
        <v>88</v>
      </c>
    </row>
    <row r="73" customFormat="false" ht="15" hidden="false" customHeight="false" outlineLevel="0" collapsed="false">
      <c r="S73" s="0" t="s">
        <v>90</v>
      </c>
    </row>
    <row r="74" customFormat="false" ht="15" hidden="false" customHeight="false" outlineLevel="0" collapsed="false">
      <c r="S74" s="0" t="s">
        <v>92</v>
      </c>
    </row>
    <row r="75" customFormat="false" ht="15" hidden="false" customHeight="false" outlineLevel="0" collapsed="false">
      <c r="S75" s="0" t="s">
        <v>94</v>
      </c>
    </row>
    <row r="76" customFormat="false" ht="15" hidden="false" customHeight="false" outlineLevel="0" collapsed="false">
      <c r="S76" s="0" t="s">
        <v>96</v>
      </c>
    </row>
    <row r="77" customFormat="false" ht="15" hidden="false" customHeight="false" outlineLevel="0" collapsed="false">
      <c r="S77" s="0" t="s">
        <v>98</v>
      </c>
    </row>
    <row r="78" customFormat="false" ht="15" hidden="false" customHeight="false" outlineLevel="0" collapsed="false">
      <c r="S78" s="0" t="s">
        <v>100</v>
      </c>
    </row>
    <row r="81" customFormat="false" ht="15" hidden="false" customHeight="false" outlineLevel="0" collapsed="false">
      <c r="A81" s="3" t="s">
        <v>388</v>
      </c>
    </row>
    <row r="82" customFormat="false" ht="15" hidden="false" customHeight="false" outlineLevel="0" collapsed="false">
      <c r="A82" s="6" t="s">
        <v>380</v>
      </c>
      <c r="B82" s="17" t="s">
        <v>389</v>
      </c>
    </row>
    <row r="83" customFormat="false" ht="15" hidden="false" customHeight="false" outlineLevel="0" collapsed="false">
      <c r="A83" s="6" t="s">
        <v>382</v>
      </c>
      <c r="B83" s="17" t="s">
        <v>390</v>
      </c>
    </row>
    <row r="84" customFormat="false" ht="15" hidden="false" customHeight="false" outlineLevel="0" collapsed="false">
      <c r="A84" s="6" t="s">
        <v>385</v>
      </c>
      <c r="B84" s="17" t="s">
        <v>391</v>
      </c>
    </row>
    <row r="85" customFormat="false" ht="15" hidden="false" customHeight="false" outlineLevel="0" collapsed="false">
      <c r="A85" s="6" t="s">
        <v>386</v>
      </c>
      <c r="B85" s="17" t="s">
        <v>392</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2026-09-07T11:45:04Z</dcterms:created>
  <dc:creator>Capacity exercise toolkit</dc:creator>
  <dc:description/>
  <dc:language>en-US</dc:language>
  <cp:lastModifiedBy/>
  <dcterms:modified xsi:type="dcterms:W3CDTF">2026-09-07T11:45:24Z</dcterms:modified>
  <cp:revision>1</cp:revision>
  <dc:subject/>
  <dc:title>2027 Capacity Exercise - Internal Audit Group</dc:title>
</cp:coreProperties>
</file>

<file path=docProps/custom.xml><?xml version="1.0" encoding="utf-8"?>
<Properties xmlns="http://schemas.openxmlformats.org/officeDocument/2006/custom-properties" xmlns:vt="http://schemas.openxmlformats.org/officeDocument/2006/docPropsVTypes"/>
</file>