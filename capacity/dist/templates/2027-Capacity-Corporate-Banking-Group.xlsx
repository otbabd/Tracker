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capacity'!$A$5:$Q$197</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position'!$B$28</definedName>
    <definedName function="false" hidden="false" name="CostMine" vbProcedure="false">'5. My position'!$C$28</definedName>
    <definedName function="false" hidden="false" name="DirectionList" vbProcedure="false">Ref!$E$51:$E$53</definedName>
    <definedName function="false" hidden="false" name="DispositionList" vbProcedure="false">Ref!$I$51:$I$53</definedName>
    <definedName function="false" hidden="false" name="DivisionList" vbProcedure="false">Ref!$U$51:$U$53</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position'!$B$29</definedName>
    <definedName function="false" hidden="false" name="HeadMine" vbProcedure="false">'5. My position'!$C$29</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position'!$B$30</definedName>
    <definedName function="false" hidden="false" name="MandateMine" vbProcedure="false">'5. My position'!$C$30</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capacity'!$J$6:$J$197</definedName>
    <definedName function="false" hidden="false" name="SeatDepartment" vbProcedure="false">'2. Current capacity'!$C$6:$C$197</definedName>
    <definedName function="false" hidden="false" name="SeatDirection" vbProcedure="false">'2. Current capacity'!$N$6:$N$197</definedName>
    <definedName function="false" hidden="false" name="SeatDivision" vbProcedure="false">'2. Current capacity'!$B$6:$B$197</definedName>
    <definedName function="false" hidden="false" name="SeatExits" vbProcedure="false">'2. Current capacity'!$P$6:$P$197</definedName>
    <definedName function="false" hidden="false" name="SeatFilled" vbProcedure="false">'2. Current capacity'!$K$6:$K$197</definedName>
    <definedName function="false" hidden="false" name="SeatLevel" vbProcedure="false">'2. Current capacity'!$G$6:$G$197</definedName>
    <definedName function="false" hidden="false" name="SeatMandate" vbProcedure="false">'2. Current capacity'!$I$6:$I$197</definedName>
    <definedName function="false" hidden="false" name="SeatProblem" vbProcedure="false">'2. Current capacity'!$Q$6:$Q$197</definedName>
    <definedName function="false" hidden="false" name="SeatSlated" vbProcedure="false">'2. Current capacity'!$O$6:$O$197</definedName>
    <definedName function="false" hidden="false" name="SeatSubUnit" vbProcedure="false">'2. Current capacity'!$E$6:$E$197</definedName>
    <definedName function="false" hidden="false" name="SeatTitle" vbProcedure="false">'2. Current capacity'!$F$6:$F$197</definedName>
    <definedName function="false" hidden="false" name="SeatUnit" vbProcedure="false">'2. Current capacity'!$D$6:$D$197</definedName>
    <definedName function="false" hidden="false" name="SeatVacant" vbProcedure="false">'2. Current capacity'!$L$6:$L$197</definedName>
    <definedName function="false" hidden="false" name="SeatWorkerType" vbProcedure="false">'2. Current capacity'!$M$6:$M$197</definedName>
    <definedName function="false" hidden="false" name="UnitList" vbProcedure="false">Ref!$W$51:$W$92</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<sst xmlns="http://schemas.openxmlformats.org/spreadsheetml/2006/main" count="1771" uniqueCount="518">
  <si>
    <t xml:space="preserve">2027 Capacity Exercise</t>
  </si>
  <si>
    <t xml:space="preserve">Corporate Banking Group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</si>
  <si>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</si>
  <si>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</si>
  <si>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</si>
  <si>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</si>
  <si>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</si>
  <si>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</si>
  <si>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</si>
  <si>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</si>
  <si>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</si>
  <si>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</si>
  <si>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</si>
  <si>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</si>
  <si>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</si>
  <si>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</si>
  <si>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</si>
  <si>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</si>
  <si>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</si>
  <si>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</si>
  <si>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</si>
  <si>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</si>
  <si>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</si>
  <si>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</si>
  <si>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</si>
  <si>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</si>
  <si>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</si>
  <si>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</si>
  <si>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</si>
  <si>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</si>
  <si>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</si>
  <si>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</si>
  <si>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</si>
  <si>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</si>
  <si>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</si>
  <si>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</si>
  <si>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</si>
  <si>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</si>
  <si>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</si>
  <si>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</si>
  <si>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</si>
  <si>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</si>
  <si>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</si>
  <si>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</si>
  <si>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</si>
  <si>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</si>
  <si>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</si>
  <si>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</si>
  <si>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Corporate Banking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</si>
  <si>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</si>
  <si>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</si>
  <si>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</si>
  <si>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</si>
  <si>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</si>
  <si>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</si>
  <si>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</si>
  <si>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</si>
  <si>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</si>
  <si>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</si>
  <si>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</si>
  <si>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Corporate Banking Group</t>
  </si>
  <si>
    <t xml:space="preserve">Division</t>
  </si>
  <si>
    <t xml:space="preserve">    Corporate Coverage Division</t>
  </si>
  <si>
    <t xml:space="preserve">Corporate Coverage Division</t>
  </si>
  <si>
    <t xml:space="preserve">Department</t>
  </si>
  <si>
    <t xml:space="preserve">        Large Corporate</t>
  </si>
  <si>
    <t xml:space="preserve">Large Corporate</t>
  </si>
  <si>
    <t xml:space="preserve">            Large Corporate Unit 1</t>
  </si>
  <si>
    <t xml:space="preserve">Large Corporate Unit 1</t>
  </si>
  <si>
    <t xml:space="preserve">Sub-unit</t>
  </si>
  <si>
    <t xml:space="preserve">                Large Corporate Unit 1 - Team A</t>
  </si>
  <si>
    <t xml:space="preserve">Large Corporate Unit 1 - Team A</t>
  </si>
  <si>
    <t xml:space="preserve">                Large Corporate Unit 1 - Team B</t>
  </si>
  <si>
    <t xml:space="preserve">Large Corporate Unit 1 - Team B</t>
  </si>
  <si>
    <t xml:space="preserve">            Large Corporate Unit 2</t>
  </si>
  <si>
    <t xml:space="preserve">Large Corporate Unit 2</t>
  </si>
  <si>
    <t xml:space="preserve">                Large Corporate Unit 2 - Team A</t>
  </si>
  <si>
    <t xml:space="preserve">Large Corporate Unit 2 - Team A</t>
  </si>
  <si>
    <t xml:space="preserve">                Large Corporate Unit 2 - Team B</t>
  </si>
  <si>
    <t xml:space="preserve">Large Corporate Unit 2 - Team B</t>
  </si>
  <si>
    <t xml:space="preserve">        Mid Corporate</t>
  </si>
  <si>
    <t xml:space="preserve">Mid Corporate</t>
  </si>
  <si>
    <t xml:space="preserve">            Mid Corporate Unit 1</t>
  </si>
  <si>
    <t xml:space="preserve">Mid Corporate Unit 1</t>
  </si>
  <si>
    <t xml:space="preserve">                Mid Corporate Unit 1 - Team A</t>
  </si>
  <si>
    <t xml:space="preserve">Mid Corporate Unit 1 - Team A</t>
  </si>
  <si>
    <t xml:space="preserve">                Mid Corporate Unit 1 - Team B</t>
  </si>
  <si>
    <t xml:space="preserve">Mid Corporate Unit 1 - Team B</t>
  </si>
  <si>
    <t xml:space="preserve">            Mid Corporate Unit 2</t>
  </si>
  <si>
    <t xml:space="preserve">Mid Corporate Unit 2</t>
  </si>
  <si>
    <t xml:space="preserve">                Mid Corporate Unit 2 - Team A</t>
  </si>
  <si>
    <t xml:space="preserve">Mid Corporate Unit 2 - Team A</t>
  </si>
  <si>
    <t xml:space="preserve">                Mid Corporate Unit 2 - Team B</t>
  </si>
  <si>
    <t xml:space="preserve">Mid Corporate Unit 2 - Team B</t>
  </si>
  <si>
    <t xml:space="preserve">    SME Banking Division</t>
  </si>
  <si>
    <t xml:space="preserve">SME Banking Division</t>
  </si>
  <si>
    <t xml:space="preserve">        SME Coverage</t>
  </si>
  <si>
    <t xml:space="preserve">SME Coverage</t>
  </si>
  <si>
    <t xml:space="preserve">            SME Coverage Unit 1</t>
  </si>
  <si>
    <t xml:space="preserve">SME Coverage Unit 1</t>
  </si>
  <si>
    <t xml:space="preserve">                SME Coverage Unit 1 - Team A</t>
  </si>
  <si>
    <t xml:space="preserve">SME Coverage Unit 1 - Team A</t>
  </si>
  <si>
    <t xml:space="preserve">                SME Coverage Unit 1 - Team B</t>
  </si>
  <si>
    <t xml:space="preserve">SME Coverage Unit 1 - Team B</t>
  </si>
  <si>
    <t xml:space="preserve">            SME Coverage Unit 2</t>
  </si>
  <si>
    <t xml:space="preserve">SME Coverage Unit 2</t>
  </si>
  <si>
    <t xml:space="preserve">                SME Coverage Unit 2 - Team A</t>
  </si>
  <si>
    <t xml:space="preserve">SME Coverage Unit 2 - Team A</t>
  </si>
  <si>
    <t xml:space="preserve">                SME Coverage Unit 2 - Team B</t>
  </si>
  <si>
    <t xml:space="preserve">SME Coverage Unit 2 - Team B</t>
  </si>
  <si>
    <t xml:space="preserve">        SME Products</t>
  </si>
  <si>
    <t xml:space="preserve">SME Products</t>
  </si>
  <si>
    <t xml:space="preserve">            SME Products Unit 1</t>
  </si>
  <si>
    <t xml:space="preserve">SME Products Unit 1</t>
  </si>
  <si>
    <t xml:space="preserve">                SME Products Unit 1 - Team A</t>
  </si>
  <si>
    <t xml:space="preserve">SME Products Unit 1 - Team A</t>
  </si>
  <si>
    <t xml:space="preserve">                SME Products Unit 1 - Team B</t>
  </si>
  <si>
    <t xml:space="preserve">SME Products Unit 1 - Team B</t>
  </si>
  <si>
    <t xml:space="preserve">            SME Products Unit 2</t>
  </si>
  <si>
    <t xml:space="preserve">SME Products Unit 2</t>
  </si>
  <si>
    <t xml:space="preserve">                SME Products Unit 2 - Team A</t>
  </si>
  <si>
    <t xml:space="preserve">SME Products Unit 2 - Team A</t>
  </si>
  <si>
    <t xml:space="preserve">                SME Products Unit 2 - Team B</t>
  </si>
  <si>
    <t xml:space="preserve">SME Products Unit 2 - Team B</t>
  </si>
  <si>
    <t xml:space="preserve">    Transaction Banking Division</t>
  </si>
  <si>
    <t xml:space="preserve">Transaction Banking Division</t>
  </si>
  <si>
    <t xml:space="preserve">        Cash Management</t>
  </si>
  <si>
    <t xml:space="preserve">Cash Management</t>
  </si>
  <si>
    <t xml:space="preserve">            Cash Management Unit 1</t>
  </si>
  <si>
    <t xml:space="preserve">Cash Management Unit 1</t>
  </si>
  <si>
    <t xml:space="preserve">                Cash Management Unit 1 - Team A</t>
  </si>
  <si>
    <t xml:space="preserve">Cash Management Unit 1 - Team A</t>
  </si>
  <si>
    <t xml:space="preserve">                Cash Management Unit 1 - Team B</t>
  </si>
  <si>
    <t xml:space="preserve">Cash Management Unit 1 - Team B</t>
  </si>
  <si>
    <t xml:space="preserve">            Cash Management Unit 2</t>
  </si>
  <si>
    <t xml:space="preserve">Cash Management Unit 2</t>
  </si>
  <si>
    <t xml:space="preserve">                Cash Management Unit 2 - Team A</t>
  </si>
  <si>
    <t xml:space="preserve">Cash Management Unit 2 - Team A</t>
  </si>
  <si>
    <t xml:space="preserve">                Cash Management Unit 2 - Team B</t>
  </si>
  <si>
    <t xml:space="preserve">Cash Management Unit 2 - Team B</t>
  </si>
  <si>
    <t xml:space="preserve">        Trade Finance</t>
  </si>
  <si>
    <t xml:space="preserve">Trade Finance</t>
  </si>
  <si>
    <t xml:space="preserve">            Trade Finance Unit 1</t>
  </si>
  <si>
    <t xml:space="preserve">Trade Finance Unit 1</t>
  </si>
  <si>
    <t xml:space="preserve">                Trade Finance Unit 1 - Team A</t>
  </si>
  <si>
    <t xml:space="preserve">Trade Finance Unit 1 - Team A</t>
  </si>
  <si>
    <t xml:space="preserve">                Trade Finance Unit 1 - Team B</t>
  </si>
  <si>
    <t xml:space="preserve">Trade Finance Unit 1 - Team B</t>
  </si>
  <si>
    <t xml:space="preserve">            Trade Finance Unit 2</t>
  </si>
  <si>
    <t xml:space="preserve">Trade Finance Unit 2</t>
  </si>
  <si>
    <t xml:space="preserve">                Trade Finance Unit 2 - Team A</t>
  </si>
  <si>
    <t xml:space="preserve">Trade Finance Unit 2 - Team A</t>
  </si>
  <si>
    <t xml:space="preserve">                Trade Finance Unit 2 - Team B</t>
  </si>
  <si>
    <t xml:space="preserve">Trade Finance Unit 2 - Team B</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</si>
  <si>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</si>
  <si>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</si>
  <si>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</si>
  <si>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</si>
  <si>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</si>
  <si>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</si>
  <si>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</si>
  <si>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</si>
  <si>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</si>
  <si>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</si>
  <si>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</si>
  <si>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CC-1032</t>
  </si>
  <si>
    <t xml:space="preserve">Chief Corporate Banking Officer</t>
  </si>
  <si>
    <t xml:space="preserve">Executive</t>
  </si>
  <si>
    <t xml:space="preserve">Insourced</t>
  </si>
  <si>
    <t xml:space="preserve">CC-1017</t>
  </si>
  <si>
    <t xml:space="preserve">General Manager - Corporate Coverage</t>
  </si>
  <si>
    <t xml:space="preserve">Leadership</t>
  </si>
  <si>
    <t xml:space="preserve">Permanent</t>
  </si>
  <si>
    <t xml:space="preserve">CC-1007</t>
  </si>
  <si>
    <t xml:space="preserve">Head of Large Corporate</t>
  </si>
  <si>
    <t xml:space="preserve">CC-1060</t>
  </si>
  <si>
    <t xml:space="preserve">Manager Large Corporate</t>
  </si>
  <si>
    <t xml:space="preserve">Management</t>
  </si>
  <si>
    <t xml:space="preserve">CC-1031</t>
  </si>
  <si>
    <t xml:space="preserve">Analyst Large Corporate</t>
  </si>
  <si>
    <t xml:space="preserve">Professional</t>
  </si>
  <si>
    <t xml:space="preserve">CC-1008</t>
  </si>
  <si>
    <t xml:space="preserve">Senior Analyst Large Corporate</t>
  </si>
  <si>
    <t xml:space="preserve">Senior Officer Large Corporate</t>
  </si>
  <si>
    <t xml:space="preserve">CC-1055</t>
  </si>
  <si>
    <t xml:space="preserve">Team Lead Large Corporate</t>
  </si>
  <si>
    <t xml:space="preserve">CC-1029</t>
  </si>
  <si>
    <t xml:space="preserve">CC-1002</t>
  </si>
  <si>
    <t xml:space="preserve">Associate Large Corporate</t>
  </si>
  <si>
    <t xml:space="preserve">Officer Large Corporate</t>
  </si>
  <si>
    <t xml:space="preserve">CC-1006</t>
  </si>
  <si>
    <t xml:space="preserve">CC-1003</t>
  </si>
  <si>
    <t xml:space="preserve">CC-1059</t>
  </si>
  <si>
    <t xml:space="preserve">CC-1019</t>
  </si>
  <si>
    <t xml:space="preserve">CC-1000</t>
  </si>
  <si>
    <t xml:space="preserve">CC-1044</t>
  </si>
  <si>
    <t xml:space="preserve">CC-1013</t>
  </si>
  <si>
    <t xml:space="preserve">CC-1050</t>
  </si>
  <si>
    <t xml:space="preserve">CC-1021</t>
  </si>
  <si>
    <t xml:space="preserve">CC-1027</t>
  </si>
  <si>
    <t xml:space="preserve">CC-1025</t>
  </si>
  <si>
    <t xml:space="preserve">Head of Mid Corporate</t>
  </si>
  <si>
    <t xml:space="preserve">CC-1058</t>
  </si>
  <si>
    <t xml:space="preserve">Manager Mid Corporate</t>
  </si>
  <si>
    <t xml:space="preserve">Analyst Mid Corporate</t>
  </si>
  <si>
    <t xml:space="preserve">Associate Mid Corporate</t>
  </si>
  <si>
    <t xml:space="preserve">CC-1047</t>
  </si>
  <si>
    <t xml:space="preserve">Senior Analyst Mid Corporate</t>
  </si>
  <si>
    <t xml:space="preserve">Team Lead Mid Corporate</t>
  </si>
  <si>
    <t xml:space="preserve">CC-1005</t>
  </si>
  <si>
    <t xml:space="preserve">Officer Mid Corporate</t>
  </si>
  <si>
    <t xml:space="preserve">CC-1010</t>
  </si>
  <si>
    <t xml:space="preserve">Senior Officer Mid Corporate</t>
  </si>
  <si>
    <t xml:space="preserve">Specialist Mid Corporate</t>
  </si>
  <si>
    <t xml:space="preserve">CC-1024</t>
  </si>
  <si>
    <t xml:space="preserve">CC-1057</t>
  </si>
  <si>
    <t xml:space="preserve">CC-1039</t>
  </si>
  <si>
    <t xml:space="preserve">CC-1036</t>
  </si>
  <si>
    <t xml:space="preserve">CC-1045</t>
  </si>
  <si>
    <t xml:space="preserve">CC-1046</t>
  </si>
  <si>
    <t xml:space="preserve">General Manager - SME Banking</t>
  </si>
  <si>
    <t xml:space="preserve">CC-1012</t>
  </si>
  <si>
    <t xml:space="preserve">Head of SME Coverage</t>
  </si>
  <si>
    <t xml:space="preserve">Manager SME Coverage</t>
  </si>
  <si>
    <t xml:space="preserve">Analyst SME Coverage</t>
  </si>
  <si>
    <t xml:space="preserve">Officer SME Coverage</t>
  </si>
  <si>
    <t xml:space="preserve">Senior Analyst SME Coverage</t>
  </si>
  <si>
    <t xml:space="preserve">Senior Officer SME Coverage</t>
  </si>
  <si>
    <t xml:space="preserve">CC-1049</t>
  </si>
  <si>
    <t xml:space="preserve">Team Lead SME Coverage</t>
  </si>
  <si>
    <t xml:space="preserve">CC-1048</t>
  </si>
  <si>
    <t xml:space="preserve">Associate SME Coverage</t>
  </si>
  <si>
    <t xml:space="preserve">CC-1015</t>
  </si>
  <si>
    <t xml:space="preserve">Specialist SME Coverage</t>
  </si>
  <si>
    <t xml:space="preserve">CC-1040</t>
  </si>
  <si>
    <t xml:space="preserve">CC-1004</t>
  </si>
  <si>
    <t xml:space="preserve">CC-1014</t>
  </si>
  <si>
    <t xml:space="preserve">CC-1038</t>
  </si>
  <si>
    <t xml:space="preserve">CC-1034</t>
  </si>
  <si>
    <t xml:space="preserve">Head of SME Products</t>
  </si>
  <si>
    <t xml:space="preserve">Manager SME Products</t>
  </si>
  <si>
    <t xml:space="preserve">Officer SME Products</t>
  </si>
  <si>
    <t xml:space="preserve">Senior Analyst SME Products</t>
  </si>
  <si>
    <t xml:space="preserve">Senior Officer SME Products</t>
  </si>
  <si>
    <t xml:space="preserve">Specialist SME Products</t>
  </si>
  <si>
    <t xml:space="preserve">CC-1028</t>
  </si>
  <si>
    <t xml:space="preserve">Team Lead SME Products</t>
  </si>
  <si>
    <t xml:space="preserve">Analyst SME Products</t>
  </si>
  <si>
    <t xml:space="preserve">Associate SME Products</t>
  </si>
  <si>
    <t xml:space="preserve">CC-1043</t>
  </si>
  <si>
    <t xml:space="preserve">CC-1033</t>
  </si>
  <si>
    <t xml:space="preserve">CC-1018</t>
  </si>
  <si>
    <t xml:space="preserve">General Manager - Transaction Banking</t>
  </si>
  <si>
    <t xml:space="preserve">Head of Cash Management</t>
  </si>
  <si>
    <t xml:space="preserve">Manager Cash Management</t>
  </si>
  <si>
    <t xml:space="preserve">Associate Cash Management</t>
  </si>
  <si>
    <t xml:space="preserve">Officer Cash Management</t>
  </si>
  <si>
    <t xml:space="preserve">Senior Analyst Cash Management</t>
  </si>
  <si>
    <t xml:space="preserve">Specialist Cash Management</t>
  </si>
  <si>
    <t xml:space="preserve">Team Lead Cash Management</t>
  </si>
  <si>
    <t xml:space="preserve">Analyst Cash Management</t>
  </si>
  <si>
    <t xml:space="preserve">Senior Officer Cash Management</t>
  </si>
  <si>
    <t xml:space="preserve">CC-1042</t>
  </si>
  <si>
    <t xml:space="preserve">CC-1054</t>
  </si>
  <si>
    <t xml:space="preserve">Head of Trade Finance</t>
  </si>
  <si>
    <t xml:space="preserve">Manager Trade Finance</t>
  </si>
  <si>
    <t xml:space="preserve">Associate Trade Finance</t>
  </si>
  <si>
    <t xml:space="preserve">CC-1030</t>
  </si>
  <si>
    <t xml:space="preserve">CC-1011</t>
  </si>
  <si>
    <t xml:space="preserve">Officer Trade Finance</t>
  </si>
  <si>
    <t xml:space="preserve">Senior Officer Trade Finance</t>
  </si>
  <si>
    <t xml:space="preserve">Specialist Trade Finance</t>
  </si>
  <si>
    <t xml:space="preserve">Team Lead Trade Finance</t>
  </si>
  <si>
    <t xml:space="preserve">Analyst Trade Finance</t>
  </si>
  <si>
    <t xml:space="preserve">CC-1037</t>
  </si>
  <si>
    <t xml:space="preserve">CC-1052</t>
  </si>
  <si>
    <t xml:space="preserve">CC-1053</t>
  </si>
  <si>
    <t xml:space="preserve">Senior Analyst Trade Finance</t>
  </si>
  <si>
    <t xml:space="preserve">CC-1026</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</si>
  <si>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</si>
  <si>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</si>
  <si>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</si>
  <si>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</si>
  <si>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</si>
  <si>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</si>
  <si>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</si>
  <si>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</si>
  <si>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</si>
  <si>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</si>
  <si>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</si>
  <si>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</si>
  <si>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</si>
  <si>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</si>
  <si>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</si>
  <si>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</si>
  <si>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</si>
  <si>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</si>
  <si>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</si>
  <si>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</si>
  <si>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</si>
  <si>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</si>
  <si>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</si>
  <si>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</si>
  <si>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</si>
  <si>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</si>
  <si>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</si>
  <si>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</si>
  <si>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</si>
  <si>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</si>
  <si>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</si>
  <si>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</si>
  <si>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</si>
  <si>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</si>
  <si>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</si>
  <si>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</si>
  <si>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</si>
  <si>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</si>
  <si>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</si>
  <si>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</si>
  <si>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</si>
  <si>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</si>
  <si>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</si>
  <si>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</si>
  <si>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</si>
  <si>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</si>
  <si>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</si>
  <si>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</si>
  <si>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</si>
  <si>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</si>
  <si>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</si>
  <si>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</si>
  <si>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</si>
  <si>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</si>
  <si>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</si>
  <si>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</si>
  <si>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</si>
  <si>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</si>
  <si>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</si>
  <si>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</si>
  <si>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</si>
  <si>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</si>
  <si>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</si>
  <si>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</si>
  <si>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</si>
  <si>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</si>
  <si>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</si>
  <si>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</si>
  <si>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</si>
  <si>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</si>
  <si>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</si>
  <si>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</si>
  <si>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</si>
  <si>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</si>
  <si>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</si>
  <si>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</si>
  <si>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</si>
  <si>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</si>
  <si>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</si>
  <si>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</si>
  <si>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</si>
  <si>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</si>
  <si>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</si>
  <si>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</si>
  <si>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</si>
  <si>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</si>
  <si>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</si>
  <si>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</si>
  <si>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</si>
  <si>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</si>
  <si>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</si>
  <si>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</si>
  <si>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</si>
  <si>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</si>
  <si>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</si>
  <si>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</si>
  <si>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</si>
  <si>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</si>
  <si>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</si>
  <si>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</si>
  <si>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</si>
  <si>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</si>
  <si>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</si>
  <si>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</si>
  <si>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</si>
  <si>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</si>
  <si>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</si>
  <si>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</si>
  <si>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</si>
  <si>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</si>
  <si>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</si>
  <si>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</si>
  <si>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</si>
  <si>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</si>
  <si>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</si>
  <si>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</si>
  <si>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</si>
  <si>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</si>
  <si>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</si>
  <si>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</si>
  <si>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</si>
  <si>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Corporate Banking Group.</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</si>
  <si>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</si>
  <si>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</si>
  <si>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</si>
  <si>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</si>
  <si>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</si>
  <si>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</si>
  <si>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</si>
  <si>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</si>
  <si>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</si>
  <si>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</si>
  <si>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</si>
  <si>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</si>
  <si>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</si>
  <si>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</si>
  <si>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</si>
  <si>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</si>
  <si>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</si>
  <si>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</si>
  <si>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</si>
  <si>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</si>
  <si>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</si>
  <si>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</si>
  <si>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</si>
  <si>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</si>
  <si>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</si>
  <si>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</si>
  <si>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</si>
  <si>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</si>
  <si>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</si>
  <si>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</si>
  <si>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</si>
  <si>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</si>
  <si>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</si>
  <si>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</si>
  <si>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</si>
  <si>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</si>
  <si>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</si>
  <si>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</si>
  <si>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</si>
  <si>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</si>
  <si>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</si>
  <si>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</si>
  <si>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</si>
  <si>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</si>
  <si>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</si>
  <si>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</si>
  <si>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</si>
  <si>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</si>
  <si>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</si>
  <si>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</si>
  <si>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</si>
  <si>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</si>
  <si>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</si>
  <si>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</si>
  <si>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</si>
  <si>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</si>
  <si>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</si>
  <si>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</si>
  <si>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</si>
  <si>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</si>
  <si>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</si>
  <si>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</si>
  <si>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</si>
  <si>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</si>
  <si>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</si>
  <si>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</si>
  <si>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</si>
  <si>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</si>
  <si>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</si>
  <si>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</si>
  <si>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</si>
  <si>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</si>
  <si>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</si>
  <si>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</si>
  <si>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</si>
  <si>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</si>
  <si>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</si>
  <si>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</si>
  <si>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</si>
  <si>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</si>
  <si>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</si>
  <si>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</si>
  <si>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</si>
  <si>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</si>
  <si>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</si>
  <si>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</si>
  <si>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</si>
  <si>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</si>
  <si>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</si>
  <si>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</si>
  <si>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</si>
  <si>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</si>
  <si>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</si>
  <si>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</si>
  <si>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</si>
  <si>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</si>
  <si>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</si>
  <si>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</si>
  <si>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</si>
  <si>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</si>
  <si>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</si>
  <si>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</si>
  <si>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</si>
  <si>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</si>
  <si>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</si>
  <si>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</si>
  <si>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</si>
  <si>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</si>
  <si>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</si>
  <si>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</si>
  <si>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</si>
  <si>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</si>
  <si>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</si>
  <si>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Section</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</si>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</sst>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position'!$A$34:$A$37</c:f>
              <c:strCache>
                <c:ptCount val="4"/>
                <c:pt idx="0">
                  <c:v>1. Regulatory</c:v>
                </c:pt>
                <c:pt idx="1">
                  <c:v>2. Strategic</c:v>
                </c:pt>
                <c:pt idx="2">
                  <c:v>3. Control</c:v>
                </c:pt>
                <c:pt idx="3">
                  <c:v>4. BAU</c:v>
                </c:pt>
              </c:strCache>
            </c:strRef>
          </c:cat>
          <c:val>
            <c:numRef>
              <c:f>'5. My position'!$C$34:$C$37</c:f>
              <c:numCache>
                <c:formatCode>#,##0;\(#,##0\);\-</c:formatCode>
                <c:ptCount val="4"/>
                <c:pt idx="0">
                  <c:v>0</c:v>
                </c:pt>
                <c:pt idx="1">
                  <c:v>0</c:v>
                </c:pt>
                <c:pt idx="2">
                  <c:v>0</c:v>
                </c:pt>
                <c:pt idx="3">
                  <c:v>0</c:v>
                </c:pt>
              </c:numCache>
            </c:numRef>
          </c:val>
        </c:ser>
        <c:gapWidth val="150"/>
        <c:overlap val="0"/>
        <c:axId val="75470841"/>
        <c:axId val="35617924"/>
      </c:barChart>
      <c:catAx>
        <c:axId val="75470841"/>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617924"/>
        <c:crosses val="autoZero"/>
        <c:auto val="1"/>
        <c:lblAlgn val="ctr"/>
        <c:lblOffset val="100"/>
        <c:noMultiLvlLbl val="0"/>
      </c:catAx>
      <c:valAx>
        <c:axId val="3561792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470841"/>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position'!$A$41:$A$44</c:f>
              <c:strCache>
                <c:ptCount val="4"/>
                <c:pt idx="0">
                  <c:v>Q1</c:v>
                </c:pt>
                <c:pt idx="1">
                  <c:v>Q2</c:v>
                </c:pt>
                <c:pt idx="2">
                  <c:v>Q3</c:v>
                </c:pt>
                <c:pt idx="3">
                  <c:v>Q4</c:v>
                </c:pt>
              </c:strCache>
            </c:strRef>
          </c:cat>
          <c:val>
            <c:numRef>
              <c:f>'5. My position'!$B$41:$B$44</c:f>
              <c:numCache>
                <c:formatCode>#,##0.0;\(#,##0.0\);\-</c:formatCode>
                <c:ptCount val="4"/>
                <c:pt idx="0">
                  <c:v>0</c:v>
                </c:pt>
                <c:pt idx="1">
                  <c:v>0</c:v>
                </c:pt>
                <c:pt idx="2">
                  <c:v>0</c:v>
                </c:pt>
                <c:pt idx="3">
                  <c:v>0</c:v>
                </c:pt>
              </c:numCache>
            </c:numRef>
          </c:val>
        </c:ser>
        <c:gapWidth val="150"/>
        <c:overlap val="0"/>
        <c:axId val="95915900"/>
        <c:axId val="92705272"/>
      </c:barChart>
      <c:catAx>
        <c:axId val="9591590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05272"/>
        <c:crosses val="autoZero"/>
        <c:auto val="1"/>
        <c:lblAlgn val="ctr"/>
        <c:lblOffset val="100"/>
        <c:noMultiLvlLbl val="0"/>
      </c:catAx>
      <c:valAx>
        <c:axId val="92705272"/>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91590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0</xdr:rowOff>
    </xdr:from>
    <xdr:to>
      <xdr:col>3</xdr:col>
      <xdr:colOff>247680</xdr:colOff>
      <xdr:row>61</xdr:row>
      <xdr:rowOff>21960</xdr:rowOff>
    </xdr:to>
    <xdr:graphicFrame>
      <xdr:nvGraphicFramePr>
        <xdr:cNvPr id="0" name="Chart 1"/>
        <xdr:cNvGraphicFramePr/>
      </xdr:nvGraphicFramePr>
      <xdr:xfrm>
        <a:off x="0" y="9686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46</xdr:row>
      <xdr:rowOff>0</xdr:rowOff>
    </xdr:from>
    <xdr:to>
      <xdr:col>6</xdr:col>
      <xdr:colOff>1652760</xdr:colOff>
      <xdr:row>61</xdr:row>
      <xdr:rowOff>21960</xdr:rowOff>
    </xdr:to>
    <xdr:graphicFrame>
      <xdr:nvGraphicFramePr>
        <xdr:cNvPr id="1" name="Chart 2"/>
        <xdr:cNvGraphicFramePr/>
      </xdr:nvGraphicFramePr>
      <xdr:xfrm>
        <a:off x="6756480" y="968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198</v>
      </c>
      <c r="D5" s="15" t="n">
        <v>169</v>
      </c>
      <c r="E5" s="15" t="n">
        <v>29</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198</v>
      </c>
      <c r="I5" s="16" t="n">
        <f aca="false">$H5-$C5</f>
        <v>0</v>
      </c>
      <c r="J5" s="17" t="s">
        <v>60</v>
      </c>
    </row>
    <row r="6" customFormat="false" ht="15" hidden="false" customHeight="false" outlineLevel="1" collapsed="false">
      <c r="A6" s="13" t="s">
        <v>61</v>
      </c>
      <c r="B6" s="14" t="s">
        <v>62</v>
      </c>
      <c r="C6" s="15" t="n">
        <v>62</v>
      </c>
      <c r="D6" s="15" t="n">
        <v>57</v>
      </c>
      <c r="E6" s="15" t="n">
        <v>5</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62</v>
      </c>
      <c r="I6" s="16" t="n">
        <f aca="false">$H6-$C6</f>
        <v>0</v>
      </c>
      <c r="J6" s="17" t="s">
        <v>63</v>
      </c>
    </row>
    <row r="7" customFormat="false" ht="15" hidden="false" customHeight="false" outlineLevel="2" collapsed="false">
      <c r="A7" s="17" t="s">
        <v>64</v>
      </c>
      <c r="B7" s="18" t="s">
        <v>65</v>
      </c>
      <c r="C7" s="19" t="n">
        <v>33</v>
      </c>
      <c r="D7" s="19" t="n">
        <v>31</v>
      </c>
      <c r="E7" s="19" t="n">
        <v>2</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33</v>
      </c>
      <c r="I7" s="20" t="n">
        <f aca="false">$H7-$C7</f>
        <v>0</v>
      </c>
      <c r="J7" s="17" t="s">
        <v>66</v>
      </c>
    </row>
    <row r="8" customFormat="false" ht="15" hidden="false" customHeight="false" outlineLevel="3" collapsed="false">
      <c r="A8" s="17" t="s">
        <v>50</v>
      </c>
      <c r="B8" s="18" t="s">
        <v>67</v>
      </c>
      <c r="C8" s="19" t="n">
        <v>15</v>
      </c>
      <c r="D8" s="19" t="n">
        <v>14</v>
      </c>
      <c r="E8" s="19" t="n">
        <v>1</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15</v>
      </c>
      <c r="I8" s="20" t="n">
        <f aca="false">$H8-$C8</f>
        <v>0</v>
      </c>
      <c r="J8" s="17" t="s">
        <v>68</v>
      </c>
    </row>
    <row r="9" customFormat="false" ht="15" hidden="false" customHeight="false" outlineLevel="4" collapsed="false">
      <c r="A9" s="17" t="s">
        <v>69</v>
      </c>
      <c r="B9" s="18" t="s">
        <v>70</v>
      </c>
      <c r="C9" s="19" t="n">
        <v>6</v>
      </c>
      <c r="D9" s="19" t="n">
        <v>5</v>
      </c>
      <c r="E9" s="19" t="n">
        <v>1</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6</v>
      </c>
      <c r="I9" s="20" t="n">
        <f aca="false">$H9-$C9</f>
        <v>0</v>
      </c>
      <c r="J9" s="17" t="s">
        <v>71</v>
      </c>
    </row>
    <row r="10" customFormat="false" ht="15" hidden="false" customHeight="false" outlineLevel="4" collapsed="false">
      <c r="A10" s="17" t="s">
        <v>69</v>
      </c>
      <c r="B10" s="18" t="s">
        <v>72</v>
      </c>
      <c r="C10" s="19" t="n">
        <v>8</v>
      </c>
      <c r="D10" s="19" t="n">
        <v>8</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8</v>
      </c>
      <c r="I10" s="20" t="n">
        <f aca="false">$H10-$C10</f>
        <v>0</v>
      </c>
      <c r="J10" s="17" t="s">
        <v>73</v>
      </c>
    </row>
    <row r="11" customFormat="false" ht="15" hidden="false" customHeight="false" outlineLevel="3" collapsed="false">
      <c r="A11" s="17" t="s">
        <v>50</v>
      </c>
      <c r="B11" s="18" t="s">
        <v>74</v>
      </c>
      <c r="C11" s="19" t="n">
        <v>17</v>
      </c>
      <c r="D11" s="19" t="n">
        <v>16</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17</v>
      </c>
      <c r="I11" s="20" t="n">
        <f aca="false">$H11-$C11</f>
        <v>0</v>
      </c>
      <c r="J11" s="17" t="s">
        <v>75</v>
      </c>
    </row>
    <row r="12" customFormat="false" ht="15" hidden="false" customHeight="false" outlineLevel="4" collapsed="false">
      <c r="A12" s="17" t="s">
        <v>69</v>
      </c>
      <c r="B12" s="18" t="s">
        <v>76</v>
      </c>
      <c r="C12" s="19" t="n">
        <v>7</v>
      </c>
      <c r="D12" s="19" t="n">
        <v>6</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7</v>
      </c>
      <c r="I12" s="20" t="n">
        <f aca="false">$H12-$C12</f>
        <v>0</v>
      </c>
      <c r="J12" s="17" t="s">
        <v>77</v>
      </c>
    </row>
    <row r="13" customFormat="false" ht="15" hidden="false" customHeight="false" outlineLevel="4" collapsed="false">
      <c r="A13" s="17" t="s">
        <v>69</v>
      </c>
      <c r="B13" s="18" t="s">
        <v>78</v>
      </c>
      <c r="C13" s="19" t="n">
        <v>9</v>
      </c>
      <c r="D13" s="19" t="n">
        <v>9</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9</v>
      </c>
      <c r="I13" s="20" t="n">
        <f aca="false">$H13-$C13</f>
        <v>0</v>
      </c>
      <c r="J13" s="17" t="s">
        <v>79</v>
      </c>
    </row>
    <row r="14" customFormat="false" ht="15" hidden="false" customHeight="false" outlineLevel="2" collapsed="false">
      <c r="A14" s="17" t="s">
        <v>64</v>
      </c>
      <c r="B14" s="18" t="s">
        <v>80</v>
      </c>
      <c r="C14" s="19" t="n">
        <v>28</v>
      </c>
      <c r="D14" s="19" t="n">
        <v>25</v>
      </c>
      <c r="E14" s="19" t="n">
        <v>3</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28</v>
      </c>
      <c r="I14" s="20" t="n">
        <f aca="false">$H14-$C14</f>
        <v>0</v>
      </c>
      <c r="J14" s="17" t="s">
        <v>81</v>
      </c>
    </row>
    <row r="15" customFormat="false" ht="15" hidden="false" customHeight="false" outlineLevel="3" collapsed="false">
      <c r="A15" s="17" t="s">
        <v>50</v>
      </c>
      <c r="B15" s="18" t="s">
        <v>82</v>
      </c>
      <c r="C15" s="19" t="n">
        <v>14</v>
      </c>
      <c r="D15" s="19" t="n">
        <v>11</v>
      </c>
      <c r="E15" s="19" t="n">
        <v>3</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14</v>
      </c>
      <c r="I15" s="20" t="n">
        <f aca="false">$H15-$C15</f>
        <v>0</v>
      </c>
      <c r="J15" s="17" t="s">
        <v>83</v>
      </c>
    </row>
    <row r="16" customFormat="false" ht="15" hidden="false" customHeight="false" outlineLevel="4" collapsed="false">
      <c r="A16" s="17" t="s">
        <v>69</v>
      </c>
      <c r="B16" s="18" t="s">
        <v>84</v>
      </c>
      <c r="C16" s="19" t="n">
        <v>6</v>
      </c>
      <c r="D16" s="19" t="n">
        <v>4</v>
      </c>
      <c r="E16" s="19" t="n">
        <v>2</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6</v>
      </c>
      <c r="I16" s="20" t="n">
        <f aca="false">$H16-$C16</f>
        <v>0</v>
      </c>
      <c r="J16" s="17" t="s">
        <v>85</v>
      </c>
    </row>
    <row r="17" customFormat="false" ht="15" hidden="false" customHeight="false" outlineLevel="4" collapsed="false">
      <c r="A17" s="17" t="s">
        <v>69</v>
      </c>
      <c r="B17" s="18" t="s">
        <v>86</v>
      </c>
      <c r="C17" s="19" t="n">
        <v>7</v>
      </c>
      <c r="D17" s="19" t="n">
        <v>6</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7</v>
      </c>
      <c r="I17" s="20" t="n">
        <f aca="false">$H17-$C17</f>
        <v>0</v>
      </c>
      <c r="J17" s="17" t="s">
        <v>87</v>
      </c>
    </row>
    <row r="18" customFormat="false" ht="15" hidden="false" customHeight="false" outlineLevel="3" collapsed="false">
      <c r="A18" s="17" t="s">
        <v>50</v>
      </c>
      <c r="B18" s="18" t="s">
        <v>88</v>
      </c>
      <c r="C18" s="19" t="n">
        <v>13</v>
      </c>
      <c r="D18" s="19" t="n">
        <v>13</v>
      </c>
      <c r="E18" s="19" t="n">
        <v>0</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13</v>
      </c>
      <c r="I18" s="20" t="n">
        <f aca="false">$H18-$C18</f>
        <v>0</v>
      </c>
      <c r="J18" s="17" t="s">
        <v>89</v>
      </c>
    </row>
    <row r="19" customFormat="false" ht="15" hidden="false" customHeight="false" outlineLevel="4" collapsed="false">
      <c r="A19" s="17" t="s">
        <v>69</v>
      </c>
      <c r="B19" s="18" t="s">
        <v>90</v>
      </c>
      <c r="C19" s="19" t="n">
        <v>6</v>
      </c>
      <c r="D19" s="19" t="n">
        <v>6</v>
      </c>
      <c r="E19" s="19" t="n">
        <v>0</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6</v>
      </c>
      <c r="I19" s="20" t="n">
        <f aca="false">$H19-$C19</f>
        <v>0</v>
      </c>
      <c r="J19" s="17" t="s">
        <v>91</v>
      </c>
    </row>
    <row r="20" customFormat="false" ht="15" hidden="false" customHeight="false" outlineLevel="4" collapsed="false">
      <c r="A20" s="17" t="s">
        <v>69</v>
      </c>
      <c r="B20" s="18" t="s">
        <v>92</v>
      </c>
      <c r="C20" s="19" t="n">
        <v>6</v>
      </c>
      <c r="D20" s="19" t="n">
        <v>6</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6</v>
      </c>
      <c r="I20" s="20" t="n">
        <f aca="false">$H20-$C20</f>
        <v>0</v>
      </c>
      <c r="J20" s="17" t="s">
        <v>93</v>
      </c>
    </row>
    <row r="21" customFormat="false" ht="15" hidden="false" customHeight="false" outlineLevel="1" collapsed="false">
      <c r="A21" s="13" t="s">
        <v>61</v>
      </c>
      <c r="B21" s="14" t="s">
        <v>94</v>
      </c>
      <c r="C21" s="15" t="n">
        <v>70</v>
      </c>
      <c r="D21" s="15" t="n">
        <v>58</v>
      </c>
      <c r="E21" s="15" t="n">
        <v>12</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70</v>
      </c>
      <c r="I21" s="16" t="n">
        <f aca="false">$H21-$C21</f>
        <v>0</v>
      </c>
      <c r="J21" s="17" t="s">
        <v>95</v>
      </c>
    </row>
    <row r="22" customFormat="false" ht="15" hidden="false" customHeight="false" outlineLevel="2" collapsed="false">
      <c r="A22" s="17" t="s">
        <v>64</v>
      </c>
      <c r="B22" s="18" t="s">
        <v>96</v>
      </c>
      <c r="C22" s="19" t="n">
        <v>31</v>
      </c>
      <c r="D22" s="19" t="n">
        <v>29</v>
      </c>
      <c r="E22" s="19" t="n">
        <v>2</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31</v>
      </c>
      <c r="I22" s="20" t="n">
        <f aca="false">$H22-$C22</f>
        <v>0</v>
      </c>
      <c r="J22" s="17" t="s">
        <v>97</v>
      </c>
    </row>
    <row r="23" customFormat="false" ht="15" hidden="false" customHeight="false" outlineLevel="3" collapsed="false">
      <c r="A23" s="17" t="s">
        <v>50</v>
      </c>
      <c r="B23" s="18" t="s">
        <v>98</v>
      </c>
      <c r="C23" s="19" t="n">
        <v>14</v>
      </c>
      <c r="D23" s="19" t="n">
        <v>12</v>
      </c>
      <c r="E23" s="19" t="n">
        <v>2</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14</v>
      </c>
      <c r="I23" s="20" t="n">
        <f aca="false">$H23-$C23</f>
        <v>0</v>
      </c>
      <c r="J23" s="17" t="s">
        <v>99</v>
      </c>
    </row>
    <row r="24" customFormat="false" ht="15" hidden="false" customHeight="false" outlineLevel="4" collapsed="false">
      <c r="A24" s="17" t="s">
        <v>69</v>
      </c>
      <c r="B24" s="18" t="s">
        <v>100</v>
      </c>
      <c r="C24" s="19" t="n">
        <v>7</v>
      </c>
      <c r="D24" s="19" t="n">
        <v>5</v>
      </c>
      <c r="E24" s="19" t="n">
        <v>2</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101</v>
      </c>
    </row>
    <row r="25" customFormat="false" ht="15" hidden="false" customHeight="false" outlineLevel="4" collapsed="false">
      <c r="A25" s="17" t="s">
        <v>69</v>
      </c>
      <c r="B25" s="18" t="s">
        <v>102</v>
      </c>
      <c r="C25" s="19" t="n">
        <v>6</v>
      </c>
      <c r="D25" s="19" t="n">
        <v>6</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6</v>
      </c>
      <c r="I25" s="20" t="n">
        <f aca="false">$H25-$C25</f>
        <v>0</v>
      </c>
      <c r="J25" s="17" t="s">
        <v>103</v>
      </c>
    </row>
    <row r="26" customFormat="false" ht="15" hidden="false" customHeight="false" outlineLevel="3" collapsed="false">
      <c r="A26" s="17" t="s">
        <v>50</v>
      </c>
      <c r="B26" s="18" t="s">
        <v>104</v>
      </c>
      <c r="C26" s="19" t="n">
        <v>16</v>
      </c>
      <c r="D26" s="19" t="n">
        <v>16</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16</v>
      </c>
      <c r="I26" s="20" t="n">
        <f aca="false">$H26-$C26</f>
        <v>0</v>
      </c>
      <c r="J26" s="17" t="s">
        <v>105</v>
      </c>
    </row>
    <row r="27" customFormat="false" ht="15" hidden="false" customHeight="false" outlineLevel="4" collapsed="false">
      <c r="A27" s="17" t="s">
        <v>69</v>
      </c>
      <c r="B27" s="18" t="s">
        <v>106</v>
      </c>
      <c r="C27" s="19" t="n">
        <v>8</v>
      </c>
      <c r="D27" s="19" t="n">
        <v>8</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8</v>
      </c>
      <c r="I27" s="20" t="n">
        <f aca="false">$H27-$C27</f>
        <v>0</v>
      </c>
      <c r="J27" s="17" t="s">
        <v>107</v>
      </c>
    </row>
    <row r="28" customFormat="false" ht="15" hidden="false" customHeight="false" outlineLevel="4" collapsed="false">
      <c r="A28" s="17" t="s">
        <v>69</v>
      </c>
      <c r="B28" s="18" t="s">
        <v>108</v>
      </c>
      <c r="C28" s="19" t="n">
        <v>7</v>
      </c>
      <c r="D28" s="19" t="n">
        <v>7</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7</v>
      </c>
      <c r="I28" s="20" t="n">
        <f aca="false">$H28-$C28</f>
        <v>0</v>
      </c>
      <c r="J28" s="17" t="s">
        <v>109</v>
      </c>
    </row>
    <row r="29" customFormat="false" ht="15" hidden="false" customHeight="false" outlineLevel="2" collapsed="false">
      <c r="A29" s="17" t="s">
        <v>64</v>
      </c>
      <c r="B29" s="18" t="s">
        <v>110</v>
      </c>
      <c r="C29" s="19" t="n">
        <v>38</v>
      </c>
      <c r="D29" s="19" t="n">
        <v>28</v>
      </c>
      <c r="E29" s="19" t="n">
        <v>10</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38</v>
      </c>
      <c r="I29" s="20" t="n">
        <f aca="false">$H29-$C29</f>
        <v>0</v>
      </c>
      <c r="J29" s="17" t="s">
        <v>111</v>
      </c>
    </row>
    <row r="30" customFormat="false" ht="15" hidden="false" customHeight="false" outlineLevel="3" collapsed="false">
      <c r="A30" s="17" t="s">
        <v>50</v>
      </c>
      <c r="B30" s="18" t="s">
        <v>112</v>
      </c>
      <c r="C30" s="19" t="n">
        <v>19</v>
      </c>
      <c r="D30" s="19" t="n">
        <v>15</v>
      </c>
      <c r="E30" s="19" t="n">
        <v>4</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19</v>
      </c>
      <c r="I30" s="20" t="n">
        <f aca="false">$H30-$C30</f>
        <v>0</v>
      </c>
      <c r="J30" s="17" t="s">
        <v>113</v>
      </c>
    </row>
    <row r="31" customFormat="false" ht="15" hidden="false" customHeight="false" outlineLevel="4" collapsed="false">
      <c r="A31" s="17" t="s">
        <v>69</v>
      </c>
      <c r="B31" s="18" t="s">
        <v>114</v>
      </c>
      <c r="C31" s="19" t="n">
        <v>10</v>
      </c>
      <c r="D31" s="19" t="n">
        <v>7</v>
      </c>
      <c r="E31" s="19" t="n">
        <v>3</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10</v>
      </c>
      <c r="I31" s="20" t="n">
        <f aca="false">$H31-$C31</f>
        <v>0</v>
      </c>
      <c r="J31" s="17" t="s">
        <v>115</v>
      </c>
    </row>
    <row r="32" customFormat="false" ht="15" hidden="false" customHeight="false" outlineLevel="4" collapsed="false">
      <c r="A32" s="17" t="s">
        <v>69</v>
      </c>
      <c r="B32" s="18" t="s">
        <v>116</v>
      </c>
      <c r="C32" s="19" t="n">
        <v>8</v>
      </c>
      <c r="D32" s="19" t="n">
        <v>7</v>
      </c>
      <c r="E32" s="19" t="n">
        <v>1</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8</v>
      </c>
      <c r="I32" s="20" t="n">
        <f aca="false">$H32-$C32</f>
        <v>0</v>
      </c>
      <c r="J32" s="17" t="s">
        <v>117</v>
      </c>
    </row>
    <row r="33" customFormat="false" ht="15" hidden="false" customHeight="false" outlineLevel="3" collapsed="false">
      <c r="A33" s="17" t="s">
        <v>50</v>
      </c>
      <c r="B33" s="18" t="s">
        <v>118</v>
      </c>
      <c r="C33" s="19" t="n">
        <v>18</v>
      </c>
      <c r="D33" s="19" t="n">
        <v>12</v>
      </c>
      <c r="E33" s="19" t="n">
        <v>6</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18</v>
      </c>
      <c r="I33" s="20" t="n">
        <f aca="false">$H33-$C33</f>
        <v>0</v>
      </c>
      <c r="J33" s="17" t="s">
        <v>119</v>
      </c>
    </row>
    <row r="34" customFormat="false" ht="15" hidden="false" customHeight="false" outlineLevel="4" collapsed="false">
      <c r="A34" s="17" t="s">
        <v>69</v>
      </c>
      <c r="B34" s="18" t="s">
        <v>120</v>
      </c>
      <c r="C34" s="19" t="n">
        <v>8</v>
      </c>
      <c r="D34" s="19" t="n">
        <v>5</v>
      </c>
      <c r="E34" s="19" t="n">
        <v>3</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8</v>
      </c>
      <c r="I34" s="20" t="n">
        <f aca="false">$H34-$C34</f>
        <v>0</v>
      </c>
      <c r="J34" s="17" t="s">
        <v>121</v>
      </c>
    </row>
    <row r="35" customFormat="false" ht="15" hidden="false" customHeight="false" outlineLevel="4" collapsed="false">
      <c r="A35" s="17" t="s">
        <v>69</v>
      </c>
      <c r="B35" s="18" t="s">
        <v>122</v>
      </c>
      <c r="C35" s="19" t="n">
        <v>9</v>
      </c>
      <c r="D35" s="19" t="n">
        <v>6</v>
      </c>
      <c r="E35" s="19" t="n">
        <v>3</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9</v>
      </c>
      <c r="I35" s="20" t="n">
        <f aca="false">$H35-$C35</f>
        <v>0</v>
      </c>
      <c r="J35" s="17" t="s">
        <v>123</v>
      </c>
    </row>
    <row r="36" customFormat="false" ht="15" hidden="false" customHeight="false" outlineLevel="1" collapsed="false">
      <c r="A36" s="13" t="s">
        <v>61</v>
      </c>
      <c r="B36" s="14" t="s">
        <v>124</v>
      </c>
      <c r="C36" s="15" t="n">
        <v>65</v>
      </c>
      <c r="D36" s="15" t="n">
        <v>53</v>
      </c>
      <c r="E36" s="15" t="n">
        <v>12</v>
      </c>
      <c r="F36" s="16" t="n">
        <f aca="false">SUMIFS(SeatExits,SeatDivision,$J36)+SUMIFS(SeatExits,SeatDepartment,$J36)+SUMIFS(SeatExits,SeatUnit,$J36)+SUMIFS(SeatExits,SeatSubUnit,$J36)</f>
        <v>0</v>
      </c>
      <c r="G36" s="16" t="n">
        <f aca="false">SUMIFS(AskTotal,AskDivision,$J36)+SUMIFS(AskTotal,AskDepartment,$J36)+SUMIFS(AskTotal,AskUnit,$J36)+SUMIFS(AskTotal,AskSubUnit,$J36)</f>
        <v>0</v>
      </c>
      <c r="H36" s="16" t="n">
        <f aca="false">$C36-$F36+$G36</f>
        <v>65</v>
      </c>
      <c r="I36" s="16" t="n">
        <f aca="false">$H36-$C36</f>
        <v>0</v>
      </c>
      <c r="J36" s="17" t="s">
        <v>125</v>
      </c>
    </row>
    <row r="37" customFormat="false" ht="15" hidden="false" customHeight="false" outlineLevel="2" collapsed="false">
      <c r="A37" s="17" t="s">
        <v>64</v>
      </c>
      <c r="B37" s="18" t="s">
        <v>126</v>
      </c>
      <c r="C37" s="19" t="n">
        <v>33</v>
      </c>
      <c r="D37" s="19" t="n">
        <v>29</v>
      </c>
      <c r="E37" s="19" t="n">
        <v>4</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33</v>
      </c>
      <c r="I37" s="20" t="n">
        <f aca="false">$H37-$C37</f>
        <v>0</v>
      </c>
      <c r="J37" s="17" t="s">
        <v>127</v>
      </c>
    </row>
    <row r="38" customFormat="false" ht="15" hidden="false" customHeight="false" outlineLevel="3" collapsed="false">
      <c r="A38" s="17" t="s">
        <v>50</v>
      </c>
      <c r="B38" s="18" t="s">
        <v>128</v>
      </c>
      <c r="C38" s="19" t="n">
        <v>15</v>
      </c>
      <c r="D38" s="19" t="n">
        <v>14</v>
      </c>
      <c r="E38" s="19" t="n">
        <v>1</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15</v>
      </c>
      <c r="I38" s="20" t="n">
        <f aca="false">$H38-$C38</f>
        <v>0</v>
      </c>
      <c r="J38" s="17" t="s">
        <v>129</v>
      </c>
    </row>
    <row r="39" customFormat="false" ht="15" hidden="false" customHeight="false" outlineLevel="4" collapsed="false">
      <c r="A39" s="17" t="s">
        <v>69</v>
      </c>
      <c r="B39" s="18" t="s">
        <v>130</v>
      </c>
      <c r="C39" s="19" t="n">
        <v>6</v>
      </c>
      <c r="D39" s="19" t="n">
        <v>6</v>
      </c>
      <c r="E39" s="19" t="n">
        <v>0</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6</v>
      </c>
      <c r="I39" s="20" t="n">
        <f aca="false">$H39-$C39</f>
        <v>0</v>
      </c>
      <c r="J39" s="17" t="s">
        <v>131</v>
      </c>
    </row>
    <row r="40" customFormat="false" ht="15" hidden="false" customHeight="false" outlineLevel="4" collapsed="false">
      <c r="A40" s="17" t="s">
        <v>69</v>
      </c>
      <c r="B40" s="18" t="s">
        <v>132</v>
      </c>
      <c r="C40" s="19" t="n">
        <v>8</v>
      </c>
      <c r="D40" s="19" t="n">
        <v>7</v>
      </c>
      <c r="E40" s="19" t="n">
        <v>1</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8</v>
      </c>
      <c r="I40" s="20" t="n">
        <f aca="false">$H40-$C40</f>
        <v>0</v>
      </c>
      <c r="J40" s="17" t="s">
        <v>133</v>
      </c>
    </row>
    <row r="41" customFormat="false" ht="15" hidden="false" customHeight="false" outlineLevel="3" collapsed="false">
      <c r="A41" s="17" t="s">
        <v>50</v>
      </c>
      <c r="B41" s="18" t="s">
        <v>134</v>
      </c>
      <c r="C41" s="19" t="n">
        <v>17</v>
      </c>
      <c r="D41" s="19" t="n">
        <v>14</v>
      </c>
      <c r="E41" s="19" t="n">
        <v>3</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17</v>
      </c>
      <c r="I41" s="20" t="n">
        <f aca="false">$H41-$C41</f>
        <v>0</v>
      </c>
      <c r="J41" s="17" t="s">
        <v>135</v>
      </c>
    </row>
    <row r="42" customFormat="false" ht="15" hidden="false" customHeight="false" outlineLevel="4" collapsed="false">
      <c r="A42" s="17" t="s">
        <v>69</v>
      </c>
      <c r="B42" s="18" t="s">
        <v>136</v>
      </c>
      <c r="C42" s="19" t="n">
        <v>8</v>
      </c>
      <c r="D42" s="19" t="n">
        <v>6</v>
      </c>
      <c r="E42" s="19" t="n">
        <v>2</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8</v>
      </c>
      <c r="I42" s="20" t="n">
        <f aca="false">$H42-$C42</f>
        <v>0</v>
      </c>
      <c r="J42" s="17" t="s">
        <v>137</v>
      </c>
    </row>
    <row r="43" customFormat="false" ht="15" hidden="false" customHeight="false" outlineLevel="4" collapsed="false">
      <c r="A43" s="17" t="s">
        <v>69</v>
      </c>
      <c r="B43" s="18" t="s">
        <v>138</v>
      </c>
      <c r="C43" s="19" t="n">
        <v>8</v>
      </c>
      <c r="D43" s="19" t="n">
        <v>7</v>
      </c>
      <c r="E43" s="19" t="n">
        <v>1</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8</v>
      </c>
      <c r="I43" s="20" t="n">
        <f aca="false">$H43-$C43</f>
        <v>0</v>
      </c>
      <c r="J43" s="17" t="s">
        <v>139</v>
      </c>
    </row>
    <row r="44" customFormat="false" ht="15" hidden="false" customHeight="false" outlineLevel="2" collapsed="false">
      <c r="A44" s="17" t="s">
        <v>64</v>
      </c>
      <c r="B44" s="18" t="s">
        <v>140</v>
      </c>
      <c r="C44" s="19" t="n">
        <v>31</v>
      </c>
      <c r="D44" s="19" t="n">
        <v>23</v>
      </c>
      <c r="E44" s="19" t="n">
        <v>8</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31</v>
      </c>
      <c r="I44" s="20" t="n">
        <f aca="false">$H44-$C44</f>
        <v>0</v>
      </c>
      <c r="J44" s="17" t="s">
        <v>141</v>
      </c>
    </row>
    <row r="45" customFormat="false" ht="15" hidden="false" customHeight="false" outlineLevel="3" collapsed="false">
      <c r="A45" s="17" t="s">
        <v>50</v>
      </c>
      <c r="B45" s="18" t="s">
        <v>142</v>
      </c>
      <c r="C45" s="19" t="n">
        <v>15</v>
      </c>
      <c r="D45" s="19" t="n">
        <v>11</v>
      </c>
      <c r="E45" s="19" t="n">
        <v>4</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15</v>
      </c>
      <c r="I45" s="20" t="n">
        <f aca="false">$H45-$C45</f>
        <v>0</v>
      </c>
      <c r="J45" s="17" t="s">
        <v>143</v>
      </c>
    </row>
    <row r="46" customFormat="false" ht="15" hidden="false" customHeight="false" outlineLevel="4" collapsed="false">
      <c r="A46" s="17" t="s">
        <v>69</v>
      </c>
      <c r="B46" s="18" t="s">
        <v>144</v>
      </c>
      <c r="C46" s="19" t="n">
        <v>8</v>
      </c>
      <c r="D46" s="19" t="n">
        <v>6</v>
      </c>
      <c r="E46" s="19" t="n">
        <v>2</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8</v>
      </c>
      <c r="I46" s="20" t="n">
        <f aca="false">$H46-$C46</f>
        <v>0</v>
      </c>
      <c r="J46" s="17" t="s">
        <v>145</v>
      </c>
    </row>
    <row r="47" customFormat="false" ht="15" hidden="false" customHeight="false" outlineLevel="4" collapsed="false">
      <c r="A47" s="17" t="s">
        <v>69</v>
      </c>
      <c r="B47" s="18" t="s">
        <v>146</v>
      </c>
      <c r="C47" s="19" t="n">
        <v>6</v>
      </c>
      <c r="D47" s="19" t="n">
        <v>4</v>
      </c>
      <c r="E47" s="19" t="n">
        <v>2</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6</v>
      </c>
      <c r="I47" s="20" t="n">
        <f aca="false">$H47-$C47</f>
        <v>0</v>
      </c>
      <c r="J47" s="17" t="s">
        <v>147</v>
      </c>
    </row>
    <row r="48" customFormat="false" ht="15" hidden="false" customHeight="false" outlineLevel="3" collapsed="false">
      <c r="A48" s="17" t="s">
        <v>50</v>
      </c>
      <c r="B48" s="18" t="s">
        <v>148</v>
      </c>
      <c r="C48" s="19" t="n">
        <v>15</v>
      </c>
      <c r="D48" s="19" t="n">
        <v>11</v>
      </c>
      <c r="E48" s="19" t="n">
        <v>4</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15</v>
      </c>
      <c r="I48" s="20" t="n">
        <f aca="false">$H48-$C48</f>
        <v>0</v>
      </c>
      <c r="J48" s="17" t="s">
        <v>149</v>
      </c>
    </row>
    <row r="49" customFormat="false" ht="15" hidden="false" customHeight="false" outlineLevel="4" collapsed="false">
      <c r="A49" s="17" t="s">
        <v>69</v>
      </c>
      <c r="B49" s="18" t="s">
        <v>150</v>
      </c>
      <c r="C49" s="19" t="n">
        <v>6</v>
      </c>
      <c r="D49" s="19" t="n">
        <v>6</v>
      </c>
      <c r="E49" s="19" t="n">
        <v>0</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6</v>
      </c>
      <c r="I49" s="20" t="n">
        <f aca="false">$H49-$C49</f>
        <v>0</v>
      </c>
      <c r="J49" s="17" t="s">
        <v>151</v>
      </c>
    </row>
    <row r="50" customFormat="false" ht="15" hidden="false" customHeight="false" outlineLevel="4" collapsed="false">
      <c r="A50" s="17" t="s">
        <v>69</v>
      </c>
      <c r="B50" s="18" t="s">
        <v>152</v>
      </c>
      <c r="C50" s="19" t="n">
        <v>8</v>
      </c>
      <c r="D50" s="19" t="n">
        <v>5</v>
      </c>
      <c r="E50" s="19" t="n">
        <v>3</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8</v>
      </c>
      <c r="I50" s="20" t="n">
        <f aca="false">$H50-$C50</f>
        <v>0</v>
      </c>
      <c r="J50" s="17" t="s">
        <v>153</v>
      </c>
    </row>
    <row r="52" customFormat="false" ht="25.5" hidden="false" customHeight="true" outlineLevel="0" collapsed="false">
      <c r="A52" s="11" t="s">
        <v>154</v>
      </c>
      <c r="B52" s="11"/>
      <c r="C52" s="11"/>
      <c r="D52" s="11"/>
      <c r="E52" s="11"/>
      <c r="F52" s="11"/>
      <c r="G52" s="11"/>
      <c r="H52" s="11"/>
      <c r="I52" s="11"/>
    </row>
  </sheetData>
  <mergeCells count="2">
    <mergeCell ref="A2:J2"/>
    <mergeCell ref="A52:I52"/>
  </mergeCells>
  <conditionalFormatting sqref="I5:I50">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50">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155</v>
      </c>
    </row>
    <row r="2" customFormat="false" ht="15" hidden="false" customHeight="false" outlineLevel="0" collapsed="false">
      <c r="A2" s="2" t="s">
        <v>156</v>
      </c>
      <c r="B2" s="2"/>
      <c r="C2" s="2"/>
      <c r="D2" s="2"/>
      <c r="E2" s="2"/>
      <c r="F2" s="2"/>
      <c r="G2" s="2"/>
      <c r="H2" s="2"/>
      <c r="I2" s="2"/>
      <c r="J2" s="2"/>
    </row>
    <row r="5" customFormat="false" ht="30" hidden="false" customHeight="true" outlineLevel="0" collapsed="false">
      <c r="A5" s="12" t="s">
        <v>157</v>
      </c>
      <c r="B5" s="12" t="s">
        <v>61</v>
      </c>
      <c r="C5" s="12" t="s">
        <v>64</v>
      </c>
      <c r="D5" s="12" t="s">
        <v>50</v>
      </c>
      <c r="E5" s="12" t="s">
        <v>158</v>
      </c>
      <c r="F5" s="12" t="s">
        <v>159</v>
      </c>
      <c r="G5" s="12" t="s">
        <v>18</v>
      </c>
      <c r="H5" s="12" t="s">
        <v>160</v>
      </c>
      <c r="I5" s="12" t="s">
        <v>20</v>
      </c>
      <c r="J5" s="12" t="s">
        <v>161</v>
      </c>
      <c r="K5" s="12" t="s">
        <v>52</v>
      </c>
      <c r="L5" s="12" t="s">
        <v>53</v>
      </c>
      <c r="M5" s="12" t="s">
        <v>162</v>
      </c>
      <c r="N5" s="12" t="s">
        <v>22</v>
      </c>
      <c r="O5" s="12" t="s">
        <v>24</v>
      </c>
      <c r="P5" s="12" t="s">
        <v>163</v>
      </c>
      <c r="Q5" s="12" t="s">
        <v>164</v>
      </c>
    </row>
    <row r="6" customFormat="false" ht="15" hidden="false" customHeight="false" outlineLevel="0" collapsed="false">
      <c r="A6" s="21" t="s">
        <v>165</v>
      </c>
      <c r="B6" s="21"/>
      <c r="C6" s="21"/>
      <c r="D6" s="21"/>
      <c r="E6" s="21"/>
      <c r="F6" s="21" t="s">
        <v>166</v>
      </c>
      <c r="G6" s="21"/>
      <c r="H6" s="21" t="s">
        <v>167</v>
      </c>
      <c r="I6" s="21"/>
      <c r="J6" s="22" t="n">
        <v>1</v>
      </c>
      <c r="K6" s="22" t="n">
        <v>1</v>
      </c>
      <c r="L6" s="22" t="n">
        <v>0</v>
      </c>
      <c r="M6" s="21" t="s">
        <v>168</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169</v>
      </c>
      <c r="B7" s="21" t="s">
        <v>63</v>
      </c>
      <c r="C7" s="21"/>
      <c r="D7" s="21"/>
      <c r="E7" s="21"/>
      <c r="F7" s="21" t="s">
        <v>170</v>
      </c>
      <c r="G7" s="21"/>
      <c r="H7" s="21" t="s">
        <v>171</v>
      </c>
      <c r="I7" s="21"/>
      <c r="J7" s="22" t="n">
        <v>1</v>
      </c>
      <c r="K7" s="22" t="n">
        <v>1</v>
      </c>
      <c r="L7" s="22" t="n">
        <v>0</v>
      </c>
      <c r="M7" s="21" t="s">
        <v>172</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173</v>
      </c>
      <c r="B8" s="21" t="s">
        <v>63</v>
      </c>
      <c r="C8" s="21" t="s">
        <v>66</v>
      </c>
      <c r="D8" s="21"/>
      <c r="E8" s="21"/>
      <c r="F8" s="21" t="s">
        <v>174</v>
      </c>
      <c r="G8" s="21"/>
      <c r="H8" s="21" t="s">
        <v>171</v>
      </c>
      <c r="I8" s="21"/>
      <c r="J8" s="22" t="n">
        <v>1</v>
      </c>
      <c r="K8" s="22" t="n">
        <v>1</v>
      </c>
      <c r="L8" s="22" t="n">
        <v>0</v>
      </c>
      <c r="M8" s="21" t="s">
        <v>172</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175</v>
      </c>
      <c r="B9" s="21" t="s">
        <v>63</v>
      </c>
      <c r="C9" s="21" t="s">
        <v>66</v>
      </c>
      <c r="D9" s="21" t="s">
        <v>68</v>
      </c>
      <c r="E9" s="21"/>
      <c r="F9" s="21" t="s">
        <v>176</v>
      </c>
      <c r="G9" s="21"/>
      <c r="H9" s="21" t="s">
        <v>177</v>
      </c>
      <c r="I9" s="21"/>
      <c r="J9" s="22" t="n">
        <v>1</v>
      </c>
      <c r="K9" s="22" t="n">
        <v>1</v>
      </c>
      <c r="L9" s="22" t="n">
        <v>0</v>
      </c>
      <c r="M9" s="21" t="s">
        <v>172</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t="s">
        <v>178</v>
      </c>
      <c r="B10" s="21" t="s">
        <v>63</v>
      </c>
      <c r="C10" s="21" t="s">
        <v>66</v>
      </c>
      <c r="D10" s="21" t="s">
        <v>68</v>
      </c>
      <c r="E10" s="21" t="s">
        <v>71</v>
      </c>
      <c r="F10" s="21" t="s">
        <v>179</v>
      </c>
      <c r="G10" s="21"/>
      <c r="H10" s="21" t="s">
        <v>180</v>
      </c>
      <c r="I10" s="21"/>
      <c r="J10" s="22" t="n">
        <v>1</v>
      </c>
      <c r="K10" s="22" t="n">
        <v>1</v>
      </c>
      <c r="L10" s="22" t="n">
        <v>0</v>
      </c>
      <c r="M10" s="21" t="s">
        <v>172</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t="s">
        <v>181</v>
      </c>
      <c r="B11" s="21" t="s">
        <v>63</v>
      </c>
      <c r="C11" s="21" t="s">
        <v>66</v>
      </c>
      <c r="D11" s="21" t="s">
        <v>68</v>
      </c>
      <c r="E11" s="21" t="s">
        <v>71</v>
      </c>
      <c r="F11" s="21" t="s">
        <v>179</v>
      </c>
      <c r="G11" s="21"/>
      <c r="H11" s="21" t="s">
        <v>180</v>
      </c>
      <c r="I11" s="21"/>
      <c r="J11" s="22" t="n">
        <v>1</v>
      </c>
      <c r="K11" s="22" t="n">
        <v>1</v>
      </c>
      <c r="L11" s="22" t="n">
        <v>0</v>
      </c>
      <c r="M11" s="21" t="s">
        <v>168</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t="s">
        <v>175</v>
      </c>
      <c r="B12" s="21" t="s">
        <v>63</v>
      </c>
      <c r="C12" s="21" t="s">
        <v>66</v>
      </c>
      <c r="D12" s="21" t="s">
        <v>68</v>
      </c>
      <c r="E12" s="21" t="s">
        <v>71</v>
      </c>
      <c r="F12" s="21" t="s">
        <v>182</v>
      </c>
      <c r="G12" s="21"/>
      <c r="H12" s="21" t="s">
        <v>180</v>
      </c>
      <c r="I12" s="21"/>
      <c r="J12" s="22" t="n">
        <v>1</v>
      </c>
      <c r="K12" s="22" t="n">
        <v>1</v>
      </c>
      <c r="L12" s="22" t="n">
        <v>0</v>
      </c>
      <c r="M12" s="21" t="s">
        <v>168</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c r="B13" s="21" t="s">
        <v>63</v>
      </c>
      <c r="C13" s="21" t="s">
        <v>66</v>
      </c>
      <c r="D13" s="21" t="s">
        <v>68</v>
      </c>
      <c r="E13" s="21" t="s">
        <v>71</v>
      </c>
      <c r="F13" s="21" t="s">
        <v>183</v>
      </c>
      <c r="G13" s="21"/>
      <c r="H13" s="21" t="s">
        <v>180</v>
      </c>
      <c r="I13" s="21"/>
      <c r="J13" s="22" t="n">
        <v>2</v>
      </c>
      <c r="K13" s="22" t="n">
        <v>2</v>
      </c>
      <c r="L13" s="22" t="n">
        <v>0</v>
      </c>
      <c r="M13" s="21" t="s">
        <v>172</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t="s">
        <v>184</v>
      </c>
      <c r="B14" s="21" t="s">
        <v>63</v>
      </c>
      <c r="C14" s="21" t="s">
        <v>66</v>
      </c>
      <c r="D14" s="21" t="s">
        <v>68</v>
      </c>
      <c r="E14" s="21" t="s">
        <v>71</v>
      </c>
      <c r="F14" s="21" t="s">
        <v>185</v>
      </c>
      <c r="G14" s="21"/>
      <c r="H14" s="21" t="s">
        <v>177</v>
      </c>
      <c r="I14" s="21"/>
      <c r="J14" s="22" t="n">
        <v>1</v>
      </c>
      <c r="K14" s="22" t="n">
        <v>0</v>
      </c>
      <c r="L14" s="22" t="n">
        <v>1</v>
      </c>
      <c r="M14" s="21" t="s">
        <v>172</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t="s">
        <v>186</v>
      </c>
      <c r="B15" s="21" t="s">
        <v>63</v>
      </c>
      <c r="C15" s="21" t="s">
        <v>66</v>
      </c>
      <c r="D15" s="21" t="s">
        <v>68</v>
      </c>
      <c r="E15" s="21" t="s">
        <v>73</v>
      </c>
      <c r="F15" s="21" t="s">
        <v>179</v>
      </c>
      <c r="G15" s="21"/>
      <c r="H15" s="21" t="s">
        <v>180</v>
      </c>
      <c r="I15" s="21"/>
      <c r="J15" s="22" t="n">
        <v>1</v>
      </c>
      <c r="K15" s="22" t="n">
        <v>1</v>
      </c>
      <c r="L15" s="22" t="n">
        <v>0</v>
      </c>
      <c r="M15" s="21" t="s">
        <v>172</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t="s">
        <v>187</v>
      </c>
      <c r="B16" s="21" t="s">
        <v>63</v>
      </c>
      <c r="C16" s="21" t="s">
        <v>66</v>
      </c>
      <c r="D16" s="21" t="s">
        <v>68</v>
      </c>
      <c r="E16" s="21" t="s">
        <v>73</v>
      </c>
      <c r="F16" s="21" t="s">
        <v>188</v>
      </c>
      <c r="G16" s="21"/>
      <c r="H16" s="21" t="s">
        <v>180</v>
      </c>
      <c r="I16" s="21"/>
      <c r="J16" s="22" t="n">
        <v>1</v>
      </c>
      <c r="K16" s="22" t="n">
        <v>1</v>
      </c>
      <c r="L16" s="22" t="n">
        <v>0</v>
      </c>
      <c r="M16" s="21" t="s">
        <v>172</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c r="B17" s="21" t="s">
        <v>63</v>
      </c>
      <c r="C17" s="21" t="s">
        <v>66</v>
      </c>
      <c r="D17" s="21" t="s">
        <v>68</v>
      </c>
      <c r="E17" s="21" t="s">
        <v>73</v>
      </c>
      <c r="F17" s="21" t="s">
        <v>189</v>
      </c>
      <c r="G17" s="21"/>
      <c r="H17" s="21" t="s">
        <v>180</v>
      </c>
      <c r="I17" s="21"/>
      <c r="J17" s="22" t="n">
        <v>3</v>
      </c>
      <c r="K17" s="22" t="n">
        <v>3</v>
      </c>
      <c r="L17" s="22" t="n">
        <v>0</v>
      </c>
      <c r="M17" s="21" t="s">
        <v>172</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t="s">
        <v>190</v>
      </c>
      <c r="B18" s="21" t="s">
        <v>63</v>
      </c>
      <c r="C18" s="21" t="s">
        <v>66</v>
      </c>
      <c r="D18" s="21" t="s">
        <v>68</v>
      </c>
      <c r="E18" s="21" t="s">
        <v>73</v>
      </c>
      <c r="F18" s="21" t="s">
        <v>182</v>
      </c>
      <c r="G18" s="21"/>
      <c r="H18" s="21" t="s">
        <v>180</v>
      </c>
      <c r="I18" s="21"/>
      <c r="J18" s="22" t="n">
        <v>1</v>
      </c>
      <c r="K18" s="22" t="n">
        <v>1</v>
      </c>
      <c r="L18" s="22" t="n">
        <v>0</v>
      </c>
      <c r="M18" s="21" t="s">
        <v>172</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t="s">
        <v>191</v>
      </c>
      <c r="B19" s="21" t="s">
        <v>63</v>
      </c>
      <c r="C19" s="21" t="s">
        <v>66</v>
      </c>
      <c r="D19" s="21" t="s">
        <v>68</v>
      </c>
      <c r="E19" s="21" t="s">
        <v>73</v>
      </c>
      <c r="F19" s="21" t="s">
        <v>183</v>
      </c>
      <c r="G19" s="21"/>
      <c r="H19" s="21" t="s">
        <v>180</v>
      </c>
      <c r="I19" s="21"/>
      <c r="J19" s="22" t="n">
        <v>1</v>
      </c>
      <c r="K19" s="22" t="n">
        <v>1</v>
      </c>
      <c r="L19" s="22" t="n">
        <v>0</v>
      </c>
      <c r="M19" s="21" t="s">
        <v>172</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t="s">
        <v>192</v>
      </c>
      <c r="B20" s="21" t="s">
        <v>63</v>
      </c>
      <c r="C20" s="21" t="s">
        <v>66</v>
      </c>
      <c r="D20" s="21" t="s">
        <v>68</v>
      </c>
      <c r="E20" s="21" t="s">
        <v>73</v>
      </c>
      <c r="F20" s="21" t="s">
        <v>185</v>
      </c>
      <c r="G20" s="21"/>
      <c r="H20" s="21" t="s">
        <v>177</v>
      </c>
      <c r="I20" s="21"/>
      <c r="J20" s="22" t="n">
        <v>1</v>
      </c>
      <c r="K20" s="22" t="n">
        <v>1</v>
      </c>
      <c r="L20" s="22" t="n">
        <v>0</v>
      </c>
      <c r="M20" s="21" t="s">
        <v>172</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t="s">
        <v>169</v>
      </c>
      <c r="B21" s="21" t="s">
        <v>63</v>
      </c>
      <c r="C21" s="21" t="s">
        <v>66</v>
      </c>
      <c r="D21" s="21" t="s">
        <v>75</v>
      </c>
      <c r="E21" s="21"/>
      <c r="F21" s="21" t="s">
        <v>176</v>
      </c>
      <c r="G21" s="21"/>
      <c r="H21" s="21" t="s">
        <v>177</v>
      </c>
      <c r="I21" s="21"/>
      <c r="J21" s="22" t="n">
        <v>1</v>
      </c>
      <c r="K21" s="22" t="n">
        <v>1</v>
      </c>
      <c r="L21" s="22" t="n">
        <v>0</v>
      </c>
      <c r="M21" s="21" t="s">
        <v>172</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t="s">
        <v>193</v>
      </c>
      <c r="B22" s="21" t="s">
        <v>63</v>
      </c>
      <c r="C22" s="21" t="s">
        <v>66</v>
      </c>
      <c r="D22" s="21" t="s">
        <v>75</v>
      </c>
      <c r="E22" s="21" t="s">
        <v>77</v>
      </c>
      <c r="F22" s="21" t="s">
        <v>179</v>
      </c>
      <c r="G22" s="21"/>
      <c r="H22" s="21" t="s">
        <v>180</v>
      </c>
      <c r="I22" s="21"/>
      <c r="J22" s="22" t="n">
        <v>1</v>
      </c>
      <c r="K22" s="22" t="n">
        <v>1</v>
      </c>
      <c r="L22" s="22" t="n">
        <v>0</v>
      </c>
      <c r="M22" s="21" t="s">
        <v>168</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t="s">
        <v>194</v>
      </c>
      <c r="B23" s="21" t="s">
        <v>63</v>
      </c>
      <c r="C23" s="21" t="s">
        <v>66</v>
      </c>
      <c r="D23" s="21" t="s">
        <v>75</v>
      </c>
      <c r="E23" s="21" t="s">
        <v>77</v>
      </c>
      <c r="F23" s="21" t="s">
        <v>188</v>
      </c>
      <c r="G23" s="21"/>
      <c r="H23" s="21" t="s">
        <v>180</v>
      </c>
      <c r="I23" s="21"/>
      <c r="J23" s="22" t="n">
        <v>1</v>
      </c>
      <c r="K23" s="22" t="n">
        <v>1</v>
      </c>
      <c r="L23" s="22" t="n">
        <v>0</v>
      </c>
      <c r="M23" s="21" t="s">
        <v>168</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c r="B24" s="21" t="s">
        <v>63</v>
      </c>
      <c r="C24" s="21" t="s">
        <v>66</v>
      </c>
      <c r="D24" s="21" t="s">
        <v>75</v>
      </c>
      <c r="E24" s="21" t="s">
        <v>77</v>
      </c>
      <c r="F24" s="21" t="s">
        <v>182</v>
      </c>
      <c r="G24" s="21"/>
      <c r="H24" s="21" t="s">
        <v>180</v>
      </c>
      <c r="I24" s="21"/>
      <c r="J24" s="22" t="n">
        <v>2</v>
      </c>
      <c r="K24" s="22" t="n">
        <v>2</v>
      </c>
      <c r="L24" s="22" t="n">
        <v>0</v>
      </c>
      <c r="M24" s="21" t="s">
        <v>172</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c r="B25" s="21" t="s">
        <v>63</v>
      </c>
      <c r="C25" s="21" t="s">
        <v>66</v>
      </c>
      <c r="D25" s="21" t="s">
        <v>75</v>
      </c>
      <c r="E25" s="21" t="s">
        <v>77</v>
      </c>
      <c r="F25" s="21" t="s">
        <v>183</v>
      </c>
      <c r="G25" s="21"/>
      <c r="H25" s="21" t="s">
        <v>180</v>
      </c>
      <c r="I25" s="21"/>
      <c r="J25" s="22" t="n">
        <v>2</v>
      </c>
      <c r="K25" s="22" t="n">
        <v>1</v>
      </c>
      <c r="L25" s="22" t="n">
        <v>1</v>
      </c>
      <c r="M25" s="21" t="s">
        <v>172</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t="s">
        <v>195</v>
      </c>
      <c r="B26" s="21" t="s">
        <v>63</v>
      </c>
      <c r="C26" s="21" t="s">
        <v>66</v>
      </c>
      <c r="D26" s="21" t="s">
        <v>75</v>
      </c>
      <c r="E26" s="21" t="s">
        <v>77</v>
      </c>
      <c r="F26" s="21" t="s">
        <v>185</v>
      </c>
      <c r="G26" s="21"/>
      <c r="H26" s="21" t="s">
        <v>177</v>
      </c>
      <c r="I26" s="21"/>
      <c r="J26" s="22" t="n">
        <v>1</v>
      </c>
      <c r="K26" s="22" t="n">
        <v>1</v>
      </c>
      <c r="L26" s="22" t="n">
        <v>0</v>
      </c>
      <c r="M26" s="21" t="s">
        <v>172</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t="s">
        <v>196</v>
      </c>
      <c r="B27" s="21" t="s">
        <v>63</v>
      </c>
      <c r="C27" s="21" t="s">
        <v>66</v>
      </c>
      <c r="D27" s="21" t="s">
        <v>75</v>
      </c>
      <c r="E27" s="21" t="s">
        <v>79</v>
      </c>
      <c r="F27" s="21" t="s">
        <v>179</v>
      </c>
      <c r="G27" s="21"/>
      <c r="H27" s="21" t="s">
        <v>180</v>
      </c>
      <c r="I27" s="21"/>
      <c r="J27" s="22" t="n">
        <v>1</v>
      </c>
      <c r="K27" s="22" t="n">
        <v>1</v>
      </c>
      <c r="L27" s="22" t="n">
        <v>0</v>
      </c>
      <c r="M27" s="21" t="s">
        <v>172</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t="s">
        <v>197</v>
      </c>
      <c r="B28" s="21" t="s">
        <v>63</v>
      </c>
      <c r="C28" s="21" t="s">
        <v>66</v>
      </c>
      <c r="D28" s="21" t="s">
        <v>75</v>
      </c>
      <c r="E28" s="21" t="s">
        <v>79</v>
      </c>
      <c r="F28" s="21" t="s">
        <v>188</v>
      </c>
      <c r="G28" s="21"/>
      <c r="H28" s="21" t="s">
        <v>180</v>
      </c>
      <c r="I28" s="21"/>
      <c r="J28" s="22" t="n">
        <v>1</v>
      </c>
      <c r="K28" s="22" t="n">
        <v>1</v>
      </c>
      <c r="L28" s="22" t="n">
        <v>0</v>
      </c>
      <c r="M28" s="21" t="s">
        <v>172</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c r="B29" s="21" t="s">
        <v>63</v>
      </c>
      <c r="C29" s="21" t="s">
        <v>66</v>
      </c>
      <c r="D29" s="21" t="s">
        <v>75</v>
      </c>
      <c r="E29" s="21" t="s">
        <v>79</v>
      </c>
      <c r="F29" s="21" t="s">
        <v>189</v>
      </c>
      <c r="G29" s="21"/>
      <c r="H29" s="21" t="s">
        <v>180</v>
      </c>
      <c r="I29" s="21"/>
      <c r="J29" s="22" t="n">
        <v>2</v>
      </c>
      <c r="K29" s="22" t="n">
        <v>2</v>
      </c>
      <c r="L29" s="22" t="n">
        <v>0</v>
      </c>
      <c r="M29" s="21" t="s">
        <v>172</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t="s">
        <v>198</v>
      </c>
      <c r="B30" s="21" t="s">
        <v>63</v>
      </c>
      <c r="C30" s="21" t="s">
        <v>66</v>
      </c>
      <c r="D30" s="21" t="s">
        <v>75</v>
      </c>
      <c r="E30" s="21" t="s">
        <v>79</v>
      </c>
      <c r="F30" s="21" t="s">
        <v>182</v>
      </c>
      <c r="G30" s="21"/>
      <c r="H30" s="21" t="s">
        <v>180</v>
      </c>
      <c r="I30" s="21"/>
      <c r="J30" s="22" t="n">
        <v>2</v>
      </c>
      <c r="K30" s="22" t="n">
        <v>2</v>
      </c>
      <c r="L30" s="22" t="n">
        <v>0</v>
      </c>
      <c r="M30" s="21" t="s">
        <v>172</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c r="B31" s="21" t="s">
        <v>63</v>
      </c>
      <c r="C31" s="21" t="s">
        <v>66</v>
      </c>
      <c r="D31" s="21" t="s">
        <v>75</v>
      </c>
      <c r="E31" s="21" t="s">
        <v>79</v>
      </c>
      <c r="F31" s="21" t="s">
        <v>183</v>
      </c>
      <c r="G31" s="21"/>
      <c r="H31" s="21" t="s">
        <v>180</v>
      </c>
      <c r="I31" s="21"/>
      <c r="J31" s="22" t="n">
        <v>2</v>
      </c>
      <c r="K31" s="22" t="n">
        <v>2</v>
      </c>
      <c r="L31" s="22" t="n">
        <v>0</v>
      </c>
      <c r="M31" s="21" t="s">
        <v>172</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t="s">
        <v>199</v>
      </c>
      <c r="B32" s="21" t="s">
        <v>63</v>
      </c>
      <c r="C32" s="21" t="s">
        <v>66</v>
      </c>
      <c r="D32" s="21" t="s">
        <v>75</v>
      </c>
      <c r="E32" s="21" t="s">
        <v>79</v>
      </c>
      <c r="F32" s="21" t="s">
        <v>185</v>
      </c>
      <c r="G32" s="21"/>
      <c r="H32" s="21" t="s">
        <v>177</v>
      </c>
      <c r="I32" s="21"/>
      <c r="J32" s="22" t="n">
        <v>1</v>
      </c>
      <c r="K32" s="22" t="n">
        <v>1</v>
      </c>
      <c r="L32" s="22" t="n">
        <v>0</v>
      </c>
      <c r="M32" s="21" t="s">
        <v>172</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t="s">
        <v>200</v>
      </c>
      <c r="B33" s="21" t="s">
        <v>63</v>
      </c>
      <c r="C33" s="21" t="s">
        <v>81</v>
      </c>
      <c r="D33" s="21"/>
      <c r="E33" s="21"/>
      <c r="F33" s="21" t="s">
        <v>201</v>
      </c>
      <c r="G33" s="21"/>
      <c r="H33" s="21" t="s">
        <v>171</v>
      </c>
      <c r="I33" s="21"/>
      <c r="J33" s="22" t="n">
        <v>1</v>
      </c>
      <c r="K33" s="22" t="n">
        <v>1</v>
      </c>
      <c r="L33" s="22" t="n">
        <v>0</v>
      </c>
      <c r="M33" s="21" t="s">
        <v>172</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t="s">
        <v>202</v>
      </c>
      <c r="B34" s="21" t="s">
        <v>63</v>
      </c>
      <c r="C34" s="21" t="s">
        <v>81</v>
      </c>
      <c r="D34" s="21" t="s">
        <v>83</v>
      </c>
      <c r="E34" s="21"/>
      <c r="F34" s="21" t="s">
        <v>203</v>
      </c>
      <c r="G34" s="21"/>
      <c r="H34" s="21" t="s">
        <v>177</v>
      </c>
      <c r="I34" s="21"/>
      <c r="J34" s="22" t="n">
        <v>1</v>
      </c>
      <c r="K34" s="22" t="n">
        <v>1</v>
      </c>
      <c r="L34" s="22" t="n">
        <v>0</v>
      </c>
      <c r="M34" s="21" t="s">
        <v>172</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c r="B35" s="21" t="s">
        <v>63</v>
      </c>
      <c r="C35" s="21" t="s">
        <v>81</v>
      </c>
      <c r="D35" s="21" t="s">
        <v>83</v>
      </c>
      <c r="E35" s="21" t="s">
        <v>85</v>
      </c>
      <c r="F35" s="21" t="s">
        <v>204</v>
      </c>
      <c r="G35" s="21"/>
      <c r="H35" s="21" t="s">
        <v>180</v>
      </c>
      <c r="I35" s="21"/>
      <c r="J35" s="22" t="n">
        <v>2</v>
      </c>
      <c r="K35" s="22" t="n">
        <v>2</v>
      </c>
      <c r="L35" s="22" t="n">
        <v>0</v>
      </c>
      <c r="M35" s="21" t="s">
        <v>172</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t="s">
        <v>186</v>
      </c>
      <c r="B36" s="21" t="s">
        <v>63</v>
      </c>
      <c r="C36" s="21" t="s">
        <v>81</v>
      </c>
      <c r="D36" s="21" t="s">
        <v>83</v>
      </c>
      <c r="E36" s="21" t="s">
        <v>85</v>
      </c>
      <c r="F36" s="21" t="s">
        <v>205</v>
      </c>
      <c r="G36" s="21"/>
      <c r="H36" s="21" t="s">
        <v>180</v>
      </c>
      <c r="I36" s="21"/>
      <c r="J36" s="22" t="n">
        <v>1</v>
      </c>
      <c r="K36" s="22" t="n">
        <v>1</v>
      </c>
      <c r="L36" s="22" t="n">
        <v>0</v>
      </c>
      <c r="M36" s="21" t="s">
        <v>168</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t="s">
        <v>186</v>
      </c>
      <c r="B37" s="21" t="s">
        <v>63</v>
      </c>
      <c r="C37" s="21" t="s">
        <v>81</v>
      </c>
      <c r="D37" s="21" t="s">
        <v>83</v>
      </c>
      <c r="E37" s="21" t="s">
        <v>85</v>
      </c>
      <c r="F37" s="21" t="s">
        <v>205</v>
      </c>
      <c r="G37" s="21"/>
      <c r="H37" s="21" t="s">
        <v>180</v>
      </c>
      <c r="I37" s="21"/>
      <c r="J37" s="22" t="n">
        <v>1</v>
      </c>
      <c r="K37" s="22" t="n">
        <v>1</v>
      </c>
      <c r="L37" s="22" t="n">
        <v>0</v>
      </c>
      <c r="M37" s="21" t="s">
        <v>172</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t="s">
        <v>206</v>
      </c>
      <c r="B38" s="21" t="s">
        <v>63</v>
      </c>
      <c r="C38" s="21" t="s">
        <v>81</v>
      </c>
      <c r="D38" s="21" t="s">
        <v>83</v>
      </c>
      <c r="E38" s="21" t="s">
        <v>85</v>
      </c>
      <c r="F38" s="21" t="s">
        <v>207</v>
      </c>
      <c r="G38" s="21"/>
      <c r="H38" s="21" t="s">
        <v>180</v>
      </c>
      <c r="I38" s="21"/>
      <c r="J38" s="22" t="n">
        <v>1</v>
      </c>
      <c r="K38" s="22" t="n">
        <v>0</v>
      </c>
      <c r="L38" s="22" t="n">
        <v>1</v>
      </c>
      <c r="M38" s="21" t="s">
        <v>172</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t="s">
        <v>187</v>
      </c>
      <c r="B39" s="21" t="s">
        <v>63</v>
      </c>
      <c r="C39" s="21" t="s">
        <v>81</v>
      </c>
      <c r="D39" s="21" t="s">
        <v>83</v>
      </c>
      <c r="E39" s="21" t="s">
        <v>85</v>
      </c>
      <c r="F39" s="21" t="s">
        <v>208</v>
      </c>
      <c r="G39" s="21"/>
      <c r="H39" s="21" t="s">
        <v>177</v>
      </c>
      <c r="I39" s="21"/>
      <c r="J39" s="22" t="n">
        <v>1</v>
      </c>
      <c r="K39" s="22" t="n">
        <v>0</v>
      </c>
      <c r="L39" s="22" t="n">
        <v>1</v>
      </c>
      <c r="M39" s="21" t="s">
        <v>172</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t="s">
        <v>209</v>
      </c>
      <c r="B40" s="21" t="s">
        <v>63</v>
      </c>
      <c r="C40" s="21" t="s">
        <v>81</v>
      </c>
      <c r="D40" s="21" t="s">
        <v>83</v>
      </c>
      <c r="E40" s="21" t="s">
        <v>87</v>
      </c>
      <c r="F40" s="21" t="s">
        <v>210</v>
      </c>
      <c r="G40" s="21"/>
      <c r="H40" s="21" t="s">
        <v>180</v>
      </c>
      <c r="I40" s="21"/>
      <c r="J40" s="22" t="n">
        <v>1</v>
      </c>
      <c r="K40" s="22" t="n">
        <v>1</v>
      </c>
      <c r="L40" s="22" t="n">
        <v>0</v>
      </c>
      <c r="M40" s="21" t="s">
        <v>172</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c r="B41" s="21" t="s">
        <v>63</v>
      </c>
      <c r="C41" s="21" t="s">
        <v>81</v>
      </c>
      <c r="D41" s="21" t="s">
        <v>83</v>
      </c>
      <c r="E41" s="21" t="s">
        <v>87</v>
      </c>
      <c r="F41" s="21" t="s">
        <v>207</v>
      </c>
      <c r="G41" s="21"/>
      <c r="H41" s="21" t="s">
        <v>180</v>
      </c>
      <c r="I41" s="21"/>
      <c r="J41" s="22" t="n">
        <v>2</v>
      </c>
      <c r="K41" s="22" t="n">
        <v>1</v>
      </c>
      <c r="L41" s="22" t="n">
        <v>1</v>
      </c>
      <c r="M41" s="21" t="s">
        <v>172</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t="s">
        <v>211</v>
      </c>
      <c r="B42" s="21" t="s">
        <v>63</v>
      </c>
      <c r="C42" s="21" t="s">
        <v>81</v>
      </c>
      <c r="D42" s="21" t="s">
        <v>83</v>
      </c>
      <c r="E42" s="21" t="s">
        <v>87</v>
      </c>
      <c r="F42" s="21" t="s">
        <v>212</v>
      </c>
      <c r="G42" s="21"/>
      <c r="H42" s="21" t="s">
        <v>180</v>
      </c>
      <c r="I42" s="21"/>
      <c r="J42" s="22" t="n">
        <v>1</v>
      </c>
      <c r="K42" s="22" t="n">
        <v>1</v>
      </c>
      <c r="L42" s="22" t="n">
        <v>0</v>
      </c>
      <c r="M42" s="21" t="s">
        <v>172</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c r="B43" s="21" t="s">
        <v>63</v>
      </c>
      <c r="C43" s="21" t="s">
        <v>81</v>
      </c>
      <c r="D43" s="21" t="s">
        <v>83</v>
      </c>
      <c r="E43" s="21" t="s">
        <v>87</v>
      </c>
      <c r="F43" s="21" t="s">
        <v>213</v>
      </c>
      <c r="G43" s="21"/>
      <c r="H43" s="21" t="s">
        <v>180</v>
      </c>
      <c r="I43" s="21"/>
      <c r="J43" s="22" t="n">
        <v>2</v>
      </c>
      <c r="K43" s="22" t="n">
        <v>2</v>
      </c>
      <c r="L43" s="22" t="n">
        <v>0</v>
      </c>
      <c r="M43" s="21" t="s">
        <v>172</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t="s">
        <v>214</v>
      </c>
      <c r="B44" s="21" t="s">
        <v>63</v>
      </c>
      <c r="C44" s="21" t="s">
        <v>81</v>
      </c>
      <c r="D44" s="21" t="s">
        <v>83</v>
      </c>
      <c r="E44" s="21" t="s">
        <v>87</v>
      </c>
      <c r="F44" s="21" t="s">
        <v>208</v>
      </c>
      <c r="G44" s="21"/>
      <c r="H44" s="21" t="s">
        <v>177</v>
      </c>
      <c r="I44" s="21"/>
      <c r="J44" s="22" t="n">
        <v>1</v>
      </c>
      <c r="K44" s="22" t="n">
        <v>1</v>
      </c>
      <c r="L44" s="22" t="n">
        <v>0</v>
      </c>
      <c r="M44" s="21" t="s">
        <v>172</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t="s">
        <v>173</v>
      </c>
      <c r="B45" s="21" t="s">
        <v>63</v>
      </c>
      <c r="C45" s="21" t="s">
        <v>81</v>
      </c>
      <c r="D45" s="21" t="s">
        <v>89</v>
      </c>
      <c r="E45" s="21"/>
      <c r="F45" s="21" t="s">
        <v>203</v>
      </c>
      <c r="G45" s="21"/>
      <c r="H45" s="21" t="s">
        <v>177</v>
      </c>
      <c r="I45" s="21"/>
      <c r="J45" s="22" t="n">
        <v>1</v>
      </c>
      <c r="K45" s="22" t="n">
        <v>1</v>
      </c>
      <c r="L45" s="22" t="n">
        <v>0</v>
      </c>
      <c r="M45" s="21" t="s">
        <v>168</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t="s">
        <v>215</v>
      </c>
      <c r="B46" s="21" t="s">
        <v>63</v>
      </c>
      <c r="C46" s="21" t="s">
        <v>81</v>
      </c>
      <c r="D46" s="21" t="s">
        <v>89</v>
      </c>
      <c r="E46" s="21" t="s">
        <v>91</v>
      </c>
      <c r="F46" s="21" t="s">
        <v>204</v>
      </c>
      <c r="G46" s="21"/>
      <c r="H46" s="21" t="s">
        <v>180</v>
      </c>
      <c r="I46" s="21"/>
      <c r="J46" s="22" t="n">
        <v>1</v>
      </c>
      <c r="K46" s="22" t="n">
        <v>1</v>
      </c>
      <c r="L46" s="22" t="n">
        <v>0</v>
      </c>
      <c r="M46" s="21" t="s">
        <v>172</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c r="B47" s="21" t="s">
        <v>63</v>
      </c>
      <c r="C47" s="21" t="s">
        <v>81</v>
      </c>
      <c r="D47" s="21" t="s">
        <v>89</v>
      </c>
      <c r="E47" s="21" t="s">
        <v>91</v>
      </c>
      <c r="F47" s="21" t="s">
        <v>205</v>
      </c>
      <c r="G47" s="21"/>
      <c r="H47" s="21" t="s">
        <v>180</v>
      </c>
      <c r="I47" s="21"/>
      <c r="J47" s="22" t="n">
        <v>3</v>
      </c>
      <c r="K47" s="22" t="n">
        <v>3</v>
      </c>
      <c r="L47" s="22" t="n">
        <v>0</v>
      </c>
      <c r="M47" s="21" t="s">
        <v>172</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t="s">
        <v>211</v>
      </c>
      <c r="B48" s="21" t="s">
        <v>63</v>
      </c>
      <c r="C48" s="21" t="s">
        <v>81</v>
      </c>
      <c r="D48" s="21" t="s">
        <v>89</v>
      </c>
      <c r="E48" s="21" t="s">
        <v>91</v>
      </c>
      <c r="F48" s="21" t="s">
        <v>210</v>
      </c>
      <c r="G48" s="21"/>
      <c r="H48" s="21" t="s">
        <v>180</v>
      </c>
      <c r="I48" s="21"/>
      <c r="J48" s="22" t="n">
        <v>1</v>
      </c>
      <c r="K48" s="22" t="n">
        <v>1</v>
      </c>
      <c r="L48" s="22" t="n">
        <v>0</v>
      </c>
      <c r="M48" s="21" t="s">
        <v>172</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t="s">
        <v>216</v>
      </c>
      <c r="B49" s="21" t="s">
        <v>63</v>
      </c>
      <c r="C49" s="21" t="s">
        <v>81</v>
      </c>
      <c r="D49" s="21" t="s">
        <v>89</v>
      </c>
      <c r="E49" s="21" t="s">
        <v>91</v>
      </c>
      <c r="F49" s="21" t="s">
        <v>208</v>
      </c>
      <c r="G49" s="21"/>
      <c r="H49" s="21" t="s">
        <v>177</v>
      </c>
      <c r="I49" s="21"/>
      <c r="J49" s="22" t="n">
        <v>1</v>
      </c>
      <c r="K49" s="22" t="n">
        <v>1</v>
      </c>
      <c r="L49" s="22" t="n">
        <v>0</v>
      </c>
      <c r="M49" s="21" t="s">
        <v>172</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t="s">
        <v>217</v>
      </c>
      <c r="B50" s="21" t="s">
        <v>63</v>
      </c>
      <c r="C50" s="21" t="s">
        <v>81</v>
      </c>
      <c r="D50" s="21" t="s">
        <v>89</v>
      </c>
      <c r="E50" s="21" t="s">
        <v>93</v>
      </c>
      <c r="F50" s="21" t="s">
        <v>204</v>
      </c>
      <c r="G50" s="21"/>
      <c r="H50" s="21" t="s">
        <v>180</v>
      </c>
      <c r="I50" s="21"/>
      <c r="J50" s="22" t="n">
        <v>1</v>
      </c>
      <c r="K50" s="22" t="n">
        <v>1</v>
      </c>
      <c r="L50" s="22" t="n">
        <v>0</v>
      </c>
      <c r="M50" s="21" t="s">
        <v>172</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c r="B51" s="21" t="s">
        <v>63</v>
      </c>
      <c r="C51" s="21" t="s">
        <v>81</v>
      </c>
      <c r="D51" s="21" t="s">
        <v>89</v>
      </c>
      <c r="E51" s="21" t="s">
        <v>93</v>
      </c>
      <c r="F51" s="21" t="s">
        <v>210</v>
      </c>
      <c r="G51" s="21"/>
      <c r="H51" s="21" t="s">
        <v>180</v>
      </c>
      <c r="I51" s="21"/>
      <c r="J51" s="22" t="n">
        <v>2</v>
      </c>
      <c r="K51" s="22" t="n">
        <v>2</v>
      </c>
      <c r="L51" s="22" t="n">
        <v>0</v>
      </c>
      <c r="M51" s="21" t="s">
        <v>172</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t="s">
        <v>194</v>
      </c>
      <c r="B52" s="21" t="s">
        <v>63</v>
      </c>
      <c r="C52" s="21" t="s">
        <v>81</v>
      </c>
      <c r="D52" s="21" t="s">
        <v>89</v>
      </c>
      <c r="E52" s="21" t="s">
        <v>93</v>
      </c>
      <c r="F52" s="21" t="s">
        <v>212</v>
      </c>
      <c r="G52" s="21"/>
      <c r="H52" s="21" t="s">
        <v>180</v>
      </c>
      <c r="I52" s="21"/>
      <c r="J52" s="22" t="n">
        <v>1</v>
      </c>
      <c r="K52" s="22" t="n">
        <v>1</v>
      </c>
      <c r="L52" s="22" t="n">
        <v>0</v>
      </c>
      <c r="M52" s="21" t="s">
        <v>172</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t="s">
        <v>218</v>
      </c>
      <c r="B53" s="21" t="s">
        <v>63</v>
      </c>
      <c r="C53" s="21" t="s">
        <v>81</v>
      </c>
      <c r="D53" s="21" t="s">
        <v>89</v>
      </c>
      <c r="E53" s="21" t="s">
        <v>93</v>
      </c>
      <c r="F53" s="21" t="s">
        <v>213</v>
      </c>
      <c r="G53" s="21"/>
      <c r="H53" s="21" t="s">
        <v>180</v>
      </c>
      <c r="I53" s="21"/>
      <c r="J53" s="22" t="n">
        <v>1</v>
      </c>
      <c r="K53" s="22" t="n">
        <v>1</v>
      </c>
      <c r="L53" s="22" t="n">
        <v>0</v>
      </c>
      <c r="M53" s="21" t="s">
        <v>172</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t="s">
        <v>202</v>
      </c>
      <c r="B54" s="21" t="s">
        <v>63</v>
      </c>
      <c r="C54" s="21" t="s">
        <v>81</v>
      </c>
      <c r="D54" s="21" t="s">
        <v>89</v>
      </c>
      <c r="E54" s="21" t="s">
        <v>93</v>
      </c>
      <c r="F54" s="21" t="s">
        <v>208</v>
      </c>
      <c r="G54" s="21"/>
      <c r="H54" s="21" t="s">
        <v>177</v>
      </c>
      <c r="I54" s="21"/>
      <c r="J54" s="22" t="n">
        <v>1</v>
      </c>
      <c r="K54" s="22" t="n">
        <v>1</v>
      </c>
      <c r="L54" s="22" t="n">
        <v>0</v>
      </c>
      <c r="M54" s="21" t="s">
        <v>172</v>
      </c>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career level, nationality mandate, capacity direction</v>
      </c>
    </row>
    <row r="55" customFormat="false" ht="15" hidden="false" customHeight="false" outlineLevel="0" collapsed="false">
      <c r="A55" s="21" t="s">
        <v>219</v>
      </c>
      <c r="B55" s="21" t="s">
        <v>95</v>
      </c>
      <c r="C55" s="21"/>
      <c r="D55" s="21"/>
      <c r="E55" s="21"/>
      <c r="F55" s="21" t="s">
        <v>220</v>
      </c>
      <c r="G55" s="21"/>
      <c r="H55" s="21" t="s">
        <v>171</v>
      </c>
      <c r="I55" s="21"/>
      <c r="J55" s="22" t="n">
        <v>1</v>
      </c>
      <c r="K55" s="22" t="n">
        <v>1</v>
      </c>
      <c r="L55" s="22" t="n">
        <v>0</v>
      </c>
      <c r="M55" s="21" t="s">
        <v>172</v>
      </c>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career level, nationality mandate, capacity direction</v>
      </c>
    </row>
    <row r="56" customFormat="false" ht="15" hidden="false" customHeight="false" outlineLevel="0" collapsed="false">
      <c r="A56" s="21" t="s">
        <v>221</v>
      </c>
      <c r="B56" s="21" t="s">
        <v>95</v>
      </c>
      <c r="C56" s="21" t="s">
        <v>97</v>
      </c>
      <c r="D56" s="21"/>
      <c r="E56" s="21"/>
      <c r="F56" s="21" t="s">
        <v>222</v>
      </c>
      <c r="G56" s="21"/>
      <c r="H56" s="21" t="s">
        <v>171</v>
      </c>
      <c r="I56" s="21"/>
      <c r="J56" s="22" t="n">
        <v>1</v>
      </c>
      <c r="K56" s="22" t="n">
        <v>1</v>
      </c>
      <c r="L56" s="22" t="n">
        <v>0</v>
      </c>
      <c r="M56" s="21" t="s">
        <v>172</v>
      </c>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career level, nationality mandate, capacity direction</v>
      </c>
    </row>
    <row r="57" customFormat="false" ht="15" hidden="false" customHeight="false" outlineLevel="0" collapsed="false">
      <c r="A57" s="21" t="s">
        <v>186</v>
      </c>
      <c r="B57" s="21" t="s">
        <v>95</v>
      </c>
      <c r="C57" s="21" t="s">
        <v>97</v>
      </c>
      <c r="D57" s="21" t="s">
        <v>99</v>
      </c>
      <c r="E57" s="21"/>
      <c r="F57" s="21" t="s">
        <v>223</v>
      </c>
      <c r="G57" s="21"/>
      <c r="H57" s="21" t="s">
        <v>177</v>
      </c>
      <c r="I57" s="21"/>
      <c r="J57" s="22" t="n">
        <v>1</v>
      </c>
      <c r="K57" s="22" t="n">
        <v>1</v>
      </c>
      <c r="L57" s="22" t="n">
        <v>0</v>
      </c>
      <c r="M57" s="21" t="s">
        <v>172</v>
      </c>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career level, nationality mandate, capacity direction</v>
      </c>
    </row>
    <row r="58" customFormat="false" ht="15" hidden="false" customHeight="false" outlineLevel="0" collapsed="false">
      <c r="A58" s="21" t="s">
        <v>209</v>
      </c>
      <c r="B58" s="21" t="s">
        <v>95</v>
      </c>
      <c r="C58" s="21" t="s">
        <v>97</v>
      </c>
      <c r="D58" s="21" t="s">
        <v>99</v>
      </c>
      <c r="E58" s="21" t="s">
        <v>101</v>
      </c>
      <c r="F58" s="21" t="s">
        <v>224</v>
      </c>
      <c r="G58" s="21"/>
      <c r="H58" s="21" t="s">
        <v>180</v>
      </c>
      <c r="I58" s="21"/>
      <c r="J58" s="22" t="n">
        <v>1</v>
      </c>
      <c r="K58" s="22" t="n">
        <v>1</v>
      </c>
      <c r="L58" s="22" t="n">
        <v>0</v>
      </c>
      <c r="M58" s="21" t="s">
        <v>172</v>
      </c>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career level, nationality mandate, capacity direction</v>
      </c>
    </row>
    <row r="59" customFormat="false" ht="15" hidden="false" customHeight="false" outlineLevel="0" collapsed="false">
      <c r="A59" s="21" t="s">
        <v>165</v>
      </c>
      <c r="B59" s="21" t="s">
        <v>95</v>
      </c>
      <c r="C59" s="21" t="s">
        <v>97</v>
      </c>
      <c r="D59" s="21" t="s">
        <v>99</v>
      </c>
      <c r="E59" s="21" t="s">
        <v>101</v>
      </c>
      <c r="F59" s="21" t="s">
        <v>225</v>
      </c>
      <c r="G59" s="21"/>
      <c r="H59" s="21" t="s">
        <v>180</v>
      </c>
      <c r="I59" s="21"/>
      <c r="J59" s="22" t="n">
        <v>1</v>
      </c>
      <c r="K59" s="22" t="n">
        <v>1</v>
      </c>
      <c r="L59" s="22" t="n">
        <v>0</v>
      </c>
      <c r="M59" s="21" t="s">
        <v>172</v>
      </c>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career level, nationality mandate, capacity direction</v>
      </c>
    </row>
    <row r="60" customFormat="false" ht="15" hidden="false" customHeight="false" outlineLevel="0" collapsed="false">
      <c r="A60" s="21"/>
      <c r="B60" s="21" t="s">
        <v>95</v>
      </c>
      <c r="C60" s="21" t="s">
        <v>97</v>
      </c>
      <c r="D60" s="21" t="s">
        <v>99</v>
      </c>
      <c r="E60" s="21" t="s">
        <v>101</v>
      </c>
      <c r="F60" s="21" t="s">
        <v>226</v>
      </c>
      <c r="G60" s="21"/>
      <c r="H60" s="21" t="s">
        <v>180</v>
      </c>
      <c r="I60" s="21"/>
      <c r="J60" s="22" t="n">
        <v>2</v>
      </c>
      <c r="K60" s="22" t="n">
        <v>2</v>
      </c>
      <c r="L60" s="22" t="n">
        <v>0</v>
      </c>
      <c r="M60" s="21" t="s">
        <v>172</v>
      </c>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career level, nationality mandate, capacity direction</v>
      </c>
    </row>
    <row r="61" customFormat="false" ht="15" hidden="false" customHeight="false" outlineLevel="0" collapsed="false">
      <c r="A61" s="21"/>
      <c r="B61" s="21" t="s">
        <v>95</v>
      </c>
      <c r="C61" s="21" t="s">
        <v>97</v>
      </c>
      <c r="D61" s="21" t="s">
        <v>99</v>
      </c>
      <c r="E61" s="21" t="s">
        <v>101</v>
      </c>
      <c r="F61" s="21" t="s">
        <v>227</v>
      </c>
      <c r="G61" s="21"/>
      <c r="H61" s="21" t="s">
        <v>180</v>
      </c>
      <c r="I61" s="21"/>
      <c r="J61" s="22" t="n">
        <v>2</v>
      </c>
      <c r="K61" s="22" t="n">
        <v>1</v>
      </c>
      <c r="L61" s="22" t="n">
        <v>1</v>
      </c>
      <c r="M61" s="21" t="s">
        <v>172</v>
      </c>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career level, nationality mandate, capacity direction</v>
      </c>
    </row>
    <row r="62" customFormat="false" ht="15" hidden="false" customHeight="false" outlineLevel="0" collapsed="false">
      <c r="A62" s="21" t="s">
        <v>228</v>
      </c>
      <c r="B62" s="21" t="s">
        <v>95</v>
      </c>
      <c r="C62" s="21" t="s">
        <v>97</v>
      </c>
      <c r="D62" s="21" t="s">
        <v>99</v>
      </c>
      <c r="E62" s="21" t="s">
        <v>101</v>
      </c>
      <c r="F62" s="21" t="s">
        <v>229</v>
      </c>
      <c r="G62" s="21"/>
      <c r="H62" s="21" t="s">
        <v>177</v>
      </c>
      <c r="I62" s="21"/>
      <c r="J62" s="22" t="n">
        <v>1</v>
      </c>
      <c r="K62" s="22" t="n">
        <v>0</v>
      </c>
      <c r="L62" s="22" t="n">
        <v>1</v>
      </c>
      <c r="M62" s="21" t="s">
        <v>172</v>
      </c>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career level, nationality mandate, capacity direction</v>
      </c>
    </row>
    <row r="63" customFormat="false" ht="15" hidden="false" customHeight="false" outlineLevel="0" collapsed="false">
      <c r="A63" s="21" t="s">
        <v>230</v>
      </c>
      <c r="B63" s="21" t="s">
        <v>95</v>
      </c>
      <c r="C63" s="21" t="s">
        <v>97</v>
      </c>
      <c r="D63" s="21" t="s">
        <v>99</v>
      </c>
      <c r="E63" s="21" t="s">
        <v>103</v>
      </c>
      <c r="F63" s="21" t="s">
        <v>231</v>
      </c>
      <c r="G63" s="21"/>
      <c r="H63" s="21" t="s">
        <v>180</v>
      </c>
      <c r="I63" s="21"/>
      <c r="J63" s="22" t="n">
        <v>1</v>
      </c>
      <c r="K63" s="22" t="n">
        <v>1</v>
      </c>
      <c r="L63" s="22" t="n">
        <v>0</v>
      </c>
      <c r="M63" s="21" t="s">
        <v>172</v>
      </c>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career level, nationality mandate, capacity direction</v>
      </c>
    </row>
    <row r="64" customFormat="false" ht="15" hidden="false" customHeight="false" outlineLevel="0" collapsed="false">
      <c r="A64" s="21"/>
      <c r="B64" s="21" t="s">
        <v>95</v>
      </c>
      <c r="C64" s="21" t="s">
        <v>97</v>
      </c>
      <c r="D64" s="21" t="s">
        <v>99</v>
      </c>
      <c r="E64" s="21" t="s">
        <v>103</v>
      </c>
      <c r="F64" s="21" t="s">
        <v>226</v>
      </c>
      <c r="G64" s="21"/>
      <c r="H64" s="21" t="s">
        <v>180</v>
      </c>
      <c r="I64" s="21"/>
      <c r="J64" s="22" t="n">
        <v>2</v>
      </c>
      <c r="K64" s="22" t="n">
        <v>2</v>
      </c>
      <c r="L64" s="22" t="n">
        <v>0</v>
      </c>
      <c r="M64" s="21" t="s">
        <v>172</v>
      </c>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career level, nationality mandate, capacity direction</v>
      </c>
    </row>
    <row r="65" customFormat="false" ht="15" hidden="false" customHeight="false" outlineLevel="0" collapsed="false">
      <c r="A65" s="21" t="s">
        <v>228</v>
      </c>
      <c r="B65" s="21" t="s">
        <v>95</v>
      </c>
      <c r="C65" s="21" t="s">
        <v>97</v>
      </c>
      <c r="D65" s="21" t="s">
        <v>99</v>
      </c>
      <c r="E65" s="21" t="s">
        <v>103</v>
      </c>
      <c r="F65" s="21" t="s">
        <v>227</v>
      </c>
      <c r="G65" s="21"/>
      <c r="H65" s="21" t="s">
        <v>180</v>
      </c>
      <c r="I65" s="21"/>
      <c r="J65" s="22" t="n">
        <v>1</v>
      </c>
      <c r="K65" s="22" t="n">
        <v>1</v>
      </c>
      <c r="L65" s="22" t="n">
        <v>0</v>
      </c>
      <c r="M65" s="21" t="s">
        <v>172</v>
      </c>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career level, nationality mandate, capacity direction</v>
      </c>
    </row>
    <row r="66" customFormat="false" ht="15" hidden="false" customHeight="false" outlineLevel="0" collapsed="false">
      <c r="A66" s="21" t="s">
        <v>232</v>
      </c>
      <c r="B66" s="21" t="s">
        <v>95</v>
      </c>
      <c r="C66" s="21" t="s">
        <v>97</v>
      </c>
      <c r="D66" s="21" t="s">
        <v>99</v>
      </c>
      <c r="E66" s="21" t="s">
        <v>103</v>
      </c>
      <c r="F66" s="21" t="s">
        <v>233</v>
      </c>
      <c r="G66" s="21"/>
      <c r="H66" s="21" t="s">
        <v>180</v>
      </c>
      <c r="I66" s="21"/>
      <c r="J66" s="22" t="n">
        <v>1</v>
      </c>
      <c r="K66" s="22" t="n">
        <v>1</v>
      </c>
      <c r="L66" s="22" t="n">
        <v>0</v>
      </c>
      <c r="M66" s="21" t="s">
        <v>172</v>
      </c>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career level, nationality mandate, capacity direction</v>
      </c>
    </row>
    <row r="67" customFormat="false" ht="15" hidden="false" customHeight="false" outlineLevel="0" collapsed="false">
      <c r="A67" s="21" t="s">
        <v>187</v>
      </c>
      <c r="B67" s="21" t="s">
        <v>95</v>
      </c>
      <c r="C67" s="21" t="s">
        <v>97</v>
      </c>
      <c r="D67" s="21" t="s">
        <v>99</v>
      </c>
      <c r="E67" s="21" t="s">
        <v>103</v>
      </c>
      <c r="F67" s="21" t="s">
        <v>229</v>
      </c>
      <c r="G67" s="21"/>
      <c r="H67" s="21" t="s">
        <v>177</v>
      </c>
      <c r="I67" s="21"/>
      <c r="J67" s="22" t="n">
        <v>1</v>
      </c>
      <c r="K67" s="22" t="n">
        <v>1</v>
      </c>
      <c r="L67" s="22" t="n">
        <v>0</v>
      </c>
      <c r="M67" s="21" t="s">
        <v>172</v>
      </c>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career level, nationality mandate, capacity direction</v>
      </c>
    </row>
    <row r="68" customFormat="false" ht="15" hidden="false" customHeight="false" outlineLevel="0" collapsed="false">
      <c r="A68" s="21" t="s">
        <v>234</v>
      </c>
      <c r="B68" s="21" t="s">
        <v>95</v>
      </c>
      <c r="C68" s="21" t="s">
        <v>97</v>
      </c>
      <c r="D68" s="21" t="s">
        <v>105</v>
      </c>
      <c r="E68" s="21"/>
      <c r="F68" s="21" t="s">
        <v>223</v>
      </c>
      <c r="G68" s="21"/>
      <c r="H68" s="21" t="s">
        <v>177</v>
      </c>
      <c r="I68" s="21"/>
      <c r="J68" s="22" t="n">
        <v>1</v>
      </c>
      <c r="K68" s="22" t="n">
        <v>1</v>
      </c>
      <c r="L68" s="22" t="n">
        <v>0</v>
      </c>
      <c r="M68" s="21" t="s">
        <v>172</v>
      </c>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career level, nationality mandate, capacity direction</v>
      </c>
    </row>
    <row r="69" customFormat="false" ht="15" hidden="false" customHeight="false" outlineLevel="0" collapsed="false">
      <c r="A69" s="21" t="s">
        <v>235</v>
      </c>
      <c r="B69" s="21" t="s">
        <v>95</v>
      </c>
      <c r="C69" s="21" t="s">
        <v>97</v>
      </c>
      <c r="D69" s="21" t="s">
        <v>105</v>
      </c>
      <c r="E69" s="21" t="s">
        <v>107</v>
      </c>
      <c r="F69" s="21" t="s">
        <v>224</v>
      </c>
      <c r="G69" s="21"/>
      <c r="H69" s="21" t="s">
        <v>180</v>
      </c>
      <c r="I69" s="21"/>
      <c r="J69" s="22" t="n">
        <v>1</v>
      </c>
      <c r="K69" s="22" t="n">
        <v>1</v>
      </c>
      <c r="L69" s="22" t="n">
        <v>0</v>
      </c>
      <c r="M69" s="21" t="s">
        <v>172</v>
      </c>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career level, nationality mandate, capacity direction</v>
      </c>
    </row>
    <row r="70" customFormat="false" ht="15" hidden="false" customHeight="false" outlineLevel="0" collapsed="false">
      <c r="A70" s="21"/>
      <c r="B70" s="21" t="s">
        <v>95</v>
      </c>
      <c r="C70" s="21" t="s">
        <v>97</v>
      </c>
      <c r="D70" s="21" t="s">
        <v>105</v>
      </c>
      <c r="E70" s="21" t="s">
        <v>107</v>
      </c>
      <c r="F70" s="21" t="s">
        <v>231</v>
      </c>
      <c r="G70" s="21"/>
      <c r="H70" s="21" t="s">
        <v>180</v>
      </c>
      <c r="I70" s="21"/>
      <c r="J70" s="22" t="n">
        <v>2</v>
      </c>
      <c r="K70" s="22" t="n">
        <v>2</v>
      </c>
      <c r="L70" s="22" t="n">
        <v>0</v>
      </c>
      <c r="M70" s="21" t="s">
        <v>172</v>
      </c>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career level, nationality mandate, capacity direction</v>
      </c>
    </row>
    <row r="71" customFormat="false" ht="15" hidden="false" customHeight="false" outlineLevel="0" collapsed="false">
      <c r="A71" s="21" t="s">
        <v>187</v>
      </c>
      <c r="B71" s="21" t="s">
        <v>95</v>
      </c>
      <c r="C71" s="21" t="s">
        <v>97</v>
      </c>
      <c r="D71" s="21" t="s">
        <v>105</v>
      </c>
      <c r="E71" s="21" t="s">
        <v>107</v>
      </c>
      <c r="F71" s="21" t="s">
        <v>225</v>
      </c>
      <c r="G71" s="21"/>
      <c r="H71" s="21" t="s">
        <v>180</v>
      </c>
      <c r="I71" s="21"/>
      <c r="J71" s="22" t="n">
        <v>1</v>
      </c>
      <c r="K71" s="22" t="n">
        <v>1</v>
      </c>
      <c r="L71" s="22" t="n">
        <v>0</v>
      </c>
      <c r="M71" s="21" t="s">
        <v>172</v>
      </c>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career level, nationality mandate, capacity direction</v>
      </c>
    </row>
    <row r="72" customFormat="false" ht="15" hidden="false" customHeight="false" outlineLevel="0" collapsed="false">
      <c r="A72" s="21" t="s">
        <v>202</v>
      </c>
      <c r="B72" s="21" t="s">
        <v>95</v>
      </c>
      <c r="C72" s="21" t="s">
        <v>97</v>
      </c>
      <c r="D72" s="21" t="s">
        <v>105</v>
      </c>
      <c r="E72" s="21" t="s">
        <v>107</v>
      </c>
      <c r="F72" s="21" t="s">
        <v>226</v>
      </c>
      <c r="G72" s="21"/>
      <c r="H72" s="21" t="s">
        <v>180</v>
      </c>
      <c r="I72" s="21"/>
      <c r="J72" s="22" t="n">
        <v>1</v>
      </c>
      <c r="K72" s="22" t="n">
        <v>1</v>
      </c>
      <c r="L72" s="22" t="n">
        <v>0</v>
      </c>
      <c r="M72" s="21" t="s">
        <v>168</v>
      </c>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career level, nationality mandate, capacity direction</v>
      </c>
    </row>
    <row r="73" customFormat="false" ht="15" hidden="false" customHeight="false" outlineLevel="0" collapsed="false">
      <c r="A73" s="21" t="s">
        <v>236</v>
      </c>
      <c r="B73" s="21" t="s">
        <v>95</v>
      </c>
      <c r="C73" s="21" t="s">
        <v>97</v>
      </c>
      <c r="D73" s="21" t="s">
        <v>105</v>
      </c>
      <c r="E73" s="21" t="s">
        <v>107</v>
      </c>
      <c r="F73" s="21" t="s">
        <v>226</v>
      </c>
      <c r="G73" s="21"/>
      <c r="H73" s="21" t="s">
        <v>180</v>
      </c>
      <c r="I73" s="21"/>
      <c r="J73" s="22" t="n">
        <v>1</v>
      </c>
      <c r="K73" s="22" t="n">
        <v>1</v>
      </c>
      <c r="L73" s="22" t="n">
        <v>0</v>
      </c>
      <c r="M73" s="21" t="s">
        <v>172</v>
      </c>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career level, nationality mandate, capacity direction</v>
      </c>
    </row>
    <row r="74" customFormat="false" ht="15" hidden="false" customHeight="false" outlineLevel="0" collapsed="false">
      <c r="A74" s="21" t="s">
        <v>235</v>
      </c>
      <c r="B74" s="21" t="s">
        <v>95</v>
      </c>
      <c r="C74" s="21" t="s">
        <v>97</v>
      </c>
      <c r="D74" s="21" t="s">
        <v>105</v>
      </c>
      <c r="E74" s="21" t="s">
        <v>107</v>
      </c>
      <c r="F74" s="21" t="s">
        <v>233</v>
      </c>
      <c r="G74" s="21"/>
      <c r="H74" s="21" t="s">
        <v>180</v>
      </c>
      <c r="I74" s="21"/>
      <c r="J74" s="22" t="n">
        <v>1</v>
      </c>
      <c r="K74" s="22" t="n">
        <v>1</v>
      </c>
      <c r="L74" s="22" t="n">
        <v>0</v>
      </c>
      <c r="M74" s="21" t="s">
        <v>172</v>
      </c>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career level, nationality mandate, capacity direction</v>
      </c>
    </row>
    <row r="75" customFormat="false" ht="15" hidden="false" customHeight="false" outlineLevel="0" collapsed="false">
      <c r="A75" s="21" t="s">
        <v>214</v>
      </c>
      <c r="B75" s="21" t="s">
        <v>95</v>
      </c>
      <c r="C75" s="21" t="s">
        <v>97</v>
      </c>
      <c r="D75" s="21" t="s">
        <v>105</v>
      </c>
      <c r="E75" s="21" t="s">
        <v>107</v>
      </c>
      <c r="F75" s="21" t="s">
        <v>229</v>
      </c>
      <c r="G75" s="21"/>
      <c r="H75" s="21" t="s">
        <v>177</v>
      </c>
      <c r="I75" s="21"/>
      <c r="J75" s="22" t="n">
        <v>1</v>
      </c>
      <c r="K75" s="22" t="n">
        <v>1</v>
      </c>
      <c r="L75" s="22" t="n">
        <v>0</v>
      </c>
      <c r="M75" s="21" t="s">
        <v>172</v>
      </c>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career level, nationality mandate, capacity direction</v>
      </c>
    </row>
    <row r="76" customFormat="false" ht="15" hidden="false" customHeight="false" outlineLevel="0" collapsed="false">
      <c r="A76" s="21" t="s">
        <v>216</v>
      </c>
      <c r="B76" s="21" t="s">
        <v>95</v>
      </c>
      <c r="C76" s="21" t="s">
        <v>97</v>
      </c>
      <c r="D76" s="21" t="s">
        <v>105</v>
      </c>
      <c r="E76" s="21" t="s">
        <v>109</v>
      </c>
      <c r="F76" s="21" t="s">
        <v>226</v>
      </c>
      <c r="G76" s="21"/>
      <c r="H76" s="21" t="s">
        <v>180</v>
      </c>
      <c r="I76" s="21"/>
      <c r="J76" s="22" t="n">
        <v>1</v>
      </c>
      <c r="K76" s="22" t="n">
        <v>1</v>
      </c>
      <c r="L76" s="22" t="n">
        <v>0</v>
      </c>
      <c r="M76" s="21" t="s">
        <v>172</v>
      </c>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career level, nationality mandate, capacity direction</v>
      </c>
    </row>
    <row r="77" customFormat="false" ht="15" hidden="false" customHeight="false" outlineLevel="0" collapsed="false">
      <c r="A77" s="21" t="s">
        <v>237</v>
      </c>
      <c r="B77" s="21" t="s">
        <v>95</v>
      </c>
      <c r="C77" s="21" t="s">
        <v>97</v>
      </c>
      <c r="D77" s="21" t="s">
        <v>105</v>
      </c>
      <c r="E77" s="21" t="s">
        <v>109</v>
      </c>
      <c r="F77" s="21" t="s">
        <v>226</v>
      </c>
      <c r="G77" s="21"/>
      <c r="H77" s="21" t="s">
        <v>180</v>
      </c>
      <c r="I77" s="21"/>
      <c r="J77" s="22" t="n">
        <v>1</v>
      </c>
      <c r="K77" s="22" t="n">
        <v>1</v>
      </c>
      <c r="L77" s="22" t="n">
        <v>0</v>
      </c>
      <c r="M77" s="21" t="s">
        <v>168</v>
      </c>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career level, nationality mandate, capacity direction</v>
      </c>
    </row>
    <row r="78" customFormat="false" ht="15" hidden="false" customHeight="false" outlineLevel="0" collapsed="false">
      <c r="A78" s="21"/>
      <c r="B78" s="21" t="s">
        <v>95</v>
      </c>
      <c r="C78" s="21" t="s">
        <v>97</v>
      </c>
      <c r="D78" s="21" t="s">
        <v>105</v>
      </c>
      <c r="E78" s="21" t="s">
        <v>109</v>
      </c>
      <c r="F78" s="21" t="s">
        <v>227</v>
      </c>
      <c r="G78" s="21"/>
      <c r="H78" s="21" t="s">
        <v>180</v>
      </c>
      <c r="I78" s="21"/>
      <c r="J78" s="22" t="n">
        <v>2</v>
      </c>
      <c r="K78" s="22" t="n">
        <v>2</v>
      </c>
      <c r="L78" s="22" t="n">
        <v>0</v>
      </c>
      <c r="M78" s="21" t="s">
        <v>172</v>
      </c>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career level, nationality mandate, capacity direction</v>
      </c>
    </row>
    <row r="79" customFormat="false" ht="15" hidden="false" customHeight="false" outlineLevel="0" collapsed="false">
      <c r="A79" s="21"/>
      <c r="B79" s="21" t="s">
        <v>95</v>
      </c>
      <c r="C79" s="21" t="s">
        <v>97</v>
      </c>
      <c r="D79" s="21" t="s">
        <v>105</v>
      </c>
      <c r="E79" s="21" t="s">
        <v>109</v>
      </c>
      <c r="F79" s="21" t="s">
        <v>233</v>
      </c>
      <c r="G79" s="21"/>
      <c r="H79" s="21" t="s">
        <v>180</v>
      </c>
      <c r="I79" s="21"/>
      <c r="J79" s="22" t="n">
        <v>2</v>
      </c>
      <c r="K79" s="22" t="n">
        <v>2</v>
      </c>
      <c r="L79" s="22" t="n">
        <v>0</v>
      </c>
      <c r="M79" s="21" t="s">
        <v>172</v>
      </c>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career level, nationality mandate, capacity direction</v>
      </c>
    </row>
    <row r="80" customFormat="false" ht="15" hidden="false" customHeight="false" outlineLevel="0" collapsed="false">
      <c r="A80" s="21" t="s">
        <v>238</v>
      </c>
      <c r="B80" s="21" t="s">
        <v>95</v>
      </c>
      <c r="C80" s="21" t="s">
        <v>97</v>
      </c>
      <c r="D80" s="21" t="s">
        <v>105</v>
      </c>
      <c r="E80" s="21" t="s">
        <v>109</v>
      </c>
      <c r="F80" s="21" t="s">
        <v>229</v>
      </c>
      <c r="G80" s="21"/>
      <c r="H80" s="21" t="s">
        <v>177</v>
      </c>
      <c r="I80" s="21"/>
      <c r="J80" s="22" t="n">
        <v>1</v>
      </c>
      <c r="K80" s="22" t="n">
        <v>1</v>
      </c>
      <c r="L80" s="22" t="n">
        <v>0</v>
      </c>
      <c r="M80" s="21" t="s">
        <v>172</v>
      </c>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career level, nationality mandate, capacity direction</v>
      </c>
    </row>
    <row r="81" customFormat="false" ht="15" hidden="false" customHeight="false" outlineLevel="0" collapsed="false">
      <c r="A81" s="21" t="s">
        <v>237</v>
      </c>
      <c r="B81" s="21" t="s">
        <v>95</v>
      </c>
      <c r="C81" s="21" t="s">
        <v>111</v>
      </c>
      <c r="D81" s="21"/>
      <c r="E81" s="21"/>
      <c r="F81" s="21" t="s">
        <v>239</v>
      </c>
      <c r="G81" s="21"/>
      <c r="H81" s="21" t="s">
        <v>171</v>
      </c>
      <c r="I81" s="21"/>
      <c r="J81" s="22" t="n">
        <v>1</v>
      </c>
      <c r="K81" s="22" t="n">
        <v>1</v>
      </c>
      <c r="L81" s="22" t="n">
        <v>0</v>
      </c>
      <c r="M81" s="21" t="s">
        <v>172</v>
      </c>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career level, nationality mandate, capacity direction</v>
      </c>
    </row>
    <row r="82" customFormat="false" ht="15" hidden="false" customHeight="false" outlineLevel="0" collapsed="false">
      <c r="A82" s="21" t="s">
        <v>221</v>
      </c>
      <c r="B82" s="21" t="s">
        <v>95</v>
      </c>
      <c r="C82" s="21" t="s">
        <v>111</v>
      </c>
      <c r="D82" s="21" t="s">
        <v>113</v>
      </c>
      <c r="E82" s="21"/>
      <c r="F82" s="21" t="s">
        <v>240</v>
      </c>
      <c r="G82" s="21"/>
      <c r="H82" s="21" t="s">
        <v>177</v>
      </c>
      <c r="I82" s="21"/>
      <c r="J82" s="22" t="n">
        <v>1</v>
      </c>
      <c r="K82" s="22" t="n">
        <v>1</v>
      </c>
      <c r="L82" s="22" t="n">
        <v>0</v>
      </c>
      <c r="M82" s="21" t="s">
        <v>172</v>
      </c>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career level, nationality mandate, capacity direction</v>
      </c>
    </row>
    <row r="83" customFormat="false" ht="15" hidden="false" customHeight="false" outlineLevel="0" collapsed="false">
      <c r="A83" s="21"/>
      <c r="B83" s="21" t="s">
        <v>95</v>
      </c>
      <c r="C83" s="21" t="s">
        <v>111</v>
      </c>
      <c r="D83" s="21" t="s">
        <v>113</v>
      </c>
      <c r="E83" s="21" t="s">
        <v>115</v>
      </c>
      <c r="F83" s="21" t="s">
        <v>241</v>
      </c>
      <c r="G83" s="21"/>
      <c r="H83" s="21" t="s">
        <v>180</v>
      </c>
      <c r="I83" s="21"/>
      <c r="J83" s="22" t="n">
        <v>2</v>
      </c>
      <c r="K83" s="22" t="n">
        <v>1</v>
      </c>
      <c r="L83" s="22" t="n">
        <v>1</v>
      </c>
      <c r="M83" s="21" t="s">
        <v>172</v>
      </c>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career level, nationality mandate, capacity direction</v>
      </c>
    </row>
    <row r="84" customFormat="false" ht="15" hidden="false" customHeight="false" outlineLevel="0" collapsed="false">
      <c r="A84" s="21"/>
      <c r="B84" s="21" t="s">
        <v>95</v>
      </c>
      <c r="C84" s="21" t="s">
        <v>111</v>
      </c>
      <c r="D84" s="21" t="s">
        <v>113</v>
      </c>
      <c r="E84" s="21" t="s">
        <v>115</v>
      </c>
      <c r="F84" s="21" t="s">
        <v>242</v>
      </c>
      <c r="G84" s="21"/>
      <c r="H84" s="21" t="s">
        <v>180</v>
      </c>
      <c r="I84" s="21"/>
      <c r="J84" s="22" t="n">
        <v>3</v>
      </c>
      <c r="K84" s="22" t="n">
        <v>3</v>
      </c>
      <c r="L84" s="22" t="n">
        <v>0</v>
      </c>
      <c r="M84" s="21" t="s">
        <v>172</v>
      </c>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career level, nationality mandate, capacity direction</v>
      </c>
    </row>
    <row r="85" customFormat="false" ht="15" hidden="false" customHeight="false" outlineLevel="0" collapsed="false">
      <c r="A85" s="21"/>
      <c r="B85" s="21" t="s">
        <v>95</v>
      </c>
      <c r="C85" s="21" t="s">
        <v>111</v>
      </c>
      <c r="D85" s="21" t="s">
        <v>113</v>
      </c>
      <c r="E85" s="21" t="s">
        <v>115</v>
      </c>
      <c r="F85" s="21" t="s">
        <v>243</v>
      </c>
      <c r="G85" s="21"/>
      <c r="H85" s="21" t="s">
        <v>180</v>
      </c>
      <c r="I85" s="21"/>
      <c r="J85" s="22" t="n">
        <v>2</v>
      </c>
      <c r="K85" s="22" t="n">
        <v>1</v>
      </c>
      <c r="L85" s="22" t="n">
        <v>1</v>
      </c>
      <c r="M85" s="21" t="s">
        <v>172</v>
      </c>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career level, nationality mandate, capacity direction</v>
      </c>
    </row>
    <row r="86" customFormat="false" ht="15" hidden="false" customHeight="false" outlineLevel="0" collapsed="false">
      <c r="A86" s="21"/>
      <c r="B86" s="21" t="s">
        <v>95</v>
      </c>
      <c r="C86" s="21" t="s">
        <v>111</v>
      </c>
      <c r="D86" s="21" t="s">
        <v>113</v>
      </c>
      <c r="E86" s="21" t="s">
        <v>115</v>
      </c>
      <c r="F86" s="21" t="s">
        <v>244</v>
      </c>
      <c r="G86" s="21"/>
      <c r="H86" s="21" t="s">
        <v>180</v>
      </c>
      <c r="I86" s="21"/>
      <c r="J86" s="22" t="n">
        <v>2</v>
      </c>
      <c r="K86" s="22" t="n">
        <v>1</v>
      </c>
      <c r="L86" s="22" t="n">
        <v>1</v>
      </c>
      <c r="M86" s="21" t="s">
        <v>172</v>
      </c>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career level, nationality mandate, capacity direction</v>
      </c>
    </row>
    <row r="87" customFormat="false" ht="15" hidden="false" customHeight="false" outlineLevel="0" collapsed="false">
      <c r="A87" s="21" t="s">
        <v>245</v>
      </c>
      <c r="B87" s="21" t="s">
        <v>95</v>
      </c>
      <c r="C87" s="21" t="s">
        <v>111</v>
      </c>
      <c r="D87" s="21" t="s">
        <v>113</v>
      </c>
      <c r="E87" s="21" t="s">
        <v>115</v>
      </c>
      <c r="F87" s="21" t="s">
        <v>246</v>
      </c>
      <c r="G87" s="21"/>
      <c r="H87" s="21" t="s">
        <v>177</v>
      </c>
      <c r="I87" s="21"/>
      <c r="J87" s="22" t="n">
        <v>1</v>
      </c>
      <c r="K87" s="22" t="n">
        <v>1</v>
      </c>
      <c r="L87" s="22" t="n">
        <v>0</v>
      </c>
      <c r="M87" s="21" t="s">
        <v>172</v>
      </c>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career level, nationality mandate, capacity direction</v>
      </c>
    </row>
    <row r="88" customFormat="false" ht="15" hidden="false" customHeight="false" outlineLevel="0" collapsed="false">
      <c r="A88" s="21"/>
      <c r="B88" s="21" t="s">
        <v>95</v>
      </c>
      <c r="C88" s="21" t="s">
        <v>111</v>
      </c>
      <c r="D88" s="21" t="s">
        <v>113</v>
      </c>
      <c r="E88" s="21" t="s">
        <v>117</v>
      </c>
      <c r="F88" s="21" t="s">
        <v>247</v>
      </c>
      <c r="G88" s="21"/>
      <c r="H88" s="21" t="s">
        <v>180</v>
      </c>
      <c r="I88" s="21"/>
      <c r="J88" s="22" t="n">
        <v>3</v>
      </c>
      <c r="K88" s="22" t="n">
        <v>3</v>
      </c>
      <c r="L88" s="22" t="n">
        <v>0</v>
      </c>
      <c r="M88" s="21" t="s">
        <v>172</v>
      </c>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career level, nationality mandate, capacity direction</v>
      </c>
    </row>
    <row r="89" customFormat="false" ht="15" hidden="false" customHeight="false" outlineLevel="0" collapsed="false">
      <c r="A89" s="21" t="s">
        <v>196</v>
      </c>
      <c r="B89" s="21" t="s">
        <v>95</v>
      </c>
      <c r="C89" s="21" t="s">
        <v>111</v>
      </c>
      <c r="D89" s="21" t="s">
        <v>113</v>
      </c>
      <c r="E89" s="21" t="s">
        <v>117</v>
      </c>
      <c r="F89" s="21" t="s">
        <v>248</v>
      </c>
      <c r="G89" s="21"/>
      <c r="H89" s="21" t="s">
        <v>180</v>
      </c>
      <c r="I89" s="21"/>
      <c r="J89" s="22" t="n">
        <v>1</v>
      </c>
      <c r="K89" s="22" t="n">
        <v>1</v>
      </c>
      <c r="L89" s="22" t="n">
        <v>0</v>
      </c>
      <c r="M89" s="21" t="s">
        <v>172</v>
      </c>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career level, nationality mandate, capacity direction</v>
      </c>
    </row>
    <row r="90" customFormat="false" ht="15" hidden="false" customHeight="false" outlineLevel="0" collapsed="false">
      <c r="A90" s="21" t="s">
        <v>249</v>
      </c>
      <c r="B90" s="21" t="s">
        <v>95</v>
      </c>
      <c r="C90" s="21" t="s">
        <v>111</v>
      </c>
      <c r="D90" s="21" t="s">
        <v>113</v>
      </c>
      <c r="E90" s="21" t="s">
        <v>117</v>
      </c>
      <c r="F90" s="21" t="s">
        <v>242</v>
      </c>
      <c r="G90" s="21"/>
      <c r="H90" s="21" t="s">
        <v>180</v>
      </c>
      <c r="I90" s="21"/>
      <c r="J90" s="22" t="n">
        <v>1</v>
      </c>
      <c r="K90" s="22" t="n">
        <v>1</v>
      </c>
      <c r="L90" s="22" t="n">
        <v>0</v>
      </c>
      <c r="M90" s="21" t="s">
        <v>172</v>
      </c>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career level, nationality mandate, capacity direction</v>
      </c>
    </row>
    <row r="91" customFormat="false" ht="15" hidden="false" customHeight="false" outlineLevel="0" collapsed="false">
      <c r="A91" s="21"/>
      <c r="B91" s="21" t="s">
        <v>95</v>
      </c>
      <c r="C91" s="21" t="s">
        <v>111</v>
      </c>
      <c r="D91" s="21" t="s">
        <v>113</v>
      </c>
      <c r="E91" s="21" t="s">
        <v>117</v>
      </c>
      <c r="F91" s="21" t="s">
        <v>243</v>
      </c>
      <c r="G91" s="21"/>
      <c r="H91" s="21" t="s">
        <v>180</v>
      </c>
      <c r="I91" s="21"/>
      <c r="J91" s="22" t="n">
        <v>2</v>
      </c>
      <c r="K91" s="22" t="n">
        <v>2</v>
      </c>
      <c r="L91" s="22" t="n">
        <v>0</v>
      </c>
      <c r="M91" s="21" t="s">
        <v>172</v>
      </c>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career level, nationality mandate, capacity direction</v>
      </c>
    </row>
    <row r="92" customFormat="false" ht="15" hidden="false" customHeight="false" outlineLevel="0" collapsed="false">
      <c r="A92" s="21" t="s">
        <v>228</v>
      </c>
      <c r="B92" s="21" t="s">
        <v>95</v>
      </c>
      <c r="C92" s="21" t="s">
        <v>111</v>
      </c>
      <c r="D92" s="21" t="s">
        <v>113</v>
      </c>
      <c r="E92" s="21" t="s">
        <v>117</v>
      </c>
      <c r="F92" s="21" t="s">
        <v>246</v>
      </c>
      <c r="G92" s="21"/>
      <c r="H92" s="21" t="s">
        <v>177</v>
      </c>
      <c r="I92" s="21"/>
      <c r="J92" s="22" t="n">
        <v>1</v>
      </c>
      <c r="K92" s="22" t="n">
        <v>0</v>
      </c>
      <c r="L92" s="22" t="n">
        <v>1</v>
      </c>
      <c r="M92" s="21" t="s">
        <v>172</v>
      </c>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career level, nationality mandate, capacity direction</v>
      </c>
    </row>
    <row r="93" customFormat="false" ht="15" hidden="false" customHeight="false" outlineLevel="0" collapsed="false">
      <c r="A93" s="21" t="s">
        <v>250</v>
      </c>
      <c r="B93" s="21" t="s">
        <v>95</v>
      </c>
      <c r="C93" s="21" t="s">
        <v>111</v>
      </c>
      <c r="D93" s="21" t="s">
        <v>119</v>
      </c>
      <c r="E93" s="21"/>
      <c r="F93" s="21" t="s">
        <v>240</v>
      </c>
      <c r="G93" s="21"/>
      <c r="H93" s="21" t="s">
        <v>177</v>
      </c>
      <c r="I93" s="21"/>
      <c r="J93" s="22" t="n">
        <v>1</v>
      </c>
      <c r="K93" s="22" t="n">
        <v>1</v>
      </c>
      <c r="L93" s="22" t="n">
        <v>0</v>
      </c>
      <c r="M93" s="21" t="s">
        <v>172</v>
      </c>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career level, nationality mandate, capacity direction</v>
      </c>
    </row>
    <row r="94" customFormat="false" ht="15" hidden="false" customHeight="false" outlineLevel="0" collapsed="false">
      <c r="A94" s="21" t="s">
        <v>190</v>
      </c>
      <c r="B94" s="21" t="s">
        <v>95</v>
      </c>
      <c r="C94" s="21" t="s">
        <v>111</v>
      </c>
      <c r="D94" s="21" t="s">
        <v>119</v>
      </c>
      <c r="E94" s="21" t="s">
        <v>121</v>
      </c>
      <c r="F94" s="21" t="s">
        <v>247</v>
      </c>
      <c r="G94" s="21"/>
      <c r="H94" s="21" t="s">
        <v>180</v>
      </c>
      <c r="I94" s="21"/>
      <c r="J94" s="22" t="n">
        <v>1</v>
      </c>
      <c r="K94" s="22" t="n">
        <v>1</v>
      </c>
      <c r="L94" s="22" t="n">
        <v>0</v>
      </c>
      <c r="M94" s="21" t="s">
        <v>168</v>
      </c>
      <c r="N94" s="21"/>
      <c r="O94" s="22"/>
      <c r="P94" s="20" t="n">
        <f aca="false">IF($N94="Reduce",N($O94),0)</f>
        <v>0</v>
      </c>
      <c r="Q94" s="23" t="str">
        <f aca="false">IF($F94="","",MID(IF($G94="",", career level","")&amp;IF($I94="",", nationality mandate","")&amp;IF($N94="",", capacity direction","")&amp;IF(N($J94)&lt;=0,", approved HC","")&amp;IF(AND($G94&lt;&gt;"",COUNTIF(CareerLevels,$G94)=0),", a career level that is not on the ladder","")&amp;IF(AND($N94="Reduce",N($O94)&lt;=0),", how many seats Reduce means","")&amp;IF(AND(N($O94)&gt;0,$N94&lt;&gt;"Reduce"),", a number of seats on a row not marked Reduce","")&amp;IF(N($O94)&gt;N($J94),", more seats given up than the row has",""),3,200))</f>
        <v>career level, nationality mandate, capacity direction</v>
      </c>
    </row>
    <row r="95" customFormat="false" ht="15" hidden="false" customHeight="false" outlineLevel="0" collapsed="false">
      <c r="A95" s="21"/>
      <c r="B95" s="21" t="s">
        <v>95</v>
      </c>
      <c r="C95" s="21" t="s">
        <v>111</v>
      </c>
      <c r="D95" s="21" t="s">
        <v>119</v>
      </c>
      <c r="E95" s="21" t="s">
        <v>121</v>
      </c>
      <c r="F95" s="21" t="s">
        <v>241</v>
      </c>
      <c r="G95" s="21"/>
      <c r="H95" s="21" t="s">
        <v>180</v>
      </c>
      <c r="I95" s="21"/>
      <c r="J95" s="22" t="n">
        <v>5</v>
      </c>
      <c r="K95" s="22" t="n">
        <v>2</v>
      </c>
      <c r="L95" s="22" t="n">
        <v>3</v>
      </c>
      <c r="M95" s="21" t="s">
        <v>172</v>
      </c>
      <c r="N95" s="21"/>
      <c r="O95" s="22"/>
      <c r="P95" s="20" t="n">
        <f aca="false">IF($N95="Reduce",N($O95),0)</f>
        <v>0</v>
      </c>
      <c r="Q95" s="23" t="str">
        <f aca="false">IF($F95="","",MID(IF($G95="",", career level","")&amp;IF($I95="",", nationality mandate","")&amp;IF($N95="",", capacity direction","")&amp;IF(N($J95)&lt;=0,", approved HC","")&amp;IF(AND($G95&lt;&gt;"",COUNTIF(CareerLevels,$G95)=0),", a career level that is not on the ladder","")&amp;IF(AND($N95="Reduce",N($O95)&lt;=0),", how many seats Reduce means","")&amp;IF(AND(N($O95)&gt;0,$N95&lt;&gt;"Reduce"),", a number of seats on a row not marked Reduce","")&amp;IF(N($O95)&gt;N($J95),", more seats given up than the row has",""),3,200))</f>
        <v>career level, nationality mandate, capacity direction</v>
      </c>
    </row>
    <row r="96" customFormat="false" ht="15" hidden="false" customHeight="false" outlineLevel="0" collapsed="false">
      <c r="A96" s="21" t="s">
        <v>173</v>
      </c>
      <c r="B96" s="21" t="s">
        <v>95</v>
      </c>
      <c r="C96" s="21" t="s">
        <v>111</v>
      </c>
      <c r="D96" s="21" t="s">
        <v>119</v>
      </c>
      <c r="E96" s="21" t="s">
        <v>121</v>
      </c>
      <c r="F96" s="21" t="s">
        <v>243</v>
      </c>
      <c r="G96" s="21"/>
      <c r="H96" s="21" t="s">
        <v>180</v>
      </c>
      <c r="I96" s="21"/>
      <c r="J96" s="22" t="n">
        <v>1</v>
      </c>
      <c r="K96" s="22" t="n">
        <v>1</v>
      </c>
      <c r="L96" s="22" t="n">
        <v>0</v>
      </c>
      <c r="M96" s="21" t="s">
        <v>172</v>
      </c>
      <c r="N96" s="21"/>
      <c r="O96" s="22"/>
      <c r="P96" s="20" t="n">
        <f aca="false">IF($N96="Reduce",N($O96),0)</f>
        <v>0</v>
      </c>
      <c r="Q96" s="23" t="str">
        <f aca="false">IF($F96="","",MID(IF($G96="",", career level","")&amp;IF($I96="",", nationality mandate","")&amp;IF($N96="",", capacity direction","")&amp;IF(N($J96)&lt;=0,", approved HC","")&amp;IF(AND($G96&lt;&gt;"",COUNTIF(CareerLevels,$G96)=0),", a career level that is not on the ladder","")&amp;IF(AND($N96="Reduce",N($O96)&lt;=0),", how many seats Reduce means","")&amp;IF(AND(N($O96)&gt;0,$N96&lt;&gt;"Reduce"),", a number of seats on a row not marked Reduce","")&amp;IF(N($O96)&gt;N($J96),", more seats given up than the row has",""),3,200))</f>
        <v>career level, nationality mandate, capacity direction</v>
      </c>
    </row>
    <row r="97" customFormat="false" ht="15" hidden="false" customHeight="false" outlineLevel="0" collapsed="false">
      <c r="A97" s="21" t="s">
        <v>228</v>
      </c>
      <c r="B97" s="21" t="s">
        <v>95</v>
      </c>
      <c r="C97" s="21" t="s">
        <v>111</v>
      </c>
      <c r="D97" s="21" t="s">
        <v>119</v>
      </c>
      <c r="E97" s="21" t="s">
        <v>121</v>
      </c>
      <c r="F97" s="21" t="s">
        <v>246</v>
      </c>
      <c r="G97" s="21"/>
      <c r="H97" s="21" t="s">
        <v>177</v>
      </c>
      <c r="I97" s="21"/>
      <c r="J97" s="22" t="n">
        <v>1</v>
      </c>
      <c r="K97" s="22" t="n">
        <v>1</v>
      </c>
      <c r="L97" s="22" t="n">
        <v>0</v>
      </c>
      <c r="M97" s="21" t="s">
        <v>172</v>
      </c>
      <c r="N97" s="21"/>
      <c r="O97" s="22"/>
      <c r="P97" s="20" t="n">
        <f aca="false">IF($N97="Reduce",N($O97),0)</f>
        <v>0</v>
      </c>
      <c r="Q97" s="23" t="str">
        <f aca="false">IF($F97="","",MID(IF($G97="",", career level","")&amp;IF($I97="",", nationality mandate","")&amp;IF($N97="",", capacity direction","")&amp;IF(N($J97)&lt;=0,", approved HC","")&amp;IF(AND($G97&lt;&gt;"",COUNTIF(CareerLevels,$G97)=0),", a career level that is not on the ladder","")&amp;IF(AND($N97="Reduce",N($O97)&lt;=0),", how many seats Reduce means","")&amp;IF(AND(N($O97)&gt;0,$N97&lt;&gt;"Reduce"),", a number of seats on a row not marked Reduce","")&amp;IF(N($O97)&gt;N($J97),", more seats given up than the row has",""),3,200))</f>
        <v>career level, nationality mandate, capacity direction</v>
      </c>
    </row>
    <row r="98" customFormat="false" ht="15" hidden="false" customHeight="false" outlineLevel="0" collapsed="false">
      <c r="A98" s="21" t="s">
        <v>198</v>
      </c>
      <c r="B98" s="21" t="s">
        <v>95</v>
      </c>
      <c r="C98" s="21" t="s">
        <v>111</v>
      </c>
      <c r="D98" s="21" t="s">
        <v>119</v>
      </c>
      <c r="E98" s="21" t="s">
        <v>123</v>
      </c>
      <c r="F98" s="21" t="s">
        <v>247</v>
      </c>
      <c r="G98" s="21"/>
      <c r="H98" s="21" t="s">
        <v>180</v>
      </c>
      <c r="I98" s="21"/>
      <c r="J98" s="22" t="n">
        <v>1</v>
      </c>
      <c r="K98" s="22" t="n">
        <v>1</v>
      </c>
      <c r="L98" s="22" t="n">
        <v>0</v>
      </c>
      <c r="M98" s="21" t="s">
        <v>168</v>
      </c>
      <c r="N98" s="21"/>
      <c r="O98" s="22"/>
      <c r="P98" s="20" t="n">
        <f aca="false">IF($N98="Reduce",N($O98),0)</f>
        <v>0</v>
      </c>
      <c r="Q98" s="23" t="str">
        <f aca="false">IF($F98="","",MID(IF($G98="",", career level","")&amp;IF($I98="",", nationality mandate","")&amp;IF($N98="",", capacity direction","")&amp;IF(N($J98)&lt;=0,", approved HC","")&amp;IF(AND($G98&lt;&gt;"",COUNTIF(CareerLevels,$G98)=0),", a career level that is not on the ladder","")&amp;IF(AND($N98="Reduce",N($O98)&lt;=0),", how many seats Reduce means","")&amp;IF(AND(N($O98)&gt;0,$N98&lt;&gt;"Reduce"),", a number of seats on a row not marked Reduce","")&amp;IF(N($O98)&gt;N($J98),", more seats given up than the row has",""),3,200))</f>
        <v>career level, nationality mandate, capacity direction</v>
      </c>
    </row>
    <row r="99" customFormat="false" ht="15" hidden="false" customHeight="false" outlineLevel="0" collapsed="false">
      <c r="A99" s="21" t="s">
        <v>175</v>
      </c>
      <c r="B99" s="21" t="s">
        <v>95</v>
      </c>
      <c r="C99" s="21" t="s">
        <v>111</v>
      </c>
      <c r="D99" s="21" t="s">
        <v>119</v>
      </c>
      <c r="E99" s="21" t="s">
        <v>123</v>
      </c>
      <c r="F99" s="21" t="s">
        <v>241</v>
      </c>
      <c r="G99" s="21"/>
      <c r="H99" s="21" t="s">
        <v>180</v>
      </c>
      <c r="I99" s="21"/>
      <c r="J99" s="22" t="n">
        <v>1</v>
      </c>
      <c r="K99" s="22" t="n">
        <v>0</v>
      </c>
      <c r="L99" s="22" t="n">
        <v>1</v>
      </c>
      <c r="M99" s="21" t="s">
        <v>168</v>
      </c>
      <c r="N99" s="21"/>
      <c r="O99" s="22"/>
      <c r="P99" s="20" t="n">
        <f aca="false">IF($N99="Reduce",N($O99),0)</f>
        <v>0</v>
      </c>
      <c r="Q99" s="23" t="str">
        <f aca="false">IF($F99="","",MID(IF($G99="",", career level","")&amp;IF($I99="",", nationality mandate","")&amp;IF($N99="",", capacity direction","")&amp;IF(N($J99)&lt;=0,", approved HC","")&amp;IF(AND($G99&lt;&gt;"",COUNTIF(CareerLevels,$G99)=0),", a career level that is not on the ladder","")&amp;IF(AND($N99="Reduce",N($O99)&lt;=0),", how many seats Reduce means","")&amp;IF(AND(N($O99)&gt;0,$N99&lt;&gt;"Reduce"),", a number of seats on a row not marked Reduce","")&amp;IF(N($O99)&gt;N($J99),", more seats given up than the row has",""),3,200))</f>
        <v>career level, nationality mandate, capacity direction</v>
      </c>
    </row>
    <row r="100" customFormat="false" ht="15" hidden="false" customHeight="false" outlineLevel="0" collapsed="false">
      <c r="A100" s="21"/>
      <c r="B100" s="21" t="s">
        <v>95</v>
      </c>
      <c r="C100" s="21" t="s">
        <v>111</v>
      </c>
      <c r="D100" s="21" t="s">
        <v>119</v>
      </c>
      <c r="E100" s="21" t="s">
        <v>123</v>
      </c>
      <c r="F100" s="21" t="s">
        <v>242</v>
      </c>
      <c r="G100" s="21"/>
      <c r="H100" s="21" t="s">
        <v>180</v>
      </c>
      <c r="I100" s="21"/>
      <c r="J100" s="22" t="n">
        <v>2</v>
      </c>
      <c r="K100" s="22" t="n">
        <v>2</v>
      </c>
      <c r="L100" s="22" t="n">
        <v>0</v>
      </c>
      <c r="M100" s="21" t="s">
        <v>172</v>
      </c>
      <c r="N100" s="21"/>
      <c r="O100" s="22"/>
      <c r="P100" s="20" t="n">
        <f aca="false">IF($N100="Reduce",N($O100),0)</f>
        <v>0</v>
      </c>
      <c r="Q100" s="23" t="str">
        <f aca="false">IF($F100="","",MID(IF($G100="",", career level","")&amp;IF($I100="",", nationality mandate","")&amp;IF($N100="",", capacity direction","")&amp;IF(N($J100)&lt;=0,", approved HC","")&amp;IF(AND($G100&lt;&gt;"",COUNTIF(CareerLevels,$G100)=0),", a career level that is not on the ladder","")&amp;IF(AND($N100="Reduce",N($O100)&lt;=0),", how many seats Reduce means","")&amp;IF(AND(N($O100)&gt;0,$N100&lt;&gt;"Reduce"),", a number of seats on a row not marked Reduce","")&amp;IF(N($O100)&gt;N($J100),", more seats given up than the row has",""),3,200))</f>
        <v>career level, nationality mandate, capacity direction</v>
      </c>
    </row>
    <row r="101" customFormat="false" ht="15" hidden="false" customHeight="false" outlineLevel="0" collapsed="false">
      <c r="A101" s="21" t="s">
        <v>251</v>
      </c>
      <c r="B101" s="21" t="s">
        <v>95</v>
      </c>
      <c r="C101" s="21" t="s">
        <v>111</v>
      </c>
      <c r="D101" s="21" t="s">
        <v>119</v>
      </c>
      <c r="E101" s="21" t="s">
        <v>123</v>
      </c>
      <c r="F101" s="21" t="s">
        <v>243</v>
      </c>
      <c r="G101" s="21"/>
      <c r="H101" s="21" t="s">
        <v>180</v>
      </c>
      <c r="I101" s="21"/>
      <c r="J101" s="22" t="n">
        <v>1</v>
      </c>
      <c r="K101" s="22" t="n">
        <v>1</v>
      </c>
      <c r="L101" s="22" t="n">
        <v>0</v>
      </c>
      <c r="M101" s="21" t="s">
        <v>168</v>
      </c>
      <c r="N101" s="21"/>
      <c r="O101" s="22"/>
      <c r="P101" s="20" t="n">
        <f aca="false">IF($N101="Reduce",N($O101),0)</f>
        <v>0</v>
      </c>
      <c r="Q101" s="23" t="str">
        <f aca="false">IF($F101="","",MID(IF($G101="",", career level","")&amp;IF($I101="",", nationality mandate","")&amp;IF($N101="",", capacity direction","")&amp;IF(N($J101)&lt;=0,", approved HC","")&amp;IF(AND($G101&lt;&gt;"",COUNTIF(CareerLevels,$G101)=0),", a career level that is not on the ladder","")&amp;IF(AND($N101="Reduce",N($O101)&lt;=0),", how many seats Reduce means","")&amp;IF(AND(N($O101)&gt;0,$N101&lt;&gt;"Reduce"),", a number of seats on a row not marked Reduce","")&amp;IF(N($O101)&gt;N($J101),", more seats given up than the row has",""),3,200))</f>
        <v>career level, nationality mandate, capacity direction</v>
      </c>
    </row>
    <row r="102" customFormat="false" ht="15" hidden="false" customHeight="false" outlineLevel="0" collapsed="false">
      <c r="A102" s="21" t="s">
        <v>197</v>
      </c>
      <c r="B102" s="21" t="s">
        <v>95</v>
      </c>
      <c r="C102" s="21" t="s">
        <v>111</v>
      </c>
      <c r="D102" s="21" t="s">
        <v>119</v>
      </c>
      <c r="E102" s="21" t="s">
        <v>123</v>
      </c>
      <c r="F102" s="21" t="s">
        <v>243</v>
      </c>
      <c r="G102" s="21"/>
      <c r="H102" s="21" t="s">
        <v>180</v>
      </c>
      <c r="I102" s="21"/>
      <c r="J102" s="22" t="n">
        <v>1</v>
      </c>
      <c r="K102" s="22" t="n">
        <v>0</v>
      </c>
      <c r="L102" s="22" t="n">
        <v>1</v>
      </c>
      <c r="M102" s="21" t="s">
        <v>172</v>
      </c>
      <c r="N102" s="21"/>
      <c r="O102" s="22"/>
      <c r="P102" s="20" t="n">
        <f aca="false">IF($N102="Reduce",N($O102),0)</f>
        <v>0</v>
      </c>
      <c r="Q102" s="23" t="str">
        <f aca="false">IF($F102="","",MID(IF($G102="",", career level","")&amp;IF($I102="",", nationality mandate","")&amp;IF($N102="",", capacity direction","")&amp;IF(N($J102)&lt;=0,", approved HC","")&amp;IF(AND($G102&lt;&gt;"",COUNTIF(CareerLevels,$G102)=0),", a career level that is not on the ladder","")&amp;IF(AND($N102="Reduce",N($O102)&lt;=0),", how many seats Reduce means","")&amp;IF(AND(N($O102)&gt;0,$N102&lt;&gt;"Reduce"),", a number of seats on a row not marked Reduce","")&amp;IF(N($O102)&gt;N($J102),", more seats given up than the row has",""),3,200))</f>
        <v>career level, nationality mandate, capacity direction</v>
      </c>
    </row>
    <row r="103" customFormat="false" ht="15" hidden="false" customHeight="false" outlineLevel="0" collapsed="false">
      <c r="A103" s="21"/>
      <c r="B103" s="21" t="s">
        <v>95</v>
      </c>
      <c r="C103" s="21" t="s">
        <v>111</v>
      </c>
      <c r="D103" s="21" t="s">
        <v>119</v>
      </c>
      <c r="E103" s="21" t="s">
        <v>123</v>
      </c>
      <c r="F103" s="21" t="s">
        <v>244</v>
      </c>
      <c r="G103" s="21"/>
      <c r="H103" s="21" t="s">
        <v>180</v>
      </c>
      <c r="I103" s="21"/>
      <c r="J103" s="22" t="n">
        <v>2</v>
      </c>
      <c r="K103" s="22" t="n">
        <v>1</v>
      </c>
      <c r="L103" s="22" t="n">
        <v>1</v>
      </c>
      <c r="M103" s="21" t="s">
        <v>172</v>
      </c>
      <c r="N103" s="21"/>
      <c r="O103" s="22"/>
      <c r="P103" s="20" t="n">
        <f aca="false">IF($N103="Reduce",N($O103),0)</f>
        <v>0</v>
      </c>
      <c r="Q103" s="23" t="str">
        <f aca="false">IF($F103="","",MID(IF($G103="",", career level","")&amp;IF($I103="",", nationality mandate","")&amp;IF($N103="",", capacity direction","")&amp;IF(N($J103)&lt;=0,", approved HC","")&amp;IF(AND($G103&lt;&gt;"",COUNTIF(CareerLevels,$G103)=0),", a career level that is not on the ladder","")&amp;IF(AND($N103="Reduce",N($O103)&lt;=0),", how many seats Reduce means","")&amp;IF(AND(N($O103)&gt;0,$N103&lt;&gt;"Reduce"),", a number of seats on a row not marked Reduce","")&amp;IF(N($O103)&gt;N($J103),", more seats given up than the row has",""),3,200))</f>
        <v>career level, nationality mandate, capacity direction</v>
      </c>
    </row>
    <row r="104" customFormat="false" ht="15" hidden="false" customHeight="false" outlineLevel="0" collapsed="false">
      <c r="A104" s="21" t="s">
        <v>165</v>
      </c>
      <c r="B104" s="21" t="s">
        <v>95</v>
      </c>
      <c r="C104" s="21" t="s">
        <v>111</v>
      </c>
      <c r="D104" s="21" t="s">
        <v>119</v>
      </c>
      <c r="E104" s="21" t="s">
        <v>123</v>
      </c>
      <c r="F104" s="21" t="s">
        <v>246</v>
      </c>
      <c r="G104" s="21"/>
      <c r="H104" s="21" t="s">
        <v>177</v>
      </c>
      <c r="I104" s="21"/>
      <c r="J104" s="22" t="n">
        <v>1</v>
      </c>
      <c r="K104" s="22" t="n">
        <v>1</v>
      </c>
      <c r="L104" s="22" t="n">
        <v>0</v>
      </c>
      <c r="M104" s="21" t="s">
        <v>172</v>
      </c>
      <c r="N104" s="21"/>
      <c r="O104" s="22"/>
      <c r="P104" s="20" t="n">
        <f aca="false">IF($N104="Reduce",N($O104),0)</f>
        <v>0</v>
      </c>
      <c r="Q104" s="23" t="str">
        <f aca="false">IF($F104="","",MID(IF($G104="",", career level","")&amp;IF($I104="",", nationality mandate","")&amp;IF($N104="",", capacity direction","")&amp;IF(N($J104)&lt;=0,", approved HC","")&amp;IF(AND($G104&lt;&gt;"",COUNTIF(CareerLevels,$G104)=0),", a career level that is not on the ladder","")&amp;IF(AND($N104="Reduce",N($O104)&lt;=0),", how many seats Reduce means","")&amp;IF(AND(N($O104)&gt;0,$N104&lt;&gt;"Reduce"),", a number of seats on a row not marked Reduce","")&amp;IF(N($O104)&gt;N($J104),", more seats given up than the row has",""),3,200))</f>
        <v>career level, nationality mandate, capacity direction</v>
      </c>
    </row>
    <row r="105" customFormat="false" ht="15" hidden="false" customHeight="false" outlineLevel="0" collapsed="false">
      <c r="A105" s="21" t="s">
        <v>181</v>
      </c>
      <c r="B105" s="21" t="s">
        <v>125</v>
      </c>
      <c r="C105" s="21"/>
      <c r="D105" s="21"/>
      <c r="E105" s="21"/>
      <c r="F105" s="21" t="s">
        <v>252</v>
      </c>
      <c r="G105" s="21"/>
      <c r="H105" s="21" t="s">
        <v>171</v>
      </c>
      <c r="I105" s="21"/>
      <c r="J105" s="22" t="n">
        <v>1</v>
      </c>
      <c r="K105" s="22" t="n">
        <v>1</v>
      </c>
      <c r="L105" s="22" t="n">
        <v>0</v>
      </c>
      <c r="M105" s="21" t="s">
        <v>172</v>
      </c>
      <c r="N105" s="21"/>
      <c r="O105" s="22"/>
      <c r="P105" s="20" t="n">
        <f aca="false">IF($N105="Reduce",N($O105),0)</f>
        <v>0</v>
      </c>
      <c r="Q105" s="23" t="str">
        <f aca="false">IF($F105="","",MID(IF($G105="",", career level","")&amp;IF($I105="",", nationality mandate","")&amp;IF($N105="",", capacity direction","")&amp;IF(N($J105)&lt;=0,", approved HC","")&amp;IF(AND($G105&lt;&gt;"",COUNTIF(CareerLevels,$G105)=0),", a career level that is not on the ladder","")&amp;IF(AND($N105="Reduce",N($O105)&lt;=0),", how many seats Reduce means","")&amp;IF(AND(N($O105)&gt;0,$N105&lt;&gt;"Reduce"),", a number of seats on a row not marked Reduce","")&amp;IF(N($O105)&gt;N($J105),", more seats given up than the row has",""),3,200))</f>
        <v>career level, nationality mandate, capacity direction</v>
      </c>
    </row>
    <row r="106" customFormat="false" ht="15" hidden="false" customHeight="false" outlineLevel="0" collapsed="false">
      <c r="A106" s="21" t="s">
        <v>192</v>
      </c>
      <c r="B106" s="21" t="s">
        <v>125</v>
      </c>
      <c r="C106" s="21" t="s">
        <v>127</v>
      </c>
      <c r="D106" s="21"/>
      <c r="E106" s="21"/>
      <c r="F106" s="21" t="s">
        <v>253</v>
      </c>
      <c r="G106" s="21"/>
      <c r="H106" s="21" t="s">
        <v>171</v>
      </c>
      <c r="I106" s="21"/>
      <c r="J106" s="22" t="n">
        <v>1</v>
      </c>
      <c r="K106" s="22" t="n">
        <v>1</v>
      </c>
      <c r="L106" s="22" t="n">
        <v>0</v>
      </c>
      <c r="M106" s="21" t="s">
        <v>172</v>
      </c>
      <c r="N106" s="21"/>
      <c r="O106" s="22"/>
      <c r="P106" s="20" t="n">
        <f aca="false">IF($N106="Reduce",N($O106),0)</f>
        <v>0</v>
      </c>
      <c r="Q106" s="23" t="str">
        <f aca="false">IF($F106="","",MID(IF($G106="",", career level","")&amp;IF($I106="",", nationality mandate","")&amp;IF($N106="",", capacity direction","")&amp;IF(N($J106)&lt;=0,", approved HC","")&amp;IF(AND($G106&lt;&gt;"",COUNTIF(CareerLevels,$G106)=0),", a career level that is not on the ladder","")&amp;IF(AND($N106="Reduce",N($O106)&lt;=0),", how many seats Reduce means","")&amp;IF(AND(N($O106)&gt;0,$N106&lt;&gt;"Reduce"),", a number of seats on a row not marked Reduce","")&amp;IF(N($O106)&gt;N($J106),", more seats given up than the row has",""),3,200))</f>
        <v>career level, nationality mandate, capacity direction</v>
      </c>
    </row>
    <row r="107" customFormat="false" ht="15" hidden="false" customHeight="false" outlineLevel="0" collapsed="false">
      <c r="A107" s="21" t="s">
        <v>245</v>
      </c>
      <c r="B107" s="21" t="s">
        <v>125</v>
      </c>
      <c r="C107" s="21" t="s">
        <v>127</v>
      </c>
      <c r="D107" s="21" t="s">
        <v>129</v>
      </c>
      <c r="E107" s="21"/>
      <c r="F107" s="21" t="s">
        <v>254</v>
      </c>
      <c r="G107" s="21"/>
      <c r="H107" s="21" t="s">
        <v>177</v>
      </c>
      <c r="I107" s="21"/>
      <c r="J107" s="22" t="n">
        <v>1</v>
      </c>
      <c r="K107" s="22" t="n">
        <v>1</v>
      </c>
      <c r="L107" s="22" t="n">
        <v>0</v>
      </c>
      <c r="M107" s="21" t="s">
        <v>172</v>
      </c>
      <c r="N107" s="21"/>
      <c r="O107" s="22"/>
      <c r="P107" s="20" t="n">
        <f aca="false">IF($N107="Reduce",N($O107),0)</f>
        <v>0</v>
      </c>
      <c r="Q107" s="23" t="str">
        <f aca="false">IF($F107="","",MID(IF($G107="",", career level","")&amp;IF($I107="",", nationality mandate","")&amp;IF($N107="",", capacity direction","")&amp;IF(N($J107)&lt;=0,", approved HC","")&amp;IF(AND($G107&lt;&gt;"",COUNTIF(CareerLevels,$G107)=0),", a career level that is not on the ladder","")&amp;IF(AND($N107="Reduce",N($O107)&lt;=0),", how many seats Reduce means","")&amp;IF(AND(N($O107)&gt;0,$N107&lt;&gt;"Reduce"),", a number of seats on a row not marked Reduce","")&amp;IF(N($O107)&gt;N($J107),", more seats given up than the row has",""),3,200))</f>
        <v>career level, nationality mandate, capacity direction</v>
      </c>
    </row>
    <row r="108" customFormat="false" ht="15" hidden="false" customHeight="false" outlineLevel="0" collapsed="false">
      <c r="A108" s="21" t="s">
        <v>238</v>
      </c>
      <c r="B108" s="21" t="s">
        <v>125</v>
      </c>
      <c r="C108" s="21" t="s">
        <v>127</v>
      </c>
      <c r="D108" s="21" t="s">
        <v>129</v>
      </c>
      <c r="E108" s="21" t="s">
        <v>131</v>
      </c>
      <c r="F108" s="21" t="s">
        <v>255</v>
      </c>
      <c r="G108" s="21"/>
      <c r="H108" s="21" t="s">
        <v>180</v>
      </c>
      <c r="I108" s="21"/>
      <c r="J108" s="22" t="n">
        <v>1</v>
      </c>
      <c r="K108" s="22" t="n">
        <v>1</v>
      </c>
      <c r="L108" s="22" t="n">
        <v>0</v>
      </c>
      <c r="M108" s="21" t="s">
        <v>168</v>
      </c>
      <c r="N108" s="21"/>
      <c r="O108" s="22"/>
      <c r="P108" s="20" t="n">
        <f aca="false">IF($N108="Reduce",N($O108),0)</f>
        <v>0</v>
      </c>
      <c r="Q108" s="23" t="str">
        <f aca="false">IF($F108="","",MID(IF($G108="",", career level","")&amp;IF($I108="",", nationality mandate","")&amp;IF($N108="",", capacity direction","")&amp;IF(N($J108)&lt;=0,", approved HC","")&amp;IF(AND($G108&lt;&gt;"",COUNTIF(CareerLevels,$G108)=0),", a career level that is not on the ladder","")&amp;IF(AND($N108="Reduce",N($O108)&lt;=0),", how many seats Reduce means","")&amp;IF(AND(N($O108)&gt;0,$N108&lt;&gt;"Reduce"),", a number of seats on a row not marked Reduce","")&amp;IF(N($O108)&gt;N($J108),", more seats given up than the row has",""),3,200))</f>
        <v>career level, nationality mandate, capacity direction</v>
      </c>
    </row>
    <row r="109" customFormat="false" ht="15" hidden="false" customHeight="false" outlineLevel="0" collapsed="false">
      <c r="A109" s="21" t="s">
        <v>230</v>
      </c>
      <c r="B109" s="21" t="s">
        <v>125</v>
      </c>
      <c r="C109" s="21" t="s">
        <v>127</v>
      </c>
      <c r="D109" s="21" t="s">
        <v>129</v>
      </c>
      <c r="E109" s="21" t="s">
        <v>131</v>
      </c>
      <c r="F109" s="21" t="s">
        <v>255</v>
      </c>
      <c r="G109" s="21"/>
      <c r="H109" s="21" t="s">
        <v>180</v>
      </c>
      <c r="I109" s="21"/>
      <c r="J109" s="22" t="n">
        <v>1</v>
      </c>
      <c r="K109" s="22" t="n">
        <v>1</v>
      </c>
      <c r="L109" s="22" t="n">
        <v>0</v>
      </c>
      <c r="M109" s="21" t="s">
        <v>172</v>
      </c>
      <c r="N109" s="21"/>
      <c r="O109" s="22"/>
      <c r="P109" s="20" t="n">
        <f aca="false">IF($N109="Reduce",N($O109),0)</f>
        <v>0</v>
      </c>
      <c r="Q109" s="23" t="str">
        <f aca="false">IF($F109="","",MID(IF($G109="",", career level","")&amp;IF($I109="",", nationality mandate","")&amp;IF($N109="",", capacity direction","")&amp;IF(N($J109)&lt;=0,", approved HC","")&amp;IF(AND($G109&lt;&gt;"",COUNTIF(CareerLevels,$G109)=0),", a career level that is not on the ladder","")&amp;IF(AND($N109="Reduce",N($O109)&lt;=0),", how many seats Reduce means","")&amp;IF(AND(N($O109)&gt;0,$N109&lt;&gt;"Reduce"),", a number of seats on a row not marked Reduce","")&amp;IF(N($O109)&gt;N($J109),", more seats given up than the row has",""),3,200))</f>
        <v>career level, nationality mandate, capacity direction</v>
      </c>
    </row>
    <row r="110" customFormat="false" ht="15" hidden="false" customHeight="false" outlineLevel="0" collapsed="false">
      <c r="A110" s="21" t="s">
        <v>228</v>
      </c>
      <c r="B110" s="21" t="s">
        <v>125</v>
      </c>
      <c r="C110" s="21" t="s">
        <v>127</v>
      </c>
      <c r="D110" s="21" t="s">
        <v>129</v>
      </c>
      <c r="E110" s="21" t="s">
        <v>131</v>
      </c>
      <c r="F110" s="21" t="s">
        <v>256</v>
      </c>
      <c r="G110" s="21"/>
      <c r="H110" s="21" t="s">
        <v>180</v>
      </c>
      <c r="I110" s="21"/>
      <c r="J110" s="22" t="n">
        <v>1</v>
      </c>
      <c r="K110" s="22" t="n">
        <v>1</v>
      </c>
      <c r="L110" s="22" t="n">
        <v>0</v>
      </c>
      <c r="M110" s="21" t="s">
        <v>172</v>
      </c>
      <c r="N110" s="21"/>
      <c r="O110" s="22"/>
      <c r="P110" s="20" t="n">
        <f aca="false">IF($N110="Reduce",N($O110),0)</f>
        <v>0</v>
      </c>
      <c r="Q110" s="23" t="str">
        <f aca="false">IF($F110="","",MID(IF($G110="",", career level","")&amp;IF($I110="",", nationality mandate","")&amp;IF($N110="",", capacity direction","")&amp;IF(N($J110)&lt;=0,", approved HC","")&amp;IF(AND($G110&lt;&gt;"",COUNTIF(CareerLevels,$G110)=0),", a career level that is not on the ladder","")&amp;IF(AND($N110="Reduce",N($O110)&lt;=0),", how many seats Reduce means","")&amp;IF(AND(N($O110)&gt;0,$N110&lt;&gt;"Reduce"),", a number of seats on a row not marked Reduce","")&amp;IF(N($O110)&gt;N($J110),", more seats given up than the row has",""),3,200))</f>
        <v>career level, nationality mandate, capacity direction</v>
      </c>
    </row>
    <row r="111" customFormat="false" ht="15" hidden="false" customHeight="false" outlineLevel="0" collapsed="false">
      <c r="A111" s="21" t="s">
        <v>199</v>
      </c>
      <c r="B111" s="21" t="s">
        <v>125</v>
      </c>
      <c r="C111" s="21" t="s">
        <v>127</v>
      </c>
      <c r="D111" s="21" t="s">
        <v>129</v>
      </c>
      <c r="E111" s="21" t="s">
        <v>131</v>
      </c>
      <c r="F111" s="21" t="s">
        <v>257</v>
      </c>
      <c r="G111" s="21"/>
      <c r="H111" s="21" t="s">
        <v>180</v>
      </c>
      <c r="I111" s="21"/>
      <c r="J111" s="22" t="n">
        <v>1</v>
      </c>
      <c r="K111" s="22" t="n">
        <v>1</v>
      </c>
      <c r="L111" s="22" t="n">
        <v>0</v>
      </c>
      <c r="M111" s="21" t="s">
        <v>172</v>
      </c>
      <c r="N111" s="21"/>
      <c r="O111" s="22"/>
      <c r="P111" s="20" t="n">
        <f aca="false">IF($N111="Reduce",N($O111),0)</f>
        <v>0</v>
      </c>
      <c r="Q111" s="23" t="str">
        <f aca="false">IF($F111="","",MID(IF($G111="",", career level","")&amp;IF($I111="",", nationality mandate","")&amp;IF($N111="",", capacity direction","")&amp;IF(N($J111)&lt;=0,", approved HC","")&amp;IF(AND($G111&lt;&gt;"",COUNTIF(CareerLevels,$G111)=0),", a career level that is not on the ladder","")&amp;IF(AND($N111="Reduce",N($O111)&lt;=0),", how many seats Reduce means","")&amp;IF(AND(N($O111)&gt;0,$N111&lt;&gt;"Reduce"),", a number of seats on a row not marked Reduce","")&amp;IF(N($O111)&gt;N($J111),", more seats given up than the row has",""),3,200))</f>
        <v>career level, nationality mandate, capacity direction</v>
      </c>
    </row>
    <row r="112" customFormat="false" ht="15" hidden="false" customHeight="false" outlineLevel="0" collapsed="false">
      <c r="A112" s="21" t="s">
        <v>194</v>
      </c>
      <c r="B112" s="21" t="s">
        <v>125</v>
      </c>
      <c r="C112" s="21" t="s">
        <v>127</v>
      </c>
      <c r="D112" s="21" t="s">
        <v>129</v>
      </c>
      <c r="E112" s="21" t="s">
        <v>131</v>
      </c>
      <c r="F112" s="21" t="s">
        <v>258</v>
      </c>
      <c r="G112" s="21"/>
      <c r="H112" s="21" t="s">
        <v>180</v>
      </c>
      <c r="I112" s="21"/>
      <c r="J112" s="22" t="n">
        <v>1</v>
      </c>
      <c r="K112" s="22" t="n">
        <v>1</v>
      </c>
      <c r="L112" s="22" t="n">
        <v>0</v>
      </c>
      <c r="M112" s="21" t="s">
        <v>172</v>
      </c>
      <c r="N112" s="21"/>
      <c r="O112" s="22"/>
      <c r="P112" s="20" t="n">
        <f aca="false">IF($N112="Reduce",N($O112),0)</f>
        <v>0</v>
      </c>
      <c r="Q112" s="23" t="str">
        <f aca="false">IF($F112="","",MID(IF($G112="",", career level","")&amp;IF($I112="",", nationality mandate","")&amp;IF($N112="",", capacity direction","")&amp;IF(N($J112)&lt;=0,", approved HC","")&amp;IF(AND($G112&lt;&gt;"",COUNTIF(CareerLevels,$G112)=0),", a career level that is not on the ladder","")&amp;IF(AND($N112="Reduce",N($O112)&lt;=0),", how many seats Reduce means","")&amp;IF(AND(N($O112)&gt;0,$N112&lt;&gt;"Reduce"),", a number of seats on a row not marked Reduce","")&amp;IF(N($O112)&gt;N($J112),", more seats given up than the row has",""),3,200))</f>
        <v>career level, nationality mandate, capacity direction</v>
      </c>
    </row>
    <row r="113" customFormat="false" ht="15" hidden="false" customHeight="false" outlineLevel="0" collapsed="false">
      <c r="A113" s="21" t="s">
        <v>181</v>
      </c>
      <c r="B113" s="21" t="s">
        <v>125</v>
      </c>
      <c r="C113" s="21" t="s">
        <v>127</v>
      </c>
      <c r="D113" s="21" t="s">
        <v>129</v>
      </c>
      <c r="E113" s="21" t="s">
        <v>131</v>
      </c>
      <c r="F113" s="21" t="s">
        <v>259</v>
      </c>
      <c r="G113" s="21"/>
      <c r="H113" s="21" t="s">
        <v>177</v>
      </c>
      <c r="I113" s="21"/>
      <c r="J113" s="22" t="n">
        <v>1</v>
      </c>
      <c r="K113" s="22" t="n">
        <v>1</v>
      </c>
      <c r="L113" s="22" t="n">
        <v>0</v>
      </c>
      <c r="M113" s="21" t="s">
        <v>172</v>
      </c>
      <c r="N113" s="21"/>
      <c r="O113" s="22"/>
      <c r="P113" s="20" t="n">
        <f aca="false">IF($N113="Reduce",N($O113),0)</f>
        <v>0</v>
      </c>
      <c r="Q113" s="23" t="str">
        <f aca="false">IF($F113="","",MID(IF($G113="",", career level","")&amp;IF($I113="",", nationality mandate","")&amp;IF($N113="",", capacity direction","")&amp;IF(N($J113)&lt;=0,", approved HC","")&amp;IF(AND($G113&lt;&gt;"",COUNTIF(CareerLevels,$G113)=0),", a career level that is not on the ladder","")&amp;IF(AND($N113="Reduce",N($O113)&lt;=0),", how many seats Reduce means","")&amp;IF(AND(N($O113)&gt;0,$N113&lt;&gt;"Reduce"),", a number of seats on a row not marked Reduce","")&amp;IF(N($O113)&gt;N($J113),", more seats given up than the row has",""),3,200))</f>
        <v>career level, nationality mandate, capacity direction</v>
      </c>
    </row>
    <row r="114" customFormat="false" ht="15" hidden="false" customHeight="false" outlineLevel="0" collapsed="false">
      <c r="A114" s="21"/>
      <c r="B114" s="21" t="s">
        <v>125</v>
      </c>
      <c r="C114" s="21" t="s">
        <v>127</v>
      </c>
      <c r="D114" s="21" t="s">
        <v>129</v>
      </c>
      <c r="E114" s="21" t="s">
        <v>133</v>
      </c>
      <c r="F114" s="21" t="s">
        <v>260</v>
      </c>
      <c r="G114" s="21"/>
      <c r="H114" s="21" t="s">
        <v>180</v>
      </c>
      <c r="I114" s="21"/>
      <c r="J114" s="22" t="n">
        <v>4</v>
      </c>
      <c r="K114" s="22" t="n">
        <v>4</v>
      </c>
      <c r="L114" s="22" t="n">
        <v>0</v>
      </c>
      <c r="M114" s="21" t="s">
        <v>172</v>
      </c>
      <c r="N114" s="21"/>
      <c r="O114" s="22"/>
      <c r="P114" s="20" t="n">
        <f aca="false">IF($N114="Reduce",N($O114),0)</f>
        <v>0</v>
      </c>
      <c r="Q114" s="23" t="str">
        <f aca="false">IF($F114="","",MID(IF($G114="",", career level","")&amp;IF($I114="",", nationality mandate","")&amp;IF($N114="",", capacity direction","")&amp;IF(N($J114)&lt;=0,", approved HC","")&amp;IF(AND($G114&lt;&gt;"",COUNTIF(CareerLevels,$G114)=0),", a career level that is not on the ladder","")&amp;IF(AND($N114="Reduce",N($O114)&lt;=0),", how many seats Reduce means","")&amp;IF(AND(N($O114)&gt;0,$N114&lt;&gt;"Reduce"),", a number of seats on a row not marked Reduce","")&amp;IF(N($O114)&gt;N($J114),", more seats given up than the row has",""),3,200))</f>
        <v>career level, nationality mandate, capacity direction</v>
      </c>
    </row>
    <row r="115" customFormat="false" ht="15" hidden="false" customHeight="false" outlineLevel="0" collapsed="false">
      <c r="A115" s="21" t="s">
        <v>200</v>
      </c>
      <c r="B115" s="21" t="s">
        <v>125</v>
      </c>
      <c r="C115" s="21" t="s">
        <v>127</v>
      </c>
      <c r="D115" s="21" t="s">
        <v>129</v>
      </c>
      <c r="E115" s="21" t="s">
        <v>133</v>
      </c>
      <c r="F115" s="21" t="s">
        <v>255</v>
      </c>
      <c r="G115" s="21"/>
      <c r="H115" s="21" t="s">
        <v>180</v>
      </c>
      <c r="I115" s="21"/>
      <c r="J115" s="22" t="n">
        <v>1</v>
      </c>
      <c r="K115" s="22" t="n">
        <v>1</v>
      </c>
      <c r="L115" s="22" t="n">
        <v>0</v>
      </c>
      <c r="M115" s="21" t="s">
        <v>172</v>
      </c>
      <c r="N115" s="21"/>
      <c r="O115" s="22"/>
      <c r="P115" s="20" t="n">
        <f aca="false">IF($N115="Reduce",N($O115),0)</f>
        <v>0</v>
      </c>
      <c r="Q115" s="23" t="str">
        <f aca="false">IF($F115="","",MID(IF($G115="",", career level","")&amp;IF($I115="",", nationality mandate","")&amp;IF($N115="",", capacity direction","")&amp;IF(N($J115)&lt;=0,", approved HC","")&amp;IF(AND($G115&lt;&gt;"",COUNTIF(CareerLevels,$G115)=0),", a career level that is not on the ladder","")&amp;IF(AND($N115="Reduce",N($O115)&lt;=0),", how many seats Reduce means","")&amp;IF(AND(N($O115)&gt;0,$N115&lt;&gt;"Reduce"),", a number of seats on a row not marked Reduce","")&amp;IF(N($O115)&gt;N($J115),", more seats given up than the row has",""),3,200))</f>
        <v>career level, nationality mandate, capacity direction</v>
      </c>
    </row>
    <row r="116" customFormat="false" ht="15" hidden="false" customHeight="false" outlineLevel="0" collapsed="false">
      <c r="A116" s="21" t="s">
        <v>250</v>
      </c>
      <c r="B116" s="21" t="s">
        <v>125</v>
      </c>
      <c r="C116" s="21" t="s">
        <v>127</v>
      </c>
      <c r="D116" s="21" t="s">
        <v>129</v>
      </c>
      <c r="E116" s="21" t="s">
        <v>133</v>
      </c>
      <c r="F116" s="21" t="s">
        <v>256</v>
      </c>
      <c r="G116" s="21"/>
      <c r="H116" s="21" t="s">
        <v>180</v>
      </c>
      <c r="I116" s="21"/>
      <c r="J116" s="22" t="n">
        <v>1</v>
      </c>
      <c r="K116" s="22" t="n">
        <v>0</v>
      </c>
      <c r="L116" s="22" t="n">
        <v>1</v>
      </c>
      <c r="M116" s="21" t="s">
        <v>172</v>
      </c>
      <c r="N116" s="21"/>
      <c r="O116" s="22"/>
      <c r="P116" s="20" t="n">
        <f aca="false">IF($N116="Reduce",N($O116),0)</f>
        <v>0</v>
      </c>
      <c r="Q116" s="23" t="str">
        <f aca="false">IF($F116="","",MID(IF($G116="",", career level","")&amp;IF($I116="",", nationality mandate","")&amp;IF($N116="",", capacity direction","")&amp;IF(N($J116)&lt;=0,", approved HC","")&amp;IF(AND($G116&lt;&gt;"",COUNTIF(CareerLevels,$G116)=0),", a career level that is not on the ladder","")&amp;IF(AND($N116="Reduce",N($O116)&lt;=0),", how many seats Reduce means","")&amp;IF(AND(N($O116)&gt;0,$N116&lt;&gt;"Reduce"),", a number of seats on a row not marked Reduce","")&amp;IF(N($O116)&gt;N($J116),", more seats given up than the row has",""),3,200))</f>
        <v>career level, nationality mandate, capacity direction</v>
      </c>
    </row>
    <row r="117" customFormat="false" ht="15" hidden="false" customHeight="false" outlineLevel="0" collapsed="false">
      <c r="A117" s="21" t="s">
        <v>196</v>
      </c>
      <c r="B117" s="21" t="s">
        <v>125</v>
      </c>
      <c r="C117" s="21" t="s">
        <v>127</v>
      </c>
      <c r="D117" s="21" t="s">
        <v>129</v>
      </c>
      <c r="E117" s="21" t="s">
        <v>133</v>
      </c>
      <c r="F117" s="21" t="s">
        <v>257</v>
      </c>
      <c r="G117" s="21"/>
      <c r="H117" s="21" t="s">
        <v>180</v>
      </c>
      <c r="I117" s="21"/>
      <c r="J117" s="22" t="n">
        <v>1</v>
      </c>
      <c r="K117" s="22" t="n">
        <v>1</v>
      </c>
      <c r="L117" s="22" t="n">
        <v>0</v>
      </c>
      <c r="M117" s="21" t="s">
        <v>172</v>
      </c>
      <c r="N117" s="21"/>
      <c r="O117" s="22"/>
      <c r="P117" s="20" t="n">
        <f aca="false">IF($N117="Reduce",N($O117),0)</f>
        <v>0</v>
      </c>
      <c r="Q117" s="23" t="str">
        <f aca="false">IF($F117="","",MID(IF($G117="",", career level","")&amp;IF($I117="",", nationality mandate","")&amp;IF($N117="",", capacity direction","")&amp;IF(N($J117)&lt;=0,", approved HC","")&amp;IF(AND($G117&lt;&gt;"",COUNTIF(CareerLevels,$G117)=0),", a career level that is not on the ladder","")&amp;IF(AND($N117="Reduce",N($O117)&lt;=0),", how many seats Reduce means","")&amp;IF(AND(N($O117)&gt;0,$N117&lt;&gt;"Reduce"),", a number of seats on a row not marked Reduce","")&amp;IF(N($O117)&gt;N($J117),", more seats given up than the row has",""),3,200))</f>
        <v>career level, nationality mandate, capacity direction</v>
      </c>
    </row>
    <row r="118" customFormat="false" ht="15" hidden="false" customHeight="false" outlineLevel="0" collapsed="false">
      <c r="A118" s="21" t="s">
        <v>197</v>
      </c>
      <c r="B118" s="21" t="s">
        <v>125</v>
      </c>
      <c r="C118" s="21" t="s">
        <v>127</v>
      </c>
      <c r="D118" s="21" t="s">
        <v>129</v>
      </c>
      <c r="E118" s="21" t="s">
        <v>133</v>
      </c>
      <c r="F118" s="21" t="s">
        <v>259</v>
      </c>
      <c r="G118" s="21"/>
      <c r="H118" s="21" t="s">
        <v>177</v>
      </c>
      <c r="I118" s="21"/>
      <c r="J118" s="22" t="n">
        <v>1</v>
      </c>
      <c r="K118" s="22" t="n">
        <v>1</v>
      </c>
      <c r="L118" s="22" t="n">
        <v>0</v>
      </c>
      <c r="M118" s="21" t="s">
        <v>172</v>
      </c>
      <c r="N118" s="21"/>
      <c r="O118" s="22"/>
      <c r="P118" s="20" t="n">
        <f aca="false">IF($N118="Reduce",N($O118),0)</f>
        <v>0</v>
      </c>
      <c r="Q118" s="23" t="str">
        <f aca="false">IF($F118="","",MID(IF($G118="",", career level","")&amp;IF($I118="",", nationality mandate","")&amp;IF($N118="",", capacity direction","")&amp;IF(N($J118)&lt;=0,", approved HC","")&amp;IF(AND($G118&lt;&gt;"",COUNTIF(CareerLevels,$G118)=0),", a career level that is not on the ladder","")&amp;IF(AND($N118="Reduce",N($O118)&lt;=0),", how many seats Reduce means","")&amp;IF(AND(N($O118)&gt;0,$N118&lt;&gt;"Reduce"),", a number of seats on a row not marked Reduce","")&amp;IF(N($O118)&gt;N($J118),", more seats given up than the row has",""),3,200))</f>
        <v>career level, nationality mandate, capacity direction</v>
      </c>
    </row>
    <row r="119" customFormat="false" ht="15" hidden="false" customHeight="false" outlineLevel="0" collapsed="false">
      <c r="A119" s="21" t="s">
        <v>216</v>
      </c>
      <c r="B119" s="21" t="s">
        <v>125</v>
      </c>
      <c r="C119" s="21" t="s">
        <v>127</v>
      </c>
      <c r="D119" s="21" t="s">
        <v>135</v>
      </c>
      <c r="E119" s="21"/>
      <c r="F119" s="21" t="s">
        <v>254</v>
      </c>
      <c r="G119" s="21"/>
      <c r="H119" s="21" t="s">
        <v>177</v>
      </c>
      <c r="I119" s="21"/>
      <c r="J119" s="22" t="n">
        <v>1</v>
      </c>
      <c r="K119" s="22" t="n">
        <v>1</v>
      </c>
      <c r="L119" s="22" t="n">
        <v>0</v>
      </c>
      <c r="M119" s="21" t="s">
        <v>172</v>
      </c>
      <c r="N119" s="21"/>
      <c r="O119" s="22"/>
      <c r="P119" s="20" t="n">
        <f aca="false">IF($N119="Reduce",N($O119),0)</f>
        <v>0</v>
      </c>
      <c r="Q119" s="23" t="str">
        <f aca="false">IF($F119="","",MID(IF($G119="",", career level","")&amp;IF($I119="",", nationality mandate","")&amp;IF($N119="",", capacity direction","")&amp;IF(N($J119)&lt;=0,", approved HC","")&amp;IF(AND($G119&lt;&gt;"",COUNTIF(CareerLevels,$G119)=0),", a career level that is not on the ladder","")&amp;IF(AND($N119="Reduce",N($O119)&lt;=0),", how many seats Reduce means","")&amp;IF(AND(N($O119)&gt;0,$N119&lt;&gt;"Reduce"),", a number of seats on a row not marked Reduce","")&amp;IF(N($O119)&gt;N($J119),", more seats given up than the row has",""),3,200))</f>
        <v>career level, nationality mandate, capacity direction</v>
      </c>
    </row>
    <row r="120" customFormat="false" ht="15" hidden="false" customHeight="false" outlineLevel="0" collapsed="false">
      <c r="A120" s="21"/>
      <c r="B120" s="21" t="s">
        <v>125</v>
      </c>
      <c r="C120" s="21" t="s">
        <v>127</v>
      </c>
      <c r="D120" s="21" t="s">
        <v>135</v>
      </c>
      <c r="E120" s="21" t="s">
        <v>137</v>
      </c>
      <c r="F120" s="21" t="s">
        <v>260</v>
      </c>
      <c r="G120" s="21"/>
      <c r="H120" s="21" t="s">
        <v>180</v>
      </c>
      <c r="I120" s="21"/>
      <c r="J120" s="22" t="n">
        <v>2</v>
      </c>
      <c r="K120" s="22" t="n">
        <v>1</v>
      </c>
      <c r="L120" s="22" t="n">
        <v>1</v>
      </c>
      <c r="M120" s="21" t="s">
        <v>172</v>
      </c>
      <c r="N120" s="21"/>
      <c r="O120" s="22"/>
      <c r="P120" s="20" t="n">
        <f aca="false">IF($N120="Reduce",N($O120),0)</f>
        <v>0</v>
      </c>
      <c r="Q120" s="23" t="str">
        <f aca="false">IF($F120="","",MID(IF($G120="",", career level","")&amp;IF($I120="",", nationality mandate","")&amp;IF($N120="",", capacity direction","")&amp;IF(N($J120)&lt;=0,", approved HC","")&amp;IF(AND($G120&lt;&gt;"",COUNTIF(CareerLevels,$G120)=0),", a career level that is not on the ladder","")&amp;IF(AND($N120="Reduce",N($O120)&lt;=0),", how many seats Reduce means","")&amp;IF(AND(N($O120)&gt;0,$N120&lt;&gt;"Reduce"),", a number of seats on a row not marked Reduce","")&amp;IF(N($O120)&gt;N($J120),", more seats given up than the row has",""),3,200))</f>
        <v>career level, nationality mandate, capacity direction</v>
      </c>
    </row>
    <row r="121" customFormat="false" ht="15" hidden="false" customHeight="false" outlineLevel="0" collapsed="false">
      <c r="A121" s="21" t="s">
        <v>234</v>
      </c>
      <c r="B121" s="21" t="s">
        <v>125</v>
      </c>
      <c r="C121" s="21" t="s">
        <v>127</v>
      </c>
      <c r="D121" s="21" t="s">
        <v>135</v>
      </c>
      <c r="E121" s="21" t="s">
        <v>137</v>
      </c>
      <c r="F121" s="21" t="s">
        <v>256</v>
      </c>
      <c r="G121" s="21"/>
      <c r="H121" s="21" t="s">
        <v>180</v>
      </c>
      <c r="I121" s="21"/>
      <c r="J121" s="22" t="n">
        <v>1</v>
      </c>
      <c r="K121" s="22" t="n">
        <v>1</v>
      </c>
      <c r="L121" s="22" t="n">
        <v>0</v>
      </c>
      <c r="M121" s="21" t="s">
        <v>172</v>
      </c>
      <c r="N121" s="21"/>
      <c r="O121" s="22"/>
      <c r="P121" s="20" t="n">
        <f aca="false">IF($N121="Reduce",N($O121),0)</f>
        <v>0</v>
      </c>
      <c r="Q121" s="23" t="str">
        <f aca="false">IF($F121="","",MID(IF($G121="",", career level","")&amp;IF($I121="",", nationality mandate","")&amp;IF($N121="",", capacity direction","")&amp;IF(N($J121)&lt;=0,", approved HC","")&amp;IF(AND($G121&lt;&gt;"",COUNTIF(CareerLevels,$G121)=0),", a career level that is not on the ladder","")&amp;IF(AND($N121="Reduce",N($O121)&lt;=0),", how many seats Reduce means","")&amp;IF(AND(N($O121)&gt;0,$N121&lt;&gt;"Reduce"),", a number of seats on a row not marked Reduce","")&amp;IF(N($O121)&gt;N($J121),", more seats given up than the row has",""),3,200))</f>
        <v>career level, nationality mandate, capacity direction</v>
      </c>
    </row>
    <row r="122" customFormat="false" ht="15" hidden="false" customHeight="false" outlineLevel="0" collapsed="false">
      <c r="A122" s="21" t="s">
        <v>187</v>
      </c>
      <c r="B122" s="21" t="s">
        <v>125</v>
      </c>
      <c r="C122" s="21" t="s">
        <v>127</v>
      </c>
      <c r="D122" s="21" t="s">
        <v>135</v>
      </c>
      <c r="E122" s="21" t="s">
        <v>137</v>
      </c>
      <c r="F122" s="21" t="s">
        <v>257</v>
      </c>
      <c r="G122" s="21"/>
      <c r="H122" s="21" t="s">
        <v>180</v>
      </c>
      <c r="I122" s="21"/>
      <c r="J122" s="22" t="n">
        <v>1</v>
      </c>
      <c r="K122" s="22" t="n">
        <v>1</v>
      </c>
      <c r="L122" s="22" t="n">
        <v>0</v>
      </c>
      <c r="M122" s="21" t="s">
        <v>172</v>
      </c>
      <c r="N122" s="21"/>
      <c r="O122" s="22"/>
      <c r="P122" s="20" t="n">
        <f aca="false">IF($N122="Reduce",N($O122),0)</f>
        <v>0</v>
      </c>
      <c r="Q122" s="23" t="str">
        <f aca="false">IF($F122="","",MID(IF($G122="",", career level","")&amp;IF($I122="",", nationality mandate","")&amp;IF($N122="",", capacity direction","")&amp;IF(N($J122)&lt;=0,", approved HC","")&amp;IF(AND($G122&lt;&gt;"",COUNTIF(CareerLevels,$G122)=0),", a career level that is not on the ladder","")&amp;IF(AND($N122="Reduce",N($O122)&lt;=0),", how many seats Reduce means","")&amp;IF(AND(N($O122)&gt;0,$N122&lt;&gt;"Reduce"),", a number of seats on a row not marked Reduce","")&amp;IF(N($O122)&gt;N($J122),", more seats given up than the row has",""),3,200))</f>
        <v>career level, nationality mandate, capacity direction</v>
      </c>
    </row>
    <row r="123" customFormat="false" ht="15" hidden="false" customHeight="false" outlineLevel="0" collapsed="false">
      <c r="A123" s="21"/>
      <c r="B123" s="21" t="s">
        <v>125</v>
      </c>
      <c r="C123" s="21" t="s">
        <v>127</v>
      </c>
      <c r="D123" s="21" t="s">
        <v>135</v>
      </c>
      <c r="E123" s="21" t="s">
        <v>137</v>
      </c>
      <c r="F123" s="21" t="s">
        <v>261</v>
      </c>
      <c r="G123" s="21"/>
      <c r="H123" s="21" t="s">
        <v>180</v>
      </c>
      <c r="I123" s="21"/>
      <c r="J123" s="22" t="n">
        <v>3</v>
      </c>
      <c r="K123" s="22" t="n">
        <v>2</v>
      </c>
      <c r="L123" s="22" t="n">
        <v>1</v>
      </c>
      <c r="M123" s="21" t="s">
        <v>172</v>
      </c>
      <c r="N123" s="21"/>
      <c r="O123" s="22"/>
      <c r="P123" s="20" t="n">
        <f aca="false">IF($N123="Reduce",N($O123),0)</f>
        <v>0</v>
      </c>
      <c r="Q123" s="23" t="str">
        <f aca="false">IF($F123="","",MID(IF($G123="",", career level","")&amp;IF($I123="",", nationality mandate","")&amp;IF($N123="",", capacity direction","")&amp;IF(N($J123)&lt;=0,", approved HC","")&amp;IF(AND($G123&lt;&gt;"",COUNTIF(CareerLevels,$G123)=0),", a career level that is not on the ladder","")&amp;IF(AND($N123="Reduce",N($O123)&lt;=0),", how many seats Reduce means","")&amp;IF(AND(N($O123)&gt;0,$N123&lt;&gt;"Reduce"),", a number of seats on a row not marked Reduce","")&amp;IF(N($O123)&gt;N($J123),", more seats given up than the row has",""),3,200))</f>
        <v>career level, nationality mandate, capacity direction</v>
      </c>
    </row>
    <row r="124" customFormat="false" ht="15" hidden="false" customHeight="false" outlineLevel="0" collapsed="false">
      <c r="A124" s="21" t="s">
        <v>262</v>
      </c>
      <c r="B124" s="21" t="s">
        <v>125</v>
      </c>
      <c r="C124" s="21" t="s">
        <v>127</v>
      </c>
      <c r="D124" s="21" t="s">
        <v>135</v>
      </c>
      <c r="E124" s="21" t="s">
        <v>137</v>
      </c>
      <c r="F124" s="21" t="s">
        <v>259</v>
      </c>
      <c r="G124" s="21"/>
      <c r="H124" s="21" t="s">
        <v>177</v>
      </c>
      <c r="I124" s="21"/>
      <c r="J124" s="22" t="n">
        <v>1</v>
      </c>
      <c r="K124" s="22" t="n">
        <v>1</v>
      </c>
      <c r="L124" s="22" t="n">
        <v>0</v>
      </c>
      <c r="M124" s="21" t="s">
        <v>172</v>
      </c>
      <c r="N124" s="21"/>
      <c r="O124" s="22"/>
      <c r="P124" s="20" t="n">
        <f aca="false">IF($N124="Reduce",N($O124),0)</f>
        <v>0</v>
      </c>
      <c r="Q124" s="23" t="str">
        <f aca="false">IF($F124="","",MID(IF($G124="",", career level","")&amp;IF($I124="",", nationality mandate","")&amp;IF($N124="",", capacity direction","")&amp;IF(N($J124)&lt;=0,", approved HC","")&amp;IF(AND($G124&lt;&gt;"",COUNTIF(CareerLevels,$G124)=0),", a career level that is not on the ladder","")&amp;IF(AND($N124="Reduce",N($O124)&lt;=0),", how many seats Reduce means","")&amp;IF(AND(N($O124)&gt;0,$N124&lt;&gt;"Reduce"),", a number of seats on a row not marked Reduce","")&amp;IF(N($O124)&gt;N($J124),", more seats given up than the row has",""),3,200))</f>
        <v>career level, nationality mandate, capacity direction</v>
      </c>
    </row>
    <row r="125" customFormat="false" ht="15" hidden="false" customHeight="false" outlineLevel="0" collapsed="false">
      <c r="A125" s="21" t="s">
        <v>190</v>
      </c>
      <c r="B125" s="21" t="s">
        <v>125</v>
      </c>
      <c r="C125" s="21" t="s">
        <v>127</v>
      </c>
      <c r="D125" s="21" t="s">
        <v>135</v>
      </c>
      <c r="E125" s="21" t="s">
        <v>139</v>
      </c>
      <c r="F125" s="21" t="s">
        <v>260</v>
      </c>
      <c r="G125" s="21"/>
      <c r="H125" s="21" t="s">
        <v>180</v>
      </c>
      <c r="I125" s="21"/>
      <c r="J125" s="22" t="n">
        <v>1</v>
      </c>
      <c r="K125" s="22" t="n">
        <v>1</v>
      </c>
      <c r="L125" s="22" t="n">
        <v>0</v>
      </c>
      <c r="M125" s="21" t="s">
        <v>172</v>
      </c>
      <c r="N125" s="21"/>
      <c r="O125" s="22"/>
      <c r="P125" s="20" t="n">
        <f aca="false">IF($N125="Reduce",N($O125),0)</f>
        <v>0</v>
      </c>
      <c r="Q125" s="23" t="str">
        <f aca="false">IF($F125="","",MID(IF($G125="",", career level","")&amp;IF($I125="",", nationality mandate","")&amp;IF($N125="",", capacity direction","")&amp;IF(N($J125)&lt;=0,", approved HC","")&amp;IF(AND($G125&lt;&gt;"",COUNTIF(CareerLevels,$G125)=0),", a career level that is not on the ladder","")&amp;IF(AND($N125="Reduce",N($O125)&lt;=0),", how many seats Reduce means","")&amp;IF(AND(N($O125)&gt;0,$N125&lt;&gt;"Reduce"),", a number of seats on a row not marked Reduce","")&amp;IF(N($O125)&gt;N($J125),", more seats given up than the row has",""),3,200))</f>
        <v>career level, nationality mandate, capacity direction</v>
      </c>
    </row>
    <row r="126" customFormat="false" ht="15" hidden="false" customHeight="false" outlineLevel="0" collapsed="false">
      <c r="A126" s="21" t="s">
        <v>192</v>
      </c>
      <c r="B126" s="21" t="s">
        <v>125</v>
      </c>
      <c r="C126" s="21" t="s">
        <v>127</v>
      </c>
      <c r="D126" s="21" t="s">
        <v>135</v>
      </c>
      <c r="E126" s="21" t="s">
        <v>139</v>
      </c>
      <c r="F126" s="21" t="s">
        <v>255</v>
      </c>
      <c r="G126" s="21"/>
      <c r="H126" s="21" t="s">
        <v>180</v>
      </c>
      <c r="I126" s="21"/>
      <c r="J126" s="22" t="n">
        <v>1</v>
      </c>
      <c r="K126" s="22" t="n">
        <v>1</v>
      </c>
      <c r="L126" s="22" t="n">
        <v>0</v>
      </c>
      <c r="M126" s="21" t="s">
        <v>172</v>
      </c>
      <c r="N126" s="21"/>
      <c r="O126" s="22"/>
      <c r="P126" s="20" t="n">
        <f aca="false">IF($N126="Reduce",N($O126),0)</f>
        <v>0</v>
      </c>
      <c r="Q126" s="23" t="str">
        <f aca="false">IF($F126="","",MID(IF($G126="",", career level","")&amp;IF($I126="",", nationality mandate","")&amp;IF($N126="",", capacity direction","")&amp;IF(N($J126)&lt;=0,", approved HC","")&amp;IF(AND($G126&lt;&gt;"",COUNTIF(CareerLevels,$G126)=0),", a career level that is not on the ladder","")&amp;IF(AND($N126="Reduce",N($O126)&lt;=0),", how many seats Reduce means","")&amp;IF(AND(N($O126)&gt;0,$N126&lt;&gt;"Reduce"),", a number of seats on a row not marked Reduce","")&amp;IF(N($O126)&gt;N($J126),", more seats given up than the row has",""),3,200))</f>
        <v>career level, nationality mandate, capacity direction</v>
      </c>
    </row>
    <row r="127" customFormat="false" ht="15" hidden="false" customHeight="false" outlineLevel="0" collapsed="false">
      <c r="A127" s="21"/>
      <c r="B127" s="21" t="s">
        <v>125</v>
      </c>
      <c r="C127" s="21" t="s">
        <v>127</v>
      </c>
      <c r="D127" s="21" t="s">
        <v>135</v>
      </c>
      <c r="E127" s="21" t="s">
        <v>139</v>
      </c>
      <c r="F127" s="21" t="s">
        <v>256</v>
      </c>
      <c r="G127" s="21"/>
      <c r="H127" s="21" t="s">
        <v>180</v>
      </c>
      <c r="I127" s="21"/>
      <c r="J127" s="22" t="n">
        <v>2</v>
      </c>
      <c r="K127" s="22" t="n">
        <v>2</v>
      </c>
      <c r="L127" s="22" t="n">
        <v>0</v>
      </c>
      <c r="M127" s="21" t="s">
        <v>172</v>
      </c>
      <c r="N127" s="21"/>
      <c r="O127" s="22"/>
      <c r="P127" s="20" t="n">
        <f aca="false">IF($N127="Reduce",N($O127),0)</f>
        <v>0</v>
      </c>
      <c r="Q127" s="23" t="str">
        <f aca="false">IF($F127="","",MID(IF($G127="",", career level","")&amp;IF($I127="",", nationality mandate","")&amp;IF($N127="",", capacity direction","")&amp;IF(N($J127)&lt;=0,", approved HC","")&amp;IF(AND($G127&lt;&gt;"",COUNTIF(CareerLevels,$G127)=0),", a career level that is not on the ladder","")&amp;IF(AND($N127="Reduce",N($O127)&lt;=0),", how many seats Reduce means","")&amp;IF(AND(N($O127)&gt;0,$N127&lt;&gt;"Reduce"),", a number of seats on a row not marked Reduce","")&amp;IF(N($O127)&gt;N($J127),", more seats given up than the row has",""),3,200))</f>
        <v>career level, nationality mandate, capacity direction</v>
      </c>
    </row>
    <row r="128" customFormat="false" ht="15" hidden="false" customHeight="false" outlineLevel="0" collapsed="false">
      <c r="A128" s="21" t="s">
        <v>187</v>
      </c>
      <c r="B128" s="21" t="s">
        <v>125</v>
      </c>
      <c r="C128" s="21" t="s">
        <v>127</v>
      </c>
      <c r="D128" s="21" t="s">
        <v>135</v>
      </c>
      <c r="E128" s="21" t="s">
        <v>139</v>
      </c>
      <c r="F128" s="21" t="s">
        <v>257</v>
      </c>
      <c r="G128" s="21"/>
      <c r="H128" s="21" t="s">
        <v>180</v>
      </c>
      <c r="I128" s="21"/>
      <c r="J128" s="22" t="n">
        <v>1</v>
      </c>
      <c r="K128" s="22" t="n">
        <v>1</v>
      </c>
      <c r="L128" s="22" t="n">
        <v>0</v>
      </c>
      <c r="M128" s="21" t="s">
        <v>172</v>
      </c>
      <c r="N128" s="21"/>
      <c r="O128" s="22"/>
      <c r="P128" s="20" t="n">
        <f aca="false">IF($N128="Reduce",N($O128),0)</f>
        <v>0</v>
      </c>
      <c r="Q128" s="23" t="str">
        <f aca="false">IF($F128="","",MID(IF($G128="",", career level","")&amp;IF($I128="",", nationality mandate","")&amp;IF($N128="",", capacity direction","")&amp;IF(N($J128)&lt;=0,", approved HC","")&amp;IF(AND($G128&lt;&gt;"",COUNTIF(CareerLevels,$G128)=0),", a career level that is not on the ladder","")&amp;IF(AND($N128="Reduce",N($O128)&lt;=0),", how many seats Reduce means","")&amp;IF(AND(N($O128)&gt;0,$N128&lt;&gt;"Reduce"),", a number of seats on a row not marked Reduce","")&amp;IF(N($O128)&gt;N($J128),", more seats given up than the row has",""),3,200))</f>
        <v>career level, nationality mandate, capacity direction</v>
      </c>
    </row>
    <row r="129" customFormat="false" ht="15" hidden="false" customHeight="false" outlineLevel="0" collapsed="false">
      <c r="A129" s="21" t="s">
        <v>234</v>
      </c>
      <c r="B129" s="21" t="s">
        <v>125</v>
      </c>
      <c r="C129" s="21" t="s">
        <v>127</v>
      </c>
      <c r="D129" s="21" t="s">
        <v>135</v>
      </c>
      <c r="E129" s="21" t="s">
        <v>139</v>
      </c>
      <c r="F129" s="21" t="s">
        <v>261</v>
      </c>
      <c r="G129" s="21"/>
      <c r="H129" s="21" t="s">
        <v>180</v>
      </c>
      <c r="I129" s="21"/>
      <c r="J129" s="22" t="n">
        <v>1</v>
      </c>
      <c r="K129" s="22" t="n">
        <v>1</v>
      </c>
      <c r="L129" s="22" t="n">
        <v>0</v>
      </c>
      <c r="M129" s="21" t="s">
        <v>172</v>
      </c>
      <c r="N129" s="21"/>
      <c r="O129" s="22"/>
      <c r="P129" s="20" t="n">
        <f aca="false">IF($N129="Reduce",N($O129),0)</f>
        <v>0</v>
      </c>
      <c r="Q129" s="23" t="str">
        <f aca="false">IF($F129="","",MID(IF($G129="",", career level","")&amp;IF($I129="",", nationality mandate","")&amp;IF($N129="",", capacity direction","")&amp;IF(N($J129)&lt;=0,", approved HC","")&amp;IF(AND($G129&lt;&gt;"",COUNTIF(CareerLevels,$G129)=0),", a career level that is not on the ladder","")&amp;IF(AND($N129="Reduce",N($O129)&lt;=0),", how many seats Reduce means","")&amp;IF(AND(N($O129)&gt;0,$N129&lt;&gt;"Reduce"),", a number of seats on a row not marked Reduce","")&amp;IF(N($O129)&gt;N($J129),", more seats given up than the row has",""),3,200))</f>
        <v>career level, nationality mandate, capacity direction</v>
      </c>
    </row>
    <row r="130" customFormat="false" ht="15" hidden="false" customHeight="false" outlineLevel="0" collapsed="false">
      <c r="A130" s="21" t="s">
        <v>230</v>
      </c>
      <c r="B130" s="21" t="s">
        <v>125</v>
      </c>
      <c r="C130" s="21" t="s">
        <v>127</v>
      </c>
      <c r="D130" s="21" t="s">
        <v>135</v>
      </c>
      <c r="E130" s="21" t="s">
        <v>139</v>
      </c>
      <c r="F130" s="21" t="s">
        <v>258</v>
      </c>
      <c r="G130" s="21"/>
      <c r="H130" s="21" t="s">
        <v>180</v>
      </c>
      <c r="I130" s="21"/>
      <c r="J130" s="22" t="n">
        <v>1</v>
      </c>
      <c r="K130" s="22" t="n">
        <v>1</v>
      </c>
      <c r="L130" s="22" t="n">
        <v>0</v>
      </c>
      <c r="M130" s="21" t="s">
        <v>172</v>
      </c>
      <c r="N130" s="21"/>
      <c r="O130" s="22"/>
      <c r="P130" s="20" t="n">
        <f aca="false">IF($N130="Reduce",N($O130),0)</f>
        <v>0</v>
      </c>
      <c r="Q130" s="23" t="str">
        <f aca="false">IF($F130="","",MID(IF($G130="",", career level","")&amp;IF($I130="",", nationality mandate","")&amp;IF($N130="",", capacity direction","")&amp;IF(N($J130)&lt;=0,", approved HC","")&amp;IF(AND($G130&lt;&gt;"",COUNTIF(CareerLevels,$G130)=0),", a career level that is not on the ladder","")&amp;IF(AND($N130="Reduce",N($O130)&lt;=0),", how many seats Reduce means","")&amp;IF(AND(N($O130)&gt;0,$N130&lt;&gt;"Reduce"),", a number of seats on a row not marked Reduce","")&amp;IF(N($O130)&gt;N($J130),", more seats given up than the row has",""),3,200))</f>
        <v>career level, nationality mandate, capacity direction</v>
      </c>
    </row>
    <row r="131" customFormat="false" ht="15" hidden="false" customHeight="false" outlineLevel="0" collapsed="false">
      <c r="A131" s="21" t="s">
        <v>263</v>
      </c>
      <c r="B131" s="21" t="s">
        <v>125</v>
      </c>
      <c r="C131" s="21" t="s">
        <v>127</v>
      </c>
      <c r="D131" s="21" t="s">
        <v>135</v>
      </c>
      <c r="E131" s="21" t="s">
        <v>139</v>
      </c>
      <c r="F131" s="21" t="s">
        <v>259</v>
      </c>
      <c r="G131" s="21"/>
      <c r="H131" s="21" t="s">
        <v>177</v>
      </c>
      <c r="I131" s="21"/>
      <c r="J131" s="22" t="n">
        <v>1</v>
      </c>
      <c r="K131" s="22" t="n">
        <v>0</v>
      </c>
      <c r="L131" s="22" t="n">
        <v>1</v>
      </c>
      <c r="M131" s="21" t="s">
        <v>172</v>
      </c>
      <c r="N131" s="21"/>
      <c r="O131" s="22"/>
      <c r="P131" s="20" t="n">
        <f aca="false">IF($N131="Reduce",N($O131),0)</f>
        <v>0</v>
      </c>
      <c r="Q131" s="23" t="str">
        <f aca="false">IF($F131="","",MID(IF($G131="",", career level","")&amp;IF($I131="",", nationality mandate","")&amp;IF($N131="",", capacity direction","")&amp;IF(N($J131)&lt;=0,", approved HC","")&amp;IF(AND($G131&lt;&gt;"",COUNTIF(CareerLevels,$G131)=0),", a career level that is not on the ladder","")&amp;IF(AND($N131="Reduce",N($O131)&lt;=0),", how many seats Reduce means","")&amp;IF(AND(N($O131)&gt;0,$N131&lt;&gt;"Reduce"),", a number of seats on a row not marked Reduce","")&amp;IF(N($O131)&gt;N($J131),", more seats given up than the row has",""),3,200))</f>
        <v>career level, nationality mandate, capacity direction</v>
      </c>
    </row>
    <row r="132" customFormat="false" ht="15" hidden="false" customHeight="false" outlineLevel="0" collapsed="false">
      <c r="A132" s="21" t="s">
        <v>251</v>
      </c>
      <c r="B132" s="21" t="s">
        <v>125</v>
      </c>
      <c r="C132" s="21" t="s">
        <v>141</v>
      </c>
      <c r="D132" s="21"/>
      <c r="E132" s="21"/>
      <c r="F132" s="21" t="s">
        <v>264</v>
      </c>
      <c r="G132" s="21"/>
      <c r="H132" s="21" t="s">
        <v>171</v>
      </c>
      <c r="I132" s="21"/>
      <c r="J132" s="22" t="n">
        <v>1</v>
      </c>
      <c r="K132" s="22" t="n">
        <v>1</v>
      </c>
      <c r="L132" s="22" t="n">
        <v>0</v>
      </c>
      <c r="M132" s="21" t="s">
        <v>172</v>
      </c>
      <c r="N132" s="21"/>
      <c r="O132" s="22"/>
      <c r="P132" s="20" t="n">
        <f aca="false">IF($N132="Reduce",N($O132),0)</f>
        <v>0</v>
      </c>
      <c r="Q132" s="23" t="str">
        <f aca="false">IF($F132="","",MID(IF($G132="",", career level","")&amp;IF($I132="",", nationality mandate","")&amp;IF($N132="",", capacity direction","")&amp;IF(N($J132)&lt;=0,", approved HC","")&amp;IF(AND($G132&lt;&gt;"",COUNTIF(CareerLevels,$G132)=0),", a career level that is not on the ladder","")&amp;IF(AND($N132="Reduce",N($O132)&lt;=0),", how many seats Reduce means","")&amp;IF(AND(N($O132)&gt;0,$N132&lt;&gt;"Reduce"),", a number of seats on a row not marked Reduce","")&amp;IF(N($O132)&gt;N($J132),", more seats given up than the row has",""),3,200))</f>
        <v>career level, nationality mandate, capacity direction</v>
      </c>
    </row>
    <row r="133" customFormat="false" ht="15" hidden="false" customHeight="false" outlineLevel="0" collapsed="false">
      <c r="A133" s="21" t="s">
        <v>230</v>
      </c>
      <c r="B133" s="21" t="s">
        <v>125</v>
      </c>
      <c r="C133" s="21" t="s">
        <v>141</v>
      </c>
      <c r="D133" s="21" t="s">
        <v>143</v>
      </c>
      <c r="E133" s="21"/>
      <c r="F133" s="21" t="s">
        <v>265</v>
      </c>
      <c r="G133" s="21"/>
      <c r="H133" s="21" t="s">
        <v>177</v>
      </c>
      <c r="I133" s="21"/>
      <c r="J133" s="22" t="n">
        <v>1</v>
      </c>
      <c r="K133" s="22" t="n">
        <v>1</v>
      </c>
      <c r="L133" s="22" t="n">
        <v>0</v>
      </c>
      <c r="M133" s="21" t="s">
        <v>172</v>
      </c>
      <c r="N133" s="21"/>
      <c r="O133" s="22"/>
      <c r="P133" s="20" t="n">
        <f aca="false">IF($N133="Reduce",N($O133),0)</f>
        <v>0</v>
      </c>
      <c r="Q133" s="23" t="str">
        <f aca="false">IF($F133="","",MID(IF($G133="",", career level","")&amp;IF($I133="",", nationality mandate","")&amp;IF($N133="",", capacity direction","")&amp;IF(N($J133)&lt;=0,", approved HC","")&amp;IF(AND($G133&lt;&gt;"",COUNTIF(CareerLevels,$G133)=0),", a career level that is not on the ladder","")&amp;IF(AND($N133="Reduce",N($O133)&lt;=0),", how many seats Reduce means","")&amp;IF(AND(N($O133)&gt;0,$N133&lt;&gt;"Reduce"),", a number of seats on a row not marked Reduce","")&amp;IF(N($O133)&gt;N($J133),", more seats given up than the row has",""),3,200))</f>
        <v>career level, nationality mandate, capacity direction</v>
      </c>
    </row>
    <row r="134" customFormat="false" ht="15" hidden="false" customHeight="false" outlineLevel="0" collapsed="false">
      <c r="A134" s="21" t="s">
        <v>250</v>
      </c>
      <c r="B134" s="21" t="s">
        <v>125</v>
      </c>
      <c r="C134" s="21" t="s">
        <v>141</v>
      </c>
      <c r="D134" s="21" t="s">
        <v>143</v>
      </c>
      <c r="E134" s="21" t="s">
        <v>145</v>
      </c>
      <c r="F134" s="21" t="s">
        <v>266</v>
      </c>
      <c r="G134" s="21"/>
      <c r="H134" s="21" t="s">
        <v>180</v>
      </c>
      <c r="I134" s="21"/>
      <c r="J134" s="22" t="n">
        <v>1</v>
      </c>
      <c r="K134" s="22" t="n">
        <v>1</v>
      </c>
      <c r="L134" s="22" t="n">
        <v>0</v>
      </c>
      <c r="M134" s="21" t="s">
        <v>168</v>
      </c>
      <c r="N134" s="21"/>
      <c r="O134" s="22"/>
      <c r="P134" s="20" t="n">
        <f aca="false">IF($N134="Reduce",N($O134),0)</f>
        <v>0</v>
      </c>
      <c r="Q134" s="23" t="str">
        <f aca="false">IF($F134="","",MID(IF($G134="",", career level","")&amp;IF($I134="",", nationality mandate","")&amp;IF($N134="",", capacity direction","")&amp;IF(N($J134)&lt;=0,", approved HC","")&amp;IF(AND($G134&lt;&gt;"",COUNTIF(CareerLevels,$G134)=0),", a career level that is not on the ladder","")&amp;IF(AND($N134="Reduce",N($O134)&lt;=0),", how many seats Reduce means","")&amp;IF(AND(N($O134)&gt;0,$N134&lt;&gt;"Reduce"),", a number of seats on a row not marked Reduce","")&amp;IF(N($O134)&gt;N($J134),", more seats given up than the row has",""),3,200))</f>
        <v>career level, nationality mandate, capacity direction</v>
      </c>
    </row>
    <row r="135" customFormat="false" ht="15" hidden="false" customHeight="false" outlineLevel="0" collapsed="false">
      <c r="A135" s="21" t="s">
        <v>267</v>
      </c>
      <c r="B135" s="21" t="s">
        <v>125</v>
      </c>
      <c r="C135" s="21" t="s">
        <v>141</v>
      </c>
      <c r="D135" s="21" t="s">
        <v>143</v>
      </c>
      <c r="E135" s="21" t="s">
        <v>145</v>
      </c>
      <c r="F135" s="21" t="s">
        <v>266</v>
      </c>
      <c r="G135" s="21"/>
      <c r="H135" s="21" t="s">
        <v>180</v>
      </c>
      <c r="I135" s="21"/>
      <c r="J135" s="22" t="n">
        <v>1</v>
      </c>
      <c r="K135" s="22" t="n">
        <v>1</v>
      </c>
      <c r="L135" s="22" t="n">
        <v>0</v>
      </c>
      <c r="M135" s="21" t="s">
        <v>172</v>
      </c>
      <c r="N135" s="21"/>
      <c r="O135" s="22"/>
      <c r="P135" s="20" t="n">
        <f aca="false">IF($N135="Reduce",N($O135),0)</f>
        <v>0</v>
      </c>
      <c r="Q135" s="23" t="str">
        <f aca="false">IF($F135="","",MID(IF($G135="",", career level","")&amp;IF($I135="",", nationality mandate","")&amp;IF($N135="",", capacity direction","")&amp;IF(N($J135)&lt;=0,", approved HC","")&amp;IF(AND($G135&lt;&gt;"",COUNTIF(CareerLevels,$G135)=0),", a career level that is not on the ladder","")&amp;IF(AND($N135="Reduce",N($O135)&lt;=0),", how many seats Reduce means","")&amp;IF(AND(N($O135)&gt;0,$N135&lt;&gt;"Reduce"),", a number of seats on a row not marked Reduce","")&amp;IF(N($O135)&gt;N($J135),", more seats given up than the row has",""),3,200))</f>
        <v>career level, nationality mandate, capacity direction</v>
      </c>
    </row>
    <row r="136" customFormat="false" ht="15" hidden="false" customHeight="false" outlineLevel="0" collapsed="false">
      <c r="A136" s="21" t="s">
        <v>268</v>
      </c>
      <c r="B136" s="21" t="s">
        <v>125</v>
      </c>
      <c r="C136" s="21" t="s">
        <v>141</v>
      </c>
      <c r="D136" s="21" t="s">
        <v>143</v>
      </c>
      <c r="E136" s="21" t="s">
        <v>145</v>
      </c>
      <c r="F136" s="21" t="s">
        <v>269</v>
      </c>
      <c r="G136" s="21"/>
      <c r="H136" s="21" t="s">
        <v>180</v>
      </c>
      <c r="I136" s="21"/>
      <c r="J136" s="22" t="n">
        <v>1</v>
      </c>
      <c r="K136" s="22" t="n">
        <v>1</v>
      </c>
      <c r="L136" s="22" t="n">
        <v>0</v>
      </c>
      <c r="M136" s="21" t="s">
        <v>172</v>
      </c>
      <c r="N136" s="21"/>
      <c r="O136" s="22"/>
      <c r="P136" s="20" t="n">
        <f aca="false">IF($N136="Reduce",N($O136),0)</f>
        <v>0</v>
      </c>
      <c r="Q136" s="23" t="str">
        <f aca="false">IF($F136="","",MID(IF($G136="",", career level","")&amp;IF($I136="",", nationality mandate","")&amp;IF($N136="",", capacity direction","")&amp;IF(N($J136)&lt;=0,", approved HC","")&amp;IF(AND($G136&lt;&gt;"",COUNTIF(CareerLevels,$G136)=0),", a career level that is not on the ladder","")&amp;IF(AND($N136="Reduce",N($O136)&lt;=0),", how many seats Reduce means","")&amp;IF(AND(N($O136)&gt;0,$N136&lt;&gt;"Reduce"),", a number of seats on a row not marked Reduce","")&amp;IF(N($O136)&gt;N($J136),", more seats given up than the row has",""),3,200))</f>
        <v>career level, nationality mandate, capacity direction</v>
      </c>
    </row>
    <row r="137" customFormat="false" ht="15" hidden="false" customHeight="false" outlineLevel="0" collapsed="false">
      <c r="A137" s="21"/>
      <c r="B137" s="21" t="s">
        <v>125</v>
      </c>
      <c r="C137" s="21" t="s">
        <v>141</v>
      </c>
      <c r="D137" s="21" t="s">
        <v>143</v>
      </c>
      <c r="E137" s="21" t="s">
        <v>145</v>
      </c>
      <c r="F137" s="21" t="s">
        <v>270</v>
      </c>
      <c r="G137" s="21"/>
      <c r="H137" s="21" t="s">
        <v>180</v>
      </c>
      <c r="I137" s="21"/>
      <c r="J137" s="22" t="n">
        <v>3</v>
      </c>
      <c r="K137" s="22" t="n">
        <v>3</v>
      </c>
      <c r="L137" s="22" t="n">
        <v>0</v>
      </c>
      <c r="M137" s="21" t="s">
        <v>172</v>
      </c>
      <c r="N137" s="21"/>
      <c r="O137" s="22"/>
      <c r="P137" s="20" t="n">
        <f aca="false">IF($N137="Reduce",N($O137),0)</f>
        <v>0</v>
      </c>
      <c r="Q137" s="23" t="str">
        <f aca="false">IF($F137="","",MID(IF($G137="",", career level","")&amp;IF($I137="",", nationality mandate","")&amp;IF($N137="",", capacity direction","")&amp;IF(N($J137)&lt;=0,", approved HC","")&amp;IF(AND($G137&lt;&gt;"",COUNTIF(CareerLevels,$G137)=0),", a career level that is not on the ladder","")&amp;IF(AND($N137="Reduce",N($O137)&lt;=0),", how many seats Reduce means","")&amp;IF(AND(N($O137)&gt;0,$N137&lt;&gt;"Reduce"),", a number of seats on a row not marked Reduce","")&amp;IF(N($O137)&gt;N($J137),", more seats given up than the row has",""),3,200))</f>
        <v>career level, nationality mandate, capacity direction</v>
      </c>
    </row>
    <row r="138" customFormat="false" ht="15" hidden="false" customHeight="false" outlineLevel="0" collapsed="false">
      <c r="A138" s="21" t="s">
        <v>217</v>
      </c>
      <c r="B138" s="21" t="s">
        <v>125</v>
      </c>
      <c r="C138" s="21" t="s">
        <v>141</v>
      </c>
      <c r="D138" s="21" t="s">
        <v>143</v>
      </c>
      <c r="E138" s="21" t="s">
        <v>145</v>
      </c>
      <c r="F138" s="21" t="s">
        <v>271</v>
      </c>
      <c r="G138" s="21"/>
      <c r="H138" s="21" t="s">
        <v>180</v>
      </c>
      <c r="I138" s="21"/>
      <c r="J138" s="22" t="n">
        <v>1</v>
      </c>
      <c r="K138" s="22" t="n">
        <v>0</v>
      </c>
      <c r="L138" s="22" t="n">
        <v>1</v>
      </c>
      <c r="M138" s="21" t="s">
        <v>172</v>
      </c>
      <c r="N138" s="21"/>
      <c r="O138" s="22"/>
      <c r="P138" s="20" t="n">
        <f aca="false">IF($N138="Reduce",N($O138),0)</f>
        <v>0</v>
      </c>
      <c r="Q138" s="23" t="str">
        <f aca="false">IF($F138="","",MID(IF($G138="",", career level","")&amp;IF($I138="",", nationality mandate","")&amp;IF($N138="",", capacity direction","")&amp;IF(N($J138)&lt;=0,", approved HC","")&amp;IF(AND($G138&lt;&gt;"",COUNTIF(CareerLevels,$G138)=0),", a career level that is not on the ladder","")&amp;IF(AND($N138="Reduce",N($O138)&lt;=0),", how many seats Reduce means","")&amp;IF(AND(N($O138)&gt;0,$N138&lt;&gt;"Reduce"),", a number of seats on a row not marked Reduce","")&amp;IF(N($O138)&gt;N($J138),", more seats given up than the row has",""),3,200))</f>
        <v>career level, nationality mandate, capacity direction</v>
      </c>
    </row>
    <row r="139" customFormat="false" ht="15" hidden="false" customHeight="false" outlineLevel="0" collapsed="false">
      <c r="A139" s="21" t="s">
        <v>178</v>
      </c>
      <c r="B139" s="21" t="s">
        <v>125</v>
      </c>
      <c r="C139" s="21" t="s">
        <v>141</v>
      </c>
      <c r="D139" s="21" t="s">
        <v>143</v>
      </c>
      <c r="E139" s="21" t="s">
        <v>145</v>
      </c>
      <c r="F139" s="21" t="s">
        <v>272</v>
      </c>
      <c r="G139" s="21"/>
      <c r="H139" s="21" t="s">
        <v>177</v>
      </c>
      <c r="I139" s="21"/>
      <c r="J139" s="22" t="n">
        <v>1</v>
      </c>
      <c r="K139" s="22" t="n">
        <v>0</v>
      </c>
      <c r="L139" s="22" t="n">
        <v>1</v>
      </c>
      <c r="M139" s="21" t="s">
        <v>172</v>
      </c>
      <c r="N139" s="21"/>
      <c r="O139" s="22"/>
      <c r="P139" s="20" t="n">
        <f aca="false">IF($N139="Reduce",N($O139),0)</f>
        <v>0</v>
      </c>
      <c r="Q139" s="23" t="str">
        <f aca="false">IF($F139="","",MID(IF($G139="",", career level","")&amp;IF($I139="",", nationality mandate","")&amp;IF($N139="",", capacity direction","")&amp;IF(N($J139)&lt;=0,", approved HC","")&amp;IF(AND($G139&lt;&gt;"",COUNTIF(CareerLevels,$G139)=0),", a career level that is not on the ladder","")&amp;IF(AND($N139="Reduce",N($O139)&lt;=0),", how many seats Reduce means","")&amp;IF(AND(N($O139)&gt;0,$N139&lt;&gt;"Reduce"),", a number of seats on a row not marked Reduce","")&amp;IF(N($O139)&gt;N($J139),", more seats given up than the row has",""),3,200))</f>
        <v>career level, nationality mandate, capacity direction</v>
      </c>
    </row>
    <row r="140" customFormat="false" ht="15" hidden="false" customHeight="false" outlineLevel="0" collapsed="false">
      <c r="A140" s="21" t="s">
        <v>215</v>
      </c>
      <c r="B140" s="21" t="s">
        <v>125</v>
      </c>
      <c r="C140" s="21" t="s">
        <v>141</v>
      </c>
      <c r="D140" s="21" t="s">
        <v>143</v>
      </c>
      <c r="E140" s="21" t="s">
        <v>147</v>
      </c>
      <c r="F140" s="21" t="s">
        <v>273</v>
      </c>
      <c r="G140" s="21"/>
      <c r="H140" s="21" t="s">
        <v>180</v>
      </c>
      <c r="I140" s="21"/>
      <c r="J140" s="22" t="n">
        <v>1</v>
      </c>
      <c r="K140" s="22" t="n">
        <v>1</v>
      </c>
      <c r="L140" s="22" t="n">
        <v>0</v>
      </c>
      <c r="M140" s="21" t="s">
        <v>172</v>
      </c>
      <c r="N140" s="21"/>
      <c r="O140" s="22"/>
      <c r="P140" s="20" t="n">
        <f aca="false">IF($N140="Reduce",N($O140),0)</f>
        <v>0</v>
      </c>
      <c r="Q140" s="23" t="str">
        <f aca="false">IF($F140="","",MID(IF($G140="",", career level","")&amp;IF($I140="",", nationality mandate","")&amp;IF($N140="",", capacity direction","")&amp;IF(N($J140)&lt;=0,", approved HC","")&amp;IF(AND($G140&lt;&gt;"",COUNTIF(CareerLevels,$G140)=0),", a career level that is not on the ladder","")&amp;IF(AND($N140="Reduce",N($O140)&lt;=0),", how many seats Reduce means","")&amp;IF(AND(N($O140)&gt;0,$N140&lt;&gt;"Reduce"),", a number of seats on a row not marked Reduce","")&amp;IF(N($O140)&gt;N($J140),", more seats given up than the row has",""),3,200))</f>
        <v>career level, nationality mandate, capacity direction</v>
      </c>
    </row>
    <row r="141" customFormat="false" ht="15" hidden="false" customHeight="false" outlineLevel="0" collapsed="false">
      <c r="A141" s="21" t="s">
        <v>221</v>
      </c>
      <c r="B141" s="21" t="s">
        <v>125</v>
      </c>
      <c r="C141" s="21" t="s">
        <v>141</v>
      </c>
      <c r="D141" s="21" t="s">
        <v>143</v>
      </c>
      <c r="E141" s="21" t="s">
        <v>147</v>
      </c>
      <c r="F141" s="21" t="s">
        <v>266</v>
      </c>
      <c r="G141" s="21"/>
      <c r="H141" s="21" t="s">
        <v>180</v>
      </c>
      <c r="I141" s="21"/>
      <c r="J141" s="22" t="n">
        <v>1</v>
      </c>
      <c r="K141" s="22" t="n">
        <v>0</v>
      </c>
      <c r="L141" s="22" t="n">
        <v>1</v>
      </c>
      <c r="M141" s="21" t="s">
        <v>172</v>
      </c>
      <c r="N141" s="21"/>
      <c r="O141" s="22"/>
      <c r="P141" s="20" t="n">
        <f aca="false">IF($N141="Reduce",N($O141),0)</f>
        <v>0</v>
      </c>
      <c r="Q141" s="23" t="str">
        <f aca="false">IF($F141="","",MID(IF($G141="",", career level","")&amp;IF($I141="",", nationality mandate","")&amp;IF($N141="",", capacity direction","")&amp;IF(N($J141)&lt;=0,", approved HC","")&amp;IF(AND($G141&lt;&gt;"",COUNTIF(CareerLevels,$G141)=0),", a career level that is not on the ladder","")&amp;IF(AND($N141="Reduce",N($O141)&lt;=0),", how many seats Reduce means","")&amp;IF(AND(N($O141)&gt;0,$N141&lt;&gt;"Reduce"),", a number of seats on a row not marked Reduce","")&amp;IF(N($O141)&gt;N($J141),", more seats given up than the row has",""),3,200))</f>
        <v>career level, nationality mandate, capacity direction</v>
      </c>
    </row>
    <row r="142" customFormat="false" ht="15" hidden="false" customHeight="false" outlineLevel="0" collapsed="false">
      <c r="A142" s="21" t="s">
        <v>200</v>
      </c>
      <c r="B142" s="21" t="s">
        <v>125</v>
      </c>
      <c r="C142" s="21" t="s">
        <v>141</v>
      </c>
      <c r="D142" s="21" t="s">
        <v>143</v>
      </c>
      <c r="E142" s="21" t="s">
        <v>147</v>
      </c>
      <c r="F142" s="21" t="s">
        <v>269</v>
      </c>
      <c r="G142" s="21"/>
      <c r="H142" s="21" t="s">
        <v>180</v>
      </c>
      <c r="I142" s="21"/>
      <c r="J142" s="22" t="n">
        <v>1</v>
      </c>
      <c r="K142" s="22" t="n">
        <v>1</v>
      </c>
      <c r="L142" s="22" t="n">
        <v>0</v>
      </c>
      <c r="M142" s="21" t="s">
        <v>172</v>
      </c>
      <c r="N142" s="21"/>
      <c r="O142" s="22"/>
      <c r="P142" s="20" t="n">
        <f aca="false">IF($N142="Reduce",N($O142),0)</f>
        <v>0</v>
      </c>
      <c r="Q142" s="23" t="str">
        <f aca="false">IF($F142="","",MID(IF($G142="",", career level","")&amp;IF($I142="",", nationality mandate","")&amp;IF($N142="",", capacity direction","")&amp;IF(N($J142)&lt;=0,", approved HC","")&amp;IF(AND($G142&lt;&gt;"",COUNTIF(CareerLevels,$G142)=0),", a career level that is not on the ladder","")&amp;IF(AND($N142="Reduce",N($O142)&lt;=0),", how many seats Reduce means","")&amp;IF(AND(N($O142)&gt;0,$N142&lt;&gt;"Reduce"),", a number of seats on a row not marked Reduce","")&amp;IF(N($O142)&gt;N($J142),", more seats given up than the row has",""),3,200))</f>
        <v>career level, nationality mandate, capacity direction</v>
      </c>
    </row>
    <row r="143" customFormat="false" ht="15" hidden="false" customHeight="false" outlineLevel="0" collapsed="false">
      <c r="A143" s="21" t="s">
        <v>274</v>
      </c>
      <c r="B143" s="21" t="s">
        <v>125</v>
      </c>
      <c r="C143" s="21" t="s">
        <v>141</v>
      </c>
      <c r="D143" s="21" t="s">
        <v>143</v>
      </c>
      <c r="E143" s="21" t="s">
        <v>147</v>
      </c>
      <c r="F143" s="21" t="s">
        <v>270</v>
      </c>
      <c r="G143" s="21"/>
      <c r="H143" s="21" t="s">
        <v>180</v>
      </c>
      <c r="I143" s="21"/>
      <c r="J143" s="22" t="n">
        <v>1</v>
      </c>
      <c r="K143" s="22" t="n">
        <v>1</v>
      </c>
      <c r="L143" s="22" t="n">
        <v>0</v>
      </c>
      <c r="M143" s="21" t="s">
        <v>172</v>
      </c>
      <c r="N143" s="21"/>
      <c r="O143" s="22"/>
      <c r="P143" s="20" t="n">
        <f aca="false">IF($N143="Reduce",N($O143),0)</f>
        <v>0</v>
      </c>
      <c r="Q143" s="23" t="str">
        <f aca="false">IF($F143="","",MID(IF($G143="",", career level","")&amp;IF($I143="",", nationality mandate","")&amp;IF($N143="",", capacity direction","")&amp;IF(N($J143)&lt;=0,", approved HC","")&amp;IF(AND($G143&lt;&gt;"",COUNTIF(CareerLevels,$G143)=0),", a career level that is not on the ladder","")&amp;IF(AND($N143="Reduce",N($O143)&lt;=0),", how many seats Reduce means","")&amp;IF(AND(N($O143)&gt;0,$N143&lt;&gt;"Reduce"),", a number of seats on a row not marked Reduce","")&amp;IF(N($O143)&gt;N($J143),", more seats given up than the row has",""),3,200))</f>
        <v>career level, nationality mandate, capacity direction</v>
      </c>
    </row>
    <row r="144" customFormat="false" ht="15" hidden="false" customHeight="false" outlineLevel="0" collapsed="false">
      <c r="A144" s="21" t="s">
        <v>236</v>
      </c>
      <c r="B144" s="21" t="s">
        <v>125</v>
      </c>
      <c r="C144" s="21" t="s">
        <v>141</v>
      </c>
      <c r="D144" s="21" t="s">
        <v>143</v>
      </c>
      <c r="E144" s="21" t="s">
        <v>147</v>
      </c>
      <c r="F144" s="21" t="s">
        <v>271</v>
      </c>
      <c r="G144" s="21"/>
      <c r="H144" s="21" t="s">
        <v>180</v>
      </c>
      <c r="I144" s="21"/>
      <c r="J144" s="22" t="n">
        <v>1</v>
      </c>
      <c r="K144" s="22" t="n">
        <v>0</v>
      </c>
      <c r="L144" s="22" t="n">
        <v>1</v>
      </c>
      <c r="M144" s="21" t="s">
        <v>172</v>
      </c>
      <c r="N144" s="21"/>
      <c r="O144" s="22"/>
      <c r="P144" s="20" t="n">
        <f aca="false">IF($N144="Reduce",N($O144),0)</f>
        <v>0</v>
      </c>
      <c r="Q144" s="23" t="str">
        <f aca="false">IF($F144="","",MID(IF($G144="",", career level","")&amp;IF($I144="",", nationality mandate","")&amp;IF($N144="",", capacity direction","")&amp;IF(N($J144)&lt;=0,", approved HC","")&amp;IF(AND($G144&lt;&gt;"",COUNTIF(CareerLevels,$G144)=0),", a career level that is not on the ladder","")&amp;IF(AND($N144="Reduce",N($O144)&lt;=0),", how many seats Reduce means","")&amp;IF(AND(N($O144)&gt;0,$N144&lt;&gt;"Reduce"),", a number of seats on a row not marked Reduce","")&amp;IF(N($O144)&gt;N($J144),", more seats given up than the row has",""),3,200))</f>
        <v>career level, nationality mandate, capacity direction</v>
      </c>
    </row>
    <row r="145" customFormat="false" ht="15" hidden="false" customHeight="false" outlineLevel="0" collapsed="false">
      <c r="A145" s="21" t="s">
        <v>275</v>
      </c>
      <c r="B145" s="21" t="s">
        <v>125</v>
      </c>
      <c r="C145" s="21" t="s">
        <v>141</v>
      </c>
      <c r="D145" s="21" t="s">
        <v>143</v>
      </c>
      <c r="E145" s="21" t="s">
        <v>147</v>
      </c>
      <c r="F145" s="21" t="s">
        <v>272</v>
      </c>
      <c r="G145" s="21"/>
      <c r="H145" s="21" t="s">
        <v>177</v>
      </c>
      <c r="I145" s="21"/>
      <c r="J145" s="22" t="n">
        <v>1</v>
      </c>
      <c r="K145" s="22" t="n">
        <v>1</v>
      </c>
      <c r="L145" s="22" t="n">
        <v>0</v>
      </c>
      <c r="M145" s="21" t="s">
        <v>172</v>
      </c>
      <c r="N145" s="21"/>
      <c r="O145" s="22"/>
      <c r="P145" s="20" t="n">
        <f aca="false">IF($N145="Reduce",N($O145),0)</f>
        <v>0</v>
      </c>
      <c r="Q145" s="23" t="str">
        <f aca="false">IF($F145="","",MID(IF($G145="",", career level","")&amp;IF($I145="",", nationality mandate","")&amp;IF($N145="",", capacity direction","")&amp;IF(N($J145)&lt;=0,", approved HC","")&amp;IF(AND($G145&lt;&gt;"",COUNTIF(CareerLevels,$G145)=0),", a career level that is not on the ladder","")&amp;IF(AND($N145="Reduce",N($O145)&lt;=0),", how many seats Reduce means","")&amp;IF(AND(N($O145)&gt;0,$N145&lt;&gt;"Reduce"),", a number of seats on a row not marked Reduce","")&amp;IF(N($O145)&gt;N($J145),", more seats given up than the row has",""),3,200))</f>
        <v>career level, nationality mandate, capacity direction</v>
      </c>
    </row>
    <row r="146" customFormat="false" ht="15" hidden="false" customHeight="false" outlineLevel="0" collapsed="false">
      <c r="A146" s="21" t="s">
        <v>209</v>
      </c>
      <c r="B146" s="21" t="s">
        <v>125</v>
      </c>
      <c r="C146" s="21" t="s">
        <v>141</v>
      </c>
      <c r="D146" s="21" t="s">
        <v>149</v>
      </c>
      <c r="E146" s="21"/>
      <c r="F146" s="21" t="s">
        <v>265</v>
      </c>
      <c r="G146" s="21"/>
      <c r="H146" s="21" t="s">
        <v>177</v>
      </c>
      <c r="I146" s="21"/>
      <c r="J146" s="22" t="n">
        <v>1</v>
      </c>
      <c r="K146" s="22" t="n">
        <v>0</v>
      </c>
      <c r="L146" s="22" t="n">
        <v>1</v>
      </c>
      <c r="M146" s="21" t="s">
        <v>172</v>
      </c>
      <c r="N146" s="21"/>
      <c r="O146" s="22"/>
      <c r="P146" s="20" t="n">
        <f aca="false">IF($N146="Reduce",N($O146),0)</f>
        <v>0</v>
      </c>
      <c r="Q146" s="23" t="str">
        <f aca="false">IF($F146="","",MID(IF($G146="",", career level","")&amp;IF($I146="",", nationality mandate","")&amp;IF($N146="",", capacity direction","")&amp;IF(N($J146)&lt;=0,", approved HC","")&amp;IF(AND($G146&lt;&gt;"",COUNTIF(CareerLevels,$G146)=0),", a career level that is not on the ladder","")&amp;IF(AND($N146="Reduce",N($O146)&lt;=0),", how many seats Reduce means","")&amp;IF(AND(N($O146)&gt;0,$N146&lt;&gt;"Reduce"),", a number of seats on a row not marked Reduce","")&amp;IF(N($O146)&gt;N($J146),", more seats given up than the row has",""),3,200))</f>
        <v>career level, nationality mandate, capacity direction</v>
      </c>
    </row>
    <row r="147" customFormat="false" ht="15" hidden="false" customHeight="false" outlineLevel="0" collapsed="false">
      <c r="A147" s="21"/>
      <c r="B147" s="21" t="s">
        <v>125</v>
      </c>
      <c r="C147" s="21" t="s">
        <v>141</v>
      </c>
      <c r="D147" s="21" t="s">
        <v>149</v>
      </c>
      <c r="E147" s="21" t="s">
        <v>151</v>
      </c>
      <c r="F147" s="21" t="s">
        <v>269</v>
      </c>
      <c r="G147" s="21"/>
      <c r="H147" s="21" t="s">
        <v>180</v>
      </c>
      <c r="I147" s="21"/>
      <c r="J147" s="22" t="n">
        <v>2</v>
      </c>
      <c r="K147" s="22" t="n">
        <v>2</v>
      </c>
      <c r="L147" s="22" t="n">
        <v>0</v>
      </c>
      <c r="M147" s="21" t="s">
        <v>172</v>
      </c>
      <c r="N147" s="21"/>
      <c r="O147" s="22"/>
      <c r="P147" s="20" t="n">
        <f aca="false">IF($N147="Reduce",N($O147),0)</f>
        <v>0</v>
      </c>
      <c r="Q147" s="23" t="str">
        <f aca="false">IF($F147="","",MID(IF($G147="",", career level","")&amp;IF($I147="",", nationality mandate","")&amp;IF($N147="",", capacity direction","")&amp;IF(N($J147)&lt;=0,", approved HC","")&amp;IF(AND($G147&lt;&gt;"",COUNTIF(CareerLevels,$G147)=0),", a career level that is not on the ladder","")&amp;IF(AND($N147="Reduce",N($O147)&lt;=0),", how many seats Reduce means","")&amp;IF(AND(N($O147)&gt;0,$N147&lt;&gt;"Reduce"),", a number of seats on a row not marked Reduce","")&amp;IF(N($O147)&gt;N($J147),", more seats given up than the row has",""),3,200))</f>
        <v>career level, nationality mandate, capacity direction</v>
      </c>
    </row>
    <row r="148" customFormat="false" ht="15" hidden="false" customHeight="false" outlineLevel="0" collapsed="false">
      <c r="A148" s="21" t="s">
        <v>276</v>
      </c>
      <c r="B148" s="21" t="s">
        <v>125</v>
      </c>
      <c r="C148" s="21" t="s">
        <v>141</v>
      </c>
      <c r="D148" s="21" t="s">
        <v>149</v>
      </c>
      <c r="E148" s="21" t="s">
        <v>151</v>
      </c>
      <c r="F148" s="21" t="s">
        <v>270</v>
      </c>
      <c r="G148" s="21"/>
      <c r="H148" s="21" t="s">
        <v>180</v>
      </c>
      <c r="I148" s="21"/>
      <c r="J148" s="22" t="n">
        <v>1</v>
      </c>
      <c r="K148" s="22" t="n">
        <v>1</v>
      </c>
      <c r="L148" s="22" t="n">
        <v>0</v>
      </c>
      <c r="M148" s="21" t="s">
        <v>172</v>
      </c>
      <c r="N148" s="21"/>
      <c r="O148" s="22"/>
      <c r="P148" s="20" t="n">
        <f aca="false">IF($N148="Reduce",N($O148),0)</f>
        <v>0</v>
      </c>
      <c r="Q148" s="23" t="str">
        <f aca="false">IF($F148="","",MID(IF($G148="",", career level","")&amp;IF($I148="",", nationality mandate","")&amp;IF($N148="",", capacity direction","")&amp;IF(N($J148)&lt;=0,", approved HC","")&amp;IF(AND($G148&lt;&gt;"",COUNTIF(CareerLevels,$G148)=0),", a career level that is not on the ladder","")&amp;IF(AND($N148="Reduce",N($O148)&lt;=0),", how many seats Reduce means","")&amp;IF(AND(N($O148)&gt;0,$N148&lt;&gt;"Reduce"),", a number of seats on a row not marked Reduce","")&amp;IF(N($O148)&gt;N($J148),", more seats given up than the row has",""),3,200))</f>
        <v>career level, nationality mandate, capacity direction</v>
      </c>
    </row>
    <row r="149" customFormat="false" ht="15" hidden="false" customHeight="false" outlineLevel="0" collapsed="false">
      <c r="A149" s="21" t="s">
        <v>184</v>
      </c>
      <c r="B149" s="21" t="s">
        <v>125</v>
      </c>
      <c r="C149" s="21" t="s">
        <v>141</v>
      </c>
      <c r="D149" s="21" t="s">
        <v>149</v>
      </c>
      <c r="E149" s="21" t="s">
        <v>151</v>
      </c>
      <c r="F149" s="21" t="s">
        <v>271</v>
      </c>
      <c r="G149" s="21"/>
      <c r="H149" s="21" t="s">
        <v>180</v>
      </c>
      <c r="I149" s="21"/>
      <c r="J149" s="22" t="n">
        <v>1</v>
      </c>
      <c r="K149" s="22" t="n">
        <v>1</v>
      </c>
      <c r="L149" s="22" t="n">
        <v>0</v>
      </c>
      <c r="M149" s="21" t="s">
        <v>172</v>
      </c>
      <c r="N149" s="21"/>
      <c r="O149" s="22"/>
      <c r="P149" s="20" t="n">
        <f aca="false">IF($N149="Reduce",N($O149),0)</f>
        <v>0</v>
      </c>
      <c r="Q149" s="23" t="str">
        <f aca="false">IF($F149="","",MID(IF($G149="",", career level","")&amp;IF($I149="",", nationality mandate","")&amp;IF($N149="",", capacity direction","")&amp;IF(N($J149)&lt;=0,", approved HC","")&amp;IF(AND($G149&lt;&gt;"",COUNTIF(CareerLevels,$G149)=0),", a career level that is not on the ladder","")&amp;IF(AND($N149="Reduce",N($O149)&lt;=0),", how many seats Reduce means","")&amp;IF(AND(N($O149)&gt;0,$N149&lt;&gt;"Reduce"),", a number of seats on a row not marked Reduce","")&amp;IF(N($O149)&gt;N($J149),", more seats given up than the row has",""),3,200))</f>
        <v>career level, nationality mandate, capacity direction</v>
      </c>
    </row>
    <row r="150" customFormat="false" ht="15" hidden="false" customHeight="false" outlineLevel="0" collapsed="false">
      <c r="A150" s="21" t="s">
        <v>234</v>
      </c>
      <c r="B150" s="21" t="s">
        <v>125</v>
      </c>
      <c r="C150" s="21" t="s">
        <v>141</v>
      </c>
      <c r="D150" s="21" t="s">
        <v>149</v>
      </c>
      <c r="E150" s="21" t="s">
        <v>151</v>
      </c>
      <c r="F150" s="21" t="s">
        <v>271</v>
      </c>
      <c r="G150" s="21"/>
      <c r="H150" s="21" t="s">
        <v>180</v>
      </c>
      <c r="I150" s="21"/>
      <c r="J150" s="22" t="n">
        <v>1</v>
      </c>
      <c r="K150" s="22" t="n">
        <v>1</v>
      </c>
      <c r="L150" s="22" t="n">
        <v>0</v>
      </c>
      <c r="M150" s="21" t="s">
        <v>168</v>
      </c>
      <c r="N150" s="21"/>
      <c r="O150" s="22"/>
      <c r="P150" s="20" t="n">
        <f aca="false">IF($N150="Reduce",N($O150),0)</f>
        <v>0</v>
      </c>
      <c r="Q150" s="23" t="str">
        <f aca="false">IF($F150="","",MID(IF($G150="",", career level","")&amp;IF($I150="",", nationality mandate","")&amp;IF($N150="",", capacity direction","")&amp;IF(N($J150)&lt;=0,", approved HC","")&amp;IF(AND($G150&lt;&gt;"",COUNTIF(CareerLevels,$G150)=0),", a career level that is not on the ladder","")&amp;IF(AND($N150="Reduce",N($O150)&lt;=0),", how many seats Reduce means","")&amp;IF(AND(N($O150)&gt;0,$N150&lt;&gt;"Reduce"),", a number of seats on a row not marked Reduce","")&amp;IF(N($O150)&gt;N($J150),", more seats given up than the row has",""),3,200))</f>
        <v>career level, nationality mandate, capacity direction</v>
      </c>
    </row>
    <row r="151" customFormat="false" ht="15" hidden="false" customHeight="false" outlineLevel="0" collapsed="false">
      <c r="A151" s="21" t="s">
        <v>228</v>
      </c>
      <c r="B151" s="21" t="s">
        <v>125</v>
      </c>
      <c r="C151" s="21" t="s">
        <v>141</v>
      </c>
      <c r="D151" s="21" t="s">
        <v>149</v>
      </c>
      <c r="E151" s="21" t="s">
        <v>151</v>
      </c>
      <c r="F151" s="21" t="s">
        <v>272</v>
      </c>
      <c r="G151" s="21"/>
      <c r="H151" s="21" t="s">
        <v>177</v>
      </c>
      <c r="I151" s="21"/>
      <c r="J151" s="22" t="n">
        <v>1</v>
      </c>
      <c r="K151" s="22" t="n">
        <v>1</v>
      </c>
      <c r="L151" s="22" t="n">
        <v>0</v>
      </c>
      <c r="M151" s="21" t="s">
        <v>172</v>
      </c>
      <c r="N151" s="21"/>
      <c r="O151" s="22"/>
      <c r="P151" s="20" t="n">
        <f aca="false">IF($N151="Reduce",N($O151),0)</f>
        <v>0</v>
      </c>
      <c r="Q151" s="23" t="str">
        <f aca="false">IF($F151="","",MID(IF($G151="",", career level","")&amp;IF($I151="",", nationality mandate","")&amp;IF($N151="",", capacity direction","")&amp;IF(N($J151)&lt;=0,", approved HC","")&amp;IF(AND($G151&lt;&gt;"",COUNTIF(CareerLevels,$G151)=0),", a career level that is not on the ladder","")&amp;IF(AND($N151="Reduce",N($O151)&lt;=0),", how many seats Reduce means","")&amp;IF(AND(N($O151)&gt;0,$N151&lt;&gt;"Reduce"),", a number of seats on a row not marked Reduce","")&amp;IF(N($O151)&gt;N($J151),", more seats given up than the row has",""),3,200))</f>
        <v>career level, nationality mandate, capacity direction</v>
      </c>
    </row>
    <row r="152" customFormat="false" ht="15" hidden="false" customHeight="false" outlineLevel="0" collapsed="false">
      <c r="A152" s="21"/>
      <c r="B152" s="21" t="s">
        <v>125</v>
      </c>
      <c r="C152" s="21" t="s">
        <v>141</v>
      </c>
      <c r="D152" s="21" t="s">
        <v>149</v>
      </c>
      <c r="E152" s="21" t="s">
        <v>153</v>
      </c>
      <c r="F152" s="21" t="s">
        <v>273</v>
      </c>
      <c r="G152" s="21"/>
      <c r="H152" s="21" t="s">
        <v>180</v>
      </c>
      <c r="I152" s="21"/>
      <c r="J152" s="22" t="n">
        <v>2</v>
      </c>
      <c r="K152" s="22" t="n">
        <v>1</v>
      </c>
      <c r="L152" s="22" t="n">
        <v>1</v>
      </c>
      <c r="M152" s="21" t="s">
        <v>172</v>
      </c>
      <c r="N152" s="21"/>
      <c r="O152" s="22"/>
      <c r="P152" s="20" t="n">
        <f aca="false">IF($N152="Reduce",N($O152),0)</f>
        <v>0</v>
      </c>
      <c r="Q152" s="23" t="str">
        <f aca="false">IF($F152="","",MID(IF($G152="",", career level","")&amp;IF($I152="",", nationality mandate","")&amp;IF($N152="",", capacity direction","")&amp;IF(N($J152)&lt;=0,", approved HC","")&amp;IF(AND($G152&lt;&gt;"",COUNTIF(CareerLevels,$G152)=0),", a career level that is not on the ladder","")&amp;IF(AND($N152="Reduce",N($O152)&lt;=0),", how many seats Reduce means","")&amp;IF(AND(N($O152)&gt;0,$N152&lt;&gt;"Reduce"),", a number of seats on a row not marked Reduce","")&amp;IF(N($O152)&gt;N($J152),", more seats given up than the row has",""),3,200))</f>
        <v>career level, nationality mandate, capacity direction</v>
      </c>
    </row>
    <row r="153" customFormat="false" ht="15" hidden="false" customHeight="false" outlineLevel="0" collapsed="false">
      <c r="A153" s="21" t="s">
        <v>187</v>
      </c>
      <c r="B153" s="21" t="s">
        <v>125</v>
      </c>
      <c r="C153" s="21" t="s">
        <v>141</v>
      </c>
      <c r="D153" s="21" t="s">
        <v>149</v>
      </c>
      <c r="E153" s="21" t="s">
        <v>153</v>
      </c>
      <c r="F153" s="21" t="s">
        <v>266</v>
      </c>
      <c r="G153" s="21"/>
      <c r="H153" s="21" t="s">
        <v>180</v>
      </c>
      <c r="I153" s="21"/>
      <c r="J153" s="22" t="n">
        <v>1</v>
      </c>
      <c r="K153" s="22" t="n">
        <v>1</v>
      </c>
      <c r="L153" s="22" t="n">
        <v>0</v>
      </c>
      <c r="M153" s="21" t="s">
        <v>172</v>
      </c>
      <c r="N153" s="21"/>
      <c r="O153" s="22"/>
      <c r="P153" s="20" t="n">
        <f aca="false">IF($N153="Reduce",N($O153),0)</f>
        <v>0</v>
      </c>
      <c r="Q153" s="23" t="str">
        <f aca="false">IF($F153="","",MID(IF($G153="",", career level","")&amp;IF($I153="",", nationality mandate","")&amp;IF($N153="",", capacity direction","")&amp;IF(N($J153)&lt;=0,", approved HC","")&amp;IF(AND($G153&lt;&gt;"",COUNTIF(CareerLevels,$G153)=0),", a career level that is not on the ladder","")&amp;IF(AND($N153="Reduce",N($O153)&lt;=0),", how many seats Reduce means","")&amp;IF(AND(N($O153)&gt;0,$N153&lt;&gt;"Reduce"),", a number of seats on a row not marked Reduce","")&amp;IF(N($O153)&gt;N($J153),", more seats given up than the row has",""),3,200))</f>
        <v>career level, nationality mandate, capacity direction</v>
      </c>
    </row>
    <row r="154" customFormat="false" ht="15" hidden="false" customHeight="false" outlineLevel="0" collapsed="false">
      <c r="A154" s="21"/>
      <c r="B154" s="21" t="s">
        <v>125</v>
      </c>
      <c r="C154" s="21" t="s">
        <v>141</v>
      </c>
      <c r="D154" s="21" t="s">
        <v>149</v>
      </c>
      <c r="E154" s="21" t="s">
        <v>153</v>
      </c>
      <c r="F154" s="21" t="s">
        <v>277</v>
      </c>
      <c r="G154" s="21"/>
      <c r="H154" s="21" t="s">
        <v>180</v>
      </c>
      <c r="I154" s="21"/>
      <c r="J154" s="22" t="n">
        <v>2</v>
      </c>
      <c r="K154" s="22" t="n">
        <v>1</v>
      </c>
      <c r="L154" s="22" t="n">
        <v>1</v>
      </c>
      <c r="M154" s="21" t="s">
        <v>172</v>
      </c>
      <c r="N154" s="21"/>
      <c r="O154" s="22"/>
      <c r="P154" s="20" t="n">
        <f aca="false">IF($N154="Reduce",N($O154),0)</f>
        <v>0</v>
      </c>
      <c r="Q154" s="23" t="str">
        <f aca="false">IF($F154="","",MID(IF($G154="",", career level","")&amp;IF($I154="",", nationality mandate","")&amp;IF($N154="",", capacity direction","")&amp;IF(N($J154)&lt;=0,", approved HC","")&amp;IF(AND($G154&lt;&gt;"",COUNTIF(CareerLevels,$G154)=0),", a career level that is not on the ladder","")&amp;IF(AND($N154="Reduce",N($O154)&lt;=0),", how many seats Reduce means","")&amp;IF(AND(N($O154)&gt;0,$N154&lt;&gt;"Reduce"),", a number of seats on a row not marked Reduce","")&amp;IF(N($O154)&gt;N($J154),", more seats given up than the row has",""),3,200))</f>
        <v>career level, nationality mandate, capacity direction</v>
      </c>
    </row>
    <row r="155" customFormat="false" ht="15" hidden="false" customHeight="false" outlineLevel="0" collapsed="false">
      <c r="A155" s="21" t="s">
        <v>199</v>
      </c>
      <c r="B155" s="21" t="s">
        <v>125</v>
      </c>
      <c r="C155" s="21" t="s">
        <v>141</v>
      </c>
      <c r="D155" s="21" t="s">
        <v>149</v>
      </c>
      <c r="E155" s="21" t="s">
        <v>153</v>
      </c>
      <c r="F155" s="21" t="s">
        <v>270</v>
      </c>
      <c r="G155" s="21"/>
      <c r="H155" s="21" t="s">
        <v>180</v>
      </c>
      <c r="I155" s="21"/>
      <c r="J155" s="22" t="n">
        <v>1</v>
      </c>
      <c r="K155" s="22" t="n">
        <v>1</v>
      </c>
      <c r="L155" s="22" t="n">
        <v>0</v>
      </c>
      <c r="M155" s="21" t="s">
        <v>172</v>
      </c>
      <c r="N155" s="21"/>
      <c r="O155" s="22"/>
      <c r="P155" s="20" t="n">
        <f aca="false">IF($N155="Reduce",N($O155),0)</f>
        <v>0</v>
      </c>
      <c r="Q155" s="23" t="str">
        <f aca="false">IF($F155="","",MID(IF($G155="",", career level","")&amp;IF($I155="",", nationality mandate","")&amp;IF($N155="",", capacity direction","")&amp;IF(N($J155)&lt;=0,", approved HC","")&amp;IF(AND($G155&lt;&gt;"",COUNTIF(CareerLevels,$G155)=0),", a career level that is not on the ladder","")&amp;IF(AND($N155="Reduce",N($O155)&lt;=0),", how many seats Reduce means","")&amp;IF(AND(N($O155)&gt;0,$N155&lt;&gt;"Reduce"),", a number of seats on a row not marked Reduce","")&amp;IF(N($O155)&gt;N($J155),", more seats given up than the row has",""),3,200))</f>
        <v>career level, nationality mandate, capacity direction</v>
      </c>
    </row>
    <row r="156" customFormat="false" ht="15" hidden="false" customHeight="false" outlineLevel="0" collapsed="false">
      <c r="A156" s="21" t="s">
        <v>196</v>
      </c>
      <c r="B156" s="21" t="s">
        <v>125</v>
      </c>
      <c r="C156" s="21" t="s">
        <v>141</v>
      </c>
      <c r="D156" s="21" t="s">
        <v>149</v>
      </c>
      <c r="E156" s="21" t="s">
        <v>153</v>
      </c>
      <c r="F156" s="21" t="s">
        <v>271</v>
      </c>
      <c r="G156" s="21"/>
      <c r="H156" s="21" t="s">
        <v>180</v>
      </c>
      <c r="I156" s="21"/>
      <c r="J156" s="22" t="n">
        <v>1</v>
      </c>
      <c r="K156" s="22" t="n">
        <v>1</v>
      </c>
      <c r="L156" s="22" t="n">
        <v>0</v>
      </c>
      <c r="M156" s="21" t="s">
        <v>172</v>
      </c>
      <c r="N156" s="21"/>
      <c r="O156" s="22"/>
      <c r="P156" s="20" t="n">
        <f aca="false">IF($N156="Reduce",N($O156),0)</f>
        <v>0</v>
      </c>
      <c r="Q156" s="23" t="str">
        <f aca="false">IF($F156="","",MID(IF($G156="",", career level","")&amp;IF($I156="",", nationality mandate","")&amp;IF($N156="",", capacity direction","")&amp;IF(N($J156)&lt;=0,", approved HC","")&amp;IF(AND($G156&lt;&gt;"",COUNTIF(CareerLevels,$G156)=0),", a career level that is not on the ladder","")&amp;IF(AND($N156="Reduce",N($O156)&lt;=0),", how many seats Reduce means","")&amp;IF(AND(N($O156)&gt;0,$N156&lt;&gt;"Reduce"),", a number of seats on a row not marked Reduce","")&amp;IF(N($O156)&gt;N($J156),", more seats given up than the row has",""),3,200))</f>
        <v>career level, nationality mandate, capacity direction</v>
      </c>
    </row>
    <row r="157" customFormat="false" ht="15" hidden="false" customHeight="false" outlineLevel="0" collapsed="false">
      <c r="A157" s="21" t="s">
        <v>278</v>
      </c>
      <c r="B157" s="21" t="s">
        <v>125</v>
      </c>
      <c r="C157" s="21" t="s">
        <v>141</v>
      </c>
      <c r="D157" s="21" t="s">
        <v>149</v>
      </c>
      <c r="E157" s="21" t="s">
        <v>153</v>
      </c>
      <c r="F157" s="21" t="s">
        <v>272</v>
      </c>
      <c r="G157" s="21"/>
      <c r="H157" s="21" t="s">
        <v>177</v>
      </c>
      <c r="I157" s="21"/>
      <c r="J157" s="22" t="n">
        <v>1</v>
      </c>
      <c r="K157" s="22" t="n">
        <v>0</v>
      </c>
      <c r="L157" s="22" t="n">
        <v>1</v>
      </c>
      <c r="M157" s="21" t="s">
        <v>172</v>
      </c>
      <c r="N157" s="21"/>
      <c r="O157" s="22"/>
      <c r="P157" s="20" t="n">
        <f aca="false">IF($N157="Reduce",N($O157),0)</f>
        <v>0</v>
      </c>
      <c r="Q157" s="23" t="str">
        <f aca="false">IF($F157="","",MID(IF($G157="",", career level","")&amp;IF($I157="",", nationality mandate","")&amp;IF($N157="",", capacity direction","")&amp;IF(N($J157)&lt;=0,", approved HC","")&amp;IF(AND($G157&lt;&gt;"",COUNTIF(CareerLevels,$G157)=0),", a career level that is not on the ladder","")&amp;IF(AND($N157="Reduce",N($O157)&lt;=0),", how many seats Reduce means","")&amp;IF(AND(N($O157)&gt;0,$N157&lt;&gt;"Reduce"),", a number of seats on a row not marked Reduce","")&amp;IF(N($O157)&gt;N($J157),", more seats given up than the row has",""),3,200))</f>
        <v>career level, nationality mandate, capacity direction</v>
      </c>
    </row>
    <row r="158" customFormat="false" ht="15" hidden="false" customHeight="false" outlineLevel="0" collapsed="false">
      <c r="A158" s="21"/>
      <c r="B158" s="21"/>
      <c r="C158" s="21"/>
      <c r="D158" s="21"/>
      <c r="E158" s="21"/>
      <c r="F158" s="21"/>
      <c r="G158" s="21"/>
      <c r="H158" s="21"/>
      <c r="I158" s="21"/>
      <c r="J158" s="22"/>
      <c r="K158" s="22"/>
      <c r="L158" s="22"/>
      <c r="M158" s="21"/>
      <c r="N158" s="21"/>
      <c r="O158" s="22"/>
      <c r="P158" s="20" t="n">
        <f aca="false">IF($N158="Reduce",N($O158),0)</f>
        <v>0</v>
      </c>
      <c r="Q158" s="23" t="str">
        <f aca="false">IF($F158="","",MID(IF($G158="",", career level","")&amp;IF($I158="",", nationality mandate","")&amp;IF($N158="",", capacity direction","")&amp;IF(N($J158)&lt;=0,", approved HC","")&amp;IF(AND($G158&lt;&gt;"",COUNTIF(CareerLevels,$G158)=0),", a career level that is not on the ladder","")&amp;IF(AND($N158="Reduce",N($O158)&lt;=0),", how many seats Reduce means","")&amp;IF(AND(N($O158)&gt;0,$N158&lt;&gt;"Reduce"),", a number of seats on a row not marked Reduce","")&amp;IF(N($O158)&gt;N($J158),", more seats given up than the row has",""),3,200))</f>
        <v/>
      </c>
    </row>
    <row r="159" customFormat="false" ht="15" hidden="false" customHeight="false" outlineLevel="0" collapsed="false">
      <c r="A159" s="21"/>
      <c r="B159" s="21"/>
      <c r="C159" s="21"/>
      <c r="D159" s="21"/>
      <c r="E159" s="21"/>
      <c r="F159" s="21"/>
      <c r="G159" s="21"/>
      <c r="H159" s="21"/>
      <c r="I159" s="21"/>
      <c r="J159" s="22"/>
      <c r="K159" s="22"/>
      <c r="L159" s="22"/>
      <c r="M159" s="21"/>
      <c r="N159" s="21"/>
      <c r="O159" s="22"/>
      <c r="P159" s="20" t="n">
        <f aca="false">IF($N159="Reduce",N($O159),0)</f>
        <v>0</v>
      </c>
      <c r="Q159" s="23" t="str">
        <f aca="false">IF($F159="","",MID(IF($G159="",", career level","")&amp;IF($I159="",", nationality mandate","")&amp;IF($N159="",", capacity direction","")&amp;IF(N($J159)&lt;=0,", approved HC","")&amp;IF(AND($G159&lt;&gt;"",COUNTIF(CareerLevels,$G159)=0),", a career level that is not on the ladder","")&amp;IF(AND($N159="Reduce",N($O159)&lt;=0),", how many seats Reduce means","")&amp;IF(AND(N($O159)&gt;0,$N159&lt;&gt;"Reduce"),", a number of seats on a row not marked Reduce","")&amp;IF(N($O159)&gt;N($J159),", more seats given up than the row has",""),3,200))</f>
        <v/>
      </c>
    </row>
    <row r="160" customFormat="false" ht="15" hidden="false" customHeight="false" outlineLevel="0" collapsed="false">
      <c r="A160" s="21"/>
      <c r="B160" s="21"/>
      <c r="C160" s="21"/>
      <c r="D160" s="21"/>
      <c r="E160" s="21"/>
      <c r="F160" s="21"/>
      <c r="G160" s="21"/>
      <c r="H160" s="21"/>
      <c r="I160" s="21"/>
      <c r="J160" s="22"/>
      <c r="K160" s="22"/>
      <c r="L160" s="22"/>
      <c r="M160" s="21"/>
      <c r="N160" s="21"/>
      <c r="O160" s="22"/>
      <c r="P160" s="20" t="n">
        <f aca="false">IF($N160="Reduce",N($O160),0)</f>
        <v>0</v>
      </c>
      <c r="Q160" s="23" t="str">
        <f aca="false">IF($F160="","",MID(IF($G160="",", career level","")&amp;IF($I160="",", nationality mandate","")&amp;IF($N160="",", capacity direction","")&amp;IF(N($J160)&lt;=0,", approved HC","")&amp;IF(AND($G160&lt;&gt;"",COUNTIF(CareerLevels,$G160)=0),", a career level that is not on the ladder","")&amp;IF(AND($N160="Reduce",N($O160)&lt;=0),", how many seats Reduce means","")&amp;IF(AND(N($O160)&gt;0,$N160&lt;&gt;"Reduce"),", a number of seats on a row not marked Reduce","")&amp;IF(N($O160)&gt;N($J160),", more seats given up than the row has",""),3,200))</f>
        <v/>
      </c>
    </row>
    <row r="161" customFormat="false" ht="15" hidden="false" customHeight="false" outlineLevel="0" collapsed="false">
      <c r="A161" s="21"/>
      <c r="B161" s="21"/>
      <c r="C161" s="21"/>
      <c r="D161" s="21"/>
      <c r="E161" s="21"/>
      <c r="F161" s="21"/>
      <c r="G161" s="21"/>
      <c r="H161" s="21"/>
      <c r="I161" s="21"/>
      <c r="J161" s="22"/>
      <c r="K161" s="22"/>
      <c r="L161" s="22"/>
      <c r="M161" s="21"/>
      <c r="N161" s="21"/>
      <c r="O161" s="22"/>
      <c r="P161" s="20" t="n">
        <f aca="false">IF($N161="Reduce",N($O161),0)</f>
        <v>0</v>
      </c>
      <c r="Q161" s="23" t="str">
        <f aca="false">IF($F161="","",MID(IF($G161="",", career level","")&amp;IF($I161="",", nationality mandate","")&amp;IF($N161="",", capacity direction","")&amp;IF(N($J161)&lt;=0,", approved HC","")&amp;IF(AND($G161&lt;&gt;"",COUNTIF(CareerLevels,$G161)=0),", a career level that is not on the ladder","")&amp;IF(AND($N161="Reduce",N($O161)&lt;=0),", how many seats Reduce means","")&amp;IF(AND(N($O161)&gt;0,$N161&lt;&gt;"Reduce"),", a number of seats on a row not marked Reduce","")&amp;IF(N($O161)&gt;N($J161),", more seats given up than the row has",""),3,200))</f>
        <v/>
      </c>
    </row>
    <row r="162" customFormat="false" ht="15" hidden="false" customHeight="false" outlineLevel="0" collapsed="false">
      <c r="A162" s="21"/>
      <c r="B162" s="21"/>
      <c r="C162" s="21"/>
      <c r="D162" s="21"/>
      <c r="E162" s="21"/>
      <c r="F162" s="21"/>
      <c r="G162" s="21"/>
      <c r="H162" s="21"/>
      <c r="I162" s="21"/>
      <c r="J162" s="22"/>
      <c r="K162" s="22"/>
      <c r="L162" s="22"/>
      <c r="M162" s="21"/>
      <c r="N162" s="21"/>
      <c r="O162" s="22"/>
      <c r="P162" s="20" t="n">
        <f aca="false">IF($N162="Reduce",N($O162),0)</f>
        <v>0</v>
      </c>
      <c r="Q162" s="23" t="str">
        <f aca="false">IF($F162="","",MID(IF($G162="",", career level","")&amp;IF($I162="",", nationality mandate","")&amp;IF($N162="",", capacity direction","")&amp;IF(N($J162)&lt;=0,", approved HC","")&amp;IF(AND($G162&lt;&gt;"",COUNTIF(CareerLevels,$G162)=0),", a career level that is not on the ladder","")&amp;IF(AND($N162="Reduce",N($O162)&lt;=0),", how many seats Reduce means","")&amp;IF(AND(N($O162)&gt;0,$N162&lt;&gt;"Reduce"),", a number of seats on a row not marked Reduce","")&amp;IF(N($O162)&gt;N($J162),", more seats given up than the row has",""),3,200))</f>
        <v/>
      </c>
    </row>
    <row r="163" customFormat="false" ht="15" hidden="false" customHeight="false" outlineLevel="0" collapsed="false">
      <c r="A163" s="21"/>
      <c r="B163" s="21"/>
      <c r="C163" s="21"/>
      <c r="D163" s="21"/>
      <c r="E163" s="21"/>
      <c r="F163" s="21"/>
      <c r="G163" s="21"/>
      <c r="H163" s="21"/>
      <c r="I163" s="21"/>
      <c r="J163" s="22"/>
      <c r="K163" s="22"/>
      <c r="L163" s="22"/>
      <c r="M163" s="21"/>
      <c r="N163" s="21"/>
      <c r="O163" s="22"/>
      <c r="P163" s="20" t="n">
        <f aca="false">IF($N163="Reduce",N($O163),0)</f>
        <v>0</v>
      </c>
      <c r="Q163" s="23" t="str">
        <f aca="false">IF($F163="","",MID(IF($G163="",", career level","")&amp;IF($I163="",", nationality mandate","")&amp;IF($N163="",", capacity direction","")&amp;IF(N($J163)&lt;=0,", approved HC","")&amp;IF(AND($G163&lt;&gt;"",COUNTIF(CareerLevels,$G163)=0),", a career level that is not on the ladder","")&amp;IF(AND($N163="Reduce",N($O163)&lt;=0),", how many seats Reduce means","")&amp;IF(AND(N($O163)&gt;0,$N163&lt;&gt;"Reduce"),", a number of seats on a row not marked Reduce","")&amp;IF(N($O163)&gt;N($J163),", more seats given up than the row has",""),3,200))</f>
        <v/>
      </c>
    </row>
    <row r="164" customFormat="false" ht="15" hidden="false" customHeight="false" outlineLevel="0" collapsed="false">
      <c r="A164" s="21"/>
      <c r="B164" s="21"/>
      <c r="C164" s="21"/>
      <c r="D164" s="21"/>
      <c r="E164" s="21"/>
      <c r="F164" s="21"/>
      <c r="G164" s="21"/>
      <c r="H164" s="21"/>
      <c r="I164" s="21"/>
      <c r="J164" s="22"/>
      <c r="K164" s="22"/>
      <c r="L164" s="22"/>
      <c r="M164" s="21"/>
      <c r="N164" s="21"/>
      <c r="O164" s="22"/>
      <c r="P164" s="20" t="n">
        <f aca="false">IF($N164="Reduce",N($O164),0)</f>
        <v>0</v>
      </c>
      <c r="Q164" s="23" t="str">
        <f aca="false">IF($F164="","",MID(IF($G164="",", career level","")&amp;IF($I164="",", nationality mandate","")&amp;IF($N164="",", capacity direction","")&amp;IF(N($J164)&lt;=0,", approved HC","")&amp;IF(AND($G164&lt;&gt;"",COUNTIF(CareerLevels,$G164)=0),", a career level that is not on the ladder","")&amp;IF(AND($N164="Reduce",N($O164)&lt;=0),", how many seats Reduce means","")&amp;IF(AND(N($O164)&gt;0,$N164&lt;&gt;"Reduce"),", a number of seats on a row not marked Reduce","")&amp;IF(N($O164)&gt;N($J164),", more seats given up than the row has",""),3,200))</f>
        <v/>
      </c>
    </row>
    <row r="165" customFormat="false" ht="15" hidden="false" customHeight="false" outlineLevel="0" collapsed="false">
      <c r="A165" s="21"/>
      <c r="B165" s="21"/>
      <c r="C165" s="21"/>
      <c r="D165" s="21"/>
      <c r="E165" s="21"/>
      <c r="F165" s="21"/>
      <c r="G165" s="21"/>
      <c r="H165" s="21"/>
      <c r="I165" s="21"/>
      <c r="J165" s="22"/>
      <c r="K165" s="22"/>
      <c r="L165" s="22"/>
      <c r="M165" s="21"/>
      <c r="N165" s="21"/>
      <c r="O165" s="22"/>
      <c r="P165" s="20" t="n">
        <f aca="false">IF($N165="Reduce",N($O165),0)</f>
        <v>0</v>
      </c>
      <c r="Q165" s="23" t="str">
        <f aca="false">IF($F165="","",MID(IF($G165="",", career level","")&amp;IF($I165="",", nationality mandate","")&amp;IF($N165="",", capacity direction","")&amp;IF(N($J165)&lt;=0,", approved HC","")&amp;IF(AND($G165&lt;&gt;"",COUNTIF(CareerLevels,$G165)=0),", a career level that is not on the ladder","")&amp;IF(AND($N165="Reduce",N($O165)&lt;=0),", how many seats Reduce means","")&amp;IF(AND(N($O165)&gt;0,$N165&lt;&gt;"Reduce"),", a number of seats on a row not marked Reduce","")&amp;IF(N($O165)&gt;N($J165),", more seats given up than the row has",""),3,200))</f>
        <v/>
      </c>
    </row>
    <row r="166" customFormat="false" ht="15" hidden="false" customHeight="false" outlineLevel="0" collapsed="false">
      <c r="A166" s="21"/>
      <c r="B166" s="21"/>
      <c r="C166" s="21"/>
      <c r="D166" s="21"/>
      <c r="E166" s="21"/>
      <c r="F166" s="21"/>
      <c r="G166" s="21"/>
      <c r="H166" s="21"/>
      <c r="I166" s="21"/>
      <c r="J166" s="22"/>
      <c r="K166" s="22"/>
      <c r="L166" s="22"/>
      <c r="M166" s="21"/>
      <c r="N166" s="21"/>
      <c r="O166" s="22"/>
      <c r="P166" s="20" t="n">
        <f aca="false">IF($N166="Reduce",N($O166),0)</f>
        <v>0</v>
      </c>
      <c r="Q166" s="23" t="str">
        <f aca="false">IF($F166="","",MID(IF($G166="",", career level","")&amp;IF($I166="",", nationality mandate","")&amp;IF($N166="",", capacity direction","")&amp;IF(N($J166)&lt;=0,", approved HC","")&amp;IF(AND($G166&lt;&gt;"",COUNTIF(CareerLevels,$G166)=0),", a career level that is not on the ladder","")&amp;IF(AND($N166="Reduce",N($O166)&lt;=0),", how many seats Reduce means","")&amp;IF(AND(N($O166)&gt;0,$N166&lt;&gt;"Reduce"),", a number of seats on a row not marked Reduce","")&amp;IF(N($O166)&gt;N($J166),", more seats given up than the row has",""),3,200))</f>
        <v/>
      </c>
    </row>
    <row r="167" customFormat="false" ht="15" hidden="false" customHeight="false" outlineLevel="0" collapsed="false">
      <c r="A167" s="21"/>
      <c r="B167" s="21"/>
      <c r="C167" s="21"/>
      <c r="D167" s="21"/>
      <c r="E167" s="21"/>
      <c r="F167" s="21"/>
      <c r="G167" s="21"/>
      <c r="H167" s="21"/>
      <c r="I167" s="21"/>
      <c r="J167" s="22"/>
      <c r="K167" s="22"/>
      <c r="L167" s="22"/>
      <c r="M167" s="21"/>
      <c r="N167" s="21"/>
      <c r="O167" s="22"/>
      <c r="P167" s="20" t="n">
        <f aca="false">IF($N167="Reduce",N($O167),0)</f>
        <v>0</v>
      </c>
      <c r="Q167" s="23" t="str">
        <f aca="false">IF($F167="","",MID(IF($G167="",", career level","")&amp;IF($I167="",", nationality mandate","")&amp;IF($N167="",", capacity direction","")&amp;IF(N($J167)&lt;=0,", approved HC","")&amp;IF(AND($G167&lt;&gt;"",COUNTIF(CareerLevels,$G167)=0),", a career level that is not on the ladder","")&amp;IF(AND($N167="Reduce",N($O167)&lt;=0),", how many seats Reduce means","")&amp;IF(AND(N($O167)&gt;0,$N167&lt;&gt;"Reduce"),", a number of seats on a row not marked Reduce","")&amp;IF(N($O167)&gt;N($J167),", more seats given up than the row has",""),3,200))</f>
        <v/>
      </c>
    </row>
    <row r="168" customFormat="false" ht="15" hidden="false" customHeight="false" outlineLevel="0" collapsed="false">
      <c r="A168" s="21"/>
      <c r="B168" s="21"/>
      <c r="C168" s="21"/>
      <c r="D168" s="21"/>
      <c r="E168" s="21"/>
      <c r="F168" s="21"/>
      <c r="G168" s="21"/>
      <c r="H168" s="21"/>
      <c r="I168" s="21"/>
      <c r="J168" s="22"/>
      <c r="K168" s="22"/>
      <c r="L168" s="22"/>
      <c r="M168" s="21"/>
      <c r="N168" s="21"/>
      <c r="O168" s="22"/>
      <c r="P168" s="20" t="n">
        <f aca="false">IF($N168="Reduce",N($O168),0)</f>
        <v>0</v>
      </c>
      <c r="Q168" s="23" t="str">
        <f aca="false">IF($F168="","",MID(IF($G168="",", career level","")&amp;IF($I168="",", nationality mandate","")&amp;IF($N168="",", capacity direction","")&amp;IF(N($J168)&lt;=0,", approved HC","")&amp;IF(AND($G168&lt;&gt;"",COUNTIF(CareerLevels,$G168)=0),", a career level that is not on the ladder","")&amp;IF(AND($N168="Reduce",N($O168)&lt;=0),", how many seats Reduce means","")&amp;IF(AND(N($O168)&gt;0,$N168&lt;&gt;"Reduce"),", a number of seats on a row not marked Reduce","")&amp;IF(N($O168)&gt;N($J168),", more seats given up than the row has",""),3,200))</f>
        <v/>
      </c>
    </row>
    <row r="169" customFormat="false" ht="15" hidden="false" customHeight="false" outlineLevel="0" collapsed="false">
      <c r="A169" s="21"/>
      <c r="B169" s="21"/>
      <c r="C169" s="21"/>
      <c r="D169" s="21"/>
      <c r="E169" s="21"/>
      <c r="F169" s="21"/>
      <c r="G169" s="21"/>
      <c r="H169" s="21"/>
      <c r="I169" s="21"/>
      <c r="J169" s="22"/>
      <c r="K169" s="22"/>
      <c r="L169" s="22"/>
      <c r="M169" s="21"/>
      <c r="N169" s="21"/>
      <c r="O169" s="22"/>
      <c r="P169" s="20" t="n">
        <f aca="false">IF($N169="Reduce",N($O169),0)</f>
        <v>0</v>
      </c>
      <c r="Q169" s="23" t="str">
        <f aca="false">IF($F169="","",MID(IF($G169="",", career level","")&amp;IF($I169="",", nationality mandate","")&amp;IF($N169="",", capacity direction","")&amp;IF(N($J169)&lt;=0,", approved HC","")&amp;IF(AND($G169&lt;&gt;"",COUNTIF(CareerLevels,$G169)=0),", a career level that is not on the ladder","")&amp;IF(AND($N169="Reduce",N($O169)&lt;=0),", how many seats Reduce means","")&amp;IF(AND(N($O169)&gt;0,$N169&lt;&gt;"Reduce"),", a number of seats on a row not marked Reduce","")&amp;IF(N($O169)&gt;N($J169),", more seats given up than the row has",""),3,200))</f>
        <v/>
      </c>
    </row>
    <row r="170" customFormat="false" ht="15" hidden="false" customHeight="false" outlineLevel="0" collapsed="false">
      <c r="A170" s="21"/>
      <c r="B170" s="21"/>
      <c r="C170" s="21"/>
      <c r="D170" s="21"/>
      <c r="E170" s="21"/>
      <c r="F170" s="21"/>
      <c r="G170" s="21"/>
      <c r="H170" s="21"/>
      <c r="I170" s="21"/>
      <c r="J170" s="22"/>
      <c r="K170" s="22"/>
      <c r="L170" s="22"/>
      <c r="M170" s="21"/>
      <c r="N170" s="21"/>
      <c r="O170" s="22"/>
      <c r="P170" s="20" t="n">
        <f aca="false">IF($N170="Reduce",N($O170),0)</f>
        <v>0</v>
      </c>
      <c r="Q170" s="23" t="str">
        <f aca="false">IF($F170="","",MID(IF($G170="",", career level","")&amp;IF($I170="",", nationality mandate","")&amp;IF($N170="",", capacity direction","")&amp;IF(N($J170)&lt;=0,", approved HC","")&amp;IF(AND($G170&lt;&gt;"",COUNTIF(CareerLevels,$G170)=0),", a career level that is not on the ladder","")&amp;IF(AND($N170="Reduce",N($O170)&lt;=0),", how many seats Reduce means","")&amp;IF(AND(N($O170)&gt;0,$N170&lt;&gt;"Reduce"),", a number of seats on a row not marked Reduce","")&amp;IF(N($O170)&gt;N($J170),", more seats given up than the row has",""),3,200))</f>
        <v/>
      </c>
    </row>
    <row r="171" customFormat="false" ht="15" hidden="false" customHeight="false" outlineLevel="0" collapsed="false">
      <c r="A171" s="21"/>
      <c r="B171" s="21"/>
      <c r="C171" s="21"/>
      <c r="D171" s="21"/>
      <c r="E171" s="21"/>
      <c r="F171" s="21"/>
      <c r="G171" s="21"/>
      <c r="H171" s="21"/>
      <c r="I171" s="21"/>
      <c r="J171" s="22"/>
      <c r="K171" s="22"/>
      <c r="L171" s="22"/>
      <c r="M171" s="21"/>
      <c r="N171" s="21"/>
      <c r="O171" s="22"/>
      <c r="P171" s="20" t="n">
        <f aca="false">IF($N171="Reduce",N($O171),0)</f>
        <v>0</v>
      </c>
      <c r="Q171" s="23" t="str">
        <f aca="false">IF($F171="","",MID(IF($G171="",", career level","")&amp;IF($I171="",", nationality mandate","")&amp;IF($N171="",", capacity direction","")&amp;IF(N($J171)&lt;=0,", approved HC","")&amp;IF(AND($G171&lt;&gt;"",COUNTIF(CareerLevels,$G171)=0),", a career level that is not on the ladder","")&amp;IF(AND($N171="Reduce",N($O171)&lt;=0),", how many seats Reduce means","")&amp;IF(AND(N($O171)&gt;0,$N171&lt;&gt;"Reduce"),", a number of seats on a row not marked Reduce","")&amp;IF(N($O171)&gt;N($J171),", more seats given up than the row has",""),3,200))</f>
        <v/>
      </c>
    </row>
    <row r="172" customFormat="false" ht="15" hidden="false" customHeight="false" outlineLevel="0" collapsed="false">
      <c r="A172" s="21"/>
      <c r="B172" s="21"/>
      <c r="C172" s="21"/>
      <c r="D172" s="21"/>
      <c r="E172" s="21"/>
      <c r="F172" s="21"/>
      <c r="G172" s="21"/>
      <c r="H172" s="21"/>
      <c r="I172" s="21"/>
      <c r="J172" s="22"/>
      <c r="K172" s="22"/>
      <c r="L172" s="22"/>
      <c r="M172" s="21"/>
      <c r="N172" s="21"/>
      <c r="O172" s="22"/>
      <c r="P172" s="20" t="n">
        <f aca="false">IF($N172="Reduce",N($O172),0)</f>
        <v>0</v>
      </c>
      <c r="Q172" s="23" t="str">
        <f aca="false">IF($F172="","",MID(IF($G172="",", career level","")&amp;IF($I172="",", nationality mandate","")&amp;IF($N172="",", capacity direction","")&amp;IF(N($J172)&lt;=0,", approved HC","")&amp;IF(AND($G172&lt;&gt;"",COUNTIF(CareerLevels,$G172)=0),", a career level that is not on the ladder","")&amp;IF(AND($N172="Reduce",N($O172)&lt;=0),", how many seats Reduce means","")&amp;IF(AND(N($O172)&gt;0,$N172&lt;&gt;"Reduce"),", a number of seats on a row not marked Reduce","")&amp;IF(N($O172)&gt;N($J172),", more seats given up than the row has",""),3,200))</f>
        <v/>
      </c>
    </row>
    <row r="173" customFormat="false" ht="15" hidden="false" customHeight="false" outlineLevel="0" collapsed="false">
      <c r="A173" s="21"/>
      <c r="B173" s="21"/>
      <c r="C173" s="21"/>
      <c r="D173" s="21"/>
      <c r="E173" s="21"/>
      <c r="F173" s="21"/>
      <c r="G173" s="21"/>
      <c r="H173" s="21"/>
      <c r="I173" s="21"/>
      <c r="J173" s="22"/>
      <c r="K173" s="22"/>
      <c r="L173" s="22"/>
      <c r="M173" s="21"/>
      <c r="N173" s="21"/>
      <c r="O173" s="22"/>
      <c r="P173" s="20" t="n">
        <f aca="false">IF($N173="Reduce",N($O173),0)</f>
        <v>0</v>
      </c>
      <c r="Q173" s="23" t="str">
        <f aca="false">IF($F173="","",MID(IF($G173="",", career level","")&amp;IF($I173="",", nationality mandate","")&amp;IF($N173="",", capacity direction","")&amp;IF(N($J173)&lt;=0,", approved HC","")&amp;IF(AND($G173&lt;&gt;"",COUNTIF(CareerLevels,$G173)=0),", a career level that is not on the ladder","")&amp;IF(AND($N173="Reduce",N($O173)&lt;=0),", how many seats Reduce means","")&amp;IF(AND(N($O173)&gt;0,$N173&lt;&gt;"Reduce"),", a number of seats on a row not marked Reduce","")&amp;IF(N($O173)&gt;N($J173),", more seats given up than the row has",""),3,200))</f>
        <v/>
      </c>
    </row>
    <row r="174" customFormat="false" ht="15" hidden="false" customHeight="false" outlineLevel="0" collapsed="false">
      <c r="A174" s="21"/>
      <c r="B174" s="21"/>
      <c r="C174" s="21"/>
      <c r="D174" s="21"/>
      <c r="E174" s="21"/>
      <c r="F174" s="21"/>
      <c r="G174" s="21"/>
      <c r="H174" s="21"/>
      <c r="I174" s="21"/>
      <c r="J174" s="22"/>
      <c r="K174" s="22"/>
      <c r="L174" s="22"/>
      <c r="M174" s="21"/>
      <c r="N174" s="21"/>
      <c r="O174" s="22"/>
      <c r="P174" s="20" t="n">
        <f aca="false">IF($N174="Reduce",N($O174),0)</f>
        <v>0</v>
      </c>
      <c r="Q174" s="23" t="str">
        <f aca="false">IF($F174="","",MID(IF($G174="",", career level","")&amp;IF($I174="",", nationality mandate","")&amp;IF($N174="",", capacity direction","")&amp;IF(N($J174)&lt;=0,", approved HC","")&amp;IF(AND($G174&lt;&gt;"",COUNTIF(CareerLevels,$G174)=0),", a career level that is not on the ladder","")&amp;IF(AND($N174="Reduce",N($O174)&lt;=0),", how many seats Reduce means","")&amp;IF(AND(N($O174)&gt;0,$N174&lt;&gt;"Reduce"),", a number of seats on a row not marked Reduce","")&amp;IF(N($O174)&gt;N($J174),", more seats given up than the row has",""),3,200))</f>
        <v/>
      </c>
    </row>
    <row r="175" customFormat="false" ht="15" hidden="false" customHeight="false" outlineLevel="0" collapsed="false">
      <c r="A175" s="21"/>
      <c r="B175" s="21"/>
      <c r="C175" s="21"/>
      <c r="D175" s="21"/>
      <c r="E175" s="21"/>
      <c r="F175" s="21"/>
      <c r="G175" s="21"/>
      <c r="H175" s="21"/>
      <c r="I175" s="21"/>
      <c r="J175" s="22"/>
      <c r="K175" s="22"/>
      <c r="L175" s="22"/>
      <c r="M175" s="21"/>
      <c r="N175" s="21"/>
      <c r="O175" s="22"/>
      <c r="P175" s="20" t="n">
        <f aca="false">IF($N175="Reduce",N($O175),0)</f>
        <v>0</v>
      </c>
      <c r="Q175" s="23" t="str">
        <f aca="false">IF($F175="","",MID(IF($G175="",", career level","")&amp;IF($I175="",", nationality mandate","")&amp;IF($N175="",", capacity direction","")&amp;IF(N($J175)&lt;=0,", approved HC","")&amp;IF(AND($G175&lt;&gt;"",COUNTIF(CareerLevels,$G175)=0),", a career level that is not on the ladder","")&amp;IF(AND($N175="Reduce",N($O175)&lt;=0),", how many seats Reduce means","")&amp;IF(AND(N($O175)&gt;0,$N175&lt;&gt;"Reduce"),", a number of seats on a row not marked Reduce","")&amp;IF(N($O175)&gt;N($J175),", more seats given up than the row has",""),3,200))</f>
        <v/>
      </c>
    </row>
    <row r="176" customFormat="false" ht="15" hidden="false" customHeight="false" outlineLevel="0" collapsed="false">
      <c r="A176" s="21"/>
      <c r="B176" s="21"/>
      <c r="C176" s="21"/>
      <c r="D176" s="21"/>
      <c r="E176" s="21"/>
      <c r="F176" s="21"/>
      <c r="G176" s="21"/>
      <c r="H176" s="21"/>
      <c r="I176" s="21"/>
      <c r="J176" s="22"/>
      <c r="K176" s="22"/>
      <c r="L176" s="22"/>
      <c r="M176" s="21"/>
      <c r="N176" s="21"/>
      <c r="O176" s="22"/>
      <c r="P176" s="20" t="n">
        <f aca="false">IF($N176="Reduce",N($O176),0)</f>
        <v>0</v>
      </c>
      <c r="Q176" s="23" t="str">
        <f aca="false">IF($F176="","",MID(IF($G176="",", career level","")&amp;IF($I176="",", nationality mandate","")&amp;IF($N176="",", capacity direction","")&amp;IF(N($J176)&lt;=0,", approved HC","")&amp;IF(AND($G176&lt;&gt;"",COUNTIF(CareerLevels,$G176)=0),", a career level that is not on the ladder","")&amp;IF(AND($N176="Reduce",N($O176)&lt;=0),", how many seats Reduce means","")&amp;IF(AND(N($O176)&gt;0,$N176&lt;&gt;"Reduce"),", a number of seats on a row not marked Reduce","")&amp;IF(N($O176)&gt;N($J176),", more seats given up than the row has",""),3,200))</f>
        <v/>
      </c>
    </row>
    <row r="177" customFormat="false" ht="15" hidden="false" customHeight="false" outlineLevel="0" collapsed="false">
      <c r="A177" s="21"/>
      <c r="B177" s="21"/>
      <c r="C177" s="21"/>
      <c r="D177" s="21"/>
      <c r="E177" s="21"/>
      <c r="F177" s="21"/>
      <c r="G177" s="21"/>
      <c r="H177" s="21"/>
      <c r="I177" s="21"/>
      <c r="J177" s="22"/>
      <c r="K177" s="22"/>
      <c r="L177" s="22"/>
      <c r="M177" s="21"/>
      <c r="N177" s="21"/>
      <c r="O177" s="22"/>
      <c r="P177" s="20" t="n">
        <f aca="false">IF($N177="Reduce",N($O177),0)</f>
        <v>0</v>
      </c>
      <c r="Q177" s="23" t="str">
        <f aca="false">IF($F177="","",MID(IF($G177="",", career level","")&amp;IF($I177="",", nationality mandate","")&amp;IF($N177="",", capacity direction","")&amp;IF(N($J177)&lt;=0,", approved HC","")&amp;IF(AND($G177&lt;&gt;"",COUNTIF(CareerLevels,$G177)=0),", a career level that is not on the ladder","")&amp;IF(AND($N177="Reduce",N($O177)&lt;=0),", how many seats Reduce means","")&amp;IF(AND(N($O177)&gt;0,$N177&lt;&gt;"Reduce"),", a number of seats on a row not marked Reduce","")&amp;IF(N($O177)&gt;N($J177),", more seats given up than the row has",""),3,200))</f>
        <v/>
      </c>
    </row>
    <row r="178" customFormat="false" ht="15" hidden="false" customHeight="false" outlineLevel="0" collapsed="false">
      <c r="A178" s="21"/>
      <c r="B178" s="21"/>
      <c r="C178" s="21"/>
      <c r="D178" s="21"/>
      <c r="E178" s="21"/>
      <c r="F178" s="21"/>
      <c r="G178" s="21"/>
      <c r="H178" s="21"/>
      <c r="I178" s="21"/>
      <c r="J178" s="22"/>
      <c r="K178" s="22"/>
      <c r="L178" s="22"/>
      <c r="M178" s="21"/>
      <c r="N178" s="21"/>
      <c r="O178" s="22"/>
      <c r="P178" s="20" t="n">
        <f aca="false">IF($N178="Reduce",N($O178),0)</f>
        <v>0</v>
      </c>
      <c r="Q178" s="23" t="str">
        <f aca="false">IF($F178="","",MID(IF($G178="",", career level","")&amp;IF($I178="",", nationality mandate","")&amp;IF($N178="",", capacity direction","")&amp;IF(N($J178)&lt;=0,", approved HC","")&amp;IF(AND($G178&lt;&gt;"",COUNTIF(CareerLevels,$G178)=0),", a career level that is not on the ladder","")&amp;IF(AND($N178="Reduce",N($O178)&lt;=0),", how many seats Reduce means","")&amp;IF(AND(N($O178)&gt;0,$N178&lt;&gt;"Reduce"),", a number of seats on a row not marked Reduce","")&amp;IF(N($O178)&gt;N($J178),", more seats given up than the row has",""),3,200))</f>
        <v/>
      </c>
    </row>
    <row r="179" customFormat="false" ht="15" hidden="false" customHeight="false" outlineLevel="0" collapsed="false">
      <c r="A179" s="21"/>
      <c r="B179" s="21"/>
      <c r="C179" s="21"/>
      <c r="D179" s="21"/>
      <c r="E179" s="21"/>
      <c r="F179" s="21"/>
      <c r="G179" s="21"/>
      <c r="H179" s="21"/>
      <c r="I179" s="21"/>
      <c r="J179" s="22"/>
      <c r="K179" s="22"/>
      <c r="L179" s="22"/>
      <c r="M179" s="21"/>
      <c r="N179" s="21"/>
      <c r="O179" s="22"/>
      <c r="P179" s="20" t="n">
        <f aca="false">IF($N179="Reduce",N($O179),0)</f>
        <v>0</v>
      </c>
      <c r="Q179" s="23" t="str">
        <f aca="false">IF($F179="","",MID(IF($G179="",", career level","")&amp;IF($I179="",", nationality mandate","")&amp;IF($N179="",", capacity direction","")&amp;IF(N($J179)&lt;=0,", approved HC","")&amp;IF(AND($G179&lt;&gt;"",COUNTIF(CareerLevels,$G179)=0),", a career level that is not on the ladder","")&amp;IF(AND($N179="Reduce",N($O179)&lt;=0),", how many seats Reduce means","")&amp;IF(AND(N($O179)&gt;0,$N179&lt;&gt;"Reduce"),", a number of seats on a row not marked Reduce","")&amp;IF(N($O179)&gt;N($J179),", more seats given up than the row has",""),3,200))</f>
        <v/>
      </c>
    </row>
    <row r="180" customFormat="false" ht="15" hidden="false" customHeight="false" outlineLevel="0" collapsed="false">
      <c r="A180" s="21"/>
      <c r="B180" s="21"/>
      <c r="C180" s="21"/>
      <c r="D180" s="21"/>
      <c r="E180" s="21"/>
      <c r="F180" s="21"/>
      <c r="G180" s="21"/>
      <c r="H180" s="21"/>
      <c r="I180" s="21"/>
      <c r="J180" s="22"/>
      <c r="K180" s="22"/>
      <c r="L180" s="22"/>
      <c r="M180" s="21"/>
      <c r="N180" s="21"/>
      <c r="O180" s="22"/>
      <c r="P180" s="20" t="n">
        <f aca="false">IF($N180="Reduce",N($O180),0)</f>
        <v>0</v>
      </c>
      <c r="Q180" s="23" t="str">
        <f aca="false">IF($F180="","",MID(IF($G180="",", career level","")&amp;IF($I180="",", nationality mandate","")&amp;IF($N180="",", capacity direction","")&amp;IF(N($J180)&lt;=0,", approved HC","")&amp;IF(AND($G180&lt;&gt;"",COUNTIF(CareerLevels,$G180)=0),", a career level that is not on the ladder","")&amp;IF(AND($N180="Reduce",N($O180)&lt;=0),", how many seats Reduce means","")&amp;IF(AND(N($O180)&gt;0,$N180&lt;&gt;"Reduce"),", a number of seats on a row not marked Reduce","")&amp;IF(N($O180)&gt;N($J180),", more seats given up than the row has",""),3,200))</f>
        <v/>
      </c>
    </row>
    <row r="181" customFormat="false" ht="15" hidden="false" customHeight="false" outlineLevel="0" collapsed="false">
      <c r="A181" s="21"/>
      <c r="B181" s="21"/>
      <c r="C181" s="21"/>
      <c r="D181" s="21"/>
      <c r="E181" s="21"/>
      <c r="F181" s="21"/>
      <c r="G181" s="21"/>
      <c r="H181" s="21"/>
      <c r="I181" s="21"/>
      <c r="J181" s="22"/>
      <c r="K181" s="22"/>
      <c r="L181" s="22"/>
      <c r="M181" s="21"/>
      <c r="N181" s="21"/>
      <c r="O181" s="22"/>
      <c r="P181" s="20" t="n">
        <f aca="false">IF($N181="Reduce",N($O181),0)</f>
        <v>0</v>
      </c>
      <c r="Q181" s="23" t="str">
        <f aca="false">IF($F181="","",MID(IF($G181="",", career level","")&amp;IF($I181="",", nationality mandate","")&amp;IF($N181="",", capacity direction","")&amp;IF(N($J181)&lt;=0,", approved HC","")&amp;IF(AND($G181&lt;&gt;"",COUNTIF(CareerLevels,$G181)=0),", a career level that is not on the ladder","")&amp;IF(AND($N181="Reduce",N($O181)&lt;=0),", how many seats Reduce means","")&amp;IF(AND(N($O181)&gt;0,$N181&lt;&gt;"Reduce"),", a number of seats on a row not marked Reduce","")&amp;IF(N($O181)&gt;N($J181),", more seats given up than the row has",""),3,200))</f>
        <v/>
      </c>
    </row>
    <row r="182" customFormat="false" ht="15" hidden="false" customHeight="false" outlineLevel="0" collapsed="false">
      <c r="A182" s="21"/>
      <c r="B182" s="21"/>
      <c r="C182" s="21"/>
      <c r="D182" s="21"/>
      <c r="E182" s="21"/>
      <c r="F182" s="21"/>
      <c r="G182" s="21"/>
      <c r="H182" s="21"/>
      <c r="I182" s="21"/>
      <c r="J182" s="22"/>
      <c r="K182" s="22"/>
      <c r="L182" s="22"/>
      <c r="M182" s="21"/>
      <c r="N182" s="21"/>
      <c r="O182" s="22"/>
      <c r="P182" s="20" t="n">
        <f aca="false">IF($N182="Reduce",N($O182),0)</f>
        <v>0</v>
      </c>
      <c r="Q182" s="23" t="str">
        <f aca="false">IF($F182="","",MID(IF($G182="",", career level","")&amp;IF($I182="",", nationality mandate","")&amp;IF($N182="",", capacity direction","")&amp;IF(N($J182)&lt;=0,", approved HC","")&amp;IF(AND($G182&lt;&gt;"",COUNTIF(CareerLevels,$G182)=0),", a career level that is not on the ladder","")&amp;IF(AND($N182="Reduce",N($O182)&lt;=0),", how many seats Reduce means","")&amp;IF(AND(N($O182)&gt;0,$N182&lt;&gt;"Reduce"),", a number of seats on a row not marked Reduce","")&amp;IF(N($O182)&gt;N($J182),", more seats given up than the row has",""),3,200))</f>
        <v/>
      </c>
    </row>
    <row r="183" customFormat="false" ht="15" hidden="false" customHeight="false" outlineLevel="0" collapsed="false">
      <c r="A183" s="21"/>
      <c r="B183" s="21"/>
      <c r="C183" s="21"/>
      <c r="D183" s="21"/>
      <c r="E183" s="21"/>
      <c r="F183" s="21"/>
      <c r="G183" s="21"/>
      <c r="H183" s="21"/>
      <c r="I183" s="21"/>
      <c r="J183" s="22"/>
      <c r="K183" s="22"/>
      <c r="L183" s="22"/>
      <c r="M183" s="21"/>
      <c r="N183" s="21"/>
      <c r="O183" s="22"/>
      <c r="P183" s="20" t="n">
        <f aca="false">IF($N183="Reduce",N($O183),0)</f>
        <v>0</v>
      </c>
      <c r="Q183" s="23" t="str">
        <f aca="false">IF($F183="","",MID(IF($G183="",", career level","")&amp;IF($I183="",", nationality mandate","")&amp;IF($N183="",", capacity direction","")&amp;IF(N($J183)&lt;=0,", approved HC","")&amp;IF(AND($G183&lt;&gt;"",COUNTIF(CareerLevels,$G183)=0),", a career level that is not on the ladder","")&amp;IF(AND($N183="Reduce",N($O183)&lt;=0),", how many seats Reduce means","")&amp;IF(AND(N($O183)&gt;0,$N183&lt;&gt;"Reduce"),", a number of seats on a row not marked Reduce","")&amp;IF(N($O183)&gt;N($J183),", more seats given up than the row has",""),3,200))</f>
        <v/>
      </c>
    </row>
    <row r="184" customFormat="false" ht="15" hidden="false" customHeight="false" outlineLevel="0" collapsed="false">
      <c r="A184" s="21"/>
      <c r="B184" s="21"/>
      <c r="C184" s="21"/>
      <c r="D184" s="21"/>
      <c r="E184" s="21"/>
      <c r="F184" s="21"/>
      <c r="G184" s="21"/>
      <c r="H184" s="21"/>
      <c r="I184" s="21"/>
      <c r="J184" s="22"/>
      <c r="K184" s="22"/>
      <c r="L184" s="22"/>
      <c r="M184" s="21"/>
      <c r="N184" s="21"/>
      <c r="O184" s="22"/>
      <c r="P184" s="20" t="n">
        <f aca="false">IF($N184="Reduce",N($O184),0)</f>
        <v>0</v>
      </c>
      <c r="Q184" s="23" t="str">
        <f aca="false">IF($F184="","",MID(IF($G184="",", career level","")&amp;IF($I184="",", nationality mandate","")&amp;IF($N184="",", capacity direction","")&amp;IF(N($J184)&lt;=0,", approved HC","")&amp;IF(AND($G184&lt;&gt;"",COUNTIF(CareerLevels,$G184)=0),", a career level that is not on the ladder","")&amp;IF(AND($N184="Reduce",N($O184)&lt;=0),", how many seats Reduce means","")&amp;IF(AND(N($O184)&gt;0,$N184&lt;&gt;"Reduce"),", a number of seats on a row not marked Reduce","")&amp;IF(N($O184)&gt;N($J184),", more seats given up than the row has",""),3,200))</f>
        <v/>
      </c>
    </row>
    <row r="185" customFormat="false" ht="15" hidden="false" customHeight="false" outlineLevel="0" collapsed="false">
      <c r="A185" s="21"/>
      <c r="B185" s="21"/>
      <c r="C185" s="21"/>
      <c r="D185" s="21"/>
      <c r="E185" s="21"/>
      <c r="F185" s="21"/>
      <c r="G185" s="21"/>
      <c r="H185" s="21"/>
      <c r="I185" s="21"/>
      <c r="J185" s="22"/>
      <c r="K185" s="22"/>
      <c r="L185" s="22"/>
      <c r="M185" s="21"/>
      <c r="N185" s="21"/>
      <c r="O185" s="22"/>
      <c r="P185" s="20" t="n">
        <f aca="false">IF($N185="Reduce",N($O185),0)</f>
        <v>0</v>
      </c>
      <c r="Q185" s="23" t="str">
        <f aca="false">IF($F185="","",MID(IF($G185="",", career level","")&amp;IF($I185="",", nationality mandate","")&amp;IF($N185="",", capacity direction","")&amp;IF(N($J185)&lt;=0,", approved HC","")&amp;IF(AND($G185&lt;&gt;"",COUNTIF(CareerLevels,$G185)=0),", a career level that is not on the ladder","")&amp;IF(AND($N185="Reduce",N($O185)&lt;=0),", how many seats Reduce means","")&amp;IF(AND(N($O185)&gt;0,$N185&lt;&gt;"Reduce"),", a number of seats on a row not marked Reduce","")&amp;IF(N($O185)&gt;N($J185),", more seats given up than the row has",""),3,200))</f>
        <v/>
      </c>
    </row>
    <row r="186" customFormat="false" ht="15" hidden="false" customHeight="false" outlineLevel="0" collapsed="false">
      <c r="A186" s="21"/>
      <c r="B186" s="21"/>
      <c r="C186" s="21"/>
      <c r="D186" s="21"/>
      <c r="E186" s="21"/>
      <c r="F186" s="21"/>
      <c r="G186" s="21"/>
      <c r="H186" s="21"/>
      <c r="I186" s="21"/>
      <c r="J186" s="22"/>
      <c r="K186" s="22"/>
      <c r="L186" s="22"/>
      <c r="M186" s="21"/>
      <c r="N186" s="21"/>
      <c r="O186" s="22"/>
      <c r="P186" s="20" t="n">
        <f aca="false">IF($N186="Reduce",N($O186),0)</f>
        <v>0</v>
      </c>
      <c r="Q186" s="23" t="str">
        <f aca="false">IF($F186="","",MID(IF($G186="",", career level","")&amp;IF($I186="",", nationality mandate","")&amp;IF($N186="",", capacity direction","")&amp;IF(N($J186)&lt;=0,", approved HC","")&amp;IF(AND($G186&lt;&gt;"",COUNTIF(CareerLevels,$G186)=0),", a career level that is not on the ladder","")&amp;IF(AND($N186="Reduce",N($O186)&lt;=0),", how many seats Reduce means","")&amp;IF(AND(N($O186)&gt;0,$N186&lt;&gt;"Reduce"),", a number of seats on a row not marked Reduce","")&amp;IF(N($O186)&gt;N($J186),", more seats given up than the row has",""),3,200))</f>
        <v/>
      </c>
    </row>
    <row r="187" customFormat="false" ht="15" hidden="false" customHeight="false" outlineLevel="0" collapsed="false">
      <c r="A187" s="21"/>
      <c r="B187" s="21"/>
      <c r="C187" s="21"/>
      <c r="D187" s="21"/>
      <c r="E187" s="21"/>
      <c r="F187" s="21"/>
      <c r="G187" s="21"/>
      <c r="H187" s="21"/>
      <c r="I187" s="21"/>
      <c r="J187" s="22"/>
      <c r="K187" s="22"/>
      <c r="L187" s="22"/>
      <c r="M187" s="21"/>
      <c r="N187" s="21"/>
      <c r="O187" s="22"/>
      <c r="P187" s="20" t="n">
        <f aca="false">IF($N187="Reduce",N($O187),0)</f>
        <v>0</v>
      </c>
      <c r="Q187" s="23" t="str">
        <f aca="false">IF($F187="","",MID(IF($G187="",", career level","")&amp;IF($I187="",", nationality mandate","")&amp;IF($N187="",", capacity direction","")&amp;IF(N($J187)&lt;=0,", approved HC","")&amp;IF(AND($G187&lt;&gt;"",COUNTIF(CareerLevels,$G187)=0),", a career level that is not on the ladder","")&amp;IF(AND($N187="Reduce",N($O187)&lt;=0),", how many seats Reduce means","")&amp;IF(AND(N($O187)&gt;0,$N187&lt;&gt;"Reduce"),", a number of seats on a row not marked Reduce","")&amp;IF(N($O187)&gt;N($J187),", more seats given up than the row has",""),3,200))</f>
        <v/>
      </c>
    </row>
    <row r="188" customFormat="false" ht="15" hidden="false" customHeight="false" outlineLevel="0" collapsed="false">
      <c r="A188" s="21"/>
      <c r="B188" s="21"/>
      <c r="C188" s="21"/>
      <c r="D188" s="21"/>
      <c r="E188" s="21"/>
      <c r="F188" s="21"/>
      <c r="G188" s="21"/>
      <c r="H188" s="21"/>
      <c r="I188" s="21"/>
      <c r="J188" s="22"/>
      <c r="K188" s="22"/>
      <c r="L188" s="22"/>
      <c r="M188" s="21"/>
      <c r="N188" s="21"/>
      <c r="O188" s="22"/>
      <c r="P188" s="20" t="n">
        <f aca="false">IF($N188="Reduce",N($O188),0)</f>
        <v>0</v>
      </c>
      <c r="Q188" s="23" t="str">
        <f aca="false">IF($F188="","",MID(IF($G188="",", career level","")&amp;IF($I188="",", nationality mandate","")&amp;IF($N188="",", capacity direction","")&amp;IF(N($J188)&lt;=0,", approved HC","")&amp;IF(AND($G188&lt;&gt;"",COUNTIF(CareerLevels,$G188)=0),", a career level that is not on the ladder","")&amp;IF(AND($N188="Reduce",N($O188)&lt;=0),", how many seats Reduce means","")&amp;IF(AND(N($O188)&gt;0,$N188&lt;&gt;"Reduce"),", a number of seats on a row not marked Reduce","")&amp;IF(N($O188)&gt;N($J188),", more seats given up than the row has",""),3,200))</f>
        <v/>
      </c>
    </row>
    <row r="189" customFormat="false" ht="15" hidden="false" customHeight="false" outlineLevel="0" collapsed="false">
      <c r="A189" s="21"/>
      <c r="B189" s="21"/>
      <c r="C189" s="21"/>
      <c r="D189" s="21"/>
      <c r="E189" s="21"/>
      <c r="F189" s="21"/>
      <c r="G189" s="21"/>
      <c r="H189" s="21"/>
      <c r="I189" s="21"/>
      <c r="J189" s="22"/>
      <c r="K189" s="22"/>
      <c r="L189" s="22"/>
      <c r="M189" s="21"/>
      <c r="N189" s="21"/>
      <c r="O189" s="22"/>
      <c r="P189" s="20" t="n">
        <f aca="false">IF($N189="Reduce",N($O189),0)</f>
        <v>0</v>
      </c>
      <c r="Q189" s="23" t="str">
        <f aca="false">IF($F189="","",MID(IF($G189="",", career level","")&amp;IF($I189="",", nationality mandate","")&amp;IF($N189="",", capacity direction","")&amp;IF(N($J189)&lt;=0,", approved HC","")&amp;IF(AND($G189&lt;&gt;"",COUNTIF(CareerLevels,$G189)=0),", a career level that is not on the ladder","")&amp;IF(AND($N189="Reduce",N($O189)&lt;=0),", how many seats Reduce means","")&amp;IF(AND(N($O189)&gt;0,$N189&lt;&gt;"Reduce"),", a number of seats on a row not marked Reduce","")&amp;IF(N($O189)&gt;N($J189),", more seats given up than the row has",""),3,200))</f>
        <v/>
      </c>
    </row>
    <row r="190" customFormat="false" ht="15" hidden="false" customHeight="false" outlineLevel="0" collapsed="false">
      <c r="A190" s="21"/>
      <c r="B190" s="21"/>
      <c r="C190" s="21"/>
      <c r="D190" s="21"/>
      <c r="E190" s="21"/>
      <c r="F190" s="21"/>
      <c r="G190" s="21"/>
      <c r="H190" s="21"/>
      <c r="I190" s="21"/>
      <c r="J190" s="22"/>
      <c r="K190" s="22"/>
      <c r="L190" s="22"/>
      <c r="M190" s="21"/>
      <c r="N190" s="21"/>
      <c r="O190" s="22"/>
      <c r="P190" s="20" t="n">
        <f aca="false">IF($N190="Reduce",N($O190),0)</f>
        <v>0</v>
      </c>
      <c r="Q190" s="23" t="str">
        <f aca="false">IF($F190="","",MID(IF($G190="",", career level","")&amp;IF($I190="",", nationality mandate","")&amp;IF($N190="",", capacity direction","")&amp;IF(N($J190)&lt;=0,", approved HC","")&amp;IF(AND($G190&lt;&gt;"",COUNTIF(CareerLevels,$G190)=0),", a career level that is not on the ladder","")&amp;IF(AND($N190="Reduce",N($O190)&lt;=0),", how many seats Reduce means","")&amp;IF(AND(N($O190)&gt;0,$N190&lt;&gt;"Reduce"),", a number of seats on a row not marked Reduce","")&amp;IF(N($O190)&gt;N($J190),", more seats given up than the row has",""),3,200))</f>
        <v/>
      </c>
    </row>
    <row r="191" customFormat="false" ht="15" hidden="false" customHeight="false" outlineLevel="0" collapsed="false">
      <c r="A191" s="21"/>
      <c r="B191" s="21"/>
      <c r="C191" s="21"/>
      <c r="D191" s="21"/>
      <c r="E191" s="21"/>
      <c r="F191" s="21"/>
      <c r="G191" s="21"/>
      <c r="H191" s="21"/>
      <c r="I191" s="21"/>
      <c r="J191" s="22"/>
      <c r="K191" s="22"/>
      <c r="L191" s="22"/>
      <c r="M191" s="21"/>
      <c r="N191" s="21"/>
      <c r="O191" s="22"/>
      <c r="P191" s="20" t="n">
        <f aca="false">IF($N191="Reduce",N($O191),0)</f>
        <v>0</v>
      </c>
      <c r="Q191" s="23" t="str">
        <f aca="false">IF($F191="","",MID(IF($G191="",", career level","")&amp;IF($I191="",", nationality mandate","")&amp;IF($N191="",", capacity direction","")&amp;IF(N($J191)&lt;=0,", approved HC","")&amp;IF(AND($G191&lt;&gt;"",COUNTIF(CareerLevels,$G191)=0),", a career level that is not on the ladder","")&amp;IF(AND($N191="Reduce",N($O191)&lt;=0),", how many seats Reduce means","")&amp;IF(AND(N($O191)&gt;0,$N191&lt;&gt;"Reduce"),", a number of seats on a row not marked Reduce","")&amp;IF(N($O191)&gt;N($J191),", more seats given up than the row has",""),3,200))</f>
        <v/>
      </c>
    </row>
    <row r="192" customFormat="false" ht="15" hidden="false" customHeight="false" outlineLevel="0" collapsed="false">
      <c r="A192" s="21"/>
      <c r="B192" s="21"/>
      <c r="C192" s="21"/>
      <c r="D192" s="21"/>
      <c r="E192" s="21"/>
      <c r="F192" s="21"/>
      <c r="G192" s="21"/>
      <c r="H192" s="21"/>
      <c r="I192" s="21"/>
      <c r="J192" s="22"/>
      <c r="K192" s="22"/>
      <c r="L192" s="22"/>
      <c r="M192" s="21"/>
      <c r="N192" s="21"/>
      <c r="O192" s="22"/>
      <c r="P192" s="20" t="n">
        <f aca="false">IF($N192="Reduce",N($O192),0)</f>
        <v>0</v>
      </c>
      <c r="Q192" s="23" t="str">
        <f aca="false">IF($F192="","",MID(IF($G192="",", career level","")&amp;IF($I192="",", nationality mandate","")&amp;IF($N192="",", capacity direction","")&amp;IF(N($J192)&lt;=0,", approved HC","")&amp;IF(AND($G192&lt;&gt;"",COUNTIF(CareerLevels,$G192)=0),", a career level that is not on the ladder","")&amp;IF(AND($N192="Reduce",N($O192)&lt;=0),", how many seats Reduce means","")&amp;IF(AND(N($O192)&gt;0,$N192&lt;&gt;"Reduce"),", a number of seats on a row not marked Reduce","")&amp;IF(N($O192)&gt;N($J192),", more seats given up than the row has",""),3,200))</f>
        <v/>
      </c>
    </row>
    <row r="193" customFormat="false" ht="15" hidden="false" customHeight="false" outlineLevel="0" collapsed="false">
      <c r="A193" s="21"/>
      <c r="B193" s="21"/>
      <c r="C193" s="21"/>
      <c r="D193" s="21"/>
      <c r="E193" s="21"/>
      <c r="F193" s="21"/>
      <c r="G193" s="21"/>
      <c r="H193" s="21"/>
      <c r="I193" s="21"/>
      <c r="J193" s="22"/>
      <c r="K193" s="22"/>
      <c r="L193" s="22"/>
      <c r="M193" s="21"/>
      <c r="N193" s="21"/>
      <c r="O193" s="22"/>
      <c r="P193" s="20" t="n">
        <f aca="false">IF($N193="Reduce",N($O193),0)</f>
        <v>0</v>
      </c>
      <c r="Q193" s="23" t="str">
        <f aca="false">IF($F193="","",MID(IF($G193="",", career level","")&amp;IF($I193="",", nationality mandate","")&amp;IF($N193="",", capacity direction","")&amp;IF(N($J193)&lt;=0,", approved HC","")&amp;IF(AND($G193&lt;&gt;"",COUNTIF(CareerLevels,$G193)=0),", a career level that is not on the ladder","")&amp;IF(AND($N193="Reduce",N($O193)&lt;=0),", how many seats Reduce means","")&amp;IF(AND(N($O193)&gt;0,$N193&lt;&gt;"Reduce"),", a number of seats on a row not marked Reduce","")&amp;IF(N($O193)&gt;N($J193),", more seats given up than the row has",""),3,200))</f>
        <v/>
      </c>
    </row>
    <row r="194" customFormat="false" ht="15" hidden="false" customHeight="false" outlineLevel="0" collapsed="false">
      <c r="A194" s="21"/>
      <c r="B194" s="21"/>
      <c r="C194" s="21"/>
      <c r="D194" s="21"/>
      <c r="E194" s="21"/>
      <c r="F194" s="21"/>
      <c r="G194" s="21"/>
      <c r="H194" s="21"/>
      <c r="I194" s="21"/>
      <c r="J194" s="22"/>
      <c r="K194" s="22"/>
      <c r="L194" s="22"/>
      <c r="M194" s="21"/>
      <c r="N194" s="21"/>
      <c r="O194" s="22"/>
      <c r="P194" s="20" t="n">
        <f aca="false">IF($N194="Reduce",N($O194),0)</f>
        <v>0</v>
      </c>
      <c r="Q194" s="23" t="str">
        <f aca="false">IF($F194="","",MID(IF($G194="",", career level","")&amp;IF($I194="",", nationality mandate","")&amp;IF($N194="",", capacity direction","")&amp;IF(N($J194)&lt;=0,", approved HC","")&amp;IF(AND($G194&lt;&gt;"",COUNTIF(CareerLevels,$G194)=0),", a career level that is not on the ladder","")&amp;IF(AND($N194="Reduce",N($O194)&lt;=0),", how many seats Reduce means","")&amp;IF(AND(N($O194)&gt;0,$N194&lt;&gt;"Reduce"),", a number of seats on a row not marked Reduce","")&amp;IF(N($O194)&gt;N($J194),", more seats given up than the row has",""),3,200))</f>
        <v/>
      </c>
    </row>
    <row r="195" customFormat="false" ht="15" hidden="false" customHeight="false" outlineLevel="0" collapsed="false">
      <c r="A195" s="21"/>
      <c r="B195" s="21"/>
      <c r="C195" s="21"/>
      <c r="D195" s="21"/>
      <c r="E195" s="21"/>
      <c r="F195" s="21"/>
      <c r="G195" s="21"/>
      <c r="H195" s="21"/>
      <c r="I195" s="21"/>
      <c r="J195" s="22"/>
      <c r="K195" s="22"/>
      <c r="L195" s="22"/>
      <c r="M195" s="21"/>
      <c r="N195" s="21"/>
      <c r="O195" s="22"/>
      <c r="P195" s="20" t="n">
        <f aca="false">IF($N195="Reduce",N($O195),0)</f>
        <v>0</v>
      </c>
      <c r="Q195" s="23" t="str">
        <f aca="false">IF($F195="","",MID(IF($G195="",", career level","")&amp;IF($I195="",", nationality mandate","")&amp;IF($N195="",", capacity direction","")&amp;IF(N($J195)&lt;=0,", approved HC","")&amp;IF(AND($G195&lt;&gt;"",COUNTIF(CareerLevels,$G195)=0),", a career level that is not on the ladder","")&amp;IF(AND($N195="Reduce",N($O195)&lt;=0),", how many seats Reduce means","")&amp;IF(AND(N($O195)&gt;0,$N195&lt;&gt;"Reduce"),", a number of seats on a row not marked Reduce","")&amp;IF(N($O195)&gt;N($J195),", more seats given up than the row has",""),3,200))</f>
        <v/>
      </c>
    </row>
    <row r="196" customFormat="false" ht="15" hidden="false" customHeight="false" outlineLevel="0" collapsed="false">
      <c r="A196" s="21"/>
      <c r="B196" s="21"/>
      <c r="C196" s="21"/>
      <c r="D196" s="21"/>
      <c r="E196" s="21"/>
      <c r="F196" s="21"/>
      <c r="G196" s="21"/>
      <c r="H196" s="21"/>
      <c r="I196" s="21"/>
      <c r="J196" s="22"/>
      <c r="K196" s="22"/>
      <c r="L196" s="22"/>
      <c r="M196" s="21"/>
      <c r="N196" s="21"/>
      <c r="O196" s="22"/>
      <c r="P196" s="20" t="n">
        <f aca="false">IF($N196="Reduce",N($O196),0)</f>
        <v>0</v>
      </c>
      <c r="Q196" s="23" t="str">
        <f aca="false">IF($F196="","",MID(IF($G196="",", career level","")&amp;IF($I196="",", nationality mandate","")&amp;IF($N196="",", capacity direction","")&amp;IF(N($J196)&lt;=0,", approved HC","")&amp;IF(AND($G196&lt;&gt;"",COUNTIF(CareerLevels,$G196)=0),", a career level that is not on the ladder","")&amp;IF(AND($N196="Reduce",N($O196)&lt;=0),", how many seats Reduce means","")&amp;IF(AND(N($O196)&gt;0,$N196&lt;&gt;"Reduce"),", a number of seats on a row not marked Reduce","")&amp;IF(N($O196)&gt;N($J196),", more seats given up than the row has",""),3,200))</f>
        <v/>
      </c>
    </row>
    <row r="197" customFormat="false" ht="15" hidden="false" customHeight="false" outlineLevel="0" collapsed="false">
      <c r="A197" s="21"/>
      <c r="B197" s="21"/>
      <c r="C197" s="21"/>
      <c r="D197" s="21"/>
      <c r="E197" s="21"/>
      <c r="F197" s="21"/>
      <c r="G197" s="21"/>
      <c r="H197" s="21"/>
      <c r="I197" s="21"/>
      <c r="J197" s="22"/>
      <c r="K197" s="22"/>
      <c r="L197" s="22"/>
      <c r="M197" s="21"/>
      <c r="N197" s="21"/>
      <c r="O197" s="22"/>
      <c r="P197" s="20" t="n">
        <f aca="false">IF($N197="Reduce",N($O197),0)</f>
        <v>0</v>
      </c>
      <c r="Q197" s="23" t="str">
        <f aca="false">IF($F197="","",MID(IF($G197="",", career level","")&amp;IF($I197="",", nationality mandate","")&amp;IF($N197="",", capacity direction","")&amp;IF(N($J197)&lt;=0,", approved HC","")&amp;IF(AND($G197&lt;&gt;"",COUNTIF(CareerLevels,$G197)=0),", a career level that is not on the ladder","")&amp;IF(AND($N197="Reduce",N($O197)&lt;=0),", how many seats Reduce means","")&amp;IF(AND(N($O197)&gt;0,$N197&lt;&gt;"Reduce"),", a number of seats on a row not marked Reduce","")&amp;IF(N($O197)&gt;N($J197),", more seats given up than the row has",""),3,200))</f>
        <v/>
      </c>
    </row>
  </sheetData>
  <sheetProtection sheet="true" sort="false" autoFilter="false"/>
  <autoFilter ref="A5:Q197"/>
  <mergeCells count="1">
    <mergeCell ref="A2:J2"/>
  </mergeCells>
  <conditionalFormatting sqref="A6:Q197">
    <cfRule type="expression" priority="2" aboveAverage="0" equalAverage="0" bottom="0" percent="0" rank="0" text="" dxfId="11">
      <formula>AND(N($J6)&gt;0,$P6=$J6)</formula>
    </cfRule>
  </conditionalFormatting>
  <conditionalFormatting sqref="P6:P197">
    <cfRule type="cellIs" priority="3" operator="greaterThan" aboveAverage="0" equalAverage="0" bottom="0" percent="0" rank="0" text="" dxfId="12">
      <formula>0</formula>
    </cfRule>
  </conditionalFormatting>
  <conditionalFormatting sqref="Q6:Q197">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197" type="list">
      <formula1>CareerLevels</formula1>
      <formula2>0</formula2>
    </dataValidation>
    <dataValidation allowBlank="true" error="Pick a value from the list." errorStyle="stop" operator="between" showDropDown="false" showErrorMessage="true" showInputMessage="false" sqref="H6:H197" type="list">
      <formula1>JobFamilies</formula1>
      <formula2>0</formula2>
    </dataValidation>
    <dataValidation allowBlank="true" error="Pick a value from the list." errorStyle="stop" operator="between" showDropDown="false" showErrorMessage="true" showInputMessage="false" sqref="I6:I197" type="list">
      <formula1>YesNo</formula1>
      <formula2>0</formula2>
    </dataValidation>
    <dataValidation allowBlank="true" error="Pick a value from the list." errorStyle="stop" operator="between" showDropDown="false" showErrorMessage="true" showInputMessage="false" sqref="M6:M197" type="list">
      <formula1>WorkerTypes</formula1>
      <formula2>0</formula2>
    </dataValidation>
    <dataValidation allowBlank="true" error="Pick a value from the list." errorStyle="stop" operator="between" showDropDown="false" showErrorMessage="true" showInputMessage="false" sqref="N6:N197"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197"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279</v>
      </c>
    </row>
    <row r="2" customFormat="false" ht="15" hidden="false" customHeight="false" outlineLevel="0" collapsed="false">
      <c r="A2" s="2" t="s">
        <v>280</v>
      </c>
      <c r="B2" s="2"/>
      <c r="C2" s="2"/>
      <c r="D2" s="2"/>
      <c r="E2" s="2"/>
      <c r="F2" s="2"/>
      <c r="G2" s="2"/>
      <c r="H2" s="2"/>
      <c r="I2" s="2"/>
      <c r="J2" s="2"/>
    </row>
    <row r="5" customFormat="false" ht="30" hidden="false" customHeight="true" outlineLevel="0" collapsed="false">
      <c r="A5" s="12" t="s">
        <v>281</v>
      </c>
      <c r="B5" s="12" t="s">
        <v>61</v>
      </c>
      <c r="C5" s="12" t="s">
        <v>50</v>
      </c>
      <c r="D5" s="12" t="s">
        <v>282</v>
      </c>
      <c r="E5" s="12" t="s">
        <v>18</v>
      </c>
      <c r="F5" s="12" t="s">
        <v>162</v>
      </c>
      <c r="G5" s="12" t="s">
        <v>283</v>
      </c>
      <c r="H5" s="12" t="s">
        <v>284</v>
      </c>
      <c r="I5" s="12" t="s">
        <v>285</v>
      </c>
      <c r="J5" s="12" t="s">
        <v>26</v>
      </c>
      <c r="K5" s="12" t="s">
        <v>286</v>
      </c>
      <c r="L5" s="12" t="s">
        <v>287</v>
      </c>
      <c r="M5" s="12" t="s">
        <v>288</v>
      </c>
      <c r="N5" s="12" t="s">
        <v>289</v>
      </c>
      <c r="O5" s="12" t="s">
        <v>164</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290</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291</v>
      </c>
    </row>
    <row r="2" customFormat="false" ht="15" hidden="false" customHeight="false" outlineLevel="0" collapsed="false">
      <c r="A2" s="2" t="s">
        <v>292</v>
      </c>
      <c r="B2" s="2"/>
      <c r="C2" s="2"/>
      <c r="D2" s="2"/>
      <c r="E2" s="2"/>
      <c r="F2" s="2"/>
      <c r="G2" s="2"/>
      <c r="H2" s="2"/>
      <c r="I2" s="2"/>
      <c r="J2" s="2"/>
    </row>
    <row r="4" customFormat="false" ht="15" hidden="false" customHeight="false" outlineLevel="0" collapsed="false">
      <c r="L4" s="25" t="s">
        <v>293</v>
      </c>
      <c r="M4" s="25"/>
      <c r="N4" s="25"/>
      <c r="O4" s="25"/>
    </row>
    <row r="5" customFormat="false" ht="30" hidden="false" customHeight="true" outlineLevel="0" collapsed="false">
      <c r="A5" s="12" t="s">
        <v>281</v>
      </c>
      <c r="B5" s="12" t="s">
        <v>61</v>
      </c>
      <c r="C5" s="12" t="s">
        <v>64</v>
      </c>
      <c r="D5" s="12" t="s">
        <v>50</v>
      </c>
      <c r="E5" s="12" t="s">
        <v>158</v>
      </c>
      <c r="F5" s="12" t="s">
        <v>282</v>
      </c>
      <c r="G5" s="12" t="s">
        <v>18</v>
      </c>
      <c r="H5" s="12" t="s">
        <v>160</v>
      </c>
      <c r="I5" s="12" t="s">
        <v>162</v>
      </c>
      <c r="J5" s="12" t="s">
        <v>294</v>
      </c>
      <c r="K5" s="12" t="s">
        <v>295</v>
      </c>
      <c r="L5" s="12" t="s">
        <v>296</v>
      </c>
      <c r="M5" s="12" t="s">
        <v>297</v>
      </c>
      <c r="N5" s="12" t="s">
        <v>298</v>
      </c>
      <c r="O5" s="12" t="s">
        <v>299</v>
      </c>
      <c r="P5" s="12" t="s">
        <v>300</v>
      </c>
      <c r="Q5" s="12" t="s">
        <v>30</v>
      </c>
      <c r="R5" s="12" t="s">
        <v>32</v>
      </c>
      <c r="S5" s="12" t="s">
        <v>164</v>
      </c>
      <c r="T5" s="12" t="s">
        <v>301</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302</v>
      </c>
    </row>
    <row r="2" customFormat="false" ht="15" hidden="false" customHeight="false" outlineLevel="0" collapsed="false">
      <c r="A2" s="2" t="s">
        <v>303</v>
      </c>
      <c r="B2" s="2"/>
      <c r="C2" s="2"/>
      <c r="D2" s="2"/>
      <c r="E2" s="2"/>
      <c r="F2" s="2"/>
      <c r="G2" s="2"/>
      <c r="H2" s="2"/>
      <c r="I2" s="2"/>
      <c r="J2" s="2"/>
    </row>
    <row r="4" customFormat="false" ht="15" hidden="false" customHeight="false" outlineLevel="0" collapsed="false">
      <c r="A4" s="3" t="s">
        <v>304</v>
      </c>
    </row>
    <row r="5" customFormat="false" ht="27.75" hidden="false" customHeight="true" outlineLevel="0" collapsed="false">
      <c r="A5" s="12" t="s">
        <v>61</v>
      </c>
      <c r="B5" s="12" t="s">
        <v>294</v>
      </c>
      <c r="C5" s="12" t="s">
        <v>305</v>
      </c>
      <c r="D5" s="12" t="s">
        <v>295</v>
      </c>
      <c r="E5" s="12" t="s">
        <v>306</v>
      </c>
      <c r="F5" s="12" t="s">
        <v>57</v>
      </c>
      <c r="G5" s="12"/>
    </row>
    <row r="6" customFormat="false" ht="15" hidden="false" customHeight="false" outlineLevel="0" collapsed="false">
      <c r="A6" s="9" t="s">
        <v>63</v>
      </c>
      <c r="B6" s="26" t="n">
        <f aca="false">SUMIFS(SeatApproved,SeatDivision,"Corporate Coverage Division")</f>
        <v>62</v>
      </c>
      <c r="C6" s="26" t="n">
        <f aca="false">SUMIFS(SeatExits,SeatDivision,"Corporate Coverage Division")</f>
        <v>0</v>
      </c>
      <c r="D6" s="26" t="n">
        <f aca="false">SUMIFS(AskTotal,AskDivision,"Corporate Coverage Division")</f>
        <v>0</v>
      </c>
      <c r="E6" s="26" t="n">
        <f aca="false">$B6-$C6+$D6</f>
        <v>62</v>
      </c>
      <c r="F6" s="26" t="n">
        <f aca="false">$E6-$B6</f>
        <v>0</v>
      </c>
    </row>
    <row r="7" customFormat="false" ht="15" hidden="false" customHeight="false" outlineLevel="0" collapsed="false">
      <c r="A7" s="9" t="s">
        <v>95</v>
      </c>
      <c r="B7" s="26" t="n">
        <f aca="false">SUMIFS(SeatApproved,SeatDivision,"SME Banking Division")</f>
        <v>70</v>
      </c>
      <c r="C7" s="26" t="n">
        <f aca="false">SUMIFS(SeatExits,SeatDivision,"SME Banking Division")</f>
        <v>0</v>
      </c>
      <c r="D7" s="26" t="n">
        <f aca="false">SUMIFS(AskTotal,AskDivision,"SME Banking Division")</f>
        <v>0</v>
      </c>
      <c r="E7" s="26" t="n">
        <f aca="false">$B7-$C7+$D7</f>
        <v>70</v>
      </c>
      <c r="F7" s="26" t="n">
        <f aca="false">$E7-$B7</f>
        <v>0</v>
      </c>
    </row>
    <row r="8" customFormat="false" ht="15" hidden="false" customHeight="false" outlineLevel="0" collapsed="false">
      <c r="A8" s="9" t="s">
        <v>125</v>
      </c>
      <c r="B8" s="26" t="n">
        <f aca="false">SUMIFS(SeatApproved,SeatDivision,"Transaction Banking Division")</f>
        <v>65</v>
      </c>
      <c r="C8" s="26" t="n">
        <f aca="false">SUMIFS(SeatExits,SeatDivision,"Transaction Banking Division")</f>
        <v>0</v>
      </c>
      <c r="D8" s="26" t="n">
        <f aca="false">SUMIFS(AskTotal,AskDivision,"Transaction Banking Division")</f>
        <v>0</v>
      </c>
      <c r="E8" s="26" t="n">
        <f aca="false">$B8-$C8+$D8</f>
        <v>65</v>
      </c>
      <c r="F8" s="26" t="n">
        <f aca="false">$E8-$B8</f>
        <v>0</v>
      </c>
    </row>
    <row r="9" customFormat="false" ht="15" hidden="false" customHeight="false" outlineLevel="0" collapsed="false">
      <c r="A9" s="9" t="s">
        <v>307</v>
      </c>
      <c r="B9" s="26" t="n">
        <f aca="false">SUMIFS(SeatApproved,SeatDivision,"")</f>
        <v>1</v>
      </c>
      <c r="C9" s="26" t="n">
        <f aca="false">SUMIFS(SeatExits,SeatDivision,"")</f>
        <v>0</v>
      </c>
      <c r="D9" s="26" t="n">
        <f aca="false">SUMIFS(AskTotal,AskDivision,"")</f>
        <v>0</v>
      </c>
      <c r="E9" s="26" t="n">
        <f aca="false">$B9-$C9+$D9</f>
        <v>1</v>
      </c>
      <c r="F9" s="26" t="n">
        <f aca="false">$E9-$B9</f>
        <v>0</v>
      </c>
    </row>
    <row r="10" customFormat="false" ht="15" hidden="false" customHeight="false" outlineLevel="0" collapsed="false">
      <c r="A10" s="27" t="s">
        <v>308</v>
      </c>
      <c r="B10" s="16" t="n">
        <f aca="false">SUM(B6:B9)</f>
        <v>198</v>
      </c>
      <c r="C10" s="16" t="n">
        <f aca="false">SUM(C6:C9)</f>
        <v>0</v>
      </c>
      <c r="D10" s="16" t="n">
        <f aca="false">SUM(D6:D9)</f>
        <v>0</v>
      </c>
      <c r="E10" s="16" t="n">
        <f aca="false">SUM(E6:E9)</f>
        <v>198</v>
      </c>
      <c r="F10" s="16" t="n">
        <f aca="false">SUM(F6:F9)</f>
        <v>0</v>
      </c>
    </row>
    <row r="12" customFormat="false" ht="15" hidden="false" customHeight="false" outlineLevel="0" collapsed="false">
      <c r="A12" s="3" t="s">
        <v>309</v>
      </c>
      <c r="G12" s="28" t="s">
        <v>310</v>
      </c>
    </row>
    <row r="13" customFormat="false" ht="27.75" hidden="false" customHeight="true" outlineLevel="0" collapsed="false">
      <c r="A13" s="12" t="s">
        <v>61</v>
      </c>
      <c r="B13" s="12" t="s">
        <v>294</v>
      </c>
      <c r="C13" s="12" t="s">
        <v>305</v>
      </c>
      <c r="D13" s="12" t="s">
        <v>295</v>
      </c>
      <c r="E13" s="12" t="s">
        <v>306</v>
      </c>
      <c r="F13" s="12" t="s">
        <v>57</v>
      </c>
      <c r="G13" s="12"/>
    </row>
    <row r="14" customFormat="false" ht="15" hidden="false" customHeight="false" outlineLevel="0" collapsed="false">
      <c r="A14" s="9" t="s">
        <v>63</v>
      </c>
      <c r="B14" s="29" t="n">
        <f aca="false">SUMIFS(SeatApproved,SeatDivision,"Corporate Coverage Division",SeatLevel,INDEX(LevelList,1),SeatMandate,"Yes")*(INDEX(LevelBasic,1)+INDEX(LevelHousing,1)+INDEX(LevelTransport,1)+INDEX(LevelBasic,1)*INDEX(LevelBonus,1)+(INDEX(LevelBasic,1)+INDEX(LevelHousing,1))*GosiSaudi)+SUMIFS(SeatApproved,SeatDivision,"Corporate Coverage Division",SeatLevel,INDEX(LevelList,1),SeatMandate,"No")*(INDEX(LevelBasic,1)+INDEX(LevelHousing,1)+INDEX(LevelTransport,1)+INDEX(LevelBasic,1)*INDEX(LevelBonus,1)+(INDEX(LevelBasic,1)+INDEX(LevelHousing,1))*GosiOther)+SUMIFS(SeatApproved,SeatDivision,"Corporate Coverage Division",SeatLevel,INDEX(LevelList,2),SeatMandate,"Yes")*(INDEX(LevelBasic,2)+INDEX(LevelHousing,2)+INDEX(LevelTransport,2)+INDEX(LevelBasic,2)*INDEX(LevelBonus,2)+(INDEX(LevelBasic,2)+INDEX(LevelHousing,2))*GosiSaudi)+SUMIFS(SeatApproved,SeatDivision,"Corporate Coverage Division",SeatLevel,INDEX(LevelList,2),SeatMandate,"No")*(INDEX(LevelBasic,2)+INDEX(LevelHousing,2)+INDEX(LevelTransport,2)+INDEX(LevelBasic,2)*INDEX(LevelBonus,2)+(INDEX(LevelBasic,2)+INDEX(LevelHousing,2))*GosiOther)+SUMIFS(SeatApproved,SeatDivision,"Corporate Coverage Division",SeatLevel,INDEX(LevelList,3),SeatMandate,"Yes")*(INDEX(LevelBasic,3)+INDEX(LevelHousing,3)+INDEX(LevelTransport,3)+INDEX(LevelBasic,3)*INDEX(LevelBonus,3)+(INDEX(LevelBasic,3)+INDEX(LevelHousing,3))*GosiSaudi)+SUMIFS(SeatApproved,SeatDivision,"Corporate Coverage Division",SeatLevel,INDEX(LevelList,3),SeatMandate,"No")*(INDEX(LevelBasic,3)+INDEX(LevelHousing,3)+INDEX(LevelTransport,3)+INDEX(LevelBasic,3)*INDEX(LevelBonus,3)+(INDEX(LevelBasic,3)+INDEX(LevelHousing,3))*GosiOther)+SUMIFS(SeatApproved,SeatDivision,"Corporate Coverage Division",SeatLevel,INDEX(LevelList,4),SeatMandate,"Yes")*(INDEX(LevelBasic,4)+INDEX(LevelHousing,4)+INDEX(LevelTransport,4)+INDEX(LevelBasic,4)*INDEX(LevelBonus,4)+(INDEX(LevelBasic,4)+INDEX(LevelHousing,4))*GosiSaudi)+SUMIFS(SeatApproved,SeatDivision,"Corporate Coverage Division",SeatLevel,INDEX(LevelList,4),SeatMandate,"No")*(INDEX(LevelBasic,4)+INDEX(LevelHousing,4)+INDEX(LevelTransport,4)+INDEX(LevelBasic,4)*INDEX(LevelBonus,4)+(INDEX(LevelBasic,4)+INDEX(LevelHousing,4))*GosiOther)+SUMIFS(SeatApproved,SeatDivision,"Corporate Coverage Division",SeatLevel,INDEX(LevelList,5),SeatMandate,"Yes")*(INDEX(LevelBasic,5)+INDEX(LevelHousing,5)+INDEX(LevelTransport,5)+INDEX(LevelBasic,5)*INDEX(LevelBonus,5)+(INDEX(LevelBasic,5)+INDEX(LevelHousing,5))*GosiSaudi)+SUMIFS(SeatApproved,SeatDivision,"Corporate Coverage Division",SeatLevel,INDEX(LevelList,5),SeatMandate,"No")*(INDEX(LevelBasic,5)+INDEX(LevelHousing,5)+INDEX(LevelTransport,5)+INDEX(LevelBasic,5)*INDEX(LevelBonus,5)+(INDEX(LevelBasic,5)+INDEX(LevelHousing,5))*GosiOther)+SUMIFS(SeatApproved,SeatDivision,"Corporate Coverage Division",SeatLevel,INDEX(LevelList,6),SeatMandate,"Yes")*(INDEX(LevelBasic,6)+INDEX(LevelHousing,6)+INDEX(LevelTransport,6)+INDEX(LevelBasic,6)*INDEX(LevelBonus,6)+(INDEX(LevelBasic,6)+INDEX(LevelHousing,6))*GosiSaudi)+SUMIFS(SeatApproved,SeatDivision,"Corporate Coverage Division",SeatLevel,INDEX(LevelList,6),SeatMandate,"No")*(INDEX(LevelBasic,6)+INDEX(LevelHousing,6)+INDEX(LevelTransport,6)+INDEX(LevelBasic,6)*INDEX(LevelBonus,6)+(INDEX(LevelBasic,6)+INDEX(LevelHousing,6))*GosiOther)</f>
        <v>0</v>
      </c>
      <c r="C14" s="29" t="n">
        <f aca="false">SUMIFS(SeatExits,SeatDivision,"Corporate Coverage Division",SeatLevel,INDEX(LevelList,1),SeatMandate,"Yes")*(INDEX(LevelBasic,1)+INDEX(LevelHousing,1)+INDEX(LevelTransport,1)+INDEX(LevelBasic,1)*INDEX(LevelBonus,1)+(INDEX(LevelBasic,1)+INDEX(LevelHousing,1))*GosiSaudi)+SUMIFS(SeatExits,SeatDivision,"Corporate Coverage Division",SeatLevel,INDEX(LevelList,1),SeatMandate,"No")*(INDEX(LevelBasic,1)+INDEX(LevelHousing,1)+INDEX(LevelTransport,1)+INDEX(LevelBasic,1)*INDEX(LevelBonus,1)+(INDEX(LevelBasic,1)+INDEX(LevelHousing,1))*GosiOther)+SUMIFS(SeatExits,SeatDivision,"Corporate Coverage Division",SeatLevel,INDEX(LevelList,2),SeatMandate,"Yes")*(INDEX(LevelBasic,2)+INDEX(LevelHousing,2)+INDEX(LevelTransport,2)+INDEX(LevelBasic,2)*INDEX(LevelBonus,2)+(INDEX(LevelBasic,2)+INDEX(LevelHousing,2))*GosiSaudi)+SUMIFS(SeatExits,SeatDivision,"Corporate Coverage Division",SeatLevel,INDEX(LevelList,2),SeatMandate,"No")*(INDEX(LevelBasic,2)+INDEX(LevelHousing,2)+INDEX(LevelTransport,2)+INDEX(LevelBasic,2)*INDEX(LevelBonus,2)+(INDEX(LevelBasic,2)+INDEX(LevelHousing,2))*GosiOther)+SUMIFS(SeatExits,SeatDivision,"Corporate Coverage Division",SeatLevel,INDEX(LevelList,3),SeatMandate,"Yes")*(INDEX(LevelBasic,3)+INDEX(LevelHousing,3)+INDEX(LevelTransport,3)+INDEX(LevelBasic,3)*INDEX(LevelBonus,3)+(INDEX(LevelBasic,3)+INDEX(LevelHousing,3))*GosiSaudi)+SUMIFS(SeatExits,SeatDivision,"Corporate Coverage Division",SeatLevel,INDEX(LevelList,3),SeatMandate,"No")*(INDEX(LevelBasic,3)+INDEX(LevelHousing,3)+INDEX(LevelTransport,3)+INDEX(LevelBasic,3)*INDEX(LevelBonus,3)+(INDEX(LevelBasic,3)+INDEX(LevelHousing,3))*GosiOther)+SUMIFS(SeatExits,SeatDivision,"Corporate Coverage Division",SeatLevel,INDEX(LevelList,4),SeatMandate,"Yes")*(INDEX(LevelBasic,4)+INDEX(LevelHousing,4)+INDEX(LevelTransport,4)+INDEX(LevelBasic,4)*INDEX(LevelBonus,4)+(INDEX(LevelBasic,4)+INDEX(LevelHousing,4))*GosiSaudi)+SUMIFS(SeatExits,SeatDivision,"Corporate Coverage Division",SeatLevel,INDEX(LevelList,4),SeatMandate,"No")*(INDEX(LevelBasic,4)+INDEX(LevelHousing,4)+INDEX(LevelTransport,4)+INDEX(LevelBasic,4)*INDEX(LevelBonus,4)+(INDEX(LevelBasic,4)+INDEX(LevelHousing,4))*GosiOther)+SUMIFS(SeatExits,SeatDivision,"Corporate Coverage Division",SeatLevel,INDEX(LevelList,5),SeatMandate,"Yes")*(INDEX(LevelBasic,5)+INDEX(LevelHousing,5)+INDEX(LevelTransport,5)+INDEX(LevelBasic,5)*INDEX(LevelBonus,5)+(INDEX(LevelBasic,5)+INDEX(LevelHousing,5))*GosiSaudi)+SUMIFS(SeatExits,SeatDivision,"Corporate Coverage Division",SeatLevel,INDEX(LevelList,5),SeatMandate,"No")*(INDEX(LevelBasic,5)+INDEX(LevelHousing,5)+INDEX(LevelTransport,5)+INDEX(LevelBasic,5)*INDEX(LevelBonus,5)+(INDEX(LevelBasic,5)+INDEX(LevelHousing,5))*GosiOther)+SUMIFS(SeatExits,SeatDivision,"Corporate Coverage Division",SeatLevel,INDEX(LevelList,6),SeatMandate,"Yes")*(INDEX(LevelBasic,6)+INDEX(LevelHousing,6)+INDEX(LevelTransport,6)+INDEX(LevelBasic,6)*INDEX(LevelBonus,6)+(INDEX(LevelBasic,6)+INDEX(LevelHousing,6))*GosiSaudi)+SUMIFS(SeatExits,SeatDivision,"Corporate Coverage Division",SeatLevel,INDEX(LevelList,6),SeatMandate,"No")*(INDEX(LevelBasic,6)+INDEX(LevelHousing,6)+INDEX(LevelTransport,6)+INDEX(LevelBasic,6)*INDEX(LevelBonus,6)+(INDEX(LevelBasic,6)+INDEX(LevelHousing,6))*GosiOther)</f>
        <v>0</v>
      </c>
      <c r="D14" s="29" t="n">
        <f aca="false">SUMIFS(AskTotal,AskDivision,"Corporate Coverage Division",AskLevel,INDEX(LevelList,1))*(INDEX(LevelBasic,1)+INDEX(LevelHousing,1)+INDEX(LevelTransport,1)+INDEX(LevelBasic,1)*INDEX(LevelBonus,1)+(INDEX(LevelBasic,1)+INDEX(LevelHousing,1))*GosiSaudi)+SUMIFS(AskTotal,AskDivision,"Corporate Coverage Division",AskLevel,INDEX(LevelList,2))*(INDEX(LevelBasic,2)+INDEX(LevelHousing,2)+INDEX(LevelTransport,2)+INDEX(LevelBasic,2)*INDEX(LevelBonus,2)+(INDEX(LevelBasic,2)+INDEX(LevelHousing,2))*GosiSaudi)+SUMIFS(AskTotal,AskDivision,"Corporate Coverage Division",AskLevel,INDEX(LevelList,3))*(INDEX(LevelBasic,3)+INDEX(LevelHousing,3)+INDEX(LevelTransport,3)+INDEX(LevelBasic,3)*INDEX(LevelBonus,3)+(INDEX(LevelBasic,3)+INDEX(LevelHousing,3))*GosiSaudi)+SUMIFS(AskTotal,AskDivision,"Corporate Coverage Division",AskLevel,INDEX(LevelList,4))*(INDEX(LevelBasic,4)+INDEX(LevelHousing,4)+INDEX(LevelTransport,4)+INDEX(LevelBasic,4)*INDEX(LevelBonus,4)+(INDEX(LevelBasic,4)+INDEX(LevelHousing,4))*GosiSaudi)+SUMIFS(AskTotal,AskDivision,"Corporate Coverage Division",AskLevel,INDEX(LevelList,5))*(INDEX(LevelBasic,5)+INDEX(LevelHousing,5)+INDEX(LevelTransport,5)+INDEX(LevelBasic,5)*INDEX(LevelBonus,5)+(INDEX(LevelBasic,5)+INDEX(LevelHousing,5))*GosiSaudi)+SUMIFS(AskTotal,AskDivision,"Corporate Coverage Division",AskLevel,INDEX(LevelList,6))*(INDEX(LevelBasic,6)+INDEX(LevelHousing,6)+INDEX(LevelTransport,6)+INDEX(LevelBasic,6)*INDEX(LevelBonus,6)+(INDEX(LevelBasic,6)+INDEX(LevelHousing,6))*GosiSaudi)</f>
        <v>0</v>
      </c>
      <c r="E14" s="29" t="n">
        <f aca="false">$B14-$C14+$D14</f>
        <v>0</v>
      </c>
      <c r="F14" s="29" t="n">
        <f aca="false">$E14-$B14</f>
        <v>0</v>
      </c>
    </row>
    <row r="15" customFormat="false" ht="15" hidden="false" customHeight="false" outlineLevel="0" collapsed="false">
      <c r="A15" s="9" t="s">
        <v>95</v>
      </c>
      <c r="B15" s="29" t="n">
        <f aca="false">SUMIFS(SeatApproved,SeatDivision,"SME Banking Division",SeatLevel,INDEX(LevelList,1),SeatMandate,"Yes")*(INDEX(LevelBasic,1)+INDEX(LevelHousing,1)+INDEX(LevelTransport,1)+INDEX(LevelBasic,1)*INDEX(LevelBonus,1)+(INDEX(LevelBasic,1)+INDEX(LevelHousing,1))*GosiSaudi)+SUMIFS(SeatApproved,SeatDivision,"SME Banking Division",SeatLevel,INDEX(LevelList,1),SeatMandate,"No")*(INDEX(LevelBasic,1)+INDEX(LevelHousing,1)+INDEX(LevelTransport,1)+INDEX(LevelBasic,1)*INDEX(LevelBonus,1)+(INDEX(LevelBasic,1)+INDEX(LevelHousing,1))*GosiOther)+SUMIFS(SeatApproved,SeatDivision,"SME Banking Division",SeatLevel,INDEX(LevelList,2),SeatMandate,"Yes")*(INDEX(LevelBasic,2)+INDEX(LevelHousing,2)+INDEX(LevelTransport,2)+INDEX(LevelBasic,2)*INDEX(LevelBonus,2)+(INDEX(LevelBasic,2)+INDEX(LevelHousing,2))*GosiSaudi)+SUMIFS(SeatApproved,SeatDivision,"SME Banking Division",SeatLevel,INDEX(LevelList,2),SeatMandate,"No")*(INDEX(LevelBasic,2)+INDEX(LevelHousing,2)+INDEX(LevelTransport,2)+INDEX(LevelBasic,2)*INDEX(LevelBonus,2)+(INDEX(LevelBasic,2)+INDEX(LevelHousing,2))*GosiOther)+SUMIFS(SeatApproved,SeatDivision,"SME Banking Division",SeatLevel,INDEX(LevelList,3),SeatMandate,"Yes")*(INDEX(LevelBasic,3)+INDEX(LevelHousing,3)+INDEX(LevelTransport,3)+INDEX(LevelBasic,3)*INDEX(LevelBonus,3)+(INDEX(LevelBasic,3)+INDEX(LevelHousing,3))*GosiSaudi)+SUMIFS(SeatApproved,SeatDivision,"SME Banking Division",SeatLevel,INDEX(LevelList,3),SeatMandate,"No")*(INDEX(LevelBasic,3)+INDEX(LevelHousing,3)+INDEX(LevelTransport,3)+INDEX(LevelBasic,3)*INDEX(LevelBonus,3)+(INDEX(LevelBasic,3)+INDEX(LevelHousing,3))*GosiOther)+SUMIFS(SeatApproved,SeatDivision,"SME Banking Division",SeatLevel,INDEX(LevelList,4),SeatMandate,"Yes")*(INDEX(LevelBasic,4)+INDEX(LevelHousing,4)+INDEX(LevelTransport,4)+INDEX(LevelBasic,4)*INDEX(LevelBonus,4)+(INDEX(LevelBasic,4)+INDEX(LevelHousing,4))*GosiSaudi)+SUMIFS(SeatApproved,SeatDivision,"SME Banking Division",SeatLevel,INDEX(LevelList,4),SeatMandate,"No")*(INDEX(LevelBasic,4)+INDEX(LevelHousing,4)+INDEX(LevelTransport,4)+INDEX(LevelBasic,4)*INDEX(LevelBonus,4)+(INDEX(LevelBasic,4)+INDEX(LevelHousing,4))*GosiOther)+SUMIFS(SeatApproved,SeatDivision,"SME Banking Division",SeatLevel,INDEX(LevelList,5),SeatMandate,"Yes")*(INDEX(LevelBasic,5)+INDEX(LevelHousing,5)+INDEX(LevelTransport,5)+INDEX(LevelBasic,5)*INDEX(LevelBonus,5)+(INDEX(LevelBasic,5)+INDEX(LevelHousing,5))*GosiSaudi)+SUMIFS(SeatApproved,SeatDivision,"SME Banking Division",SeatLevel,INDEX(LevelList,5),SeatMandate,"No")*(INDEX(LevelBasic,5)+INDEX(LevelHousing,5)+INDEX(LevelTransport,5)+INDEX(LevelBasic,5)*INDEX(LevelBonus,5)+(INDEX(LevelBasic,5)+INDEX(LevelHousing,5))*GosiOther)+SUMIFS(SeatApproved,SeatDivision,"SME Banking Division",SeatLevel,INDEX(LevelList,6),SeatMandate,"Yes")*(INDEX(LevelBasic,6)+INDEX(LevelHousing,6)+INDEX(LevelTransport,6)+INDEX(LevelBasic,6)*INDEX(LevelBonus,6)+(INDEX(LevelBasic,6)+INDEX(LevelHousing,6))*GosiSaudi)+SUMIFS(SeatApproved,SeatDivision,"SME Banking Division",SeatLevel,INDEX(LevelList,6),SeatMandate,"No")*(INDEX(LevelBasic,6)+INDEX(LevelHousing,6)+INDEX(LevelTransport,6)+INDEX(LevelBasic,6)*INDEX(LevelBonus,6)+(INDEX(LevelBasic,6)+INDEX(LevelHousing,6))*GosiOther)</f>
        <v>0</v>
      </c>
      <c r="C15" s="29" t="n">
        <f aca="false">SUMIFS(SeatExits,SeatDivision,"SME Banking Division",SeatLevel,INDEX(LevelList,1),SeatMandate,"Yes")*(INDEX(LevelBasic,1)+INDEX(LevelHousing,1)+INDEX(LevelTransport,1)+INDEX(LevelBasic,1)*INDEX(LevelBonus,1)+(INDEX(LevelBasic,1)+INDEX(LevelHousing,1))*GosiSaudi)+SUMIFS(SeatExits,SeatDivision,"SME Banking Division",SeatLevel,INDEX(LevelList,1),SeatMandate,"No")*(INDEX(LevelBasic,1)+INDEX(LevelHousing,1)+INDEX(LevelTransport,1)+INDEX(LevelBasic,1)*INDEX(LevelBonus,1)+(INDEX(LevelBasic,1)+INDEX(LevelHousing,1))*GosiOther)+SUMIFS(SeatExits,SeatDivision,"SME Banking Division",SeatLevel,INDEX(LevelList,2),SeatMandate,"Yes")*(INDEX(LevelBasic,2)+INDEX(LevelHousing,2)+INDEX(LevelTransport,2)+INDEX(LevelBasic,2)*INDEX(LevelBonus,2)+(INDEX(LevelBasic,2)+INDEX(LevelHousing,2))*GosiSaudi)+SUMIFS(SeatExits,SeatDivision,"SME Banking Division",SeatLevel,INDEX(LevelList,2),SeatMandate,"No")*(INDEX(LevelBasic,2)+INDEX(LevelHousing,2)+INDEX(LevelTransport,2)+INDEX(LevelBasic,2)*INDEX(LevelBonus,2)+(INDEX(LevelBasic,2)+INDEX(LevelHousing,2))*GosiOther)+SUMIFS(SeatExits,SeatDivision,"SME Banking Division",SeatLevel,INDEX(LevelList,3),SeatMandate,"Yes")*(INDEX(LevelBasic,3)+INDEX(LevelHousing,3)+INDEX(LevelTransport,3)+INDEX(LevelBasic,3)*INDEX(LevelBonus,3)+(INDEX(LevelBasic,3)+INDEX(LevelHousing,3))*GosiSaudi)+SUMIFS(SeatExits,SeatDivision,"SME Banking Division",SeatLevel,INDEX(LevelList,3),SeatMandate,"No")*(INDEX(LevelBasic,3)+INDEX(LevelHousing,3)+INDEX(LevelTransport,3)+INDEX(LevelBasic,3)*INDEX(LevelBonus,3)+(INDEX(LevelBasic,3)+INDEX(LevelHousing,3))*GosiOther)+SUMIFS(SeatExits,SeatDivision,"SME Banking Division",SeatLevel,INDEX(LevelList,4),SeatMandate,"Yes")*(INDEX(LevelBasic,4)+INDEX(LevelHousing,4)+INDEX(LevelTransport,4)+INDEX(LevelBasic,4)*INDEX(LevelBonus,4)+(INDEX(LevelBasic,4)+INDEX(LevelHousing,4))*GosiSaudi)+SUMIFS(SeatExits,SeatDivision,"SME Banking Division",SeatLevel,INDEX(LevelList,4),SeatMandate,"No")*(INDEX(LevelBasic,4)+INDEX(LevelHousing,4)+INDEX(LevelTransport,4)+INDEX(LevelBasic,4)*INDEX(LevelBonus,4)+(INDEX(LevelBasic,4)+INDEX(LevelHousing,4))*GosiOther)+SUMIFS(SeatExits,SeatDivision,"SME Banking Division",SeatLevel,INDEX(LevelList,5),SeatMandate,"Yes")*(INDEX(LevelBasic,5)+INDEX(LevelHousing,5)+INDEX(LevelTransport,5)+INDEX(LevelBasic,5)*INDEX(LevelBonus,5)+(INDEX(LevelBasic,5)+INDEX(LevelHousing,5))*GosiSaudi)+SUMIFS(SeatExits,SeatDivision,"SME Banking Division",SeatLevel,INDEX(LevelList,5),SeatMandate,"No")*(INDEX(LevelBasic,5)+INDEX(LevelHousing,5)+INDEX(LevelTransport,5)+INDEX(LevelBasic,5)*INDEX(LevelBonus,5)+(INDEX(LevelBasic,5)+INDEX(LevelHousing,5))*GosiOther)+SUMIFS(SeatExits,SeatDivision,"SME Banking Division",SeatLevel,INDEX(LevelList,6),SeatMandate,"Yes")*(INDEX(LevelBasic,6)+INDEX(LevelHousing,6)+INDEX(LevelTransport,6)+INDEX(LevelBasic,6)*INDEX(LevelBonus,6)+(INDEX(LevelBasic,6)+INDEX(LevelHousing,6))*GosiSaudi)+SUMIFS(SeatExits,SeatDivision,"SME Banking Division",SeatLevel,INDEX(LevelList,6),SeatMandate,"No")*(INDEX(LevelBasic,6)+INDEX(LevelHousing,6)+INDEX(LevelTransport,6)+INDEX(LevelBasic,6)*INDEX(LevelBonus,6)+(INDEX(LevelBasic,6)+INDEX(LevelHousing,6))*GosiOther)</f>
        <v>0</v>
      </c>
      <c r="D15" s="29" t="n">
        <f aca="false">SUMIFS(AskTotal,AskDivision,"SME Banking Division",AskLevel,INDEX(LevelList,1))*(INDEX(LevelBasic,1)+INDEX(LevelHousing,1)+INDEX(LevelTransport,1)+INDEX(LevelBasic,1)*INDEX(LevelBonus,1)+(INDEX(LevelBasic,1)+INDEX(LevelHousing,1))*GosiSaudi)+SUMIFS(AskTotal,AskDivision,"SME Banking Division",AskLevel,INDEX(LevelList,2))*(INDEX(LevelBasic,2)+INDEX(LevelHousing,2)+INDEX(LevelTransport,2)+INDEX(LevelBasic,2)*INDEX(LevelBonus,2)+(INDEX(LevelBasic,2)+INDEX(LevelHousing,2))*GosiSaudi)+SUMIFS(AskTotal,AskDivision,"SME Banking Division",AskLevel,INDEX(LevelList,3))*(INDEX(LevelBasic,3)+INDEX(LevelHousing,3)+INDEX(LevelTransport,3)+INDEX(LevelBasic,3)*INDEX(LevelBonus,3)+(INDEX(LevelBasic,3)+INDEX(LevelHousing,3))*GosiSaudi)+SUMIFS(AskTotal,AskDivision,"SME Banking Division",AskLevel,INDEX(LevelList,4))*(INDEX(LevelBasic,4)+INDEX(LevelHousing,4)+INDEX(LevelTransport,4)+INDEX(LevelBasic,4)*INDEX(LevelBonus,4)+(INDEX(LevelBasic,4)+INDEX(LevelHousing,4))*GosiSaudi)+SUMIFS(AskTotal,AskDivision,"SME Banking Division",AskLevel,INDEX(LevelList,5))*(INDEX(LevelBasic,5)+INDEX(LevelHousing,5)+INDEX(LevelTransport,5)+INDEX(LevelBasic,5)*INDEX(LevelBonus,5)+(INDEX(LevelBasic,5)+INDEX(LevelHousing,5))*GosiSaudi)+SUMIFS(AskTotal,AskDivision,"SME Banking Division",AskLevel,INDEX(LevelList,6))*(INDEX(LevelBasic,6)+INDEX(LevelHousing,6)+INDEX(LevelTransport,6)+INDEX(LevelBasic,6)*INDEX(LevelBonus,6)+(INDEX(LevelBasic,6)+INDEX(LevelHousing,6))*GosiSaudi)</f>
        <v>0</v>
      </c>
      <c r="E15" s="29" t="n">
        <f aca="false">$B15-$C15+$D15</f>
        <v>0</v>
      </c>
      <c r="F15" s="29" t="n">
        <f aca="false">$E15-$B15</f>
        <v>0</v>
      </c>
    </row>
    <row r="16" customFormat="false" ht="15" hidden="false" customHeight="false" outlineLevel="0" collapsed="false">
      <c r="A16" s="9" t="s">
        <v>125</v>
      </c>
      <c r="B16" s="29" t="n">
        <f aca="false">SUMIFS(SeatApproved,SeatDivision,"Transaction Banking Division",SeatLevel,INDEX(LevelList,1),SeatMandate,"Yes")*(INDEX(LevelBasic,1)+INDEX(LevelHousing,1)+INDEX(LevelTransport,1)+INDEX(LevelBasic,1)*INDEX(LevelBonus,1)+(INDEX(LevelBasic,1)+INDEX(LevelHousing,1))*GosiSaudi)+SUMIFS(SeatApproved,SeatDivision,"Transaction Banking Division",SeatLevel,INDEX(LevelList,1),SeatMandate,"No")*(INDEX(LevelBasic,1)+INDEX(LevelHousing,1)+INDEX(LevelTransport,1)+INDEX(LevelBasic,1)*INDEX(LevelBonus,1)+(INDEX(LevelBasic,1)+INDEX(LevelHousing,1))*GosiOther)+SUMIFS(SeatApproved,SeatDivision,"Transaction Banking Division",SeatLevel,INDEX(LevelList,2),SeatMandate,"Yes")*(INDEX(LevelBasic,2)+INDEX(LevelHousing,2)+INDEX(LevelTransport,2)+INDEX(LevelBasic,2)*INDEX(LevelBonus,2)+(INDEX(LevelBasic,2)+INDEX(LevelHousing,2))*GosiSaudi)+SUMIFS(SeatApproved,SeatDivision,"Transaction Banking Division",SeatLevel,INDEX(LevelList,2),SeatMandate,"No")*(INDEX(LevelBasic,2)+INDEX(LevelHousing,2)+INDEX(LevelTransport,2)+INDEX(LevelBasic,2)*INDEX(LevelBonus,2)+(INDEX(LevelBasic,2)+INDEX(LevelHousing,2))*GosiOther)+SUMIFS(SeatApproved,SeatDivision,"Transaction Banking Division",SeatLevel,INDEX(LevelList,3),SeatMandate,"Yes")*(INDEX(LevelBasic,3)+INDEX(LevelHousing,3)+INDEX(LevelTransport,3)+INDEX(LevelBasic,3)*INDEX(LevelBonus,3)+(INDEX(LevelBasic,3)+INDEX(LevelHousing,3))*GosiSaudi)+SUMIFS(SeatApproved,SeatDivision,"Transaction Banking Division",SeatLevel,INDEX(LevelList,3),SeatMandate,"No")*(INDEX(LevelBasic,3)+INDEX(LevelHousing,3)+INDEX(LevelTransport,3)+INDEX(LevelBasic,3)*INDEX(LevelBonus,3)+(INDEX(LevelBasic,3)+INDEX(LevelHousing,3))*GosiOther)+SUMIFS(SeatApproved,SeatDivision,"Transaction Banking Division",SeatLevel,INDEX(LevelList,4),SeatMandate,"Yes")*(INDEX(LevelBasic,4)+INDEX(LevelHousing,4)+INDEX(LevelTransport,4)+INDEX(LevelBasic,4)*INDEX(LevelBonus,4)+(INDEX(LevelBasic,4)+INDEX(LevelHousing,4))*GosiSaudi)+SUMIFS(SeatApproved,SeatDivision,"Transaction Banking Division",SeatLevel,INDEX(LevelList,4),SeatMandate,"No")*(INDEX(LevelBasic,4)+INDEX(LevelHousing,4)+INDEX(LevelTransport,4)+INDEX(LevelBasic,4)*INDEX(LevelBonus,4)+(INDEX(LevelBasic,4)+INDEX(LevelHousing,4))*GosiOther)+SUMIFS(SeatApproved,SeatDivision,"Transaction Banking Division",SeatLevel,INDEX(LevelList,5),SeatMandate,"Yes")*(INDEX(LevelBasic,5)+INDEX(LevelHousing,5)+INDEX(LevelTransport,5)+INDEX(LevelBasic,5)*INDEX(LevelBonus,5)+(INDEX(LevelBasic,5)+INDEX(LevelHousing,5))*GosiSaudi)+SUMIFS(SeatApproved,SeatDivision,"Transaction Banking Division",SeatLevel,INDEX(LevelList,5),SeatMandate,"No")*(INDEX(LevelBasic,5)+INDEX(LevelHousing,5)+INDEX(LevelTransport,5)+INDEX(LevelBasic,5)*INDEX(LevelBonus,5)+(INDEX(LevelBasic,5)+INDEX(LevelHousing,5))*GosiOther)+SUMIFS(SeatApproved,SeatDivision,"Transaction Banking Division",SeatLevel,INDEX(LevelList,6),SeatMandate,"Yes")*(INDEX(LevelBasic,6)+INDEX(LevelHousing,6)+INDEX(LevelTransport,6)+INDEX(LevelBasic,6)*INDEX(LevelBonus,6)+(INDEX(LevelBasic,6)+INDEX(LevelHousing,6))*GosiSaudi)+SUMIFS(SeatApproved,SeatDivision,"Transaction Banking Division",SeatLevel,INDEX(LevelList,6),SeatMandate,"No")*(INDEX(LevelBasic,6)+INDEX(LevelHousing,6)+INDEX(LevelTransport,6)+INDEX(LevelBasic,6)*INDEX(LevelBonus,6)+(INDEX(LevelBasic,6)+INDEX(LevelHousing,6))*GosiOther)</f>
        <v>0</v>
      </c>
      <c r="C16" s="29" t="n">
        <f aca="false">SUMIFS(SeatExits,SeatDivision,"Transaction Banking Division",SeatLevel,INDEX(LevelList,1),SeatMandate,"Yes")*(INDEX(LevelBasic,1)+INDEX(LevelHousing,1)+INDEX(LevelTransport,1)+INDEX(LevelBasic,1)*INDEX(LevelBonus,1)+(INDEX(LevelBasic,1)+INDEX(LevelHousing,1))*GosiSaudi)+SUMIFS(SeatExits,SeatDivision,"Transaction Banking Division",SeatLevel,INDEX(LevelList,1),SeatMandate,"No")*(INDEX(LevelBasic,1)+INDEX(LevelHousing,1)+INDEX(LevelTransport,1)+INDEX(LevelBasic,1)*INDEX(LevelBonus,1)+(INDEX(LevelBasic,1)+INDEX(LevelHousing,1))*GosiOther)+SUMIFS(SeatExits,SeatDivision,"Transaction Banking Division",SeatLevel,INDEX(LevelList,2),SeatMandate,"Yes")*(INDEX(LevelBasic,2)+INDEX(LevelHousing,2)+INDEX(LevelTransport,2)+INDEX(LevelBasic,2)*INDEX(LevelBonus,2)+(INDEX(LevelBasic,2)+INDEX(LevelHousing,2))*GosiSaudi)+SUMIFS(SeatExits,SeatDivision,"Transaction Banking Division",SeatLevel,INDEX(LevelList,2),SeatMandate,"No")*(INDEX(LevelBasic,2)+INDEX(LevelHousing,2)+INDEX(LevelTransport,2)+INDEX(LevelBasic,2)*INDEX(LevelBonus,2)+(INDEX(LevelBasic,2)+INDEX(LevelHousing,2))*GosiOther)+SUMIFS(SeatExits,SeatDivision,"Transaction Banking Division",SeatLevel,INDEX(LevelList,3),SeatMandate,"Yes")*(INDEX(LevelBasic,3)+INDEX(LevelHousing,3)+INDEX(LevelTransport,3)+INDEX(LevelBasic,3)*INDEX(LevelBonus,3)+(INDEX(LevelBasic,3)+INDEX(LevelHousing,3))*GosiSaudi)+SUMIFS(SeatExits,SeatDivision,"Transaction Banking Division",SeatLevel,INDEX(LevelList,3),SeatMandate,"No")*(INDEX(LevelBasic,3)+INDEX(LevelHousing,3)+INDEX(LevelTransport,3)+INDEX(LevelBasic,3)*INDEX(LevelBonus,3)+(INDEX(LevelBasic,3)+INDEX(LevelHousing,3))*GosiOther)+SUMIFS(SeatExits,SeatDivision,"Transaction Banking Division",SeatLevel,INDEX(LevelList,4),SeatMandate,"Yes")*(INDEX(LevelBasic,4)+INDEX(LevelHousing,4)+INDEX(LevelTransport,4)+INDEX(LevelBasic,4)*INDEX(LevelBonus,4)+(INDEX(LevelBasic,4)+INDEX(LevelHousing,4))*GosiSaudi)+SUMIFS(SeatExits,SeatDivision,"Transaction Banking Division",SeatLevel,INDEX(LevelList,4),SeatMandate,"No")*(INDEX(LevelBasic,4)+INDEX(LevelHousing,4)+INDEX(LevelTransport,4)+INDEX(LevelBasic,4)*INDEX(LevelBonus,4)+(INDEX(LevelBasic,4)+INDEX(LevelHousing,4))*GosiOther)+SUMIFS(SeatExits,SeatDivision,"Transaction Banking Division",SeatLevel,INDEX(LevelList,5),SeatMandate,"Yes")*(INDEX(LevelBasic,5)+INDEX(LevelHousing,5)+INDEX(LevelTransport,5)+INDEX(LevelBasic,5)*INDEX(LevelBonus,5)+(INDEX(LevelBasic,5)+INDEX(LevelHousing,5))*GosiSaudi)+SUMIFS(SeatExits,SeatDivision,"Transaction Banking Division",SeatLevel,INDEX(LevelList,5),SeatMandate,"No")*(INDEX(LevelBasic,5)+INDEX(LevelHousing,5)+INDEX(LevelTransport,5)+INDEX(LevelBasic,5)*INDEX(LevelBonus,5)+(INDEX(LevelBasic,5)+INDEX(LevelHousing,5))*GosiOther)+SUMIFS(SeatExits,SeatDivision,"Transaction Banking Division",SeatLevel,INDEX(LevelList,6),SeatMandate,"Yes")*(INDEX(LevelBasic,6)+INDEX(LevelHousing,6)+INDEX(LevelTransport,6)+INDEX(LevelBasic,6)*INDEX(LevelBonus,6)+(INDEX(LevelBasic,6)+INDEX(LevelHousing,6))*GosiSaudi)+SUMIFS(SeatExits,SeatDivision,"Transaction Banking Division",SeatLevel,INDEX(LevelList,6),SeatMandate,"No")*(INDEX(LevelBasic,6)+INDEX(LevelHousing,6)+INDEX(LevelTransport,6)+INDEX(LevelBasic,6)*INDEX(LevelBonus,6)+(INDEX(LevelBasic,6)+INDEX(LevelHousing,6))*GosiOther)</f>
        <v>0</v>
      </c>
      <c r="D16" s="29" t="n">
        <f aca="false">SUMIFS(AskTotal,AskDivision,"Transaction Banking Division",AskLevel,INDEX(LevelList,1))*(INDEX(LevelBasic,1)+INDEX(LevelHousing,1)+INDEX(LevelTransport,1)+INDEX(LevelBasic,1)*INDEX(LevelBonus,1)+(INDEX(LevelBasic,1)+INDEX(LevelHousing,1))*GosiSaudi)+SUMIFS(AskTotal,AskDivision,"Transaction Banking Division",AskLevel,INDEX(LevelList,2))*(INDEX(LevelBasic,2)+INDEX(LevelHousing,2)+INDEX(LevelTransport,2)+INDEX(LevelBasic,2)*INDEX(LevelBonus,2)+(INDEX(LevelBasic,2)+INDEX(LevelHousing,2))*GosiSaudi)+SUMIFS(AskTotal,AskDivision,"Transaction Banking Division",AskLevel,INDEX(LevelList,3))*(INDEX(LevelBasic,3)+INDEX(LevelHousing,3)+INDEX(LevelTransport,3)+INDEX(LevelBasic,3)*INDEX(LevelBonus,3)+(INDEX(LevelBasic,3)+INDEX(LevelHousing,3))*GosiSaudi)+SUMIFS(AskTotal,AskDivision,"Transaction Banking Division",AskLevel,INDEX(LevelList,4))*(INDEX(LevelBasic,4)+INDEX(LevelHousing,4)+INDEX(LevelTransport,4)+INDEX(LevelBasic,4)*INDEX(LevelBonus,4)+(INDEX(LevelBasic,4)+INDEX(LevelHousing,4))*GosiSaudi)+SUMIFS(AskTotal,AskDivision,"Transaction Banking Division",AskLevel,INDEX(LevelList,5))*(INDEX(LevelBasic,5)+INDEX(LevelHousing,5)+INDEX(LevelTransport,5)+INDEX(LevelBasic,5)*INDEX(LevelBonus,5)+(INDEX(LevelBasic,5)+INDEX(LevelHousing,5))*GosiSaudi)+SUMIFS(AskTotal,AskDivision,"Transaction Banking Division",AskLevel,INDEX(LevelList,6))*(INDEX(LevelBasic,6)+INDEX(LevelHousing,6)+INDEX(LevelTransport,6)+INDEX(LevelBasic,6)*INDEX(LevelBonus,6)+(INDEX(LevelBasic,6)+INDEX(LevelHousing,6))*GosiSaudi)</f>
        <v>0</v>
      </c>
      <c r="E16" s="29" t="n">
        <f aca="false">$B16-$C16+$D16</f>
        <v>0</v>
      </c>
      <c r="F16" s="29" t="n">
        <f aca="false">$E16-$B16</f>
        <v>0</v>
      </c>
    </row>
    <row r="17" customFormat="false" ht="15" hidden="false" customHeight="false" outlineLevel="0" collapsed="false">
      <c r="A17" s="9" t="s">
        <v>307</v>
      </c>
      <c r="B17"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7"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7"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7" s="29" t="n">
        <f aca="false">$B17-$C17+$D17</f>
        <v>0</v>
      </c>
      <c r="F17" s="29" t="n">
        <f aca="false">$E17-$B17</f>
        <v>0</v>
      </c>
    </row>
    <row r="18" customFormat="false" ht="15" hidden="false" customHeight="false" outlineLevel="0" collapsed="false">
      <c r="A18" s="27" t="s">
        <v>308</v>
      </c>
      <c r="B18" s="15" t="n">
        <f aca="false">SUM(B14:B17)</f>
        <v>0</v>
      </c>
      <c r="C18" s="15" t="n">
        <f aca="false">SUM(C14:C17)</f>
        <v>0</v>
      </c>
      <c r="D18" s="15" t="n">
        <f aca="false">SUM(D14:D17)</f>
        <v>0</v>
      </c>
      <c r="E18" s="15" t="n">
        <f aca="false">SUM(E14:E17)</f>
        <v>0</v>
      </c>
      <c r="F18" s="15" t="n">
        <f aca="false">SUM(F14:F17)</f>
        <v>0</v>
      </c>
    </row>
    <row r="20" customFormat="false" ht="15" hidden="false" customHeight="false" outlineLevel="0" collapsed="false">
      <c r="A20" s="3" t="s">
        <v>311</v>
      </c>
    </row>
    <row r="21" customFormat="false" ht="15" hidden="false" customHeight="false" outlineLevel="0" collapsed="false">
      <c r="A21" s="6" t="s">
        <v>312</v>
      </c>
      <c r="B21"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1" s="30" t="s">
        <v>313</v>
      </c>
    </row>
    <row r="22" customFormat="false" ht="15" hidden="false" customHeight="false" outlineLevel="0" collapsed="false">
      <c r="A22" s="6" t="s">
        <v>314</v>
      </c>
      <c r="B22"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2" s="30" t="s">
        <v>315</v>
      </c>
    </row>
    <row r="23" customFormat="false" ht="15" hidden="false" customHeight="false" outlineLevel="0" collapsed="false">
      <c r="A23" s="6" t="s">
        <v>316</v>
      </c>
      <c r="B23" s="19" t="n">
        <f aca="false">-SUM(OutCash)</f>
        <v>-0</v>
      </c>
      <c r="C23" s="30" t="s">
        <v>317</v>
      </c>
    </row>
    <row r="24" customFormat="false" ht="15" hidden="false" customHeight="false" outlineLevel="0" collapsed="false">
      <c r="A24" s="27" t="s">
        <v>318</v>
      </c>
      <c r="B24" s="15" t="n">
        <f aca="false">$B$21+$B$22+$B$23</f>
        <v>0</v>
      </c>
      <c r="C24" s="30" t="s">
        <v>319</v>
      </c>
    </row>
    <row r="26" customFormat="false" ht="15" hidden="false" customHeight="false" outlineLevel="0" collapsed="false">
      <c r="A26" s="3" t="s">
        <v>320</v>
      </c>
    </row>
    <row r="27" customFormat="false" ht="27.75" hidden="false" customHeight="true" outlineLevel="0" collapsed="false">
      <c r="A27" s="12" t="s">
        <v>321</v>
      </c>
      <c r="B27" s="12" t="s">
        <v>322</v>
      </c>
      <c r="C27" s="12" t="s">
        <v>323</v>
      </c>
      <c r="D27" s="12" t="s">
        <v>324</v>
      </c>
      <c r="E27" s="12" t="s">
        <v>325</v>
      </c>
      <c r="F27" s="12"/>
      <c r="G27" s="12"/>
    </row>
    <row r="28" customFormat="false" ht="15" hidden="false" customHeight="false" outlineLevel="0" collapsed="false">
      <c r="A28" s="31" t="s">
        <v>326</v>
      </c>
      <c r="B28" s="32" t="n">
        <f aca="false">CostEnvelope</f>
        <v>2786</v>
      </c>
      <c r="C28" s="33" t="n">
        <f aca="false">$F$18</f>
        <v>0</v>
      </c>
      <c r="D28" s="29" t="n">
        <f aca="false">$B28-$C28</f>
        <v>2786</v>
      </c>
      <c r="E28" s="34" t="str">
        <f aca="false">IF($D28&gt;=0,"Within envelope","Over envelope")</f>
        <v>Within envelope</v>
      </c>
      <c r="G28" s="35" t="s">
        <v>327</v>
      </c>
    </row>
    <row r="29" customFormat="false" ht="15" hidden="false" customHeight="false" outlineLevel="0" collapsed="false">
      <c r="A29" s="31" t="s">
        <v>328</v>
      </c>
      <c r="B29" s="36" t="n">
        <f aca="false">HeadEnvelope</f>
        <v>10</v>
      </c>
      <c r="C29" s="37" t="n">
        <f aca="false">$F$10</f>
        <v>0</v>
      </c>
      <c r="D29" s="26" t="n">
        <f aca="false">$B29-$C29</f>
        <v>10</v>
      </c>
      <c r="E29" s="34" t="str">
        <f aca="false">IF($D29&gt;=0,"Within envelope","Over envelope")</f>
        <v>Within envelope</v>
      </c>
      <c r="G29" s="35" t="s">
        <v>329</v>
      </c>
    </row>
    <row r="30" customFormat="false" ht="15" hidden="false" customHeight="false" outlineLevel="0" collapsed="false">
      <c r="A30" s="31" t="s">
        <v>330</v>
      </c>
      <c r="B30" s="38" t="n">
        <f aca="false">SaudiTarget</f>
        <v>0.68</v>
      </c>
      <c r="C30" s="39" t="n">
        <f aca="false">IFERROR(SUMIFS(SeatApproved,SeatMandate,"Yes")/SUM(SeatApproved),0)</f>
        <v>0</v>
      </c>
      <c r="D30" s="40" t="n">
        <f aca="false">$C30-$B30</f>
        <v>-0.68</v>
      </c>
      <c r="E30" s="34" t="str">
        <f aca="false">IF($C30&gt;=$B30,"At or above target","Below target")</f>
        <v>Below target</v>
      </c>
      <c r="G30" s="35" t="s">
        <v>331</v>
      </c>
    </row>
    <row r="32" customFormat="false" ht="15" hidden="false" customHeight="false" outlineLevel="0" collapsed="false">
      <c r="A32" s="3" t="s">
        <v>332</v>
      </c>
      <c r="G32" s="28" t="s">
        <v>333</v>
      </c>
    </row>
    <row r="33" customFormat="false" ht="27.75" hidden="false" customHeight="true" outlineLevel="0" collapsed="false">
      <c r="A33" s="12" t="s">
        <v>334</v>
      </c>
      <c r="B33" s="12" t="s">
        <v>295</v>
      </c>
      <c r="C33" s="12" t="s">
        <v>335</v>
      </c>
      <c r="D33" s="12" t="s">
        <v>336</v>
      </c>
      <c r="E33" s="12" t="s">
        <v>337</v>
      </c>
      <c r="F33" s="12"/>
      <c r="G33" s="12"/>
    </row>
    <row r="34" customFormat="false" ht="15" hidden="false" customHeight="false" outlineLevel="0" collapsed="false">
      <c r="A34" s="9" t="s">
        <v>338</v>
      </c>
      <c r="B34" s="26" t="n">
        <f aca="false">SUMIFS(AskTotal,AskCategory,"Regulatory")</f>
        <v>0</v>
      </c>
      <c r="C34"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4" s="29" t="n">
        <f aca="false">SUM($C$34:$C34)</f>
        <v>0</v>
      </c>
      <c r="E34" s="34" t="str">
        <f aca="false">IF($D34&lt;=CostEnvelope,"Yes","No")</f>
        <v>Yes</v>
      </c>
      <c r="G34" s="35" t="s">
        <v>339</v>
      </c>
    </row>
    <row r="35" customFormat="false" ht="15" hidden="false" customHeight="false" outlineLevel="0" collapsed="false">
      <c r="A35" s="9" t="s">
        <v>340</v>
      </c>
      <c r="B35" s="26" t="n">
        <f aca="false">SUMIFS(AskTotal,AskCategory,"Strategic")</f>
        <v>0</v>
      </c>
      <c r="C35"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5" s="29" t="n">
        <f aca="false">SUM($C$34:$C35)</f>
        <v>0</v>
      </c>
      <c r="E35" s="34" t="str">
        <f aca="false">IF($D35&lt;=CostEnvelope,"Yes","No")</f>
        <v>Yes</v>
      </c>
      <c r="G35" s="35" t="s">
        <v>341</v>
      </c>
    </row>
    <row r="36" customFormat="false" ht="15" hidden="false" customHeight="false" outlineLevel="0" collapsed="false">
      <c r="A36" s="9" t="s">
        <v>342</v>
      </c>
      <c r="B36" s="26" t="n">
        <f aca="false">SUMIFS(AskTotal,AskCategory,"Control")</f>
        <v>0</v>
      </c>
      <c r="C36"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6" s="29" t="n">
        <f aca="false">SUM($C$34:$C36)</f>
        <v>0</v>
      </c>
      <c r="E36" s="34" t="str">
        <f aca="false">IF($D36&lt;=CostEnvelope,"Yes","No")</f>
        <v>Yes</v>
      </c>
      <c r="G36" s="35" t="s">
        <v>343</v>
      </c>
    </row>
    <row r="37" customFormat="false" ht="15" hidden="false" customHeight="false" outlineLevel="0" collapsed="false">
      <c r="A37" s="9" t="s">
        <v>344</v>
      </c>
      <c r="B37" s="26" t="n">
        <f aca="false">SUMIFS(AskTotal,AskCategory,"BAU")</f>
        <v>0</v>
      </c>
      <c r="C37"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7" s="29" t="n">
        <f aca="false">SUM($C$34:$C37)</f>
        <v>0</v>
      </c>
      <c r="E37" s="34" t="str">
        <f aca="false">IF($D37&lt;=CostEnvelope,"Yes","No")</f>
        <v>Yes</v>
      </c>
      <c r="G37" s="35" t="s">
        <v>345</v>
      </c>
    </row>
    <row r="39" customFormat="false" ht="15" hidden="false" customHeight="false" outlineLevel="0" collapsed="false">
      <c r="A39" s="3" t="s">
        <v>346</v>
      </c>
    </row>
    <row r="40" customFormat="false" ht="27.75" hidden="false" customHeight="true" outlineLevel="0" collapsed="false">
      <c r="A40" s="12" t="s">
        <v>293</v>
      </c>
      <c r="B40" s="12" t="s">
        <v>295</v>
      </c>
      <c r="C40" s="12" t="s">
        <v>347</v>
      </c>
      <c r="D40" s="12" t="s">
        <v>348</v>
      </c>
      <c r="E40" s="12"/>
      <c r="F40" s="12"/>
      <c r="G40" s="12"/>
    </row>
    <row r="41" customFormat="false" ht="15" hidden="false" customHeight="false" outlineLevel="0" collapsed="false">
      <c r="A41" s="9" t="s">
        <v>296</v>
      </c>
      <c r="B41" s="26" t="n">
        <f aca="false">SUM(AskQ1)</f>
        <v>0</v>
      </c>
      <c r="C41" s="41" t="n">
        <v>1</v>
      </c>
      <c r="D41"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2" customFormat="false" ht="15" hidden="false" customHeight="false" outlineLevel="0" collapsed="false">
      <c r="A42" s="9" t="s">
        <v>297</v>
      </c>
      <c r="B42" s="26" t="n">
        <f aca="false">SUM(AskQ2)</f>
        <v>0</v>
      </c>
      <c r="C42" s="41" t="n">
        <v>0.75</v>
      </c>
      <c r="D42"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3" customFormat="false" ht="15" hidden="false" customHeight="false" outlineLevel="0" collapsed="false">
      <c r="A43" s="9" t="s">
        <v>298</v>
      </c>
      <c r="B43" s="26" t="n">
        <f aca="false">SUM(AskQ3)</f>
        <v>0</v>
      </c>
      <c r="C43" s="41" t="n">
        <v>0.5</v>
      </c>
      <c r="D43"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4" customFormat="false" ht="15" hidden="false" customHeight="false" outlineLevel="0" collapsed="false">
      <c r="A44" s="9" t="s">
        <v>299</v>
      </c>
      <c r="B44" s="26" t="n">
        <f aca="false">SUM(AskQ4)</f>
        <v>0</v>
      </c>
      <c r="C44" s="41" t="n">
        <v>0.25</v>
      </c>
      <c r="D44"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6" customFormat="false" ht="15" hidden="false" customHeight="false" outlineLevel="0" collapsed="false">
      <c r="A66" s="3" t="s">
        <v>349</v>
      </c>
      <c r="G66" s="28" t="s">
        <v>350</v>
      </c>
    </row>
    <row r="67" customFormat="false" ht="27.75" hidden="false" customHeight="true" outlineLevel="0" collapsed="false">
      <c r="A67" s="12" t="s">
        <v>61</v>
      </c>
      <c r="B67" s="12" t="s">
        <v>294</v>
      </c>
      <c r="C67" s="12" t="s">
        <v>163</v>
      </c>
      <c r="D67" s="12" t="s">
        <v>295</v>
      </c>
      <c r="E67" s="12" t="s">
        <v>306</v>
      </c>
      <c r="F67" s="12" t="s">
        <v>351</v>
      </c>
      <c r="G67" s="12" t="s">
        <v>335</v>
      </c>
      <c r="H67" s="12" t="s">
        <v>288</v>
      </c>
    </row>
    <row r="68" customFormat="false" ht="15" hidden="false" customHeight="false" outlineLevel="0" collapsed="false">
      <c r="A68" s="10" t="str">
        <f aca="false">$A6</f>
        <v>Corporate Coverage Division</v>
      </c>
      <c r="B68" s="26" t="n">
        <f aca="false">$B6</f>
        <v>62</v>
      </c>
      <c r="C68" s="26" t="n">
        <f aca="false">$C6</f>
        <v>0</v>
      </c>
      <c r="D68" s="26" t="n">
        <f aca="false">$D6</f>
        <v>0</v>
      </c>
      <c r="E68" s="26" t="n">
        <f aca="false">$E6</f>
        <v>62</v>
      </c>
      <c r="F68" s="26" t="n">
        <f aca="false">SUMIFS(SeatApproved,SeatDivision,"Corporate Coverage Division",SeatMandate,"Yes")</f>
        <v>0</v>
      </c>
      <c r="G68" s="29" t="n">
        <f aca="false">$E14</f>
        <v>0</v>
      </c>
      <c r="H68" s="29" t="n">
        <f aca="false">SUMIFS(OutCash,OutDivision,"Corporate Coverage Division")</f>
        <v>0</v>
      </c>
    </row>
    <row r="69" customFormat="false" ht="15" hidden="false" customHeight="false" outlineLevel="0" collapsed="false">
      <c r="A69" s="10" t="str">
        <f aca="false">$A7</f>
        <v>SME Banking Division</v>
      </c>
      <c r="B69" s="26" t="n">
        <f aca="false">$B7</f>
        <v>70</v>
      </c>
      <c r="C69" s="26" t="n">
        <f aca="false">$C7</f>
        <v>0</v>
      </c>
      <c r="D69" s="26" t="n">
        <f aca="false">$D7</f>
        <v>0</v>
      </c>
      <c r="E69" s="26" t="n">
        <f aca="false">$E7</f>
        <v>70</v>
      </c>
      <c r="F69" s="26" t="n">
        <f aca="false">SUMIFS(SeatApproved,SeatDivision,"SME Banking Division",SeatMandate,"Yes")</f>
        <v>0</v>
      </c>
      <c r="G69" s="29" t="n">
        <f aca="false">$E15</f>
        <v>0</v>
      </c>
      <c r="H69" s="29" t="n">
        <f aca="false">SUMIFS(OutCash,OutDivision,"SME Banking Division")</f>
        <v>0</v>
      </c>
    </row>
    <row r="70" customFormat="false" ht="15" hidden="false" customHeight="false" outlineLevel="0" collapsed="false">
      <c r="A70" s="10" t="str">
        <f aca="false">$A8</f>
        <v>Transaction Banking Division</v>
      </c>
      <c r="B70" s="26" t="n">
        <f aca="false">$B8</f>
        <v>65</v>
      </c>
      <c r="C70" s="26" t="n">
        <f aca="false">$C8</f>
        <v>0</v>
      </c>
      <c r="D70" s="26" t="n">
        <f aca="false">$D8</f>
        <v>0</v>
      </c>
      <c r="E70" s="26" t="n">
        <f aca="false">$E8</f>
        <v>65</v>
      </c>
      <c r="F70" s="26" t="n">
        <f aca="false">SUMIFS(SeatApproved,SeatDivision,"Transaction Banking Division",SeatMandate,"Yes")</f>
        <v>0</v>
      </c>
      <c r="G70" s="29" t="n">
        <f aca="false">$E16</f>
        <v>0</v>
      </c>
      <c r="H70" s="29" t="n">
        <f aca="false">SUMIFS(OutCash,OutDivision,"Transaction Banking Division")</f>
        <v>0</v>
      </c>
    </row>
    <row r="71" customFormat="false" ht="15" hidden="false" customHeight="false" outlineLevel="0" collapsed="false">
      <c r="A71" s="10" t="str">
        <f aca="false">$A9</f>
        <v>Reporting to the group directly</v>
      </c>
      <c r="B71" s="26" t="n">
        <f aca="false">$B9</f>
        <v>1</v>
      </c>
      <c r="C71" s="26" t="n">
        <f aca="false">$C9</f>
        <v>0</v>
      </c>
      <c r="D71" s="26" t="n">
        <f aca="false">$D9</f>
        <v>0</v>
      </c>
      <c r="E71" s="26" t="n">
        <f aca="false">$E9</f>
        <v>1</v>
      </c>
      <c r="F71" s="26" t="n">
        <f aca="false">SUMIFS(SeatApproved,SeatDivision,"",SeatMandate,"Yes")</f>
        <v>0</v>
      </c>
      <c r="G71" s="29" t="n">
        <f aca="false">$E17</f>
        <v>0</v>
      </c>
      <c r="H71" s="29" t="n">
        <f aca="false">SUMIFS(OutCash,OutDivision,"")</f>
        <v>0</v>
      </c>
    </row>
  </sheetData>
  <sheetProtection sheet="true" sort="false" autoFilter="false"/>
  <mergeCells count="1">
    <mergeCell ref="A2:J2"/>
  </mergeCells>
  <conditionalFormatting sqref="F6:F9">
    <cfRule type="cellIs" priority="2" operator="lessThan" aboveAverage="0" equalAverage="0" bottom="0" percent="0" rank="0" text="" dxfId="15">
      <formula>0</formula>
    </cfRule>
  </conditionalFormatting>
  <conditionalFormatting sqref="E28:E30">
    <cfRule type="expression" priority="3" aboveAverage="0" equalAverage="0" bottom="0" percent="0" rank="0" text="" dxfId="1">
      <formula>OR($E28="Over envelope",$E28="Below target")</formula>
    </cfRule>
    <cfRule type="expression" priority="4" aboveAverage="0" equalAverage="0" bottom="0" percent="0" rank="0" text="" dxfId="0">
      <formula>OR($E28="Within envelope",$E28="At or above target")</formula>
    </cfRule>
  </conditionalFormatting>
  <conditionalFormatting sqref="E34:E37">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352</v>
      </c>
    </row>
    <row r="2" customFormat="false" ht="15" hidden="false" customHeight="false" outlineLevel="0" collapsed="false">
      <c r="A2" s="2" t="s">
        <v>353</v>
      </c>
      <c r="B2" s="2"/>
      <c r="C2" s="2"/>
      <c r="D2" s="2"/>
      <c r="E2" s="2"/>
      <c r="F2" s="2"/>
      <c r="G2" s="2"/>
      <c r="H2" s="2"/>
      <c r="I2" s="2"/>
      <c r="J2" s="2"/>
    </row>
    <row r="4" customFormat="false" ht="15" hidden="false" customHeight="false" outlineLevel="0" collapsed="false">
      <c r="A4" s="3" t="s">
        <v>354</v>
      </c>
    </row>
    <row r="5" customFormat="false" ht="27.75" hidden="false" customHeight="true" outlineLevel="0" collapsed="false">
      <c r="A5" s="12" t="s">
        <v>355</v>
      </c>
      <c r="B5" s="12" t="s">
        <v>356</v>
      </c>
      <c r="C5" s="12" t="s">
        <v>325</v>
      </c>
      <c r="D5" s="12" t="s">
        <v>357</v>
      </c>
    </row>
    <row r="6" customFormat="false" ht="25.5" hidden="false" customHeight="true" outlineLevel="0" collapsed="false">
      <c r="A6" s="9" t="s">
        <v>358</v>
      </c>
      <c r="B6" s="29" t="n">
        <f aca="false">COUNTIF(SeatProblem,"?*")</f>
        <v>152</v>
      </c>
      <c r="C6" s="42" t="str">
        <f aca="false">IF($B6=0,"OK","Fix")</f>
        <v>Fix</v>
      </c>
      <c r="D6" s="43" t="s">
        <v>359</v>
      </c>
    </row>
    <row r="7" customFormat="false" ht="25.5" hidden="false" customHeight="true" outlineLevel="0" collapsed="false">
      <c r="A7" s="9" t="s">
        <v>360</v>
      </c>
      <c r="B7" s="29" t="n">
        <f aca="false">SUMPRODUCT((SeatTitle&lt;&gt;"")*(SeatLevel=""))</f>
        <v>152</v>
      </c>
      <c r="C7" s="42" t="str">
        <f aca="false">IF($B7=0,"OK","Fix")</f>
        <v>Fix</v>
      </c>
      <c r="D7" s="43" t="s">
        <v>361</v>
      </c>
    </row>
    <row r="8" customFormat="false" ht="25.5" hidden="false" customHeight="true" outlineLevel="0" collapsed="false">
      <c r="A8" s="9" t="s">
        <v>362</v>
      </c>
      <c r="B8" s="29" t="n">
        <f aca="false">SUMPRODUCT((SeatTitle&lt;&gt;"")*(SeatDirection=""))</f>
        <v>152</v>
      </c>
      <c r="C8" s="42" t="str">
        <f aca="false">IF($B8=0,"OK","Fix")</f>
        <v>Fix</v>
      </c>
      <c r="D8" s="43" t="s">
        <v>363</v>
      </c>
    </row>
    <row r="9" customFormat="false" ht="25.5" hidden="false" customHeight="true" outlineLevel="0" collapsed="false">
      <c r="A9" s="9" t="s">
        <v>364</v>
      </c>
      <c r="B9" s="29" t="n">
        <f aca="false">SUMPRODUCT((SeatDirection="Reduce")*(N(SeatSlated)&lt;=0))</f>
        <v>0</v>
      </c>
      <c r="C9" s="42" t="str">
        <f aca="false">IF($B9=0,"OK","Fix")</f>
        <v>OK</v>
      </c>
      <c r="D9" s="43" t="s">
        <v>365</v>
      </c>
    </row>
    <row r="10" customFormat="false" ht="25.5" hidden="false" customHeight="true" outlineLevel="0" collapsed="false">
      <c r="A10" s="9" t="s">
        <v>366</v>
      </c>
      <c r="B10" s="29" t="n">
        <f aca="false">SUMPRODUCT((N(SeatSlated)&gt;0)*(SeatDirection&lt;&gt;"Reduce"))</f>
        <v>0</v>
      </c>
      <c r="C10" s="42" t="str">
        <f aca="false">IF($B10=0,"OK","Fix")</f>
        <v>OK</v>
      </c>
      <c r="D10" s="43" t="s">
        <v>367</v>
      </c>
    </row>
    <row r="11" customFormat="false" ht="25.5" hidden="false" customHeight="true" outlineLevel="0" collapsed="false">
      <c r="A11" s="9" t="s">
        <v>368</v>
      </c>
      <c r="B11" s="29" t="n">
        <f aca="false">SUMPRODUCT((N(SeatSlated)&gt;N(SeatApproved))*1)</f>
        <v>0</v>
      </c>
      <c r="C11" s="42" t="str">
        <f aca="false">IF($B11=0,"OK","Fix")</f>
        <v>OK</v>
      </c>
      <c r="D11" s="43" t="s">
        <v>369</v>
      </c>
    </row>
    <row r="12" customFormat="false" ht="25.5" hidden="false" customHeight="true" outlineLevel="0" collapsed="false">
      <c r="A12" s="9" t="s">
        <v>370</v>
      </c>
      <c r="B12" s="29" t="n">
        <f aca="false">COUNTIF(OutProblem,"?*")</f>
        <v>0</v>
      </c>
      <c r="C12" s="42" t="str">
        <f aca="false">IF($B12=0,"OK","Fix")</f>
        <v>OK</v>
      </c>
      <c r="D12" s="43" t="s">
        <v>371</v>
      </c>
    </row>
    <row r="13" customFormat="false" ht="25.5" hidden="false" customHeight="true" outlineLevel="0" collapsed="false">
      <c r="A13" s="9" t="s">
        <v>372</v>
      </c>
      <c r="B13" s="29" t="n">
        <f aca="false">SUMPRODUCT((OutDisposition="Surrender to fund new asks")*(COUNTIFS(OutUnit,OutUnit,OutTitle,OutTitle,OutDisposition,"Surrender to fund new asks")&gt;SUMIFS(SeatSlated,SeatUnit,OutUnit,SeatTitle,OutTitle)))</f>
        <v>0</v>
      </c>
      <c r="C13" s="42" t="str">
        <f aca="false">IF($B13=0,"OK","Fix")</f>
        <v>OK</v>
      </c>
      <c r="D13" s="43" t="s">
        <v>373</v>
      </c>
    </row>
    <row r="14" customFormat="false" ht="25.5" hidden="false" customHeight="true" outlineLevel="0" collapsed="false">
      <c r="A14" s="9" t="s">
        <v>374</v>
      </c>
      <c r="B14" s="29" t="n">
        <f aca="false">COUNTIF(AskProblem,"?*")</f>
        <v>0</v>
      </c>
      <c r="C14" s="42" t="str">
        <f aca="false">IF($B14=0,"OK","Fix")</f>
        <v>OK</v>
      </c>
      <c r="D14" s="43" t="s">
        <v>375</v>
      </c>
    </row>
    <row r="15" customFormat="false" ht="25.5" hidden="false" customHeight="true" outlineLevel="0" collapsed="false">
      <c r="A15" s="9" t="s">
        <v>376</v>
      </c>
      <c r="B15" s="29" t="n">
        <f aca="false">SUMPRODUCT((AskTitle&lt;&gt;"")*(N(AskTotal)&lt;=0))</f>
        <v>0</v>
      </c>
      <c r="C15" s="42" t="str">
        <f aca="false">IF($B15=0,"OK","Fix")</f>
        <v>OK</v>
      </c>
      <c r="D15" s="43" t="s">
        <v>377</v>
      </c>
    </row>
    <row r="16" customFormat="false" ht="25.5" hidden="false" customHeight="true" outlineLevel="0" collapsed="false">
      <c r="A16" s="9" t="s">
        <v>378</v>
      </c>
      <c r="B16" s="29" t="n">
        <f aca="false">SUMPRODUCT((AskUnit&lt;&gt;"")*(COUNTIF(UnitList,AskUnit)=0))</f>
        <v>0</v>
      </c>
      <c r="C16" s="42" t="str">
        <f aca="false">IF($B16=0,"OK","Fix")</f>
        <v>OK</v>
      </c>
      <c r="D16" s="43" t="s">
        <v>379</v>
      </c>
    </row>
    <row r="18" customFormat="false" ht="15" hidden="false" customHeight="false" outlineLevel="0" collapsed="false">
      <c r="A18" s="3" t="s">
        <v>380</v>
      </c>
    </row>
    <row r="19" customFormat="false" ht="27.75" hidden="false" customHeight="true" outlineLevel="0" collapsed="false">
      <c r="A19" s="12" t="s">
        <v>355</v>
      </c>
      <c r="B19" s="12" t="s">
        <v>356</v>
      </c>
      <c r="C19" s="12" t="s">
        <v>325</v>
      </c>
      <c r="D19" s="12" t="s">
        <v>357</v>
      </c>
    </row>
    <row r="20" customFormat="false" ht="25.5" hidden="false" customHeight="true" outlineLevel="0" collapsed="false">
      <c r="A20" s="9" t="s">
        <v>381</v>
      </c>
      <c r="B20" s="29" t="n">
        <f aca="false">IF(CostMine&gt;CostLimit,1,0)</f>
        <v>0</v>
      </c>
      <c r="C20" s="42" t="str">
        <f aca="false">IF($B20=0,"OK","Review")</f>
        <v>OK</v>
      </c>
      <c r="D20" s="43" t="s">
        <v>382</v>
      </c>
    </row>
    <row r="21" customFormat="false" ht="25.5" hidden="false" customHeight="true" outlineLevel="0" collapsed="false">
      <c r="A21" s="9" t="s">
        <v>383</v>
      </c>
      <c r="B21" s="29" t="n">
        <f aca="false">IF(HeadMine&gt;HeadLimit,1,0)</f>
        <v>0</v>
      </c>
      <c r="C21" s="42" t="str">
        <f aca="false">IF($B21=0,"OK","Review")</f>
        <v>OK</v>
      </c>
      <c r="D21" s="43" t="s">
        <v>384</v>
      </c>
    </row>
    <row r="22" customFormat="false" ht="25.5" hidden="false" customHeight="true" outlineLevel="0" collapsed="false">
      <c r="A22" s="9" t="s">
        <v>385</v>
      </c>
      <c r="B22" s="29" t="n">
        <f aca="false">IF(MandateMine&lt;MandateLimit,1,0)</f>
        <v>1</v>
      </c>
      <c r="C22" s="42" t="str">
        <f aca="false">IF($B22=0,"OK","Review")</f>
        <v>Review</v>
      </c>
      <c r="D22" s="43" t="s">
        <v>386</v>
      </c>
    </row>
    <row r="24" customFormat="false" ht="15" hidden="false" customHeight="false" outlineLevel="0" collapsed="false">
      <c r="A24" s="3" t="s">
        <v>387</v>
      </c>
      <c r="D24" s="28" t="s">
        <v>388</v>
      </c>
    </row>
    <row r="25" customFormat="false" ht="27.75" hidden="false" customHeight="true" outlineLevel="0" collapsed="false">
      <c r="A25" s="12" t="s">
        <v>389</v>
      </c>
      <c r="B25" s="12" t="s">
        <v>50</v>
      </c>
      <c r="C25" s="12" t="s">
        <v>282</v>
      </c>
      <c r="D25" s="12" t="s">
        <v>390</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391</v>
      </c>
    </row>
    <row r="48" customFormat="false" ht="15" hidden="false" customHeight="false" outlineLevel="0" collapsed="false">
      <c r="A48" s="6" t="s">
        <v>392</v>
      </c>
      <c r="B48" s="45" t="str">
        <f aca="false">IF(SUM($B$6:$B$16)=0,"Yes","No")</f>
        <v>No</v>
      </c>
      <c r="C48" s="30" t="s">
        <v>393</v>
      </c>
    </row>
    <row r="49" customFormat="false" ht="15" hidden="false" customHeight="false" outlineLevel="0" collapsed="false">
      <c r="A49" s="6" t="s">
        <v>394</v>
      </c>
      <c r="B49" s="21"/>
    </row>
    <row r="50" customFormat="false" ht="15" hidden="false" customHeight="false" outlineLevel="0" collapsed="false">
      <c r="A50" s="6" t="s">
        <v>395</v>
      </c>
      <c r="B50" s="21"/>
    </row>
    <row r="51" customFormat="false" ht="15" hidden="false" customHeight="false" outlineLevel="0" collapsed="false">
      <c r="A51" s="6" t="s">
        <v>396</v>
      </c>
      <c r="B51" s="21"/>
    </row>
    <row r="52" customFormat="false" ht="15" hidden="false" customHeight="false" outlineLevel="0" collapsed="false">
      <c r="A52" s="3" t="s">
        <v>397</v>
      </c>
      <c r="B52" s="46" t="s">
        <v>398</v>
      </c>
      <c r="C52" s="30" t="s">
        <v>399</v>
      </c>
    </row>
    <row r="54" customFormat="false" ht="25.5" hidden="false" customHeight="true" outlineLevel="0" collapsed="false">
      <c r="A54" s="11" t="s">
        <v>400</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401</v>
      </c>
      <c r="B2" s="2"/>
      <c r="C2" s="2"/>
      <c r="D2" s="2"/>
      <c r="E2" s="2"/>
      <c r="F2" s="2"/>
      <c r="G2" s="2"/>
      <c r="H2" s="2"/>
      <c r="I2" s="2"/>
      <c r="J2" s="2"/>
    </row>
    <row r="4" customFormat="false" ht="30" hidden="false" customHeight="true" outlineLevel="0" collapsed="false">
      <c r="A4" s="12" t="s">
        <v>402</v>
      </c>
      <c r="B4" s="12" t="s">
        <v>403</v>
      </c>
    </row>
    <row r="5" customFormat="false" ht="27.75" hidden="false" customHeight="true" outlineLevel="0" collapsed="false">
      <c r="A5" s="47" t="s">
        <v>404</v>
      </c>
      <c r="B5" s="48" t="s">
        <v>405</v>
      </c>
    </row>
    <row r="6" customFormat="false" ht="27.75" hidden="false" customHeight="true" outlineLevel="0" collapsed="false">
      <c r="A6" s="47" t="s">
        <v>161</v>
      </c>
      <c r="B6" s="48" t="s">
        <v>406</v>
      </c>
    </row>
    <row r="7" customFormat="false" ht="27.75" hidden="false" customHeight="true" outlineLevel="0" collapsed="false">
      <c r="A7" s="47" t="s">
        <v>407</v>
      </c>
      <c r="B7" s="48" t="s">
        <v>408</v>
      </c>
    </row>
    <row r="8" customFormat="false" ht="27.75" hidden="false" customHeight="true" outlineLevel="0" collapsed="false">
      <c r="A8" s="47" t="s">
        <v>409</v>
      </c>
      <c r="B8" s="48" t="s">
        <v>410</v>
      </c>
    </row>
    <row r="9" customFormat="false" ht="27.75" hidden="false" customHeight="true" outlineLevel="0" collapsed="false">
      <c r="A9" s="47" t="s">
        <v>411</v>
      </c>
      <c r="B9" s="48" t="s">
        <v>412</v>
      </c>
    </row>
    <row r="10" customFormat="false" ht="27.75" hidden="false" customHeight="true" outlineLevel="0" collapsed="false">
      <c r="A10" s="47" t="s">
        <v>162</v>
      </c>
      <c r="B10" s="48" t="s">
        <v>413</v>
      </c>
    </row>
    <row r="11" customFormat="false" ht="27.75" hidden="false" customHeight="true" outlineLevel="0" collapsed="false">
      <c r="A11" s="47" t="s">
        <v>414</v>
      </c>
      <c r="B11" s="48" t="s">
        <v>415</v>
      </c>
    </row>
    <row r="12" customFormat="false" ht="27.75" hidden="false" customHeight="true" outlineLevel="0" collapsed="false">
      <c r="A12" s="47" t="s">
        <v>416</v>
      </c>
      <c r="B12" s="48" t="s">
        <v>417</v>
      </c>
    </row>
    <row r="13" customFormat="false" ht="27.75" hidden="false" customHeight="true" outlineLevel="0" collapsed="false">
      <c r="A13" s="47" t="s">
        <v>418</v>
      </c>
      <c r="B13" s="48" t="s">
        <v>419</v>
      </c>
    </row>
    <row r="14" customFormat="false" ht="27.75" hidden="false" customHeight="true" outlineLevel="0" collapsed="false">
      <c r="A14" s="47" t="s">
        <v>420</v>
      </c>
      <c r="B14" s="48" t="s">
        <v>421</v>
      </c>
    </row>
    <row r="15" customFormat="false" ht="27.75" hidden="false" customHeight="true" outlineLevel="0" collapsed="false">
      <c r="A15" s="47" t="s">
        <v>24</v>
      </c>
      <c r="B15" s="48" t="s">
        <v>422</v>
      </c>
    </row>
    <row r="16" customFormat="false" ht="27.75" hidden="false" customHeight="true" outlineLevel="0" collapsed="false">
      <c r="A16" s="47" t="s">
        <v>279</v>
      </c>
      <c r="B16" s="48" t="s">
        <v>423</v>
      </c>
    </row>
    <row r="17" customFormat="false" ht="27.75" hidden="false" customHeight="true" outlineLevel="0" collapsed="false">
      <c r="A17" s="47" t="s">
        <v>424</v>
      </c>
      <c r="B17" s="48" t="s">
        <v>425</v>
      </c>
    </row>
    <row r="18" customFormat="false" ht="27.75" hidden="false" customHeight="true" outlineLevel="0" collapsed="false">
      <c r="A18" s="47" t="s">
        <v>426</v>
      </c>
      <c r="B18" s="48" t="s">
        <v>427</v>
      </c>
    </row>
    <row r="19" customFormat="false" ht="27.75" hidden="false" customHeight="true" outlineLevel="0" collapsed="false">
      <c r="A19" s="47" t="s">
        <v>428</v>
      </c>
      <c r="B19" s="48" t="s">
        <v>429</v>
      </c>
    </row>
    <row r="20" customFormat="false" ht="27.75" hidden="false" customHeight="true" outlineLevel="0" collapsed="false">
      <c r="A20" s="47" t="s">
        <v>335</v>
      </c>
      <c r="B20" s="48" t="s">
        <v>430</v>
      </c>
    </row>
    <row r="21" customFormat="false" ht="27.75" hidden="false" customHeight="true" outlineLevel="0" collapsed="false">
      <c r="A21" s="47" t="s">
        <v>431</v>
      </c>
      <c r="B21" s="48" t="s">
        <v>432</v>
      </c>
    </row>
    <row r="22" customFormat="false" ht="27.75" hidden="false" customHeight="true" outlineLevel="0" collapsed="false">
      <c r="A22" s="47" t="s">
        <v>433</v>
      </c>
      <c r="B22" s="48" t="s">
        <v>434</v>
      </c>
    </row>
    <row r="23" customFormat="false" ht="27.75" hidden="false" customHeight="true" outlineLevel="0" collapsed="false">
      <c r="A23" s="47" t="s">
        <v>435</v>
      </c>
      <c r="B23" s="48" t="s">
        <v>436</v>
      </c>
    </row>
    <row r="24" customFormat="false" ht="27.75" hidden="false" customHeight="true" outlineLevel="0" collapsed="false">
      <c r="A24" s="47" t="s">
        <v>437</v>
      </c>
      <c r="B24" s="48" t="s">
        <v>438</v>
      </c>
    </row>
    <row r="25" customFormat="false" ht="27.75" hidden="false" customHeight="true" outlineLevel="0" collapsed="false">
      <c r="A25" s="47" t="s">
        <v>334</v>
      </c>
      <c r="B25" s="48" t="s">
        <v>439</v>
      </c>
    </row>
    <row r="26" customFormat="false" ht="27.75" hidden="false" customHeight="true" outlineLevel="0" collapsed="false">
      <c r="A26" s="47" t="s">
        <v>30</v>
      </c>
      <c r="B26" s="48" t="s">
        <v>440</v>
      </c>
    </row>
    <row r="27" customFormat="false" ht="27.75" hidden="false" customHeight="true" outlineLevel="0" collapsed="false">
      <c r="A27" s="47" t="s">
        <v>441</v>
      </c>
      <c r="B27" s="48" t="s">
        <v>442</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443</v>
      </c>
    </row>
    <row r="2" customFormat="false" ht="15" hidden="false" customHeight="false" outlineLevel="0" collapsed="false">
      <c r="A2" s="2" t="s">
        <v>444</v>
      </c>
      <c r="B2" s="2"/>
      <c r="C2" s="2"/>
      <c r="D2" s="2"/>
      <c r="E2" s="2"/>
      <c r="F2" s="2"/>
      <c r="G2" s="2"/>
      <c r="H2" s="2"/>
      <c r="I2" s="2"/>
      <c r="J2" s="2"/>
    </row>
    <row r="4" customFormat="false" ht="15" hidden="false" customHeight="false" outlineLevel="0" collapsed="false">
      <c r="A4" s="3" t="s">
        <v>445</v>
      </c>
    </row>
    <row r="5" customFormat="false" ht="15" hidden="false" customHeight="false" outlineLevel="0" collapsed="false">
      <c r="A5" s="6" t="s">
        <v>446</v>
      </c>
      <c r="B5" s="49" t="n">
        <v>2027</v>
      </c>
    </row>
    <row r="6" customFormat="false" ht="15" hidden="false" customHeight="false" outlineLevel="0" collapsed="false">
      <c r="A6" s="6" t="s">
        <v>447</v>
      </c>
      <c r="B6" s="49" t="n">
        <v>2026</v>
      </c>
    </row>
    <row r="7" customFormat="false" ht="15" hidden="false" customHeight="false" outlineLevel="0" collapsed="false">
      <c r="A7" s="6" t="s">
        <v>448</v>
      </c>
      <c r="B7" s="50" t="n">
        <v>0.09</v>
      </c>
    </row>
    <row r="8" customFormat="false" ht="15" hidden="false" customHeight="false" outlineLevel="0" collapsed="false">
      <c r="A8" s="6" t="s">
        <v>449</v>
      </c>
      <c r="B8" s="50" t="n">
        <v>0.03</v>
      </c>
    </row>
    <row r="9" customFormat="false" ht="15" hidden="false" customHeight="false" outlineLevel="0" collapsed="false">
      <c r="A9" s="6" t="s">
        <v>450</v>
      </c>
      <c r="B9" s="50" t="n">
        <v>0.04</v>
      </c>
    </row>
    <row r="10" customFormat="false" ht="15" hidden="false" customHeight="false" outlineLevel="0" collapsed="false">
      <c r="A10" s="6" t="s">
        <v>451</v>
      </c>
      <c r="B10" s="50" t="n">
        <v>0.1175</v>
      </c>
    </row>
    <row r="11" customFormat="false" ht="15" hidden="false" customHeight="false" outlineLevel="0" collapsed="false">
      <c r="A11" s="6" t="s">
        <v>452</v>
      </c>
      <c r="B11" s="50" t="n">
        <v>0.02</v>
      </c>
    </row>
    <row r="12" customFormat="false" ht="15" hidden="false" customHeight="false" outlineLevel="0" collapsed="false">
      <c r="A12" s="6" t="s">
        <v>59</v>
      </c>
      <c r="B12" s="49" t="s">
        <v>60</v>
      </c>
    </row>
    <row r="14" customFormat="false" ht="15" hidden="false" customHeight="false" outlineLevel="0" collapsed="false">
      <c r="A14" s="3" t="s">
        <v>453</v>
      </c>
    </row>
    <row r="15" customFormat="false" ht="15" hidden="false" customHeight="false" outlineLevel="0" collapsed="false">
      <c r="A15" s="6" t="s">
        <v>454</v>
      </c>
      <c r="B15" s="51" t="n">
        <v>2786</v>
      </c>
      <c r="C15" s="30" t="s">
        <v>455</v>
      </c>
    </row>
    <row r="16" customFormat="false" ht="15" hidden="false" customHeight="false" outlineLevel="0" collapsed="false">
      <c r="A16" s="6" t="s">
        <v>456</v>
      </c>
      <c r="B16" s="51" t="n">
        <v>10</v>
      </c>
      <c r="C16" s="30" t="s">
        <v>457</v>
      </c>
    </row>
    <row r="17" customFormat="false" ht="15" hidden="false" customHeight="false" outlineLevel="0" collapsed="false">
      <c r="A17" s="6" t="s">
        <v>458</v>
      </c>
      <c r="B17" s="50" t="n">
        <v>0.68</v>
      </c>
      <c r="C17" s="30" t="s">
        <v>459</v>
      </c>
    </row>
    <row r="19" customFormat="false" ht="15" hidden="false" customHeight="false" outlineLevel="0" collapsed="false">
      <c r="A19" s="3" t="s">
        <v>460</v>
      </c>
      <c r="G19" s="28" t="s">
        <v>461</v>
      </c>
    </row>
    <row r="20" customFormat="false" ht="30" hidden="false" customHeight="true" outlineLevel="0" collapsed="false">
      <c r="A20" s="12" t="s">
        <v>409</v>
      </c>
      <c r="B20" s="12" t="s">
        <v>462</v>
      </c>
      <c r="C20" s="12" t="s">
        <v>463</v>
      </c>
      <c r="D20" s="12" t="s">
        <v>464</v>
      </c>
      <c r="E20" s="12" t="s">
        <v>465</v>
      </c>
      <c r="F20" s="12" t="s">
        <v>466</v>
      </c>
      <c r="G20" s="12" t="s">
        <v>467</v>
      </c>
    </row>
    <row r="21" customFormat="false" ht="15" hidden="false" customHeight="false" outlineLevel="0" collapsed="false">
      <c r="A21" s="0" t="s">
        <v>167</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468</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177</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180</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469</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470</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471</v>
      </c>
    </row>
    <row r="29" customFormat="false" ht="30" hidden="false" customHeight="true" outlineLevel="0" collapsed="false">
      <c r="A29" s="12" t="s">
        <v>30</v>
      </c>
      <c r="B29" s="12" t="s">
        <v>300</v>
      </c>
      <c r="C29" s="12" t="s">
        <v>472</v>
      </c>
    </row>
    <row r="30" customFormat="false" ht="15" hidden="false" customHeight="false" outlineLevel="0" collapsed="false">
      <c r="A30" s="0" t="s">
        <v>473</v>
      </c>
      <c r="B30" s="0" t="s">
        <v>474</v>
      </c>
      <c r="C30" s="0" t="n">
        <v>1</v>
      </c>
    </row>
    <row r="31" customFormat="false" ht="15" hidden="false" customHeight="false" outlineLevel="0" collapsed="false">
      <c r="A31" s="0" t="s">
        <v>475</v>
      </c>
      <c r="B31" s="0" t="s">
        <v>474</v>
      </c>
      <c r="C31" s="0" t="n">
        <v>1</v>
      </c>
    </row>
    <row r="32" customFormat="false" ht="15" hidden="false" customHeight="false" outlineLevel="0" collapsed="false">
      <c r="A32" s="0" t="s">
        <v>476</v>
      </c>
      <c r="B32" s="0" t="s">
        <v>474</v>
      </c>
      <c r="C32" s="0" t="n">
        <v>1</v>
      </c>
    </row>
    <row r="33" customFormat="false" ht="15" hidden="false" customHeight="false" outlineLevel="0" collapsed="false">
      <c r="A33" s="0" t="s">
        <v>477</v>
      </c>
      <c r="B33" s="0" t="s">
        <v>474</v>
      </c>
      <c r="C33" s="0" t="n">
        <v>1</v>
      </c>
    </row>
    <row r="34" customFormat="false" ht="15" hidden="false" customHeight="false" outlineLevel="0" collapsed="false">
      <c r="A34" s="0" t="s">
        <v>478</v>
      </c>
      <c r="B34" s="0" t="s">
        <v>479</v>
      </c>
      <c r="C34" s="0" t="n">
        <v>2</v>
      </c>
    </row>
    <row r="35" customFormat="false" ht="15" hidden="false" customHeight="false" outlineLevel="0" collapsed="false">
      <c r="A35" s="0" t="s">
        <v>480</v>
      </c>
      <c r="B35" s="0" t="s">
        <v>479</v>
      </c>
      <c r="C35" s="0" t="n">
        <v>2</v>
      </c>
    </row>
    <row r="36" customFormat="false" ht="15" hidden="false" customHeight="false" outlineLevel="0" collapsed="false">
      <c r="A36" s="0" t="s">
        <v>481</v>
      </c>
      <c r="B36" s="0" t="s">
        <v>479</v>
      </c>
      <c r="C36" s="0" t="n">
        <v>2</v>
      </c>
    </row>
    <row r="37" customFormat="false" ht="15" hidden="false" customHeight="false" outlineLevel="0" collapsed="false">
      <c r="A37" s="0" t="s">
        <v>482</v>
      </c>
      <c r="B37" s="0" t="s">
        <v>479</v>
      </c>
      <c r="C37" s="0" t="n">
        <v>2</v>
      </c>
    </row>
    <row r="38" customFormat="false" ht="15" hidden="false" customHeight="false" outlineLevel="0" collapsed="false">
      <c r="A38" s="0" t="s">
        <v>483</v>
      </c>
      <c r="B38" s="0" t="s">
        <v>479</v>
      </c>
      <c r="C38" s="0" t="n">
        <v>2</v>
      </c>
    </row>
    <row r="39" customFormat="false" ht="15" hidden="false" customHeight="false" outlineLevel="0" collapsed="false">
      <c r="A39" s="0" t="s">
        <v>484</v>
      </c>
      <c r="B39" s="0" t="s">
        <v>485</v>
      </c>
      <c r="C39" s="0" t="n">
        <v>3</v>
      </c>
    </row>
    <row r="40" customFormat="false" ht="15" hidden="false" customHeight="false" outlineLevel="0" collapsed="false">
      <c r="A40" s="0" t="s">
        <v>486</v>
      </c>
      <c r="B40" s="0" t="s">
        <v>485</v>
      </c>
      <c r="C40" s="0" t="n">
        <v>3</v>
      </c>
    </row>
    <row r="41" customFormat="false" ht="15" hidden="false" customHeight="false" outlineLevel="0" collapsed="false">
      <c r="A41" s="0" t="s">
        <v>487</v>
      </c>
      <c r="B41" s="0" t="s">
        <v>485</v>
      </c>
      <c r="C41" s="0" t="n">
        <v>3</v>
      </c>
    </row>
    <row r="42" customFormat="false" ht="15" hidden="false" customHeight="false" outlineLevel="0" collapsed="false">
      <c r="A42" s="0" t="s">
        <v>488</v>
      </c>
      <c r="B42" s="0" t="s">
        <v>489</v>
      </c>
      <c r="C42" s="0" t="n">
        <v>4</v>
      </c>
    </row>
    <row r="43" customFormat="false" ht="15" hidden="false" customHeight="false" outlineLevel="0" collapsed="false">
      <c r="A43" s="0" t="s">
        <v>490</v>
      </c>
      <c r="B43" s="0" t="s">
        <v>489</v>
      </c>
      <c r="C43" s="0" t="n">
        <v>4</v>
      </c>
    </row>
    <row r="44" customFormat="false" ht="15" hidden="false" customHeight="false" outlineLevel="0" collapsed="false">
      <c r="A44" s="0" t="s">
        <v>491</v>
      </c>
      <c r="B44" s="0" t="s">
        <v>489</v>
      </c>
      <c r="C44" s="0" t="n">
        <v>4</v>
      </c>
    </row>
    <row r="45" customFormat="false" ht="15" hidden="false" customHeight="false" outlineLevel="0" collapsed="false">
      <c r="A45" s="0" t="s">
        <v>492</v>
      </c>
      <c r="B45" s="0" t="s">
        <v>489</v>
      </c>
      <c r="C45" s="0" t="n">
        <v>4</v>
      </c>
    </row>
    <row r="46" customFormat="false" ht="15" hidden="false" customHeight="false" outlineLevel="0" collapsed="false">
      <c r="A46" s="0" t="s">
        <v>493</v>
      </c>
      <c r="B46" s="0" t="s">
        <v>489</v>
      </c>
      <c r="C46" s="0" t="n">
        <v>4</v>
      </c>
    </row>
    <row r="47" customFormat="false" ht="15" hidden="false" customHeight="false" outlineLevel="0" collapsed="false">
      <c r="A47" s="0" t="s">
        <v>494</v>
      </c>
      <c r="B47" s="0" t="s">
        <v>489</v>
      </c>
      <c r="C47" s="0" t="n">
        <v>4</v>
      </c>
    </row>
    <row r="48" customFormat="false" ht="15" hidden="false" customHeight="false" outlineLevel="0" collapsed="false">
      <c r="A48" s="0" t="s">
        <v>495</v>
      </c>
      <c r="B48" s="0" t="s">
        <v>489</v>
      </c>
      <c r="C48" s="0" t="n">
        <v>4</v>
      </c>
    </row>
    <row r="50" customFormat="false" ht="15" hidden="false" customHeight="false" outlineLevel="0" collapsed="false">
      <c r="A50" s="6" t="s">
        <v>496</v>
      </c>
      <c r="C50" s="6" t="s">
        <v>497</v>
      </c>
      <c r="E50" s="6" t="s">
        <v>498</v>
      </c>
      <c r="G50" s="6" t="s">
        <v>499</v>
      </c>
      <c r="I50" s="6" t="s">
        <v>500</v>
      </c>
      <c r="K50" s="6" t="s">
        <v>501</v>
      </c>
      <c r="M50" s="6" t="s">
        <v>300</v>
      </c>
      <c r="O50" s="6" t="s">
        <v>502</v>
      </c>
      <c r="Q50" s="6" t="s">
        <v>503</v>
      </c>
      <c r="S50" s="6" t="s">
        <v>504</v>
      </c>
      <c r="U50" s="6" t="s">
        <v>505</v>
      </c>
      <c r="W50" s="6" t="s">
        <v>506</v>
      </c>
    </row>
    <row r="51" customFormat="false" ht="15" hidden="false" customHeight="false" outlineLevel="0" collapsed="false">
      <c r="A51" s="0" t="s">
        <v>296</v>
      </c>
      <c r="C51" s="0" t="s">
        <v>172</v>
      </c>
      <c r="E51" s="0" t="s">
        <v>416</v>
      </c>
      <c r="G51" s="0" t="s">
        <v>507</v>
      </c>
      <c r="I51" s="0" t="s">
        <v>424</v>
      </c>
      <c r="K51" s="0" t="s">
        <v>59</v>
      </c>
      <c r="M51" s="0" t="s">
        <v>474</v>
      </c>
      <c r="O51" s="0" t="s">
        <v>508</v>
      </c>
      <c r="Q51" s="0" t="s">
        <v>167</v>
      </c>
      <c r="S51" s="0" t="s">
        <v>167</v>
      </c>
      <c r="U51" s="0" t="s">
        <v>63</v>
      </c>
      <c r="W51" s="0" t="s">
        <v>66</v>
      </c>
    </row>
    <row r="52" customFormat="false" ht="15" hidden="false" customHeight="false" outlineLevel="0" collapsed="false">
      <c r="A52" s="0" t="s">
        <v>297</v>
      </c>
      <c r="C52" s="0" t="s">
        <v>168</v>
      </c>
      <c r="E52" s="0" t="s">
        <v>418</v>
      </c>
      <c r="G52" s="0" t="s">
        <v>509</v>
      </c>
      <c r="I52" s="0" t="s">
        <v>426</v>
      </c>
      <c r="K52" s="0" t="s">
        <v>61</v>
      </c>
      <c r="M52" s="0" t="s">
        <v>479</v>
      </c>
      <c r="O52" s="0" t="s">
        <v>510</v>
      </c>
      <c r="Q52" s="0" t="s">
        <v>468</v>
      </c>
      <c r="S52" s="0" t="s">
        <v>171</v>
      </c>
      <c r="U52" s="0" t="s">
        <v>95</v>
      </c>
      <c r="W52" s="0" t="s">
        <v>68</v>
      </c>
    </row>
    <row r="53" customFormat="false" ht="15" hidden="false" customHeight="false" outlineLevel="0" collapsed="false">
      <c r="A53" s="0" t="s">
        <v>298</v>
      </c>
      <c r="C53" s="0" t="s">
        <v>511</v>
      </c>
      <c r="E53" s="0" t="s">
        <v>420</v>
      </c>
      <c r="G53" s="0" t="s">
        <v>512</v>
      </c>
      <c r="I53" s="0" t="s">
        <v>428</v>
      </c>
      <c r="K53" s="0" t="s">
        <v>64</v>
      </c>
      <c r="M53" s="0" t="s">
        <v>485</v>
      </c>
      <c r="Q53" s="0" t="s">
        <v>177</v>
      </c>
      <c r="S53" s="0" t="s">
        <v>177</v>
      </c>
      <c r="U53" s="0" t="s">
        <v>125</v>
      </c>
      <c r="W53" s="0" t="s">
        <v>71</v>
      </c>
    </row>
    <row r="54" customFormat="false" ht="15" hidden="false" customHeight="false" outlineLevel="0" collapsed="false">
      <c r="A54" s="0" t="s">
        <v>299</v>
      </c>
      <c r="G54" s="0" t="s">
        <v>513</v>
      </c>
      <c r="K54" s="0" t="s">
        <v>50</v>
      </c>
      <c r="M54" s="0" t="s">
        <v>489</v>
      </c>
      <c r="Q54" s="0" t="s">
        <v>180</v>
      </c>
      <c r="S54" s="0" t="s">
        <v>180</v>
      </c>
      <c r="W54" s="0" t="s">
        <v>73</v>
      </c>
    </row>
    <row r="55" customFormat="false" ht="15" hidden="false" customHeight="false" outlineLevel="0" collapsed="false">
      <c r="G55" s="0" t="s">
        <v>495</v>
      </c>
      <c r="K55" s="0" t="s">
        <v>69</v>
      </c>
      <c r="Q55" s="0" t="s">
        <v>469</v>
      </c>
      <c r="W55" s="0" t="s">
        <v>75</v>
      </c>
    </row>
    <row r="56" customFormat="false" ht="15" hidden="false" customHeight="false" outlineLevel="0" collapsed="false">
      <c r="K56" s="0" t="s">
        <v>514</v>
      </c>
      <c r="Q56" s="0" t="s">
        <v>470</v>
      </c>
      <c r="W56" s="0" t="s">
        <v>77</v>
      </c>
    </row>
    <row r="57" customFormat="false" ht="15" hidden="false" customHeight="false" outlineLevel="0" collapsed="false">
      <c r="W57" s="0" t="s">
        <v>79</v>
      </c>
    </row>
    <row r="58" customFormat="false" ht="15" hidden="false" customHeight="false" outlineLevel="0" collapsed="false">
      <c r="W58" s="0" t="s">
        <v>81</v>
      </c>
    </row>
    <row r="59" customFormat="false" ht="15" hidden="false" customHeight="false" outlineLevel="0" collapsed="false">
      <c r="W59" s="0" t="s">
        <v>83</v>
      </c>
    </row>
    <row r="60" customFormat="false" ht="15" hidden="false" customHeight="false" outlineLevel="0" collapsed="false">
      <c r="W60" s="0" t="s">
        <v>85</v>
      </c>
    </row>
    <row r="61" customFormat="false" ht="15" hidden="false" customHeight="false" outlineLevel="0" collapsed="false">
      <c r="W61" s="0" t="s">
        <v>87</v>
      </c>
    </row>
    <row r="62" customFormat="false" ht="15" hidden="false" customHeight="false" outlineLevel="0" collapsed="false">
      <c r="W62" s="0" t="s">
        <v>89</v>
      </c>
    </row>
    <row r="63" customFormat="false" ht="15" hidden="false" customHeight="false" outlineLevel="0" collapsed="false">
      <c r="W63" s="0" t="s">
        <v>91</v>
      </c>
    </row>
    <row r="64" customFormat="false" ht="15" hidden="false" customHeight="false" outlineLevel="0" collapsed="false">
      <c r="W64" s="0" t="s">
        <v>93</v>
      </c>
    </row>
    <row r="65" customFormat="false" ht="15" hidden="false" customHeight="false" outlineLevel="0" collapsed="false">
      <c r="W65" s="0" t="s">
        <v>97</v>
      </c>
    </row>
    <row r="66" customFormat="false" ht="15" hidden="false" customHeight="false" outlineLevel="0" collapsed="false">
      <c r="W66" s="0" t="s">
        <v>99</v>
      </c>
    </row>
    <row r="67" customFormat="false" ht="15" hidden="false" customHeight="false" outlineLevel="0" collapsed="false">
      <c r="W67" s="0" t="s">
        <v>101</v>
      </c>
    </row>
    <row r="68" customFormat="false" ht="15" hidden="false" customHeight="false" outlineLevel="0" collapsed="false">
      <c r="W68" s="0" t="s">
        <v>103</v>
      </c>
    </row>
    <row r="69" customFormat="false" ht="15" hidden="false" customHeight="false" outlineLevel="0" collapsed="false">
      <c r="W69" s="0" t="s">
        <v>105</v>
      </c>
    </row>
    <row r="70" customFormat="false" ht="15" hidden="false" customHeight="false" outlineLevel="0" collapsed="false">
      <c r="W70" s="0" t="s">
        <v>107</v>
      </c>
    </row>
    <row r="71" customFormat="false" ht="15" hidden="false" customHeight="false" outlineLevel="0" collapsed="false">
      <c r="W71" s="0" t="s">
        <v>109</v>
      </c>
    </row>
    <row r="72" customFormat="false" ht="15" hidden="false" customHeight="false" outlineLevel="0" collapsed="false">
      <c r="W72" s="0" t="s">
        <v>111</v>
      </c>
    </row>
    <row r="73" customFormat="false" ht="15" hidden="false" customHeight="false" outlineLevel="0" collapsed="false">
      <c r="W73" s="0" t="s">
        <v>113</v>
      </c>
    </row>
    <row r="74" customFormat="false" ht="15" hidden="false" customHeight="false" outlineLevel="0" collapsed="false">
      <c r="W74" s="0" t="s">
        <v>115</v>
      </c>
    </row>
    <row r="75" customFormat="false" ht="15" hidden="false" customHeight="false" outlineLevel="0" collapsed="false">
      <c r="W75" s="0" t="s">
        <v>117</v>
      </c>
    </row>
    <row r="76" customFormat="false" ht="15" hidden="false" customHeight="false" outlineLevel="0" collapsed="false">
      <c r="W76" s="0" t="s">
        <v>119</v>
      </c>
    </row>
    <row r="77" customFormat="false" ht="15" hidden="false" customHeight="false" outlineLevel="0" collapsed="false">
      <c r="W77" s="0" t="s">
        <v>121</v>
      </c>
    </row>
    <row r="78" customFormat="false" ht="15" hidden="false" customHeight="false" outlineLevel="0" collapsed="false">
      <c r="W78" s="0" t="s">
        <v>123</v>
      </c>
    </row>
    <row r="79" customFormat="false" ht="15" hidden="false" customHeight="false" outlineLevel="0" collapsed="false">
      <c r="W79" s="0" t="s">
        <v>127</v>
      </c>
    </row>
    <row r="80" customFormat="false" ht="15" hidden="false" customHeight="false" outlineLevel="0" collapsed="false">
      <c r="W80" s="0" t="s">
        <v>129</v>
      </c>
    </row>
    <row r="81" customFormat="false" ht="15" hidden="false" customHeight="false" outlineLevel="0" collapsed="false">
      <c r="W81" s="0" t="s">
        <v>131</v>
      </c>
    </row>
    <row r="82" customFormat="false" ht="15" hidden="false" customHeight="false" outlineLevel="0" collapsed="false">
      <c r="W82" s="0" t="s">
        <v>133</v>
      </c>
    </row>
    <row r="83" customFormat="false" ht="15" hidden="false" customHeight="false" outlineLevel="0" collapsed="false">
      <c r="W83" s="0" t="s">
        <v>135</v>
      </c>
    </row>
    <row r="84" customFormat="false" ht="15" hidden="false" customHeight="false" outlineLevel="0" collapsed="false">
      <c r="W84" s="0" t="s">
        <v>137</v>
      </c>
    </row>
    <row r="85" customFormat="false" ht="15" hidden="false" customHeight="false" outlineLevel="0" collapsed="false">
      <c r="W85" s="0" t="s">
        <v>139</v>
      </c>
    </row>
    <row r="86" customFormat="false" ht="15" hidden="false" customHeight="false" outlineLevel="0" collapsed="false">
      <c r="W86" s="0" t="s">
        <v>141</v>
      </c>
    </row>
    <row r="87" customFormat="false" ht="15" hidden="false" customHeight="false" outlineLevel="0" collapsed="false">
      <c r="W87" s="0" t="s">
        <v>143</v>
      </c>
    </row>
    <row r="88" customFormat="false" ht="15" hidden="false" customHeight="false" outlineLevel="0" collapsed="false">
      <c r="W88" s="0" t="s">
        <v>145</v>
      </c>
    </row>
    <row r="89" customFormat="false" ht="15" hidden="false" customHeight="false" outlineLevel="0" collapsed="false">
      <c r="W89" s="0" t="s">
        <v>147</v>
      </c>
    </row>
    <row r="90" customFormat="false" ht="15" hidden="false" customHeight="false" outlineLevel="0" collapsed="false">
      <c r="W90" s="0" t="s">
        <v>149</v>
      </c>
    </row>
    <row r="91" customFormat="false" ht="15" hidden="false" customHeight="false" outlineLevel="0" collapsed="false">
      <c r="W91" s="0" t="s">
        <v>151</v>
      </c>
    </row>
    <row r="92" customFormat="false" ht="15" hidden="false" customHeight="false" outlineLevel="0" collapsed="false">
      <c r="W92" s="0" t="s">
        <v>153</v>
      </c>
    </row>
    <row r="95" customFormat="false" ht="15" hidden="false" customHeight="false" outlineLevel="0" collapsed="false">
      <c r="A95" s="3" t="s">
        <v>515</v>
      </c>
    </row>
    <row r="96" customFormat="false" ht="15" hidden="false" customHeight="false" outlineLevel="0" collapsed="false">
      <c r="A96" s="6" t="s">
        <v>416</v>
      </c>
      <c r="B96" s="17" t="s">
        <v>516</v>
      </c>
    </row>
    <row r="97" customFormat="false" ht="15" hidden="false" customHeight="false" outlineLevel="0" collapsed="false">
      <c r="A97" s="6" t="s">
        <v>418</v>
      </c>
      <c r="B97" s="17" t="s">
        <v>419</v>
      </c>
    </row>
    <row r="98" customFormat="false" ht="15" hidden="false" customHeight="false" outlineLevel="0" collapsed="false">
      <c r="A98" s="6" t="s">
        <v>420</v>
      </c>
      <c r="B98" s="17" t="s">
        <v>517</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2026-09-07T13:45:47Z</dcterms:created>
  <dc:creator>Capacity exercise toolkit</dc:creator>
  <dc:description/>
  <dc:language>en-US</dc:language>
  <cp:lastModifiedBy/>
  <dcterms:modified xsi:type="dcterms:W3CDTF">2026-09-07T13:46:02Z</dcterms:modified>
  <cp:revision>1</cp:revision>
  <dc:subject/>
  <dc:title>2027 Capacity Exercise - Corporate Banking Group</dc:title>
</cp:coreProperties>
</file>

<file path=docProps/custom.xml><?xml version="1.0" encoding="utf-8"?>
<Properties xmlns="http://schemas.openxmlformats.org/officeDocument/2006/custom-properties" xmlns:vt="http://schemas.openxmlformats.org/officeDocument/2006/docPropsVTypes"/>
</file>