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Capacity asks" sheetId="4" state="visible" r:id="rId6"/>
    <sheet name="4. My position" sheetId="5" state="visible" r:id="rId7"/>
    <sheet name="5. Check &amp; submit" sheetId="6" state="visible" r:id="rId8"/>
    <sheet name="Ref" sheetId="7" state="hidden" r:id="rId9"/>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capacity'!$A$5:$P$407</definedName>
    <definedName function="false" hidden="false" localSheetId="3" name="_xlnm.Print_Titles" vbProcedure="false">'3. Capacity asks'!$5:$5</definedName>
    <definedName function="false" hidden="true" localSheetId="3" name="_xlnm._FilterDatabase" vbProcedure="false">'3. Capacity asks'!$A$5:$T$205</definedName>
    <definedName function="false" hidden="false" name="AskCategory" vbProcedure="false">'3. Capacity asks'!$P$6:$P$205</definedName>
    <definedName function="false" hidden="false" name="AskDepartment" vbProcedure="false">'3. Capacity asks'!$C$6:$C$205</definedName>
    <definedName function="false" hidden="false" name="AskDivision" vbProcedure="false">'3. Capacity asks'!$B$6:$B$205</definedName>
    <definedName function="false" hidden="false" name="AskDriver" vbProcedure="false">'3. Capacity asks'!$Q$6:$Q$205</definedName>
    <definedName function="false" hidden="false" name="AskFamily" vbProcedure="false">'3. Capacity asks'!$H$6:$H$205</definedName>
    <definedName function="false" hidden="false" name="AskIssueNo" vbProcedure="false">'3. Capacity asks'!$T$6:$T$205</definedName>
    <definedName function="false" hidden="false" name="AskLevel" vbProcedure="false">'3. Capacity asks'!$G$6:$G$205</definedName>
    <definedName function="false" hidden="false" name="AskProblem" vbProcedure="false">'3. Capacity asks'!$S$6:$S$205</definedName>
    <definedName function="false" hidden="false" name="AskQ1" vbProcedure="false">'3. Capacity asks'!$L$6:$L$205</definedName>
    <definedName function="false" hidden="false" name="AskQ2" vbProcedure="false">'3. Capacity asks'!$M$6:$M$205</definedName>
    <definedName function="false" hidden="false" name="AskQ3" vbProcedure="false">'3. Capacity asks'!$N$6:$N$205</definedName>
    <definedName function="false" hidden="false" name="AskQ4" vbProcedure="false">'3. Capacity asks'!$O$6:$O$205</definedName>
    <definedName function="false" hidden="false" name="AskRef" vbProcedure="false">'3. Capacity asks'!$A$6:$A$205</definedName>
    <definedName function="false" hidden="false" name="AskSubUnit" vbProcedure="false">'3. Capacity asks'!$E$6:$E$205</definedName>
    <definedName function="false" hidden="false" name="AskTitle" vbProcedure="false">'3. Capacity asks'!$F$6:$F$205</definedName>
    <definedName function="false" hidden="false" name="AskTotal" vbProcedure="false">'3. Capacity asks'!$K$6:$K$205</definedName>
    <definedName function="false" hidden="false" name="AskUnit" vbProcedure="false">'3. Capacity asks'!$D$6:$D$205</definedName>
    <definedName function="false" hidden="false" name="AskWorkerType" vbProcedure="false">'3.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Ref!$M$51:$M$56</definedName>
    <definedName function="false" hidden="false" name="CategoryList" vbProcedure="false">Ref!$I$51:$I$54</definedName>
    <definedName function="false" hidden="false" name="CostEnvelope" vbProcedure="false">Ref!$B$15</definedName>
    <definedName function="false" hidden="false" name="CostLimit" vbProcedure="false">'4. My position'!$B$30</definedName>
    <definedName function="false" hidden="false" name="CostMine" vbProcedure="false">'4. My position'!$C$30</definedName>
    <definedName function="false" hidden="false" name="DirectionList" vbProcedure="false">Ref!$E$51:$E$54</definedName>
    <definedName function="false" hidden="false" name="DivisionList" vbProcedure="false">Ref!$Q$51:$Q$55</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'4. My position'!$B$31</definedName>
    <definedName function="false" hidden="false" name="HeadMine" vbProcedure="false">'4. My position'!$C$31</definedName>
    <definedName function="false" hidden="false" name="JobFamilies" vbProcedure="false">Ref!$O$51:$O$54</definedName>
    <definedName function="false" hidden="false" name="LadderLevels" vbProcedure="false">Ref!$G$51:$G$56</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'4. My position'!$B$32</definedName>
    <definedName function="false" hidden="false" name="MandateMine" vbProcedure="false">'4. My position'!$C$32</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capacity'!$J$6:$J$407</definedName>
    <definedName function="false" hidden="false" name="SeatDepartment" vbProcedure="false">'2. Current capacity'!$C$6:$C$407</definedName>
    <definedName function="false" hidden="false" name="SeatDirection" vbProcedure="false">'2. Current capacity'!$N$6:$N$407</definedName>
    <definedName function="false" hidden="false" name="SeatDivision" vbProcedure="false">'2. Current capacity'!$B$6:$B$407</definedName>
    <definedName function="false" hidden="false" name="SeatExits" vbProcedure="false">'2. Current capacity'!$O$6:$O$407</definedName>
    <definedName function="false" hidden="false" name="SeatFilled" vbProcedure="false">'2. Current capacity'!$K$6:$K$407</definedName>
    <definedName function="false" hidden="false" name="SeatLevel" vbProcedure="false">'2. Current capacity'!$G$6:$G$407</definedName>
    <definedName function="false" hidden="false" name="SeatMandate" vbProcedure="false">'2. Current capacity'!$I$6:$I$407</definedName>
    <definedName function="false" hidden="false" name="SeatProblem" vbProcedure="false">'2. Current capacity'!$P$6:$P$407</definedName>
    <definedName function="false" hidden="false" name="SeatSubUnit" vbProcedure="false">'2. Current capacity'!$E$6:$E$407</definedName>
    <definedName function="false" hidden="false" name="SeatTitle" vbProcedure="false">'2. Current capacity'!$F$6:$F$407</definedName>
    <definedName function="false" hidden="false" name="SeatUnit" vbProcedure="false">'2. Current capacity'!$D$6:$D$407</definedName>
    <definedName function="false" hidden="false" name="SeatVacant" vbProcedure="false">'2. Current capacity'!$L$6:$L$407</definedName>
    <definedName function="false" hidden="false" name="SeatWorkerType" vbProcedure="false">'2. Current capacity'!$M$6:$M$407</definedName>
    <definedName function="false" hidden="false" name="UnitList" vbProcedure="false">Ref!$S$51:$S$197</definedName>
    <definedName function="false" hidden="false" name="WorkerTypes" vbProcedure="false">Ref!$C$51:$C$53</definedName>
    <definedName function="false" hidden="false" name="YesNo" vbProcedure="false">Ref!$K$51:$K$52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<sst xmlns="http://schemas.openxmlformats.org/spreadsheetml/2006/main" count="3781" uniqueCount="696">
  <si>
    <t xml:space="preserve">2027 Capacity Exercise</t>
  </si>
  <si>
    <t xml:space="preserve">Technology Group — what to do, in the order to do it</t>
  </si>
  <si>
    <t xml:space="preserve">What to do</t>
  </si>
  <si>
    <t xml:space="preserve">1. My structure</t>
  </si>
  <si>
    <t xml:space="preserve">Your group as it stands today. Collapse and expand with the +/- buttons in the left margin. Nothing to fill in — the 2027 columns fill themselves from the two sheets after it.</t>
  </si>
  <si>
    <t xml:space="preserve">2. Current capacity</t>
  </si>
  <si>
    <t xml:space="preserve">Every position you have today, already listed. Three columns are yours: the career level, whether the seat is mandated Saudi, and what you intend to do with it next year. Correct anything that is wrong and add anything missing.</t>
  </si>
  <si>
    <t xml:space="preserve">3. Capacity asks</t>
  </si>
  <si>
    <t xml:space="preserve">One row per position you want. Put the numbers in the quarter you want them to start — New Asks adds itself up. Every row needs a driver, because that is what decides the order things get funded in.</t>
  </si>
  <si>
    <t xml:space="preserve">4. My position</t>
  </si>
  <si>
    <t xml:space="preserve">Your headcount and your cost by division, and where they land against your envelopes. Read this before you submit, not after.</t>
  </si>
  <si>
    <t xml:space="preserve">5.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</si>
  <si>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</si>
  <si>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</si>
  <si>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</si>
  <si>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</si>
  <si>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</si>
  <si>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</si>
  <si>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</si>
  <si>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</si>
  <si>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Three things worth knowing</t>
  </si>
  <si>
    <t xml:space="preserve">Capacity Direction on sheet 2 is the only place a seat can be given up. Exit means the seat lapses and comes out of next year's establishment — a vacancy you no longer need is an Exit. Reduce keeps the seat and puts it on the mid-year watch list. Grow and Hold change nothing by themselves; growth arrives as a row on sheet 3.</t>
  </si>
  <si>
    <t xml:space="preserve">Cost is shown by division, not by position, and on a full-year run-rate basis so it sits alongside headcount. The part-year cash cost of next year is a separate line underneath, because the two answer different questions and approving both at once is how a capacity paper gets counted twice.</t>
  </si>
  <si>
    <t xml:space="preserve">A position starting in Q1 is paid for four quarters; one starting in Q4 for a single quarter. Moving a start later is the cheapest concession you can offer, and it is usually the first thing you will be asked for.</t>
  </si>
  <si>
    <t xml:space="preserve">My structure</t>
  </si>
  <si>
    <t xml:space="preserve">Technology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</si>
  <si>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</si>
  <si>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</si>
  <si>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</si>
  <si>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</si>
  <si>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</si>
  <si>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</si>
  <si>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</si>
  <si>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</si>
  <si>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</si>
  <si>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</si>
  <si>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</si>
  <si>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Technology Group</t>
  </si>
  <si>
    <t xml:space="preserve">Division</t>
  </si>
  <si>
    <t xml:space="preserve">    Core Banking Division</t>
  </si>
  <si>
    <t xml:space="preserve">Core Banking Division</t>
  </si>
  <si>
    <t xml:space="preserve">Department</t>
  </si>
  <si>
    <t xml:space="preserve">        Core Banking Platform</t>
  </si>
  <si>
    <t xml:space="preserve">Core Banking Platform</t>
  </si>
  <si>
    <t xml:space="preserve">            Core Banking Platform Unit 1</t>
  </si>
  <si>
    <t xml:space="preserve">Core Banking Platform Unit 1</t>
  </si>
  <si>
    <t xml:space="preserve">Sub-unit</t>
  </si>
  <si>
    <t xml:space="preserve">                Core Banking Platform Unit 1 - Team A</t>
  </si>
  <si>
    <t xml:space="preserve">Core Banking Platform Unit 1 - Team A</t>
  </si>
  <si>
    <t xml:space="preserve">Section</t>
  </si>
  <si>
    <t xml:space="preserve">                    Core Banking Platform Unit 1 - Team A / Section 1</t>
  </si>
  <si>
    <t xml:space="preserve">Core Banking Platform Unit 1 - Team A / Section 1</t>
  </si>
  <si>
    <t xml:space="preserve">                    Core Banking Platform Unit 1 - Team A / Section 2</t>
  </si>
  <si>
    <t xml:space="preserve">Core Banking Platform Unit 1 - Team A / Section 2</t>
  </si>
  <si>
    <t xml:space="preserve">                Core Banking Platform Unit 1 - Team B</t>
  </si>
  <si>
    <t xml:space="preserve">Core Banking Platform Unit 1 - Team B</t>
  </si>
  <si>
    <t xml:space="preserve">                    Core Banking Platform Unit 1 - Team B / Section 1</t>
  </si>
  <si>
    <t xml:space="preserve">Core Banking Platform Unit 1 - Team B / Section 1</t>
  </si>
  <si>
    <t xml:space="preserve">                    Core Banking Platform Unit 1 - Team B / Section 2</t>
  </si>
  <si>
    <t xml:space="preserve">Core Banking Platform Unit 1 - Team B / Section 2</t>
  </si>
  <si>
    <t xml:space="preserve">            Core Banking Platform Unit 2</t>
  </si>
  <si>
    <t xml:space="preserve">Core Banking Platform Unit 2</t>
  </si>
  <si>
    <t xml:space="preserve">                Core Banking Platform Unit 2 - Team A</t>
  </si>
  <si>
    <t xml:space="preserve">Core Banking Platform Unit 2 - Team A</t>
  </si>
  <si>
    <t xml:space="preserve">                    Core Banking Platform Unit 2 - Team A / Section 1</t>
  </si>
  <si>
    <t xml:space="preserve">Core Banking Platform Unit 2 - Team A / Section 1</t>
  </si>
  <si>
    <t xml:space="preserve">                    Core Banking Platform Unit 2 - Team A / Section 2</t>
  </si>
  <si>
    <t xml:space="preserve">Core Banking Platform Unit 2 - Team A / Section 2</t>
  </si>
  <si>
    <t xml:space="preserve">                Core Banking Platform Unit 2 - Team B</t>
  </si>
  <si>
    <t xml:space="preserve">Core Banking Platform Unit 2 - Team B</t>
  </si>
  <si>
    <t xml:space="preserve">                    Core Banking Platform Unit 2 - Team B / Section 1</t>
  </si>
  <si>
    <t xml:space="preserve">Core Banking Platform Unit 2 - Team B / Section 1</t>
  </si>
  <si>
    <t xml:space="preserve">                    Core Banking Platform Unit 2 - Team B / Section 2</t>
  </si>
  <si>
    <t xml:space="preserve">Core Banking Platform Unit 2 - Team B / Section 2</t>
  </si>
  <si>
    <t xml:space="preserve">        Payments Systems</t>
  </si>
  <si>
    <t xml:space="preserve">Payments Systems</t>
  </si>
  <si>
    <t xml:space="preserve">            Payments Systems Unit 1</t>
  </si>
  <si>
    <t xml:space="preserve">Payments Systems Unit 1</t>
  </si>
  <si>
    <t xml:space="preserve">                Payments Systems Unit 1 - Team A</t>
  </si>
  <si>
    <t xml:space="preserve">Payments Systems Unit 1 - Team A</t>
  </si>
  <si>
    <t xml:space="preserve">                    Payments Systems Unit 1 - Team A / Section 1</t>
  </si>
  <si>
    <t xml:space="preserve">Payments Systems Unit 1 - Team A / Section 1</t>
  </si>
  <si>
    <t xml:space="preserve">                    Payments Systems Unit 1 - Team A / Section 2</t>
  </si>
  <si>
    <t xml:space="preserve">Payments Systems Unit 1 - Team A / Section 2</t>
  </si>
  <si>
    <t xml:space="preserve">                Payments Systems Unit 1 - Team B</t>
  </si>
  <si>
    <t xml:space="preserve">Payments Systems Unit 1 - Team B</t>
  </si>
  <si>
    <t xml:space="preserve">                    Payments Systems Unit 1 - Team B / Section 1</t>
  </si>
  <si>
    <t xml:space="preserve">Payments Systems Unit 1 - Team B / Section 1</t>
  </si>
  <si>
    <t xml:space="preserve">                    Payments Systems Unit 1 - Team B / Section 2</t>
  </si>
  <si>
    <t xml:space="preserve">Payments Systems Unit 1 - Team B / Section 2</t>
  </si>
  <si>
    <t xml:space="preserve">            Payments Systems Unit 2</t>
  </si>
  <si>
    <t xml:space="preserve">Payments Systems Unit 2</t>
  </si>
  <si>
    <t xml:space="preserve">                Payments Systems Unit 2 - Team A</t>
  </si>
  <si>
    <t xml:space="preserve">Payments Systems Unit 2 - Team A</t>
  </si>
  <si>
    <t xml:space="preserve">                    Payments Systems Unit 2 - Team A / Section 1</t>
  </si>
  <si>
    <t xml:space="preserve">Payments Systems Unit 2 - Team A / Section 1</t>
  </si>
  <si>
    <t xml:space="preserve">                    Payments Systems Unit 2 - Team A / Section 2</t>
  </si>
  <si>
    <t xml:space="preserve">Payments Systems Unit 2 - Team A / Section 2</t>
  </si>
  <si>
    <t xml:space="preserve">                Payments Systems Unit 2 - Team B</t>
  </si>
  <si>
    <t xml:space="preserve">Payments Systems Unit 2 - Team B</t>
  </si>
  <si>
    <t xml:space="preserve">                    Payments Systems Unit 2 - Team B / Section 1</t>
  </si>
  <si>
    <t xml:space="preserve">Payments Systems Unit 2 - Team B / Section 1</t>
  </si>
  <si>
    <t xml:space="preserve">                    Payments Systems Unit 2 - Team B / Section 2</t>
  </si>
  <si>
    <t xml:space="preserve">Payments Systems Unit 2 - Team B / Section 2</t>
  </si>
  <si>
    <t xml:space="preserve">    Cybersecurity Division</t>
  </si>
  <si>
    <t xml:space="preserve">Cybersecurity Division</t>
  </si>
  <si>
    <t xml:space="preserve">        Identity &amp; Access</t>
  </si>
  <si>
    <t xml:space="preserve">Identity &amp; Access</t>
  </si>
  <si>
    <t xml:space="preserve">            Identity &amp; Access Unit 1</t>
  </si>
  <si>
    <t xml:space="preserve">Identity &amp; Access Unit 1</t>
  </si>
  <si>
    <t xml:space="preserve">                Identity &amp; Access Unit 1 - Team A</t>
  </si>
  <si>
    <t xml:space="preserve">Identity &amp; Access Unit 1 - Team A</t>
  </si>
  <si>
    <t xml:space="preserve">                    Identity &amp; Access Unit 1 - Team A / Section 1</t>
  </si>
  <si>
    <t xml:space="preserve">Identity &amp; Access Unit 1 - Team A / Section 1</t>
  </si>
  <si>
    <t xml:space="preserve">                Identity &amp; Access Unit 1 - Team B</t>
  </si>
  <si>
    <t xml:space="preserve">Identity &amp; Access Unit 1 - Team B</t>
  </si>
  <si>
    <t xml:space="preserve">                    Identity &amp; Access Unit 1 - Team B / Section 1</t>
  </si>
  <si>
    <t xml:space="preserve">Identity &amp; Access Unit 1 - Team B / Section 1</t>
  </si>
  <si>
    <t xml:space="preserve">                    Identity &amp; Access Unit 1 - Team B / Section 2</t>
  </si>
  <si>
    <t xml:space="preserve">Identity &amp; Access Unit 1 - Team B / Section 2</t>
  </si>
  <si>
    <t xml:space="preserve">            Identity &amp; Access Unit 2</t>
  </si>
  <si>
    <t xml:space="preserve">Identity &amp; Access Unit 2</t>
  </si>
  <si>
    <t xml:space="preserve">                Identity &amp; Access Unit 2 - Team A</t>
  </si>
  <si>
    <t xml:space="preserve">Identity &amp; Access Unit 2 - Team A</t>
  </si>
  <si>
    <t xml:space="preserve">                    Identity &amp; Access Unit 2 - Team A / Section 1</t>
  </si>
  <si>
    <t xml:space="preserve">Identity &amp; Access Unit 2 - Team A / Section 1</t>
  </si>
  <si>
    <t xml:space="preserve">                    Identity &amp; Access Unit 2 - Team A / Section 2</t>
  </si>
  <si>
    <t xml:space="preserve">Identity &amp; Access Unit 2 - Team A / Section 2</t>
  </si>
  <si>
    <t xml:space="preserve">                Identity &amp; Access Unit 2 - Team B</t>
  </si>
  <si>
    <t xml:space="preserve">Identity &amp; Access Unit 2 - Team B</t>
  </si>
  <si>
    <t xml:space="preserve">                    Identity &amp; Access Unit 2 - Team B / Section 1</t>
  </si>
  <si>
    <t xml:space="preserve">Identity &amp; Access Unit 2 - Team B / Section 1</t>
  </si>
  <si>
    <t xml:space="preserve">                    Identity &amp; Access Unit 2 - Team B / Section 2</t>
  </si>
  <si>
    <t xml:space="preserve">Identity &amp; Access Unit 2 - Team B / Section 2</t>
  </si>
  <si>
    <t xml:space="preserve">        Security Operations</t>
  </si>
  <si>
    <t xml:space="preserve">Security Operations</t>
  </si>
  <si>
    <t xml:space="preserve">            Security Operations Unit 1</t>
  </si>
  <si>
    <t xml:space="preserve">Security Operations Unit 1</t>
  </si>
  <si>
    <t xml:space="preserve">                Security Operations Unit 1 - Team A</t>
  </si>
  <si>
    <t xml:space="preserve">Security Operations Unit 1 - Team A</t>
  </si>
  <si>
    <t xml:space="preserve">                    Security Operations Unit 1 - Team A / Section 1</t>
  </si>
  <si>
    <t xml:space="preserve">Security Operations Unit 1 - Team A / Section 1</t>
  </si>
  <si>
    <t xml:space="preserve">                    Security Operations Unit 1 - Team A / Section 2</t>
  </si>
  <si>
    <t xml:space="preserve">Security Operations Unit 1 - Team A / Section 2</t>
  </si>
  <si>
    <t xml:space="preserve">                Security Operations Unit 1 - Team B</t>
  </si>
  <si>
    <t xml:space="preserve">Security Operations Unit 1 - Team B</t>
  </si>
  <si>
    <t xml:space="preserve">                    Security Operations Unit 1 - Team B / Section 1</t>
  </si>
  <si>
    <t xml:space="preserve">Security Operations Unit 1 - Team B / Section 1</t>
  </si>
  <si>
    <t xml:space="preserve">                    Security Operations Unit 1 - Team B / Section 2</t>
  </si>
  <si>
    <t xml:space="preserve">Security Operations Unit 1 - Team B / Section 2</t>
  </si>
  <si>
    <t xml:space="preserve">            Security Operations Unit 2</t>
  </si>
  <si>
    <t xml:space="preserve">Security Operations Unit 2</t>
  </si>
  <si>
    <t xml:space="preserve">                Security Operations Unit 2 - Team A</t>
  </si>
  <si>
    <t xml:space="preserve">Security Operations Unit 2 - Team A</t>
  </si>
  <si>
    <t xml:space="preserve">                    Security Operations Unit 2 - Team A / Section 1</t>
  </si>
  <si>
    <t xml:space="preserve">Security Operations Unit 2 - Team A / Section 1</t>
  </si>
  <si>
    <t xml:space="preserve">                    Security Operations Unit 2 - Team A / Section 2</t>
  </si>
  <si>
    <t xml:space="preserve">Security Operations Unit 2 - Team A / Section 2</t>
  </si>
  <si>
    <t xml:space="preserve">                Security Operations Unit 2 - Team B</t>
  </si>
  <si>
    <t xml:space="preserve">Security Operations Unit 2 - Team B</t>
  </si>
  <si>
    <t xml:space="preserve">                    Security Operations Unit 2 - Team B / Section 1</t>
  </si>
  <si>
    <t xml:space="preserve">Security Operations Unit 2 - Team B / Section 1</t>
  </si>
  <si>
    <t xml:space="preserve">                    Security Operations Unit 2 - Team B / Section 2</t>
  </si>
  <si>
    <t xml:space="preserve">Security Operations Unit 2 - Team B / Section 2</t>
  </si>
  <si>
    <t xml:space="preserve">    Data &amp; Analytics Division</t>
  </si>
  <si>
    <t xml:space="preserve">Data &amp; Analytics Division</t>
  </si>
  <si>
    <t xml:space="preserve">        Business Intelligence</t>
  </si>
  <si>
    <t xml:space="preserve">Business Intelligence</t>
  </si>
  <si>
    <t xml:space="preserve">            Business Intelligence Unit 1</t>
  </si>
  <si>
    <t xml:space="preserve">Business Intelligence Unit 1</t>
  </si>
  <si>
    <t xml:space="preserve">                Business Intelligence Unit 1 - Team A</t>
  </si>
  <si>
    <t xml:space="preserve">Business Intelligence Unit 1 - Team A</t>
  </si>
  <si>
    <t xml:space="preserve">                    Business Intelligence Unit 1 - Team A / Section 1</t>
  </si>
  <si>
    <t xml:space="preserve">Business Intelligence Unit 1 - Team A / Section 1</t>
  </si>
  <si>
    <t xml:space="preserve">                    Business Intelligence Unit 1 - Team A / Section 2</t>
  </si>
  <si>
    <t xml:space="preserve">Business Intelligence Unit 1 - Team A / Section 2</t>
  </si>
  <si>
    <t xml:space="preserve">                Business Intelligence Unit 1 - Team B</t>
  </si>
  <si>
    <t xml:space="preserve">Business Intelligence Unit 1 - Team B</t>
  </si>
  <si>
    <t xml:space="preserve">                    Business Intelligence Unit 1 - Team B / Section 1</t>
  </si>
  <si>
    <t xml:space="preserve">Business Intelligence Unit 1 - Team B / Section 1</t>
  </si>
  <si>
    <t xml:space="preserve">                    Business Intelligence Unit 1 - Team B / Section 2</t>
  </si>
  <si>
    <t xml:space="preserve">Business Intelligence Unit 1 - Team B / Section 2</t>
  </si>
  <si>
    <t xml:space="preserve">            Business Intelligence Unit 2</t>
  </si>
  <si>
    <t xml:space="preserve">Business Intelligence Unit 2</t>
  </si>
  <si>
    <t xml:space="preserve">                Business Intelligence Unit 2 - Team A</t>
  </si>
  <si>
    <t xml:space="preserve">Business Intelligence Unit 2 - Team A</t>
  </si>
  <si>
    <t xml:space="preserve">                    Business Intelligence Unit 2 - Team A / Section 2</t>
  </si>
  <si>
    <t xml:space="preserve">Business Intelligence Unit 2 - Team A / Section 2</t>
  </si>
  <si>
    <t xml:space="preserve">                Business Intelligence Unit 2 - Team B</t>
  </si>
  <si>
    <t xml:space="preserve">Business Intelligence Unit 2 - Team B</t>
  </si>
  <si>
    <t xml:space="preserve">                    Business Intelligence Unit 2 - Team B / Section 2</t>
  </si>
  <si>
    <t xml:space="preserve">Business Intelligence Unit 2 - Team B / Section 2</t>
  </si>
  <si>
    <t xml:space="preserve">        Data Engineering</t>
  </si>
  <si>
    <t xml:space="preserve">Data Engineering</t>
  </si>
  <si>
    <t xml:space="preserve">            Data Engineering Unit 1</t>
  </si>
  <si>
    <t xml:space="preserve">Data Engineering Unit 1</t>
  </si>
  <si>
    <t xml:space="preserve">                Data Engineering Unit 1 - Team A</t>
  </si>
  <si>
    <t xml:space="preserve">Data Engineering Unit 1 - Team A</t>
  </si>
  <si>
    <t xml:space="preserve">                    Data Engineering Unit 1 - Team A / Section 1</t>
  </si>
  <si>
    <t xml:space="preserve">Data Engineering Unit 1 - Team A / Section 1</t>
  </si>
  <si>
    <t xml:space="preserve">                    Data Engineering Unit 1 - Team A / Section 2</t>
  </si>
  <si>
    <t xml:space="preserve">Data Engineering Unit 1 - Team A / Section 2</t>
  </si>
  <si>
    <t xml:space="preserve">                Data Engineering Unit 1 - Team B</t>
  </si>
  <si>
    <t xml:space="preserve">Data Engineering Unit 1 - Team B</t>
  </si>
  <si>
    <t xml:space="preserve">                    Data Engineering Unit 1 - Team B / Section 1</t>
  </si>
  <si>
    <t xml:space="preserve">Data Engineering Unit 1 - Team B / Section 1</t>
  </si>
  <si>
    <t xml:space="preserve">                    Data Engineering Unit 1 - Team B / Section 2</t>
  </si>
  <si>
    <t xml:space="preserve">Data Engineering Unit 1 - Team B / Section 2</t>
  </si>
  <si>
    <t xml:space="preserve">            Data Engineering Unit 2</t>
  </si>
  <si>
    <t xml:space="preserve">Data Engineering Unit 2</t>
  </si>
  <si>
    <t xml:space="preserve">                Data Engineering Unit 2 - Team A</t>
  </si>
  <si>
    <t xml:space="preserve">Data Engineering Unit 2 - Team A</t>
  </si>
  <si>
    <t xml:space="preserve">                    Data Engineering Unit 2 - Team A / Section 1</t>
  </si>
  <si>
    <t xml:space="preserve">Data Engineering Unit 2 - Team A / Section 1</t>
  </si>
  <si>
    <t xml:space="preserve">                    Data Engineering Unit 2 - Team A / Section 2</t>
  </si>
  <si>
    <t xml:space="preserve">Data Engineering Unit 2 - Team A / Section 2</t>
  </si>
  <si>
    <t xml:space="preserve">                Data Engineering Unit 2 - Team B</t>
  </si>
  <si>
    <t xml:space="preserve">Data Engineering Unit 2 - Team B</t>
  </si>
  <si>
    <t xml:space="preserve">                    Data Engineering Unit 2 - Team B / Section 1</t>
  </si>
  <si>
    <t xml:space="preserve">Data Engineering Unit 2 - Team B / Section 1</t>
  </si>
  <si>
    <t xml:space="preserve">                    Data Engineering Unit 2 - Team B / Section 2</t>
  </si>
  <si>
    <t xml:space="preserve">Data Engineering Unit 2 - Team B / Section 2</t>
  </si>
  <si>
    <t xml:space="preserve">    Digital Channels Division</t>
  </si>
  <si>
    <t xml:space="preserve">Digital Channels Division</t>
  </si>
  <si>
    <t xml:space="preserve">        Digital Onboarding</t>
  </si>
  <si>
    <t xml:space="preserve">Digital Onboarding</t>
  </si>
  <si>
    <t xml:space="preserve">            Digital Onboarding Unit 1</t>
  </si>
  <si>
    <t xml:space="preserve">Digital Onboarding Unit 1</t>
  </si>
  <si>
    <t xml:space="preserve">                Digital Onboarding Unit 1 - Team A</t>
  </si>
  <si>
    <t xml:space="preserve">Digital Onboarding Unit 1 - Team A</t>
  </si>
  <si>
    <t xml:space="preserve">                    Digital Onboarding Unit 1 - Team A / Section 1</t>
  </si>
  <si>
    <t xml:space="preserve">Digital Onboarding Unit 1 - Team A / Section 1</t>
  </si>
  <si>
    <t xml:space="preserve">                    Digital Onboarding Unit 1 - Team A / Section 2</t>
  </si>
  <si>
    <t xml:space="preserve">Digital Onboarding Unit 1 - Team A / Section 2</t>
  </si>
  <si>
    <t xml:space="preserve">                Digital Onboarding Unit 1 - Team B</t>
  </si>
  <si>
    <t xml:space="preserve">Digital Onboarding Unit 1 - Team B</t>
  </si>
  <si>
    <t xml:space="preserve">                    Digital Onboarding Unit 1 - Team B / Section 1</t>
  </si>
  <si>
    <t xml:space="preserve">Digital Onboarding Unit 1 - Team B / Section 1</t>
  </si>
  <si>
    <t xml:space="preserve">                    Digital Onboarding Unit 1 - Team B / Section 2</t>
  </si>
  <si>
    <t xml:space="preserve">Digital Onboarding Unit 1 - Team B / Section 2</t>
  </si>
  <si>
    <t xml:space="preserve">            Digital Onboarding Unit 2</t>
  </si>
  <si>
    <t xml:space="preserve">Digital Onboarding Unit 2</t>
  </si>
  <si>
    <t xml:space="preserve">                Digital Onboarding Unit 2 - Team A</t>
  </si>
  <si>
    <t xml:space="preserve">Digital Onboarding Unit 2 - Team A</t>
  </si>
  <si>
    <t xml:space="preserve">                    Digital Onboarding Unit 2 - Team A / Section 1</t>
  </si>
  <si>
    <t xml:space="preserve">Digital Onboarding Unit 2 - Team A / Section 1</t>
  </si>
  <si>
    <t xml:space="preserve">                    Digital Onboarding Unit 2 - Team A / Section 2</t>
  </si>
  <si>
    <t xml:space="preserve">Digital Onboarding Unit 2 - Team A / Section 2</t>
  </si>
  <si>
    <t xml:space="preserve">                Digital Onboarding Unit 2 - Team B</t>
  </si>
  <si>
    <t xml:space="preserve">Digital Onboarding Unit 2 - Team B</t>
  </si>
  <si>
    <t xml:space="preserve">                    Digital Onboarding Unit 2 - Team B / Section 1</t>
  </si>
  <si>
    <t xml:space="preserve">Digital Onboarding Unit 2 - Team B / Section 1</t>
  </si>
  <si>
    <t xml:space="preserve">                    Digital Onboarding Unit 2 - Team B / Section 2</t>
  </si>
  <si>
    <t xml:space="preserve">Digital Onboarding Unit 2 - Team B / Section 2</t>
  </si>
  <si>
    <t xml:space="preserve">        Mobile &amp; Internet Banking</t>
  </si>
  <si>
    <t xml:space="preserve">Mobile &amp; Internet Banking</t>
  </si>
  <si>
    <t xml:space="preserve">            Mobile &amp; Internet Banking Unit 1</t>
  </si>
  <si>
    <t xml:space="preserve">Mobile &amp; Internet Banking Unit 1</t>
  </si>
  <si>
    <t xml:space="preserve">                Mobile &amp; Internet Banking Unit 1 - Team A</t>
  </si>
  <si>
    <t xml:space="preserve">Mobile &amp; Internet Banking Unit 1 - Team A</t>
  </si>
  <si>
    <t xml:space="preserve">                    Mobile &amp; Internet Banking Unit 1 - Team A / Section 1</t>
  </si>
  <si>
    <t xml:space="preserve">Mobile &amp; Internet Banking Unit 1 - Team A / Section 1</t>
  </si>
  <si>
    <t xml:space="preserve">                    Mobile &amp; Internet Banking Unit 1 - Team A / Section 2</t>
  </si>
  <si>
    <t xml:space="preserve">Mobile &amp; Internet Banking Unit 1 - Team A / Section 2</t>
  </si>
  <si>
    <t xml:space="preserve">                Mobile &amp; Internet Banking Unit 1 - Team B</t>
  </si>
  <si>
    <t xml:space="preserve">Mobile &amp; Internet Banking Unit 1 - Team B</t>
  </si>
  <si>
    <t xml:space="preserve">                    Mobile &amp; Internet Banking Unit 1 - Team B / Section 1</t>
  </si>
  <si>
    <t xml:space="preserve">Mobile &amp; Internet Banking Unit 1 - Team B / Section 1</t>
  </si>
  <si>
    <t xml:space="preserve">                    Mobile &amp; Internet Banking Unit 1 - Team B / Section 2</t>
  </si>
  <si>
    <t xml:space="preserve">Mobile &amp; Internet Banking Unit 1 - Team B / Section 2</t>
  </si>
  <si>
    <t xml:space="preserve">            Mobile &amp; Internet Banking Unit 2</t>
  </si>
  <si>
    <t xml:space="preserve">Mobile &amp; Internet Banking Unit 2</t>
  </si>
  <si>
    <t xml:space="preserve">                Mobile &amp; Internet Banking Unit 2 - Team A</t>
  </si>
  <si>
    <t xml:space="preserve">Mobile &amp; Internet Banking Unit 2 - Team A</t>
  </si>
  <si>
    <t xml:space="preserve">                    Mobile &amp; Internet Banking Unit 2 - Team A / Section 1</t>
  </si>
  <si>
    <t xml:space="preserve">Mobile &amp; Internet Banking Unit 2 - Team A / Section 1</t>
  </si>
  <si>
    <t xml:space="preserve">                    Mobile &amp; Internet Banking Unit 2 - Team A / Section 2</t>
  </si>
  <si>
    <t xml:space="preserve">Mobile &amp; Internet Banking Unit 2 - Team A / Section 2</t>
  </si>
  <si>
    <t xml:space="preserve">                Mobile &amp; Internet Banking Unit 2 - Team B</t>
  </si>
  <si>
    <t xml:space="preserve">Mobile &amp; Internet Banking Unit 2 - Team B</t>
  </si>
  <si>
    <t xml:space="preserve">                    Mobile &amp; Internet Banking Unit 2 - Team B / Section 1</t>
  </si>
  <si>
    <t xml:space="preserve">Mobile &amp; Internet Banking Unit 2 - Team B / Section 1</t>
  </si>
  <si>
    <t xml:space="preserve">                    Mobile &amp; Internet Banking Unit 2 - Team B / Section 2</t>
  </si>
  <si>
    <t xml:space="preserve">Mobile &amp; Internet Banking Unit 2 - Team B / Section 2</t>
  </si>
  <si>
    <t xml:space="preserve">    Infrastructure Division</t>
  </si>
  <si>
    <t xml:space="preserve">Infrastructure Division</t>
  </si>
  <si>
    <t xml:space="preserve">        Infrastructure &amp; Cloud</t>
  </si>
  <si>
    <t xml:space="preserve">Infrastructure &amp; Cloud</t>
  </si>
  <si>
    <t xml:space="preserve">            Infrastructure &amp; Cloud Unit 1</t>
  </si>
  <si>
    <t xml:space="preserve">Infrastructure &amp; Cloud Unit 1</t>
  </si>
  <si>
    <t xml:space="preserve">                Infrastructure &amp; Cloud Unit 1 - Team A</t>
  </si>
  <si>
    <t xml:space="preserve">Infrastructure &amp; Cloud Unit 1 - Team A</t>
  </si>
  <si>
    <t xml:space="preserve">                    Infrastructure &amp; Cloud Unit 1 - Team A / Section 1</t>
  </si>
  <si>
    <t xml:space="preserve">Infrastructure &amp; Cloud Unit 1 - Team A / Section 1</t>
  </si>
  <si>
    <t xml:space="preserve">                    Infrastructure &amp; Cloud Unit 1 - Team A / Section 2</t>
  </si>
  <si>
    <t xml:space="preserve">Infrastructure &amp; Cloud Unit 1 - Team A / Section 2</t>
  </si>
  <si>
    <t xml:space="preserve">                Infrastructure &amp; Cloud Unit 1 - Team B</t>
  </si>
  <si>
    <t xml:space="preserve">Infrastructure &amp; Cloud Unit 1 - Team B</t>
  </si>
  <si>
    <t xml:space="preserve">                    Infrastructure &amp; Cloud Unit 1 - Team B / Section 1</t>
  </si>
  <si>
    <t xml:space="preserve">Infrastructure &amp; Cloud Unit 1 - Team B / Section 1</t>
  </si>
  <si>
    <t xml:space="preserve">                    Infrastructure &amp; Cloud Unit 1 - Team B / Section 2</t>
  </si>
  <si>
    <t xml:space="preserve">Infrastructure &amp; Cloud Unit 1 - Team B / Section 2</t>
  </si>
  <si>
    <t xml:space="preserve">            Infrastructure &amp; Cloud Unit 2</t>
  </si>
  <si>
    <t xml:space="preserve">Infrastructure &amp; Cloud Unit 2</t>
  </si>
  <si>
    <t xml:space="preserve">                Infrastructure &amp; Cloud Unit 2 - Team A</t>
  </si>
  <si>
    <t xml:space="preserve">Infrastructure &amp; Cloud Unit 2 - Team A</t>
  </si>
  <si>
    <t xml:space="preserve">                    Infrastructure &amp; Cloud Unit 2 - Team A / Section 1</t>
  </si>
  <si>
    <t xml:space="preserve">Infrastructure &amp; Cloud Unit 2 - Team A / Section 1</t>
  </si>
  <si>
    <t xml:space="preserve">                    Infrastructure &amp; Cloud Unit 2 - Team A / Section 2</t>
  </si>
  <si>
    <t xml:space="preserve">Infrastructure &amp; Cloud Unit 2 - Team A / Section 2</t>
  </si>
  <si>
    <t xml:space="preserve">                Infrastructure &amp; Cloud Unit 2 - Team B</t>
  </si>
  <si>
    <t xml:space="preserve">Infrastructure &amp; Cloud Unit 2 - Team B</t>
  </si>
  <si>
    <t xml:space="preserve">                    Infrastructure &amp; Cloud Unit 2 - Team B / Section 1</t>
  </si>
  <si>
    <t xml:space="preserve">Infrastructure &amp; Cloud Unit 2 - Team B / Section 1</t>
  </si>
  <si>
    <t xml:space="preserve">                    Infrastructure &amp; Cloud Unit 2 - Team B / Section 2</t>
  </si>
  <si>
    <t xml:space="preserve">Infrastructure &amp; Cloud Unit 2 - Team B / Section 2</t>
  </si>
  <si>
    <t xml:space="preserve">        Service Desk</t>
  </si>
  <si>
    <t xml:space="preserve">Service Desk</t>
  </si>
  <si>
    <t xml:space="preserve">            Service Desk Unit 1</t>
  </si>
  <si>
    <t xml:space="preserve">Service Desk Unit 1</t>
  </si>
  <si>
    <t xml:space="preserve">                Service Desk Unit 1 - Team A</t>
  </si>
  <si>
    <t xml:space="preserve">Service Desk Unit 1 - Team A</t>
  </si>
  <si>
    <t xml:space="preserve">                    Service Desk Unit 1 - Team A / Section 1</t>
  </si>
  <si>
    <t xml:space="preserve">Service Desk Unit 1 - Team A / Section 1</t>
  </si>
  <si>
    <t xml:space="preserve">                    Service Desk Unit 1 - Team A / Section 2</t>
  </si>
  <si>
    <t xml:space="preserve">Service Desk Unit 1 - Team A / Section 2</t>
  </si>
  <si>
    <t xml:space="preserve">                Service Desk Unit 1 - Team B</t>
  </si>
  <si>
    <t xml:space="preserve">Service Desk Unit 1 - Team B</t>
  </si>
  <si>
    <t xml:space="preserve">                    Service Desk Unit 1 - Team B / Section 1</t>
  </si>
  <si>
    <t xml:space="preserve">Service Desk Unit 1 - Team B / Section 1</t>
  </si>
  <si>
    <t xml:space="preserve">                    Service Desk Unit 1 - Team B / Section 2</t>
  </si>
  <si>
    <t xml:space="preserve">Service Desk Unit 1 - Team B / Section 2</t>
  </si>
  <si>
    <t xml:space="preserve">            Service Desk Unit 2</t>
  </si>
  <si>
    <t xml:space="preserve">Service Desk Unit 2</t>
  </si>
  <si>
    <t xml:space="preserve">                Service Desk Unit 2 - Team A</t>
  </si>
  <si>
    <t xml:space="preserve">Service Desk Unit 2 - Team A</t>
  </si>
  <si>
    <t xml:space="preserve">                    Service Desk Unit 2 - Team A / Section 1</t>
  </si>
  <si>
    <t xml:space="preserve">Service Desk Unit 2 - Team A / Section 1</t>
  </si>
  <si>
    <t xml:space="preserve">                    Service Desk Unit 2 - Team A / Section 2</t>
  </si>
  <si>
    <t xml:space="preserve">Service Desk Unit 2 - Team A / Section 2</t>
  </si>
  <si>
    <t xml:space="preserve">                Service Desk Unit 2 - Team B</t>
  </si>
  <si>
    <t xml:space="preserve">Service Desk Unit 2 - Team B</t>
  </si>
  <si>
    <t xml:space="preserve">                    Service Desk Unit 2 - Team B / Section 1</t>
  </si>
  <si>
    <t xml:space="preserve">Service Desk Unit 2 - Team B / Section 1</t>
  </si>
  <si>
    <t xml:space="preserve">                    Service Desk Unit 2 - Team B / Section 2</t>
  </si>
  <si>
    <t xml:space="preserve">Service Desk Unit 2 - Team B / Section 2</t>
  </si>
  <si>
    <t xml:space="preserve">Each row counts what names it, and the group and division rows sum everything beneath them. Exits come from Capacity Direction on 2. Current capacity; asks come from 3. Capacity asks.</t>
  </si>
  <si>
    <t xml:space="preserve">Current capacity</t>
  </si>
  <si>
    <t xml:space="preserve">Every position you have today, already filled in. The columns that need you are career level, whether the seat is mandated Saudi, and what you intend to do with it in 2027.</t>
  </si>
  <si>
    <t xml:space="preserve">Mis Code</t>
  </si>
  <si>
    <t xml:space="preserve">Sub-Unit</t>
  </si>
  <si>
    <t xml:space="preserve">Job Title</t>
  </si>
  <si>
    <t xml:space="preserve">Career Level</t>
  </si>
  <si>
    <t xml:space="preserve">Job Family</t>
  </si>
  <si>
    <t xml:space="preserve">Nationality Mandate?</t>
  </si>
  <si>
    <t xml:space="preserve">Approved HC</t>
  </si>
  <si>
    <t xml:space="preserve">Worker type</t>
  </si>
  <si>
    <t xml:space="preserve">Capacity Direction</t>
  </si>
  <si>
    <t xml:space="preserve">Exits</t>
  </si>
  <si>
    <t xml:space="preserve">What's missing</t>
  </si>
  <si>
    <t xml:space="preserve">CC-1001</t>
  </si>
  <si>
    <t xml:space="preserve">Chief Technology Officer</t>
  </si>
  <si>
    <t xml:space="preserve">Executive</t>
  </si>
  <si>
    <t xml:space="preserve">Permanent</t>
  </si>
  <si>
    <t xml:space="preserve">CC-1033</t>
  </si>
  <si>
    <t xml:space="preserve">General Manager - Core Banking</t>
  </si>
  <si>
    <t xml:space="preserve">Leadership</t>
  </si>
  <si>
    <t xml:space="preserve">CC-1040</t>
  </si>
  <si>
    <t xml:space="preserve">Head of Core Banking Platform</t>
  </si>
  <si>
    <t xml:space="preserve">CC-1024</t>
  </si>
  <si>
    <t xml:space="preserve">Manager Core Banking Platform</t>
  </si>
  <si>
    <t xml:space="preserve">Management</t>
  </si>
  <si>
    <t xml:space="preserve">CC-1017</t>
  </si>
  <si>
    <t xml:space="preserve">Analyst Core Banking Platform</t>
  </si>
  <si>
    <t xml:space="preserve">Professional</t>
  </si>
  <si>
    <t xml:space="preserve">CC-1026</t>
  </si>
  <si>
    <t xml:space="preserve">CC-1003</t>
  </si>
  <si>
    <t xml:space="preserve">CC-1029</t>
  </si>
  <si>
    <t xml:space="preserve">Senior Analyst Core Banking Platform</t>
  </si>
  <si>
    <t xml:space="preserve">CC-1060</t>
  </si>
  <si>
    <t xml:space="preserve">CC-1014</t>
  </si>
  <si>
    <t xml:space="preserve">Specialist Core Banking Platform</t>
  </si>
  <si>
    <t xml:space="preserve">CC-1016</t>
  </si>
  <si>
    <t xml:space="preserve">CC-1011</t>
  </si>
  <si>
    <t xml:space="preserve">CC-1045</t>
  </si>
  <si>
    <t xml:space="preserve">Team Lead Core Banking Platform</t>
  </si>
  <si>
    <t xml:space="preserve">CC-1044</t>
  </si>
  <si>
    <t xml:space="preserve">Associate Core Banking Platform</t>
  </si>
  <si>
    <t xml:space="preserve">CC-1051</t>
  </si>
  <si>
    <t xml:space="preserve">CC-1055</t>
  </si>
  <si>
    <t xml:space="preserve">Senior Officer Core Banking Platform</t>
  </si>
  <si>
    <t xml:space="preserve">CC-1007</t>
  </si>
  <si>
    <t xml:space="preserve">CC-1050</t>
  </si>
  <si>
    <t xml:space="preserve">Insourced</t>
  </si>
  <si>
    <t xml:space="preserve">CC-1021</t>
  </si>
  <si>
    <t xml:space="preserve">Officer Core Banking Platform</t>
  </si>
  <si>
    <t xml:space="preserve">CC-1012</t>
  </si>
  <si>
    <t xml:space="preserve">CC-1013</t>
  </si>
  <si>
    <t xml:space="preserve">CC-1000</t>
  </si>
  <si>
    <t xml:space="preserve">CC-1035</t>
  </si>
  <si>
    <t xml:space="preserve">CC-1006</t>
  </si>
  <si>
    <t xml:space="preserve">CC-1019</t>
  </si>
  <si>
    <t xml:space="preserve">Head of Payments Systems</t>
  </si>
  <si>
    <t xml:space="preserve">Manager Payments Systems</t>
  </si>
  <si>
    <t xml:space="preserve">CC-1059</t>
  </si>
  <si>
    <t xml:space="preserve">Associate Payments Systems</t>
  </si>
  <si>
    <t xml:space="preserve">CC-1028</t>
  </si>
  <si>
    <t xml:space="preserve">Senior Officer Payments Systems</t>
  </si>
  <si>
    <t xml:space="preserve">CC-1032</t>
  </si>
  <si>
    <t xml:space="preserve">CC-1009</t>
  </si>
  <si>
    <t xml:space="preserve">Specialist Payments Systems</t>
  </si>
  <si>
    <t xml:space="preserve">Team Lead Payments Systems</t>
  </si>
  <si>
    <t xml:space="preserve">CC-1047</t>
  </si>
  <si>
    <t xml:space="preserve">Analyst Payments Systems</t>
  </si>
  <si>
    <t xml:space="preserve">CC-1020</t>
  </si>
  <si>
    <t xml:space="preserve">Officer Payments Systems</t>
  </si>
  <si>
    <t xml:space="preserve">Senior Analyst Payments Systems</t>
  </si>
  <si>
    <t xml:space="preserve">CC-1034</t>
  </si>
  <si>
    <t xml:space="preserve">CC-1053</t>
  </si>
  <si>
    <t xml:space="preserve">CC-1042</t>
  </si>
  <si>
    <t xml:space="preserve">CC-1005</t>
  </si>
  <si>
    <t xml:space="preserve">CC-1058</t>
  </si>
  <si>
    <t xml:space="preserve">CC-1023</t>
  </si>
  <si>
    <t xml:space="preserve">CC-1008</t>
  </si>
  <si>
    <t xml:space="preserve">CC-1043</t>
  </si>
  <si>
    <t xml:space="preserve">CC-1030</t>
  </si>
  <si>
    <t xml:space="preserve">General Manager - Cybersecurity</t>
  </si>
  <si>
    <t xml:space="preserve">Head of Identity &amp; Access</t>
  </si>
  <si>
    <t xml:space="preserve">CC-1041</t>
  </si>
  <si>
    <t xml:space="preserve">Manager Identity &amp; Access</t>
  </si>
  <si>
    <t xml:space="preserve">Associate Identity &amp; Access</t>
  </si>
  <si>
    <t xml:space="preserve">Officer Identity &amp; Access</t>
  </si>
  <si>
    <t xml:space="preserve">CC-1031</t>
  </si>
  <si>
    <t xml:space="preserve">Senior Analyst Identity &amp; Access</t>
  </si>
  <si>
    <t xml:space="preserve">Specialist Identity &amp; Access</t>
  </si>
  <si>
    <t xml:space="preserve">Team Lead Identity &amp; Access</t>
  </si>
  <si>
    <t xml:space="preserve">Analyst Identity &amp; Access</t>
  </si>
  <si>
    <t xml:space="preserve">CC-1022</t>
  </si>
  <si>
    <t xml:space="preserve">CC-1039</t>
  </si>
  <si>
    <t xml:space="preserve">CC-1025</t>
  </si>
  <si>
    <t xml:space="preserve">CC-1057</t>
  </si>
  <si>
    <t xml:space="preserve">Senior Officer Identity &amp; Access</t>
  </si>
  <si>
    <t xml:space="preserve">CC-1037</t>
  </si>
  <si>
    <t xml:space="preserve">CC-1048</t>
  </si>
  <si>
    <t xml:space="preserve">CC-1049</t>
  </si>
  <si>
    <t xml:space="preserve">CC-1010</t>
  </si>
  <si>
    <t xml:space="preserve">CC-1002</t>
  </si>
  <si>
    <t xml:space="preserve">CC-1046</t>
  </si>
  <si>
    <t xml:space="preserve">Head of Security Operations</t>
  </si>
  <si>
    <t xml:space="preserve">CC-1018</t>
  </si>
  <si>
    <t xml:space="preserve">Manager Security Operations</t>
  </si>
  <si>
    <t xml:space="preserve">Analyst Security Operations</t>
  </si>
  <si>
    <t xml:space="preserve">Officer Security Operations</t>
  </si>
  <si>
    <t xml:space="preserve">Senior Officer Security Operations</t>
  </si>
  <si>
    <t xml:space="preserve">Specialist Security Operations</t>
  </si>
  <si>
    <t xml:space="preserve">Team Lead Security Operations</t>
  </si>
  <si>
    <t xml:space="preserve">Associate Security Operations</t>
  </si>
  <si>
    <t xml:space="preserve">Senior Analyst Security Operations</t>
  </si>
  <si>
    <t xml:space="preserve">CC-1015</t>
  </si>
  <si>
    <t xml:space="preserve">CC-1036</t>
  </si>
  <si>
    <t xml:space="preserve">General Manager - Data &amp; Analytics</t>
  </si>
  <si>
    <t xml:space="preserve">Head of Business Intelligence</t>
  </si>
  <si>
    <t xml:space="preserve">Manager Business Intelligence</t>
  </si>
  <si>
    <t xml:space="preserve">Analyst Business Intelligence</t>
  </si>
  <si>
    <t xml:space="preserve">Associate Business Intelligence</t>
  </si>
  <si>
    <t xml:space="preserve">Officer Business Intelligence</t>
  </si>
  <si>
    <t xml:space="preserve">Senior Analyst Business Intelligence</t>
  </si>
  <si>
    <t xml:space="preserve">Senior Officer Business Intelligence</t>
  </si>
  <si>
    <t xml:space="preserve">Team Lead Business Intelligence</t>
  </si>
  <si>
    <t xml:space="preserve">Specialist Business Intelligence</t>
  </si>
  <si>
    <t xml:space="preserve">Head of Data Engineering</t>
  </si>
  <si>
    <t xml:space="preserve">Manager Data Engineering</t>
  </si>
  <si>
    <t xml:space="preserve">Associate Data Engineering</t>
  </si>
  <si>
    <t xml:space="preserve">Officer Data Engineering</t>
  </si>
  <si>
    <t xml:space="preserve">Senior Analyst Data Engineering</t>
  </si>
  <si>
    <t xml:space="preserve">CC-1052</t>
  </si>
  <si>
    <t xml:space="preserve">Senior Officer Data Engineering</t>
  </si>
  <si>
    <t xml:space="preserve">Specialist Data Engineering</t>
  </si>
  <si>
    <t xml:space="preserve">CC-1027</t>
  </si>
  <si>
    <t xml:space="preserve">Team Lead Data Engineering</t>
  </si>
  <si>
    <t xml:space="preserve">Analyst Data Engineering</t>
  </si>
  <si>
    <t xml:space="preserve">CC-1056</t>
  </si>
  <si>
    <t xml:space="preserve">CC-1038</t>
  </si>
  <si>
    <t xml:space="preserve">CC-1054</t>
  </si>
  <si>
    <t xml:space="preserve">General Manager - Digital Channels</t>
  </si>
  <si>
    <t xml:space="preserve">Head of Digital Onboarding</t>
  </si>
  <si>
    <t xml:space="preserve">Manager Digital Onboarding</t>
  </si>
  <si>
    <t xml:space="preserve">Associate Digital Onboarding</t>
  </si>
  <si>
    <t xml:space="preserve">Officer Digital Onboarding</t>
  </si>
  <si>
    <t xml:space="preserve">Specialist Digital Onboarding</t>
  </si>
  <si>
    <t xml:space="preserve">Team Lead Digital Onboarding</t>
  </si>
  <si>
    <t xml:space="preserve">Senior Officer Digital Onboarding</t>
  </si>
  <si>
    <t xml:space="preserve">Analyst Digital Onboarding</t>
  </si>
  <si>
    <t xml:space="preserve">Senior Analyst Digital Onboarding</t>
  </si>
  <si>
    <t xml:space="preserve">Head of Mobile &amp; Internet Banking</t>
  </si>
  <si>
    <t xml:space="preserve">Manager Mobile &amp; Internet Banking</t>
  </si>
  <si>
    <t xml:space="preserve">Associate Mobile &amp; Internet Banking</t>
  </si>
  <si>
    <t xml:space="preserve">Senior Analyst Mobile &amp; Internet Banking</t>
  </si>
  <si>
    <t xml:space="preserve">Senior Officer Mobile &amp; Internet Banking</t>
  </si>
  <si>
    <t xml:space="preserve">Specialist Mobile &amp; Internet Banking</t>
  </si>
  <si>
    <t xml:space="preserve">Team Lead Mobile &amp; Internet Banking</t>
  </si>
  <si>
    <t xml:space="preserve">Analyst Mobile &amp; Internet Banking</t>
  </si>
  <si>
    <t xml:space="preserve">Officer Mobile &amp; Internet Banking</t>
  </si>
  <si>
    <t xml:space="preserve">General Manager - Infrastructure</t>
  </si>
  <si>
    <t xml:space="preserve">Head of Infrastructure &amp; Cloud</t>
  </si>
  <si>
    <t xml:space="preserve">Manager Infrastructure &amp; Cloud</t>
  </si>
  <si>
    <t xml:space="preserve">Analyst Infrastructure &amp; Cloud</t>
  </si>
  <si>
    <t xml:space="preserve">Associate Infrastructure &amp; Cloud</t>
  </si>
  <si>
    <t xml:space="preserve">Officer Infrastructure &amp; Cloud</t>
  </si>
  <si>
    <t xml:space="preserve">Senior Officer Infrastructure &amp; Cloud</t>
  </si>
  <si>
    <t xml:space="preserve">Team Lead Infrastructure &amp; Cloud</t>
  </si>
  <si>
    <t xml:space="preserve">Senior Analyst Infrastructure &amp; Cloud</t>
  </si>
  <si>
    <t xml:space="preserve">Specialist Infrastructure &amp; Cloud</t>
  </si>
  <si>
    <t xml:space="preserve">Head of Service Desk</t>
  </si>
  <si>
    <t xml:space="preserve">Manager Service Desk</t>
  </si>
  <si>
    <t xml:space="preserve">Analyst Service Desk</t>
  </si>
  <si>
    <t xml:space="preserve">No ID At All</t>
  </si>
  <si>
    <t xml:space="preserve">Officer Service Desk</t>
  </si>
  <si>
    <t xml:space="preserve">Senior Analyst Service Desk</t>
  </si>
  <si>
    <t xml:space="preserve">Senior Officer Service Desk</t>
  </si>
  <si>
    <t xml:space="preserve">Team Lead Service Desk</t>
  </si>
  <si>
    <t xml:space="preserve">Specialist Service Desk</t>
  </si>
  <si>
    <t xml:space="preserve">Associate Service Desk</t>
  </si>
  <si>
    <t xml:space="preserve">Capacity asks</t>
  </si>
  <si>
    <t xml:space="preserve">One row per position you want in 2027. Put each one in the quarter you want it to start — the total adds itself up.</t>
  </si>
  <si>
    <t xml:space="preserve">Start quarter</t>
  </si>
  <si>
    <t xml:space="preserve">Ref</t>
  </si>
  <si>
    <t xml:space="preserve">Job title</t>
  </si>
  <si>
    <t xml:space="preserve">Current Capacity</t>
  </si>
  <si>
    <t xml:space="preserve">New Asks</t>
  </si>
  <si>
    <t xml:space="preserve">Q1</t>
  </si>
  <si>
    <t xml:space="preserve">Q2</t>
  </si>
  <si>
    <t xml:space="preserve">Q3</t>
  </si>
  <si>
    <t xml:space="preserve">Q4</t>
  </si>
  <si>
    <t xml:space="preserve">Category</t>
  </si>
  <si>
    <t xml:space="preserve">Driver</t>
  </si>
  <si>
    <t xml:space="preserve">Alternatives considered</t>
  </si>
  <si>
    <t xml:space="preserve">Issue no.</t>
  </si>
  <si>
    <t xml:space="preserve">My position</t>
  </si>
  <si>
    <t xml:space="preserve">Your headcount and your cost by division, and where they land against your envelopes. Nothing here is typed in.</t>
  </si>
  <si>
    <t xml:space="preserve">Headcount</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</si>
  <si>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</si>
  <si>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</si>
  <si>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</si>
  <si>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</si>
  <si>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</si>
  <si>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</si>
  <si>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</si>
  <si>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</si>
  <si>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</si>
  <si>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</si>
  <si>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</si>
  <si>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</si>
  <si>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</si>
  <si>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</si>
  <si>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</si>
  <si>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</si>
  <si>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</si>
  <si>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</si>
  <si>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</si>
  <si>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have marked Exit.</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</si>
  <si>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</si>
  <si>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</si>
  <si>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</si>
  <si>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</si>
  <si>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</si>
  <si>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</si>
  <si>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</si>
  <si>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</si>
  <si>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</si>
  <si>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</si>
  <si>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</si>
  <si>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</si>
  <si>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</si>
  <si>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</si>
  <si>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</si>
  <si>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</si>
  <si>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</si>
  <si>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</si>
  <si>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</si>
  <si>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</si>
  <si>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</si>
  <si>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</si>
  <si>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</si>
  <si>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</si>
  <si>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</si>
  <si>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</si>
  <si>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</si>
  <si>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</si>
  <si>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</si>
  <si>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</si>
  <si>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4. My position can be worked out and it reads as a dash.</t>
  </si>
  <si>
    <t xml:space="preserve">Positions with no capacity direction</t>
  </si>
  <si>
    <t xml:space="preserve">2. Current capacity. Say what you intend to do with each seat: Grow, Hold, Reduce or Exit.</t>
  </si>
  <si>
    <t xml:space="preserve">Ask rows with something missing</t>
  </si>
  <si>
    <t xml:space="preserve">3. Capacity asks lists what each row is missing in its last two columns.</t>
  </si>
  <si>
    <t xml:space="preserve">Ask rows with nothing in any quarter</t>
  </si>
  <si>
    <t xml:space="preserve">3. Capacity asks. Put the position in the quarter you want it to start.</t>
  </si>
  <si>
    <t xml:space="preserve">Ask rows naming a unit that is not in your structure</t>
  </si>
  <si>
    <t xml:space="preserve">3. Capacity asks. Pick the unit from the list — a unit that does not exist cannot be costed or consolidated.</t>
  </si>
  <si>
    <t xml:space="preserve">Worth a look — these do not block you</t>
  </si>
  <si>
    <t xml:space="preserve">Run-rate cost above your envelope</t>
  </si>
  <si>
    <t xml:space="preserve">Move start quarters later, mark more seats Exit, or say why the envelope has to move.</t>
  </si>
  <si>
    <t xml:space="preserve">Net establishment change above your envelope</t>
  </si>
  <si>
    <t xml:space="preserve">Convert, insource or exit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</si>
  <si>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</si>
  <si>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</si>
  <si>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</si>
  <si>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</si>
  <si>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</si>
  <si>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</si>
  <si>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</si>
  <si>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</si>
  <si>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</si>
  <si>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</si>
  <si>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</si>
  <si>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</si>
  <si>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</si>
  <si>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</si>
  <si>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</si>
  <si>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Technology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</si>
  <si>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</si>
  <si>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</si>
  <si>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</si>
  <si>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</si>
  <si>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</si>
  <si>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</si>
  <si>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</si>
  <si>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</si>
  <si>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</si>
  <si>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</si>
  <si>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</si>
  <si>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</si>
  <si>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</si>
  <si>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</si>
  <si>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</si>
  <si>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</si>
  <si>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</si>
  <si>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</si>
  <si>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</si>
  <si>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Career level</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</si>
  <si>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</si>
  <si>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</si>
  <si>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</si>
  <si>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</si>
  <si>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</si>
  <si>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</si>
  <si>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</si>
  <si>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</si>
  <si>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</si>
  <si>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</si>
  <si>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</si>
  <si>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</si>
  <si>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</si>
  <si>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</si>
  <si>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</si>
  <si>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</si>
  <si>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</si>
  <si>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</si>
  <si>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</si>
  <si>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</si>
  <si>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</si>
  <si>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</si>
  <si>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</si>
  <si>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</si>
  <si>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</si>
  <si>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</si>
  <si>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</si>
  <si>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</si>
  <si>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</si>
  <si>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</si>
  <si>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</si>
  <si>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</si>
  <si>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</si>
  <si>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</si>
  <si>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</si>
  <si>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</si>
  <si>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</si>
  <si>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LadderLevels</t>
  </si>
  <si>
    <t xml:space="preserve">YesNo</t>
  </si>
  <si>
    <t xml:space="preserve">CareerLevels</t>
  </si>
  <si>
    <t xml:space="preserve">JobFamilies</t>
  </si>
  <si>
    <t xml:space="preserve">Divisions</t>
  </si>
  <si>
    <t xml:space="preserve">Units</t>
  </si>
  <si>
    <t xml:space="preserve">Grow</t>
  </si>
  <si>
    <t xml:space="preserve">Yes</t>
  </si>
  <si>
    <t xml:space="preserve">Hold</t>
  </si>
  <si>
    <t xml:space="preserve">No</t>
  </si>
  <si>
    <t xml:space="preserve">Outsourced</t>
  </si>
  <si>
    <t xml:space="preserve">Reduce</t>
  </si>
  <si>
    <t xml:space="preserve">Exit</t>
  </si>
  <si>
    <t xml:space="preserve">What each capacity direction means</t>
  </si>
  <si>
    <t xml:space="preserve">More capacity needed here. The growth arrives as a row on the asks sheet.</t>
  </si>
  <si>
    <t xml:space="preserve">Stays as it is.</t>
  </si>
  <si>
    <t xml:space="preserve">Under review. The seat stays for now and is revisited mid-year.</t>
  </si>
  <si>
    <t xml:space="preserve">The seat lapses and comes out of the plan-year establishment.</t>
  </si>
</sst>
</file>

<file path=xl/styles.xml><?xml version="1.0" encoding="utf-8"?>
<styleSheet xmlns="http://schemas.openxmlformats.org/spreadsheetml/2006/main">
  <numFmts count="5">
    <numFmt numFmtId="164" formatCode="General"/>
    <numFmt numFmtId="165" formatCode="#,##0;\(#,##0\);\-"/>
    <numFmt numFmtId="166" formatCode="#,##0.0;\(#,##0.0\);\-"/>
    <numFmt numFmtId="167" formatCode="0.0%;\(0.0%\);\-"/>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8A5300"/>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position'!$A$36:$A$39</c:f>
              <c:strCache>
                <c:ptCount val="4"/>
                <c:pt idx="0">
                  <c:v>1. Regulatory</c:v>
                </c:pt>
                <c:pt idx="1">
                  <c:v>2. Strategic</c:v>
                </c:pt>
                <c:pt idx="2">
                  <c:v>3. Control</c:v>
                </c:pt>
                <c:pt idx="3">
                  <c:v>4. BAU</c:v>
                </c:pt>
              </c:strCache>
            </c:strRef>
          </c:cat>
          <c:val>
            <c:numRef>
              <c:f>'4. My position'!$C$36:$C$39</c:f>
              <c:numCache>
                <c:formatCode>#,##0;\(#,##0\);\-</c:formatCode>
                <c:ptCount val="4"/>
                <c:pt idx="0">
                  <c:v>0</c:v>
                </c:pt>
                <c:pt idx="1">
                  <c:v>0</c:v>
                </c:pt>
                <c:pt idx="2">
                  <c:v>0</c:v>
                </c:pt>
                <c:pt idx="3">
                  <c:v>0</c:v>
                </c:pt>
              </c:numCache>
            </c:numRef>
          </c:val>
        </c:ser>
        <c:gapWidth val="150"/>
        <c:overlap val="0"/>
        <c:axId val="57436237"/>
        <c:axId val="44526123"/>
      </c:barChart>
      <c:catAx>
        <c:axId val="57436237"/>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26123"/>
        <c:crosses val="autoZero"/>
        <c:auto val="1"/>
        <c:lblAlgn val="ctr"/>
        <c:lblOffset val="100"/>
        <c:noMultiLvlLbl val="0"/>
      </c:catAx>
      <c:valAx>
        <c:axId val="4452612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436237"/>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position'!$A$43:$A$46</c:f>
              <c:strCache>
                <c:ptCount val="4"/>
                <c:pt idx="0">
                  <c:v>Q1</c:v>
                </c:pt>
                <c:pt idx="1">
                  <c:v>Q2</c:v>
                </c:pt>
                <c:pt idx="2">
                  <c:v>Q3</c:v>
                </c:pt>
                <c:pt idx="3">
                  <c:v>Q4</c:v>
                </c:pt>
              </c:strCache>
            </c:strRef>
          </c:cat>
          <c:val>
            <c:numRef>
              <c:f>'4. My position'!$B$43:$B$46</c:f>
              <c:numCache>
                <c:formatCode>#,##0.0;\(#,##0.0\);\-</c:formatCode>
                <c:ptCount val="4"/>
                <c:pt idx="0">
                  <c:v>0</c:v>
                </c:pt>
                <c:pt idx="1">
                  <c:v>0</c:v>
                </c:pt>
                <c:pt idx="2">
                  <c:v>0</c:v>
                </c:pt>
                <c:pt idx="3">
                  <c:v>0</c:v>
                </c:pt>
              </c:numCache>
            </c:numRef>
          </c:val>
        </c:ser>
        <c:gapWidth val="150"/>
        <c:overlap val="0"/>
        <c:axId val="44401566"/>
        <c:axId val="87200588"/>
      </c:barChart>
      <c:catAx>
        <c:axId val="444015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200588"/>
        <c:crosses val="autoZero"/>
        <c:auto val="1"/>
        <c:lblAlgn val="ctr"/>
        <c:lblOffset val="100"/>
        <c:noMultiLvlLbl val="0"/>
      </c:catAx>
      <c:valAx>
        <c:axId val="8720058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4015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0</xdr:rowOff>
    </xdr:from>
    <xdr:to>
      <xdr:col>3</xdr:col>
      <xdr:colOff>247680</xdr:colOff>
      <xdr:row>63</xdr:row>
      <xdr:rowOff>21960</xdr:rowOff>
    </xdr:to>
    <xdr:graphicFrame>
      <xdr:nvGraphicFramePr>
        <xdr:cNvPr id="0" name="Chart 1"/>
        <xdr:cNvGraphicFramePr/>
      </xdr:nvGraphicFramePr>
      <xdr:xfrm>
        <a:off x="0" y="100677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48</xdr:row>
      <xdr:rowOff>0</xdr:rowOff>
    </xdr:from>
    <xdr:to>
      <xdr:col>6</xdr:col>
      <xdr:colOff>1652760</xdr:colOff>
      <xdr:row>63</xdr:row>
      <xdr:rowOff>21960</xdr:rowOff>
    </xdr:to>
    <xdr:graphicFrame>
      <xdr:nvGraphicFramePr>
        <xdr:cNvPr id="1" name="Chart 2"/>
        <xdr:cNvGraphicFramePr/>
      </xdr:nvGraphicFramePr>
      <xdr:xfrm>
        <a:off x="6756480" y="100677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1" customFormat="false" ht="15" hidden="false" customHeight="false" outlineLevel="0" collapsed="false">
      <c r="A11" s="6" t="s">
        <v>13</v>
      </c>
    </row>
    <row r="12" customFormat="false" ht="15" hidden="false" customHeight="false" outlineLevel="0" collapsed="false">
      <c r="A12" s="7" t="s">
        <v>14</v>
      </c>
      <c r="B12" s="8" t="s">
        <v>15</v>
      </c>
      <c r="C12" s="8"/>
      <c r="D12" s="8"/>
      <c r="E12" s="8"/>
      <c r="F12" s="8"/>
      <c r="G12" s="8"/>
    </row>
    <row r="13" customFormat="false" ht="15" hidden="false" customHeight="false" outlineLevel="0" collapsed="false">
      <c r="A13" s="9" t="s">
        <v>16</v>
      </c>
      <c r="B13" s="8" t="s">
        <v>17</v>
      </c>
      <c r="C13" s="8"/>
      <c r="D13" s="8"/>
      <c r="E13" s="8"/>
      <c r="F13" s="8"/>
      <c r="G13" s="8"/>
    </row>
    <row r="14" customFormat="false" ht="15" hidden="false" customHeight="false" outlineLevel="0" collapsed="false">
      <c r="A14" s="10" t="s">
        <v>18</v>
      </c>
      <c r="B14" s="8" t="s">
        <v>19</v>
      </c>
      <c r="C14" s="8"/>
      <c r="D14" s="8"/>
      <c r="E14" s="8"/>
      <c r="F14" s="8"/>
      <c r="G14" s="8"/>
    </row>
    <row r="16" customFormat="false" ht="15" hidden="false" customHeight="false" outlineLevel="0" collapsed="false">
      <c r="A16" s="3" t="s">
        <v>20</v>
      </c>
    </row>
    <row r="17" customFormat="false" ht="25.5" hidden="false" customHeight="true" outlineLevel="0" collapsed="false">
      <c r="A17" s="11" t="s">
        <v>21</v>
      </c>
      <c r="B17" s="11"/>
      <c r="C17" s="11"/>
      <c r="D17" s="11"/>
      <c r="E17" s="11"/>
      <c r="F17" s="11"/>
      <c r="G17" s="11"/>
      <c r="H17" s="11"/>
    </row>
    <row r="18" customFormat="false" ht="25.5" hidden="false" customHeight="true" outlineLevel="0" collapsed="false">
      <c r="A18" s="11" t="s">
        <v>22</v>
      </c>
      <c r="B18" s="11"/>
      <c r="C18" s="11"/>
      <c r="D18" s="11"/>
      <c r="E18" s="11"/>
      <c r="F18" s="11"/>
      <c r="G18" s="11"/>
      <c r="H18" s="11"/>
    </row>
    <row r="19" customFormat="false" ht="25.5" hidden="false" customHeight="true" outlineLevel="0" collapsed="false">
      <c r="A19" s="11" t="s">
        <v>23</v>
      </c>
      <c r="B19" s="11"/>
      <c r="C19" s="11"/>
      <c r="D19" s="11"/>
      <c r="E19" s="11"/>
      <c r="F19" s="11"/>
      <c r="G19" s="11"/>
      <c r="H19" s="11"/>
    </row>
  </sheetData>
  <sheetProtection sheet="true" sort="false" autoFilter="false"/>
  <mergeCells count="12">
    <mergeCell ref="A2:J2"/>
    <mergeCell ref="B5:H5"/>
    <mergeCell ref="B6:H6"/>
    <mergeCell ref="B7:H7"/>
    <mergeCell ref="B8:H8"/>
    <mergeCell ref="B9:H9"/>
    <mergeCell ref="B12:G12"/>
    <mergeCell ref="B13:G13"/>
    <mergeCell ref="B14:G14"/>
    <mergeCell ref="A17:H17"/>
    <mergeCell ref="A18:H18"/>
    <mergeCell ref="A19:H19"/>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5"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24</v>
      </c>
    </row>
    <row r="2" customFormat="false" ht="15" hidden="false" customHeight="false" outlineLevel="0" collapsed="false">
      <c r="A2" s="2" t="s">
        <v>25</v>
      </c>
      <c r="B2" s="2"/>
      <c r="C2" s="2"/>
      <c r="D2" s="2"/>
      <c r="E2" s="2"/>
      <c r="F2" s="2"/>
      <c r="G2" s="2"/>
      <c r="H2" s="2"/>
      <c r="I2" s="2"/>
      <c r="J2" s="2"/>
    </row>
    <row r="4" customFormat="false" ht="30" hidden="false" customHeight="true" outlineLevel="0" collapsed="false">
      <c r="A4" s="12" t="s">
        <v>26</v>
      </c>
      <c r="B4" s="12" t="s">
        <v>27</v>
      </c>
      <c r="C4" s="12" t="s">
        <v>28</v>
      </c>
      <c r="D4" s="12" t="s">
        <v>29</v>
      </c>
      <c r="E4" s="12" t="s">
        <v>30</v>
      </c>
      <c r="F4" s="12" t="s">
        <v>31</v>
      </c>
      <c r="G4" s="12" t="s">
        <v>32</v>
      </c>
      <c r="H4" s="12" t="s">
        <v>33</v>
      </c>
      <c r="I4" s="12" t="s">
        <v>34</v>
      </c>
      <c r="J4" s="12" t="s">
        <v>35</v>
      </c>
    </row>
    <row r="5" customFormat="false" ht="15" hidden="false" customHeight="false" outlineLevel="0" collapsed="false">
      <c r="A5" s="13" t="s">
        <v>36</v>
      </c>
      <c r="B5" s="14" t="s">
        <v>37</v>
      </c>
      <c r="C5" s="15" t="n">
        <v>362</v>
      </c>
      <c r="D5" s="15" t="n">
        <v>325</v>
      </c>
      <c r="E5" s="15" t="n">
        <v>37</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362</v>
      </c>
      <c r="I5" s="16" t="n">
        <f aca="false">$H5-$C5</f>
        <v>0</v>
      </c>
      <c r="J5" s="17" t="s">
        <v>37</v>
      </c>
    </row>
    <row r="6" customFormat="false" ht="15" hidden="false" customHeight="false" outlineLevel="1" collapsed="false">
      <c r="A6" s="13" t="s">
        <v>38</v>
      </c>
      <c r="B6" s="14" t="s">
        <v>39</v>
      </c>
      <c r="C6" s="15" t="n">
        <v>72</v>
      </c>
      <c r="D6" s="15" t="n">
        <v>67</v>
      </c>
      <c r="E6" s="15" t="n">
        <v>5</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72</v>
      </c>
      <c r="I6" s="16" t="n">
        <f aca="false">$H6-$C6</f>
        <v>0</v>
      </c>
      <c r="J6" s="17" t="s">
        <v>40</v>
      </c>
    </row>
    <row r="7" customFormat="false" ht="15" hidden="false" customHeight="false" outlineLevel="2" collapsed="false">
      <c r="A7" s="17" t="s">
        <v>41</v>
      </c>
      <c r="B7" s="18" t="s">
        <v>42</v>
      </c>
      <c r="C7" s="19" t="n">
        <v>35</v>
      </c>
      <c r="D7" s="19" t="n">
        <v>31</v>
      </c>
      <c r="E7" s="19" t="n">
        <v>4</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35</v>
      </c>
      <c r="I7" s="20" t="n">
        <f aca="false">$H7-$C7</f>
        <v>0</v>
      </c>
      <c r="J7" s="17" t="s">
        <v>43</v>
      </c>
    </row>
    <row r="8" customFormat="false" ht="15" hidden="false" customHeight="false" outlineLevel="3" collapsed="false">
      <c r="A8" s="17" t="s">
        <v>27</v>
      </c>
      <c r="B8" s="18" t="s">
        <v>44</v>
      </c>
      <c r="C8" s="19" t="n">
        <v>17</v>
      </c>
      <c r="D8" s="19" t="n">
        <v>15</v>
      </c>
      <c r="E8" s="19" t="n">
        <v>2</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17</v>
      </c>
      <c r="I8" s="20" t="n">
        <f aca="false">$H8-$C8</f>
        <v>0</v>
      </c>
      <c r="J8" s="17" t="s">
        <v>45</v>
      </c>
    </row>
    <row r="9" customFormat="false" ht="15" hidden="false" customHeight="false" outlineLevel="4" collapsed="false">
      <c r="A9" s="17" t="s">
        <v>46</v>
      </c>
      <c r="B9" s="18" t="s">
        <v>47</v>
      </c>
      <c r="C9" s="19" t="n">
        <v>9</v>
      </c>
      <c r="D9" s="19" t="n">
        <v>8</v>
      </c>
      <c r="E9" s="19" t="n">
        <v>1</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9</v>
      </c>
      <c r="I9" s="20" t="n">
        <f aca="false">$H9-$C9</f>
        <v>0</v>
      </c>
      <c r="J9" s="17" t="s">
        <v>48</v>
      </c>
    </row>
    <row r="10" customFormat="false" ht="15" hidden="false" customHeight="false" outlineLevel="5" collapsed="false">
      <c r="A10" s="17" t="s">
        <v>49</v>
      </c>
      <c r="B10" s="18" t="s">
        <v>50</v>
      </c>
      <c r="C10" s="19" t="n">
        <v>1</v>
      </c>
      <c r="D10" s="19" t="n">
        <v>1</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1</v>
      </c>
      <c r="I10" s="20" t="n">
        <f aca="false">$H10-$C10</f>
        <v>0</v>
      </c>
      <c r="J10" s="17" t="s">
        <v>51</v>
      </c>
    </row>
    <row r="11" customFormat="false" ht="15" hidden="false" customHeight="false" outlineLevel="5" collapsed="false">
      <c r="A11" s="17" t="s">
        <v>49</v>
      </c>
      <c r="B11" s="18" t="s">
        <v>52</v>
      </c>
      <c r="C11" s="19" t="n">
        <v>7</v>
      </c>
      <c r="D11" s="19" t="n">
        <v>6</v>
      </c>
      <c r="E11" s="19" t="n">
        <v>1</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7</v>
      </c>
      <c r="I11" s="20" t="n">
        <f aca="false">$H11-$C11</f>
        <v>0</v>
      </c>
      <c r="J11" s="17" t="s">
        <v>53</v>
      </c>
    </row>
    <row r="12" customFormat="false" ht="15" hidden="false" customHeight="false" outlineLevel="4" collapsed="false">
      <c r="A12" s="17" t="s">
        <v>46</v>
      </c>
      <c r="B12" s="18" t="s">
        <v>54</v>
      </c>
      <c r="C12" s="19" t="n">
        <v>7</v>
      </c>
      <c r="D12" s="19" t="n">
        <v>6</v>
      </c>
      <c r="E12" s="19" t="n">
        <v>1</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7</v>
      </c>
      <c r="I12" s="20" t="n">
        <f aca="false">$H12-$C12</f>
        <v>0</v>
      </c>
      <c r="J12" s="17" t="s">
        <v>55</v>
      </c>
    </row>
    <row r="13" customFormat="false" ht="15" hidden="false" customHeight="false" outlineLevel="5" collapsed="false">
      <c r="A13" s="17" t="s">
        <v>49</v>
      </c>
      <c r="B13" s="18" t="s">
        <v>56</v>
      </c>
      <c r="C13" s="19" t="n">
        <v>4</v>
      </c>
      <c r="D13" s="19" t="n">
        <v>3</v>
      </c>
      <c r="E13" s="19" t="n">
        <v>1</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4</v>
      </c>
      <c r="I13" s="20" t="n">
        <f aca="false">$H13-$C13</f>
        <v>0</v>
      </c>
      <c r="J13" s="17" t="s">
        <v>57</v>
      </c>
    </row>
    <row r="14" customFormat="false" ht="15" hidden="false" customHeight="false" outlineLevel="5" collapsed="false">
      <c r="A14" s="17" t="s">
        <v>49</v>
      </c>
      <c r="B14" s="18" t="s">
        <v>58</v>
      </c>
      <c r="C14" s="19" t="n">
        <v>2</v>
      </c>
      <c r="D14" s="19" t="n">
        <v>2</v>
      </c>
      <c r="E14" s="19" t="n">
        <v>0</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2</v>
      </c>
      <c r="I14" s="20" t="n">
        <f aca="false">$H14-$C14</f>
        <v>0</v>
      </c>
      <c r="J14" s="17" t="s">
        <v>59</v>
      </c>
    </row>
    <row r="15" customFormat="false" ht="15" hidden="false" customHeight="false" outlineLevel="3" collapsed="false">
      <c r="A15" s="17" t="s">
        <v>27</v>
      </c>
      <c r="B15" s="18" t="s">
        <v>60</v>
      </c>
      <c r="C15" s="19" t="n">
        <v>17</v>
      </c>
      <c r="D15" s="19" t="n">
        <v>15</v>
      </c>
      <c r="E15" s="19" t="n">
        <v>2</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17</v>
      </c>
      <c r="I15" s="20" t="n">
        <f aca="false">$H15-$C15</f>
        <v>0</v>
      </c>
      <c r="J15" s="17" t="s">
        <v>61</v>
      </c>
    </row>
    <row r="16" customFormat="false" ht="15" hidden="false" customHeight="false" outlineLevel="4" collapsed="false">
      <c r="A16" s="17" t="s">
        <v>46</v>
      </c>
      <c r="B16" s="18" t="s">
        <v>62</v>
      </c>
      <c r="C16" s="19" t="n">
        <v>7</v>
      </c>
      <c r="D16" s="19" t="n">
        <v>6</v>
      </c>
      <c r="E16" s="19" t="n">
        <v>1</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7</v>
      </c>
      <c r="I16" s="20" t="n">
        <f aca="false">$H16-$C16</f>
        <v>0</v>
      </c>
      <c r="J16" s="17" t="s">
        <v>63</v>
      </c>
    </row>
    <row r="17" customFormat="false" ht="15" hidden="false" customHeight="false" outlineLevel="5" collapsed="false">
      <c r="A17" s="17" t="s">
        <v>49</v>
      </c>
      <c r="B17" s="18" t="s">
        <v>64</v>
      </c>
      <c r="C17" s="19" t="n">
        <v>3</v>
      </c>
      <c r="D17" s="19" t="n">
        <v>2</v>
      </c>
      <c r="E17" s="19" t="n">
        <v>1</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3</v>
      </c>
      <c r="I17" s="20" t="n">
        <f aca="false">$H17-$C17</f>
        <v>0</v>
      </c>
      <c r="J17" s="17" t="s">
        <v>65</v>
      </c>
    </row>
    <row r="18" customFormat="false" ht="15" hidden="false" customHeight="false" outlineLevel="5" collapsed="false">
      <c r="A18" s="17" t="s">
        <v>49</v>
      </c>
      <c r="B18" s="18" t="s">
        <v>66</v>
      </c>
      <c r="C18" s="19" t="n">
        <v>3</v>
      </c>
      <c r="D18" s="19" t="n">
        <v>3</v>
      </c>
      <c r="E18" s="19" t="n">
        <v>0</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3</v>
      </c>
      <c r="I18" s="20" t="n">
        <f aca="false">$H18-$C18</f>
        <v>0</v>
      </c>
      <c r="J18" s="17" t="s">
        <v>67</v>
      </c>
    </row>
    <row r="19" customFormat="false" ht="15" hidden="false" customHeight="false" outlineLevel="4" collapsed="false">
      <c r="A19" s="17" t="s">
        <v>46</v>
      </c>
      <c r="B19" s="18" t="s">
        <v>68</v>
      </c>
      <c r="C19" s="19" t="n">
        <v>9</v>
      </c>
      <c r="D19" s="19" t="n">
        <v>8</v>
      </c>
      <c r="E19" s="19" t="n">
        <v>1</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9</v>
      </c>
      <c r="I19" s="20" t="n">
        <f aca="false">$H19-$C19</f>
        <v>0</v>
      </c>
      <c r="J19" s="17" t="s">
        <v>69</v>
      </c>
    </row>
    <row r="20" customFormat="false" ht="15" hidden="false" customHeight="false" outlineLevel="5" collapsed="false">
      <c r="A20" s="17" t="s">
        <v>49</v>
      </c>
      <c r="B20" s="18" t="s">
        <v>70</v>
      </c>
      <c r="C20" s="19" t="n">
        <v>4</v>
      </c>
      <c r="D20" s="19" t="n">
        <v>4</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4</v>
      </c>
      <c r="I20" s="20" t="n">
        <f aca="false">$H20-$C20</f>
        <v>0</v>
      </c>
      <c r="J20" s="17" t="s">
        <v>71</v>
      </c>
    </row>
    <row r="21" customFormat="false" ht="15" hidden="false" customHeight="false" outlineLevel="5" collapsed="false">
      <c r="A21" s="17" t="s">
        <v>49</v>
      </c>
      <c r="B21" s="18" t="s">
        <v>72</v>
      </c>
      <c r="C21" s="19" t="n">
        <v>4</v>
      </c>
      <c r="D21" s="19" t="n">
        <v>3</v>
      </c>
      <c r="E21" s="19" t="n">
        <v>1</v>
      </c>
      <c r="F21" s="20" t="n">
        <f aca="false">SUMIFS(SeatExits,SeatDivision,$J21)+SUMIFS(SeatExits,SeatDepartment,$J21)+SUMIFS(SeatExits,SeatUnit,$J21)+SUMIFS(SeatExits,SeatSubUnit,$J21)</f>
        <v>0</v>
      </c>
      <c r="G21" s="20" t="n">
        <f aca="false">SUMIFS(AskTotal,AskDivision,$J21)+SUMIFS(AskTotal,AskDepartment,$J21)+SUMIFS(AskTotal,AskUnit,$J21)+SUMIFS(AskTotal,AskSubUnit,$J21)</f>
        <v>0</v>
      </c>
      <c r="H21" s="20" t="n">
        <f aca="false">$C21-$F21+$G21</f>
        <v>4</v>
      </c>
      <c r="I21" s="20" t="n">
        <f aca="false">$H21-$C21</f>
        <v>0</v>
      </c>
      <c r="J21" s="17" t="s">
        <v>73</v>
      </c>
    </row>
    <row r="22" customFormat="false" ht="15" hidden="false" customHeight="false" outlineLevel="2" collapsed="false">
      <c r="A22" s="17" t="s">
        <v>41</v>
      </c>
      <c r="B22" s="18" t="s">
        <v>74</v>
      </c>
      <c r="C22" s="19" t="n">
        <v>36</v>
      </c>
      <c r="D22" s="19" t="n">
        <v>35</v>
      </c>
      <c r="E22" s="19" t="n">
        <v>1</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36</v>
      </c>
      <c r="I22" s="20" t="n">
        <f aca="false">$H22-$C22</f>
        <v>0</v>
      </c>
      <c r="J22" s="17" t="s">
        <v>75</v>
      </c>
    </row>
    <row r="23" customFormat="false" ht="15" hidden="false" customHeight="false" outlineLevel="3" collapsed="false">
      <c r="A23" s="17" t="s">
        <v>27</v>
      </c>
      <c r="B23" s="18" t="s">
        <v>76</v>
      </c>
      <c r="C23" s="19" t="n">
        <v>17</v>
      </c>
      <c r="D23" s="19" t="n">
        <v>16</v>
      </c>
      <c r="E23" s="19" t="n">
        <v>1</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17</v>
      </c>
      <c r="I23" s="20" t="n">
        <f aca="false">$H23-$C23</f>
        <v>0</v>
      </c>
      <c r="J23" s="17" t="s">
        <v>77</v>
      </c>
    </row>
    <row r="24" customFormat="false" ht="15" hidden="false" customHeight="false" outlineLevel="4" collapsed="false">
      <c r="A24" s="17" t="s">
        <v>46</v>
      </c>
      <c r="B24" s="18" t="s">
        <v>78</v>
      </c>
      <c r="C24" s="19" t="n">
        <v>6</v>
      </c>
      <c r="D24" s="19" t="n">
        <v>6</v>
      </c>
      <c r="E24" s="19" t="n">
        <v>0</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6</v>
      </c>
      <c r="I24" s="20" t="n">
        <f aca="false">$H24-$C24</f>
        <v>0</v>
      </c>
      <c r="J24" s="17" t="s">
        <v>79</v>
      </c>
    </row>
    <row r="25" customFormat="false" ht="15" hidden="false" customHeight="false" outlineLevel="5" collapsed="false">
      <c r="A25" s="17" t="s">
        <v>49</v>
      </c>
      <c r="B25" s="18" t="s">
        <v>80</v>
      </c>
      <c r="C25" s="19" t="n">
        <v>3</v>
      </c>
      <c r="D25" s="19" t="n">
        <v>3</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3</v>
      </c>
      <c r="I25" s="20" t="n">
        <f aca="false">$H25-$C25</f>
        <v>0</v>
      </c>
      <c r="J25" s="17" t="s">
        <v>81</v>
      </c>
    </row>
    <row r="26" customFormat="false" ht="15" hidden="false" customHeight="false" outlineLevel="5" collapsed="false">
      <c r="A26" s="17" t="s">
        <v>49</v>
      </c>
      <c r="B26" s="18" t="s">
        <v>82</v>
      </c>
      <c r="C26" s="19" t="n">
        <v>2</v>
      </c>
      <c r="D26" s="19" t="n">
        <v>2</v>
      </c>
      <c r="E26" s="19" t="n">
        <v>0</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2</v>
      </c>
      <c r="I26" s="20" t="n">
        <f aca="false">$H26-$C26</f>
        <v>0</v>
      </c>
      <c r="J26" s="17" t="s">
        <v>83</v>
      </c>
    </row>
    <row r="27" customFormat="false" ht="15" hidden="false" customHeight="false" outlineLevel="4" collapsed="false">
      <c r="A27" s="17" t="s">
        <v>46</v>
      </c>
      <c r="B27" s="18" t="s">
        <v>84</v>
      </c>
      <c r="C27" s="19" t="n">
        <v>10</v>
      </c>
      <c r="D27" s="19" t="n">
        <v>9</v>
      </c>
      <c r="E27" s="19" t="n">
        <v>1</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10</v>
      </c>
      <c r="I27" s="20" t="n">
        <f aca="false">$H27-$C27</f>
        <v>0</v>
      </c>
      <c r="J27" s="17" t="s">
        <v>85</v>
      </c>
    </row>
    <row r="28" customFormat="false" ht="15" hidden="false" customHeight="false" outlineLevel="5" collapsed="false">
      <c r="A28" s="17" t="s">
        <v>49</v>
      </c>
      <c r="B28" s="18" t="s">
        <v>86</v>
      </c>
      <c r="C28" s="19" t="n">
        <v>2</v>
      </c>
      <c r="D28" s="19" t="n">
        <v>1</v>
      </c>
      <c r="E28" s="19" t="n">
        <v>1</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2</v>
      </c>
      <c r="I28" s="20" t="n">
        <f aca="false">$H28-$C28</f>
        <v>0</v>
      </c>
      <c r="J28" s="17" t="s">
        <v>87</v>
      </c>
    </row>
    <row r="29" customFormat="false" ht="15" hidden="false" customHeight="false" outlineLevel="5" collapsed="false">
      <c r="A29" s="17" t="s">
        <v>49</v>
      </c>
      <c r="B29" s="18" t="s">
        <v>88</v>
      </c>
      <c r="C29" s="19" t="n">
        <v>7</v>
      </c>
      <c r="D29" s="19" t="n">
        <v>7</v>
      </c>
      <c r="E29" s="19" t="n">
        <v>0</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7</v>
      </c>
      <c r="I29" s="20" t="n">
        <f aca="false">$H29-$C29</f>
        <v>0</v>
      </c>
      <c r="J29" s="17" t="s">
        <v>89</v>
      </c>
    </row>
    <row r="30" customFormat="false" ht="15" hidden="false" customHeight="false" outlineLevel="3" collapsed="false">
      <c r="A30" s="17" t="s">
        <v>27</v>
      </c>
      <c r="B30" s="18" t="s">
        <v>90</v>
      </c>
      <c r="C30" s="19" t="n">
        <v>18</v>
      </c>
      <c r="D30" s="19" t="n">
        <v>18</v>
      </c>
      <c r="E30" s="19" t="n">
        <v>0</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18</v>
      </c>
      <c r="I30" s="20" t="n">
        <f aca="false">$H30-$C30</f>
        <v>0</v>
      </c>
      <c r="J30" s="17" t="s">
        <v>91</v>
      </c>
    </row>
    <row r="31" customFormat="false" ht="15" hidden="false" customHeight="false" outlineLevel="4" collapsed="false">
      <c r="A31" s="17" t="s">
        <v>46</v>
      </c>
      <c r="B31" s="18" t="s">
        <v>92</v>
      </c>
      <c r="C31" s="19" t="n">
        <v>10</v>
      </c>
      <c r="D31" s="19" t="n">
        <v>10</v>
      </c>
      <c r="E31" s="19" t="n">
        <v>0</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10</v>
      </c>
      <c r="I31" s="20" t="n">
        <f aca="false">$H31-$C31</f>
        <v>0</v>
      </c>
      <c r="J31" s="17" t="s">
        <v>93</v>
      </c>
    </row>
    <row r="32" customFormat="false" ht="15" hidden="false" customHeight="false" outlineLevel="5" collapsed="false">
      <c r="A32" s="17" t="s">
        <v>49</v>
      </c>
      <c r="B32" s="18" t="s">
        <v>94</v>
      </c>
      <c r="C32" s="19" t="n">
        <v>3</v>
      </c>
      <c r="D32" s="19" t="n">
        <v>3</v>
      </c>
      <c r="E32" s="19" t="n">
        <v>0</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3</v>
      </c>
      <c r="I32" s="20" t="n">
        <f aca="false">$H32-$C32</f>
        <v>0</v>
      </c>
      <c r="J32" s="17" t="s">
        <v>95</v>
      </c>
    </row>
    <row r="33" customFormat="false" ht="15" hidden="false" customHeight="false" outlineLevel="5" collapsed="false">
      <c r="A33" s="17" t="s">
        <v>49</v>
      </c>
      <c r="B33" s="18" t="s">
        <v>96</v>
      </c>
      <c r="C33" s="19" t="n">
        <v>6</v>
      </c>
      <c r="D33" s="19" t="n">
        <v>6</v>
      </c>
      <c r="E33" s="19" t="n">
        <v>0</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6</v>
      </c>
      <c r="I33" s="20" t="n">
        <f aca="false">$H33-$C33</f>
        <v>0</v>
      </c>
      <c r="J33" s="17" t="s">
        <v>97</v>
      </c>
    </row>
    <row r="34" customFormat="false" ht="15" hidden="false" customHeight="false" outlineLevel="4" collapsed="false">
      <c r="A34" s="17" t="s">
        <v>46</v>
      </c>
      <c r="B34" s="18" t="s">
        <v>98</v>
      </c>
      <c r="C34" s="19" t="n">
        <v>7</v>
      </c>
      <c r="D34" s="19" t="n">
        <v>7</v>
      </c>
      <c r="E34" s="19" t="n">
        <v>0</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7</v>
      </c>
      <c r="I34" s="20" t="n">
        <f aca="false">$H34-$C34</f>
        <v>0</v>
      </c>
      <c r="J34" s="17" t="s">
        <v>99</v>
      </c>
    </row>
    <row r="35" customFormat="false" ht="15" hidden="false" customHeight="false" outlineLevel="5" collapsed="false">
      <c r="A35" s="17" t="s">
        <v>49</v>
      </c>
      <c r="B35" s="18" t="s">
        <v>100</v>
      </c>
      <c r="C35" s="19" t="n">
        <v>2</v>
      </c>
      <c r="D35" s="19" t="n">
        <v>2</v>
      </c>
      <c r="E35" s="19" t="n">
        <v>0</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2</v>
      </c>
      <c r="I35" s="20" t="n">
        <f aca="false">$H35-$C35</f>
        <v>0</v>
      </c>
      <c r="J35" s="17" t="s">
        <v>101</v>
      </c>
    </row>
    <row r="36" customFormat="false" ht="15" hidden="false" customHeight="false" outlineLevel="5" collapsed="false">
      <c r="A36" s="17" t="s">
        <v>49</v>
      </c>
      <c r="B36" s="18" t="s">
        <v>102</v>
      </c>
      <c r="C36" s="19" t="n">
        <v>4</v>
      </c>
      <c r="D36" s="19" t="n">
        <v>4</v>
      </c>
      <c r="E36" s="19" t="n">
        <v>0</v>
      </c>
      <c r="F36" s="20" t="n">
        <f aca="false">SUMIFS(SeatExits,SeatDivision,$J36)+SUMIFS(SeatExits,SeatDepartment,$J36)+SUMIFS(SeatExits,SeatUnit,$J36)+SUMIFS(SeatExits,SeatSubUnit,$J36)</f>
        <v>0</v>
      </c>
      <c r="G36" s="20" t="n">
        <f aca="false">SUMIFS(AskTotal,AskDivision,$J36)+SUMIFS(AskTotal,AskDepartment,$J36)+SUMIFS(AskTotal,AskUnit,$J36)+SUMIFS(AskTotal,AskSubUnit,$J36)</f>
        <v>0</v>
      </c>
      <c r="H36" s="20" t="n">
        <f aca="false">$C36-$F36+$G36</f>
        <v>4</v>
      </c>
      <c r="I36" s="20" t="n">
        <f aca="false">$H36-$C36</f>
        <v>0</v>
      </c>
      <c r="J36" s="17" t="s">
        <v>103</v>
      </c>
    </row>
    <row r="37" customFormat="false" ht="15" hidden="false" customHeight="false" outlineLevel="1" collapsed="false">
      <c r="A37" s="13" t="s">
        <v>38</v>
      </c>
      <c r="B37" s="14" t="s">
        <v>104</v>
      </c>
      <c r="C37" s="15" t="n">
        <v>72</v>
      </c>
      <c r="D37" s="15" t="n">
        <v>66</v>
      </c>
      <c r="E37" s="15" t="n">
        <v>6</v>
      </c>
      <c r="F37" s="16" t="n">
        <f aca="false">SUMIFS(SeatExits,SeatDivision,$J37)+SUMIFS(SeatExits,SeatDepartment,$J37)+SUMIFS(SeatExits,SeatUnit,$J37)+SUMIFS(SeatExits,SeatSubUnit,$J37)</f>
        <v>0</v>
      </c>
      <c r="G37" s="16" t="n">
        <f aca="false">SUMIFS(AskTotal,AskDivision,$J37)+SUMIFS(AskTotal,AskDepartment,$J37)+SUMIFS(AskTotal,AskUnit,$J37)+SUMIFS(AskTotal,AskSubUnit,$J37)</f>
        <v>0</v>
      </c>
      <c r="H37" s="16" t="n">
        <f aca="false">$C37-$F37+$G37</f>
        <v>72</v>
      </c>
      <c r="I37" s="16" t="n">
        <f aca="false">$H37-$C37</f>
        <v>0</v>
      </c>
      <c r="J37" s="17" t="s">
        <v>105</v>
      </c>
    </row>
    <row r="38" customFormat="false" ht="15" hidden="false" customHeight="false" outlineLevel="2" collapsed="false">
      <c r="A38" s="17" t="s">
        <v>41</v>
      </c>
      <c r="B38" s="18" t="s">
        <v>106</v>
      </c>
      <c r="C38" s="19" t="n">
        <v>35</v>
      </c>
      <c r="D38" s="19" t="n">
        <v>31</v>
      </c>
      <c r="E38" s="19" t="n">
        <v>4</v>
      </c>
      <c r="F38" s="20" t="n">
        <f aca="false">SUMIFS(SeatExits,SeatDivision,$J38)+SUMIFS(SeatExits,SeatDepartment,$J38)+SUMIFS(SeatExits,SeatUnit,$J38)+SUMIFS(SeatExits,SeatSubUnit,$J38)</f>
        <v>0</v>
      </c>
      <c r="G38" s="20" t="n">
        <f aca="false">SUMIFS(AskTotal,AskDivision,$J38)+SUMIFS(AskTotal,AskDepartment,$J38)+SUMIFS(AskTotal,AskUnit,$J38)+SUMIFS(AskTotal,AskSubUnit,$J38)</f>
        <v>0</v>
      </c>
      <c r="H38" s="20" t="n">
        <f aca="false">$C38-$F38+$G38</f>
        <v>35</v>
      </c>
      <c r="I38" s="20" t="n">
        <f aca="false">$H38-$C38</f>
        <v>0</v>
      </c>
      <c r="J38" s="17" t="s">
        <v>107</v>
      </c>
    </row>
    <row r="39" customFormat="false" ht="15" hidden="false" customHeight="false" outlineLevel="3" collapsed="false">
      <c r="A39" s="17" t="s">
        <v>27</v>
      </c>
      <c r="B39" s="18" t="s">
        <v>108</v>
      </c>
      <c r="C39" s="19" t="n">
        <v>16</v>
      </c>
      <c r="D39" s="19" t="n">
        <v>13</v>
      </c>
      <c r="E39" s="19" t="n">
        <v>3</v>
      </c>
      <c r="F39" s="20" t="n">
        <f aca="false">SUMIFS(SeatExits,SeatDivision,$J39)+SUMIFS(SeatExits,SeatDepartment,$J39)+SUMIFS(SeatExits,SeatUnit,$J39)+SUMIFS(SeatExits,SeatSubUnit,$J39)</f>
        <v>0</v>
      </c>
      <c r="G39" s="20" t="n">
        <f aca="false">SUMIFS(AskTotal,AskDivision,$J39)+SUMIFS(AskTotal,AskDepartment,$J39)+SUMIFS(AskTotal,AskUnit,$J39)+SUMIFS(AskTotal,AskSubUnit,$J39)</f>
        <v>0</v>
      </c>
      <c r="H39" s="20" t="n">
        <f aca="false">$C39-$F39+$G39</f>
        <v>16</v>
      </c>
      <c r="I39" s="20" t="n">
        <f aca="false">$H39-$C39</f>
        <v>0</v>
      </c>
      <c r="J39" s="17" t="s">
        <v>109</v>
      </c>
    </row>
    <row r="40" customFormat="false" ht="15" hidden="false" customHeight="false" outlineLevel="4" collapsed="false">
      <c r="A40" s="17" t="s">
        <v>46</v>
      </c>
      <c r="B40" s="18" t="s">
        <v>110</v>
      </c>
      <c r="C40" s="19" t="n">
        <v>9</v>
      </c>
      <c r="D40" s="19" t="n">
        <v>7</v>
      </c>
      <c r="E40" s="19" t="n">
        <v>2</v>
      </c>
      <c r="F40" s="20" t="n">
        <f aca="false">SUMIFS(SeatExits,SeatDivision,$J40)+SUMIFS(SeatExits,SeatDepartment,$J40)+SUMIFS(SeatExits,SeatUnit,$J40)+SUMIFS(SeatExits,SeatSubUnit,$J40)</f>
        <v>0</v>
      </c>
      <c r="G40" s="20" t="n">
        <f aca="false">SUMIFS(AskTotal,AskDivision,$J40)+SUMIFS(AskTotal,AskDepartment,$J40)+SUMIFS(AskTotal,AskUnit,$J40)+SUMIFS(AskTotal,AskSubUnit,$J40)</f>
        <v>0</v>
      </c>
      <c r="H40" s="20" t="n">
        <f aca="false">$C40-$F40+$G40</f>
        <v>9</v>
      </c>
      <c r="I40" s="20" t="n">
        <f aca="false">$H40-$C40</f>
        <v>0</v>
      </c>
      <c r="J40" s="17" t="s">
        <v>111</v>
      </c>
    </row>
    <row r="41" customFormat="false" ht="15" hidden="false" customHeight="false" outlineLevel="5" collapsed="false">
      <c r="A41" s="17" t="s">
        <v>49</v>
      </c>
      <c r="B41" s="18" t="s">
        <v>112</v>
      </c>
      <c r="C41" s="19" t="n">
        <v>8</v>
      </c>
      <c r="D41" s="19" t="n">
        <v>6</v>
      </c>
      <c r="E41" s="19" t="n">
        <v>2</v>
      </c>
      <c r="F41" s="20" t="n">
        <f aca="false">SUMIFS(SeatExits,SeatDivision,$J41)+SUMIFS(SeatExits,SeatDepartment,$J41)+SUMIFS(SeatExits,SeatUnit,$J41)+SUMIFS(SeatExits,SeatSubUnit,$J41)</f>
        <v>0</v>
      </c>
      <c r="G41" s="20" t="n">
        <f aca="false">SUMIFS(AskTotal,AskDivision,$J41)+SUMIFS(AskTotal,AskDepartment,$J41)+SUMIFS(AskTotal,AskUnit,$J41)+SUMIFS(AskTotal,AskSubUnit,$J41)</f>
        <v>0</v>
      </c>
      <c r="H41" s="20" t="n">
        <f aca="false">$C41-$F41+$G41</f>
        <v>8</v>
      </c>
      <c r="I41" s="20" t="n">
        <f aca="false">$H41-$C41</f>
        <v>0</v>
      </c>
      <c r="J41" s="17" t="s">
        <v>113</v>
      </c>
    </row>
    <row r="42" customFormat="false" ht="15" hidden="false" customHeight="false" outlineLevel="4" collapsed="false">
      <c r="A42" s="17" t="s">
        <v>46</v>
      </c>
      <c r="B42" s="18" t="s">
        <v>114</v>
      </c>
      <c r="C42" s="19" t="n">
        <v>6</v>
      </c>
      <c r="D42" s="19" t="n">
        <v>5</v>
      </c>
      <c r="E42" s="19" t="n">
        <v>1</v>
      </c>
      <c r="F42" s="20" t="n">
        <f aca="false">SUMIFS(SeatExits,SeatDivision,$J42)+SUMIFS(SeatExits,SeatDepartment,$J42)+SUMIFS(SeatExits,SeatUnit,$J42)+SUMIFS(SeatExits,SeatSubUnit,$J42)</f>
        <v>0</v>
      </c>
      <c r="G42" s="20" t="n">
        <f aca="false">SUMIFS(AskTotal,AskDivision,$J42)+SUMIFS(AskTotal,AskDepartment,$J42)+SUMIFS(AskTotal,AskUnit,$J42)+SUMIFS(AskTotal,AskSubUnit,$J42)</f>
        <v>0</v>
      </c>
      <c r="H42" s="20" t="n">
        <f aca="false">$C42-$F42+$G42</f>
        <v>6</v>
      </c>
      <c r="I42" s="20" t="n">
        <f aca="false">$H42-$C42</f>
        <v>0</v>
      </c>
      <c r="J42" s="17" t="s">
        <v>115</v>
      </c>
    </row>
    <row r="43" customFormat="false" ht="15" hidden="false" customHeight="false" outlineLevel="5" collapsed="false">
      <c r="A43" s="17" t="s">
        <v>49</v>
      </c>
      <c r="B43" s="18" t="s">
        <v>116</v>
      </c>
      <c r="C43" s="19" t="n">
        <v>4</v>
      </c>
      <c r="D43" s="19" t="n">
        <v>3</v>
      </c>
      <c r="E43" s="19" t="n">
        <v>1</v>
      </c>
      <c r="F43" s="20" t="n">
        <f aca="false">SUMIFS(SeatExits,SeatDivision,$J43)+SUMIFS(SeatExits,SeatDepartment,$J43)+SUMIFS(SeatExits,SeatUnit,$J43)+SUMIFS(SeatExits,SeatSubUnit,$J43)</f>
        <v>0</v>
      </c>
      <c r="G43" s="20" t="n">
        <f aca="false">SUMIFS(AskTotal,AskDivision,$J43)+SUMIFS(AskTotal,AskDepartment,$J43)+SUMIFS(AskTotal,AskUnit,$J43)+SUMIFS(AskTotal,AskSubUnit,$J43)</f>
        <v>0</v>
      </c>
      <c r="H43" s="20" t="n">
        <f aca="false">$C43-$F43+$G43</f>
        <v>4</v>
      </c>
      <c r="I43" s="20" t="n">
        <f aca="false">$H43-$C43</f>
        <v>0</v>
      </c>
      <c r="J43" s="17" t="s">
        <v>117</v>
      </c>
    </row>
    <row r="44" customFormat="false" ht="15" hidden="false" customHeight="false" outlineLevel="5" collapsed="false">
      <c r="A44" s="17" t="s">
        <v>49</v>
      </c>
      <c r="B44" s="18" t="s">
        <v>118</v>
      </c>
      <c r="C44" s="19" t="n">
        <v>1</v>
      </c>
      <c r="D44" s="19" t="n">
        <v>1</v>
      </c>
      <c r="E44" s="19" t="n">
        <v>0</v>
      </c>
      <c r="F44" s="20" t="n">
        <f aca="false">SUMIFS(SeatExits,SeatDivision,$J44)+SUMIFS(SeatExits,SeatDepartment,$J44)+SUMIFS(SeatExits,SeatUnit,$J44)+SUMIFS(SeatExits,SeatSubUnit,$J44)</f>
        <v>0</v>
      </c>
      <c r="G44" s="20" t="n">
        <f aca="false">SUMIFS(AskTotal,AskDivision,$J44)+SUMIFS(AskTotal,AskDepartment,$J44)+SUMIFS(AskTotal,AskUnit,$J44)+SUMIFS(AskTotal,AskSubUnit,$J44)</f>
        <v>0</v>
      </c>
      <c r="H44" s="20" t="n">
        <f aca="false">$C44-$F44+$G44</f>
        <v>1</v>
      </c>
      <c r="I44" s="20" t="n">
        <f aca="false">$H44-$C44</f>
        <v>0</v>
      </c>
      <c r="J44" s="17" t="s">
        <v>119</v>
      </c>
    </row>
    <row r="45" customFormat="false" ht="15" hidden="false" customHeight="false" outlineLevel="3" collapsed="false">
      <c r="A45" s="17" t="s">
        <v>27</v>
      </c>
      <c r="B45" s="18" t="s">
        <v>120</v>
      </c>
      <c r="C45" s="19" t="n">
        <v>18</v>
      </c>
      <c r="D45" s="19" t="n">
        <v>17</v>
      </c>
      <c r="E45" s="19" t="n">
        <v>1</v>
      </c>
      <c r="F45" s="20" t="n">
        <f aca="false">SUMIFS(SeatExits,SeatDivision,$J45)+SUMIFS(SeatExits,SeatDepartment,$J45)+SUMIFS(SeatExits,SeatUnit,$J45)+SUMIFS(SeatExits,SeatSubUnit,$J45)</f>
        <v>0</v>
      </c>
      <c r="G45" s="20" t="n">
        <f aca="false">SUMIFS(AskTotal,AskDivision,$J45)+SUMIFS(AskTotal,AskDepartment,$J45)+SUMIFS(AskTotal,AskUnit,$J45)+SUMIFS(AskTotal,AskSubUnit,$J45)</f>
        <v>0</v>
      </c>
      <c r="H45" s="20" t="n">
        <f aca="false">$C45-$F45+$G45</f>
        <v>18</v>
      </c>
      <c r="I45" s="20" t="n">
        <f aca="false">$H45-$C45</f>
        <v>0</v>
      </c>
      <c r="J45" s="17" t="s">
        <v>121</v>
      </c>
    </row>
    <row r="46" customFormat="false" ht="15" hidden="false" customHeight="false" outlineLevel="4" collapsed="false">
      <c r="A46" s="17" t="s">
        <v>46</v>
      </c>
      <c r="B46" s="18" t="s">
        <v>122</v>
      </c>
      <c r="C46" s="19" t="n">
        <v>10</v>
      </c>
      <c r="D46" s="19" t="n">
        <v>9</v>
      </c>
      <c r="E46" s="19" t="n">
        <v>1</v>
      </c>
      <c r="F46" s="20" t="n">
        <f aca="false">SUMIFS(SeatExits,SeatDivision,$J46)+SUMIFS(SeatExits,SeatDepartment,$J46)+SUMIFS(SeatExits,SeatUnit,$J46)+SUMIFS(SeatExits,SeatSubUnit,$J46)</f>
        <v>0</v>
      </c>
      <c r="G46" s="20" t="n">
        <f aca="false">SUMIFS(AskTotal,AskDivision,$J46)+SUMIFS(AskTotal,AskDepartment,$J46)+SUMIFS(AskTotal,AskUnit,$J46)+SUMIFS(AskTotal,AskSubUnit,$J46)</f>
        <v>0</v>
      </c>
      <c r="H46" s="20" t="n">
        <f aca="false">$C46-$F46+$G46</f>
        <v>10</v>
      </c>
      <c r="I46" s="20" t="n">
        <f aca="false">$H46-$C46</f>
        <v>0</v>
      </c>
      <c r="J46" s="17" t="s">
        <v>123</v>
      </c>
    </row>
    <row r="47" customFormat="false" ht="15" hidden="false" customHeight="false" outlineLevel="5" collapsed="false">
      <c r="A47" s="17" t="s">
        <v>49</v>
      </c>
      <c r="B47" s="18" t="s">
        <v>124</v>
      </c>
      <c r="C47" s="19" t="n">
        <v>6</v>
      </c>
      <c r="D47" s="19" t="n">
        <v>5</v>
      </c>
      <c r="E47" s="19" t="n">
        <v>1</v>
      </c>
      <c r="F47" s="20" t="n">
        <f aca="false">SUMIFS(SeatExits,SeatDivision,$J47)+SUMIFS(SeatExits,SeatDepartment,$J47)+SUMIFS(SeatExits,SeatUnit,$J47)+SUMIFS(SeatExits,SeatSubUnit,$J47)</f>
        <v>0</v>
      </c>
      <c r="G47" s="20" t="n">
        <f aca="false">SUMIFS(AskTotal,AskDivision,$J47)+SUMIFS(AskTotal,AskDepartment,$J47)+SUMIFS(AskTotal,AskUnit,$J47)+SUMIFS(AskTotal,AskSubUnit,$J47)</f>
        <v>0</v>
      </c>
      <c r="H47" s="20" t="n">
        <f aca="false">$C47-$F47+$G47</f>
        <v>6</v>
      </c>
      <c r="I47" s="20" t="n">
        <f aca="false">$H47-$C47</f>
        <v>0</v>
      </c>
      <c r="J47" s="17" t="s">
        <v>125</v>
      </c>
    </row>
    <row r="48" customFormat="false" ht="15" hidden="false" customHeight="false" outlineLevel="5" collapsed="false">
      <c r="A48" s="17" t="s">
        <v>49</v>
      </c>
      <c r="B48" s="18" t="s">
        <v>126</v>
      </c>
      <c r="C48" s="19" t="n">
        <v>3</v>
      </c>
      <c r="D48" s="19" t="n">
        <v>3</v>
      </c>
      <c r="E48" s="19" t="n">
        <v>0</v>
      </c>
      <c r="F48" s="20" t="n">
        <f aca="false">SUMIFS(SeatExits,SeatDivision,$J48)+SUMIFS(SeatExits,SeatDepartment,$J48)+SUMIFS(SeatExits,SeatUnit,$J48)+SUMIFS(SeatExits,SeatSubUnit,$J48)</f>
        <v>0</v>
      </c>
      <c r="G48" s="20" t="n">
        <f aca="false">SUMIFS(AskTotal,AskDivision,$J48)+SUMIFS(AskTotal,AskDepartment,$J48)+SUMIFS(AskTotal,AskUnit,$J48)+SUMIFS(AskTotal,AskSubUnit,$J48)</f>
        <v>0</v>
      </c>
      <c r="H48" s="20" t="n">
        <f aca="false">$C48-$F48+$G48</f>
        <v>3</v>
      </c>
      <c r="I48" s="20" t="n">
        <f aca="false">$H48-$C48</f>
        <v>0</v>
      </c>
      <c r="J48" s="17" t="s">
        <v>127</v>
      </c>
    </row>
    <row r="49" customFormat="false" ht="15" hidden="false" customHeight="false" outlineLevel="4" collapsed="false">
      <c r="A49" s="17" t="s">
        <v>46</v>
      </c>
      <c r="B49" s="18" t="s">
        <v>128</v>
      </c>
      <c r="C49" s="19" t="n">
        <v>7</v>
      </c>
      <c r="D49" s="19" t="n">
        <v>7</v>
      </c>
      <c r="E49" s="19" t="n">
        <v>0</v>
      </c>
      <c r="F49" s="20" t="n">
        <f aca="false">SUMIFS(SeatExits,SeatDivision,$J49)+SUMIFS(SeatExits,SeatDepartment,$J49)+SUMIFS(SeatExits,SeatUnit,$J49)+SUMIFS(SeatExits,SeatSubUnit,$J49)</f>
        <v>0</v>
      </c>
      <c r="G49" s="20" t="n">
        <f aca="false">SUMIFS(AskTotal,AskDivision,$J49)+SUMIFS(AskTotal,AskDepartment,$J49)+SUMIFS(AskTotal,AskUnit,$J49)+SUMIFS(AskTotal,AskSubUnit,$J49)</f>
        <v>0</v>
      </c>
      <c r="H49" s="20" t="n">
        <f aca="false">$C49-$F49+$G49</f>
        <v>7</v>
      </c>
      <c r="I49" s="20" t="n">
        <f aca="false">$H49-$C49</f>
        <v>0</v>
      </c>
      <c r="J49" s="17" t="s">
        <v>129</v>
      </c>
    </row>
    <row r="50" customFormat="false" ht="15" hidden="false" customHeight="false" outlineLevel="5" collapsed="false">
      <c r="A50" s="17" t="s">
        <v>49</v>
      </c>
      <c r="B50" s="18" t="s">
        <v>130</v>
      </c>
      <c r="C50" s="19" t="n">
        <v>3</v>
      </c>
      <c r="D50" s="19" t="n">
        <v>3</v>
      </c>
      <c r="E50" s="19" t="n">
        <v>0</v>
      </c>
      <c r="F50" s="20" t="n">
        <f aca="false">SUMIFS(SeatExits,SeatDivision,$J50)+SUMIFS(SeatExits,SeatDepartment,$J50)+SUMIFS(SeatExits,SeatUnit,$J50)+SUMIFS(SeatExits,SeatSubUnit,$J50)</f>
        <v>0</v>
      </c>
      <c r="G50" s="20" t="n">
        <f aca="false">SUMIFS(AskTotal,AskDivision,$J50)+SUMIFS(AskTotal,AskDepartment,$J50)+SUMIFS(AskTotal,AskUnit,$J50)+SUMIFS(AskTotal,AskSubUnit,$J50)</f>
        <v>0</v>
      </c>
      <c r="H50" s="20" t="n">
        <f aca="false">$C50-$F50+$G50</f>
        <v>3</v>
      </c>
      <c r="I50" s="20" t="n">
        <f aca="false">$H50-$C50</f>
        <v>0</v>
      </c>
      <c r="J50" s="17" t="s">
        <v>131</v>
      </c>
    </row>
    <row r="51" customFormat="false" ht="15" hidden="false" customHeight="false" outlineLevel="5" collapsed="false">
      <c r="A51" s="17" t="s">
        <v>49</v>
      </c>
      <c r="B51" s="18" t="s">
        <v>132</v>
      </c>
      <c r="C51" s="19" t="n">
        <v>3</v>
      </c>
      <c r="D51" s="19" t="n">
        <v>3</v>
      </c>
      <c r="E51" s="19" t="n">
        <v>0</v>
      </c>
      <c r="F51" s="20" t="n">
        <f aca="false">SUMIFS(SeatExits,SeatDivision,$J51)+SUMIFS(SeatExits,SeatDepartment,$J51)+SUMIFS(SeatExits,SeatUnit,$J51)+SUMIFS(SeatExits,SeatSubUnit,$J51)</f>
        <v>0</v>
      </c>
      <c r="G51" s="20" t="n">
        <f aca="false">SUMIFS(AskTotal,AskDivision,$J51)+SUMIFS(AskTotal,AskDepartment,$J51)+SUMIFS(AskTotal,AskUnit,$J51)+SUMIFS(AskTotal,AskSubUnit,$J51)</f>
        <v>0</v>
      </c>
      <c r="H51" s="20" t="n">
        <f aca="false">$C51-$F51+$G51</f>
        <v>3</v>
      </c>
      <c r="I51" s="20" t="n">
        <f aca="false">$H51-$C51</f>
        <v>0</v>
      </c>
      <c r="J51" s="17" t="s">
        <v>133</v>
      </c>
    </row>
    <row r="52" customFormat="false" ht="15" hidden="false" customHeight="false" outlineLevel="2" collapsed="false">
      <c r="A52" s="17" t="s">
        <v>41</v>
      </c>
      <c r="B52" s="18" t="s">
        <v>134</v>
      </c>
      <c r="C52" s="19" t="n">
        <v>36</v>
      </c>
      <c r="D52" s="19" t="n">
        <v>34</v>
      </c>
      <c r="E52" s="19" t="n">
        <v>2</v>
      </c>
      <c r="F52" s="20" t="n">
        <f aca="false">SUMIFS(SeatExits,SeatDivision,$J52)+SUMIFS(SeatExits,SeatDepartment,$J52)+SUMIFS(SeatExits,SeatUnit,$J52)+SUMIFS(SeatExits,SeatSubUnit,$J52)</f>
        <v>0</v>
      </c>
      <c r="G52" s="20" t="n">
        <f aca="false">SUMIFS(AskTotal,AskDivision,$J52)+SUMIFS(AskTotal,AskDepartment,$J52)+SUMIFS(AskTotal,AskUnit,$J52)+SUMIFS(AskTotal,AskSubUnit,$J52)</f>
        <v>0</v>
      </c>
      <c r="H52" s="20" t="n">
        <f aca="false">$C52-$F52+$G52</f>
        <v>36</v>
      </c>
      <c r="I52" s="20" t="n">
        <f aca="false">$H52-$C52</f>
        <v>0</v>
      </c>
      <c r="J52" s="17" t="s">
        <v>135</v>
      </c>
    </row>
    <row r="53" customFormat="false" ht="15" hidden="false" customHeight="false" outlineLevel="3" collapsed="false">
      <c r="A53" s="17" t="s">
        <v>27</v>
      </c>
      <c r="B53" s="18" t="s">
        <v>136</v>
      </c>
      <c r="C53" s="19" t="n">
        <v>21</v>
      </c>
      <c r="D53" s="19" t="n">
        <v>19</v>
      </c>
      <c r="E53" s="19" t="n">
        <v>2</v>
      </c>
      <c r="F53" s="20" t="n">
        <f aca="false">SUMIFS(SeatExits,SeatDivision,$J53)+SUMIFS(SeatExits,SeatDepartment,$J53)+SUMIFS(SeatExits,SeatUnit,$J53)+SUMIFS(SeatExits,SeatSubUnit,$J53)</f>
        <v>0</v>
      </c>
      <c r="G53" s="20" t="n">
        <f aca="false">SUMIFS(AskTotal,AskDivision,$J53)+SUMIFS(AskTotal,AskDepartment,$J53)+SUMIFS(AskTotal,AskUnit,$J53)+SUMIFS(AskTotal,AskSubUnit,$J53)</f>
        <v>0</v>
      </c>
      <c r="H53" s="20" t="n">
        <f aca="false">$C53-$F53+$G53</f>
        <v>21</v>
      </c>
      <c r="I53" s="20" t="n">
        <f aca="false">$H53-$C53</f>
        <v>0</v>
      </c>
      <c r="J53" s="17" t="s">
        <v>137</v>
      </c>
    </row>
    <row r="54" customFormat="false" ht="15" hidden="false" customHeight="false" outlineLevel="4" collapsed="false">
      <c r="A54" s="17" t="s">
        <v>46</v>
      </c>
      <c r="B54" s="18" t="s">
        <v>138</v>
      </c>
      <c r="C54" s="19" t="n">
        <v>10</v>
      </c>
      <c r="D54" s="19" t="n">
        <v>9</v>
      </c>
      <c r="E54" s="19" t="n">
        <v>1</v>
      </c>
      <c r="F54" s="20" t="n">
        <f aca="false">SUMIFS(SeatExits,SeatDivision,$J54)+SUMIFS(SeatExits,SeatDepartment,$J54)+SUMIFS(SeatExits,SeatUnit,$J54)+SUMIFS(SeatExits,SeatSubUnit,$J54)</f>
        <v>0</v>
      </c>
      <c r="G54" s="20" t="n">
        <f aca="false">SUMIFS(AskTotal,AskDivision,$J54)+SUMIFS(AskTotal,AskDepartment,$J54)+SUMIFS(AskTotal,AskUnit,$J54)+SUMIFS(AskTotal,AskSubUnit,$J54)</f>
        <v>0</v>
      </c>
      <c r="H54" s="20" t="n">
        <f aca="false">$C54-$F54+$G54</f>
        <v>10</v>
      </c>
      <c r="I54" s="20" t="n">
        <f aca="false">$H54-$C54</f>
        <v>0</v>
      </c>
      <c r="J54" s="17" t="s">
        <v>139</v>
      </c>
    </row>
    <row r="55" customFormat="false" ht="15" hidden="false" customHeight="false" outlineLevel="5" collapsed="false">
      <c r="A55" s="17" t="s">
        <v>49</v>
      </c>
      <c r="B55" s="18" t="s">
        <v>140</v>
      </c>
      <c r="C55" s="19" t="n">
        <v>4</v>
      </c>
      <c r="D55" s="19" t="n">
        <v>4</v>
      </c>
      <c r="E55" s="19" t="n">
        <v>0</v>
      </c>
      <c r="F55" s="20" t="n">
        <f aca="false">SUMIFS(SeatExits,SeatDivision,$J55)+SUMIFS(SeatExits,SeatDepartment,$J55)+SUMIFS(SeatExits,SeatUnit,$J55)+SUMIFS(SeatExits,SeatSubUnit,$J55)</f>
        <v>0</v>
      </c>
      <c r="G55" s="20" t="n">
        <f aca="false">SUMIFS(AskTotal,AskDivision,$J55)+SUMIFS(AskTotal,AskDepartment,$J55)+SUMIFS(AskTotal,AskUnit,$J55)+SUMIFS(AskTotal,AskSubUnit,$J55)</f>
        <v>0</v>
      </c>
      <c r="H55" s="20" t="n">
        <f aca="false">$C55-$F55+$G55</f>
        <v>4</v>
      </c>
      <c r="I55" s="20" t="n">
        <f aca="false">$H55-$C55</f>
        <v>0</v>
      </c>
      <c r="J55" s="17" t="s">
        <v>141</v>
      </c>
    </row>
    <row r="56" customFormat="false" ht="15" hidden="false" customHeight="false" outlineLevel="5" collapsed="false">
      <c r="A56" s="17" t="s">
        <v>49</v>
      </c>
      <c r="B56" s="18" t="s">
        <v>142</v>
      </c>
      <c r="C56" s="19" t="n">
        <v>5</v>
      </c>
      <c r="D56" s="19" t="n">
        <v>4</v>
      </c>
      <c r="E56" s="19" t="n">
        <v>1</v>
      </c>
      <c r="F56" s="20" t="n">
        <f aca="false">SUMIFS(SeatExits,SeatDivision,$J56)+SUMIFS(SeatExits,SeatDepartment,$J56)+SUMIFS(SeatExits,SeatUnit,$J56)+SUMIFS(SeatExits,SeatSubUnit,$J56)</f>
        <v>0</v>
      </c>
      <c r="G56" s="20" t="n">
        <f aca="false">SUMIFS(AskTotal,AskDivision,$J56)+SUMIFS(AskTotal,AskDepartment,$J56)+SUMIFS(AskTotal,AskUnit,$J56)+SUMIFS(AskTotal,AskSubUnit,$J56)</f>
        <v>0</v>
      </c>
      <c r="H56" s="20" t="n">
        <f aca="false">$C56-$F56+$G56</f>
        <v>5</v>
      </c>
      <c r="I56" s="20" t="n">
        <f aca="false">$H56-$C56</f>
        <v>0</v>
      </c>
      <c r="J56" s="17" t="s">
        <v>143</v>
      </c>
    </row>
    <row r="57" customFormat="false" ht="15" hidden="false" customHeight="false" outlineLevel="4" collapsed="false">
      <c r="A57" s="17" t="s">
        <v>46</v>
      </c>
      <c r="B57" s="18" t="s">
        <v>144</v>
      </c>
      <c r="C57" s="19" t="n">
        <v>10</v>
      </c>
      <c r="D57" s="19" t="n">
        <v>10</v>
      </c>
      <c r="E57" s="19" t="n">
        <v>0</v>
      </c>
      <c r="F57" s="20" t="n">
        <f aca="false">SUMIFS(SeatExits,SeatDivision,$J57)+SUMIFS(SeatExits,SeatDepartment,$J57)+SUMIFS(SeatExits,SeatUnit,$J57)+SUMIFS(SeatExits,SeatSubUnit,$J57)</f>
        <v>0</v>
      </c>
      <c r="G57" s="20" t="n">
        <f aca="false">SUMIFS(AskTotal,AskDivision,$J57)+SUMIFS(AskTotal,AskDepartment,$J57)+SUMIFS(AskTotal,AskUnit,$J57)+SUMIFS(AskTotal,AskSubUnit,$J57)</f>
        <v>0</v>
      </c>
      <c r="H57" s="20" t="n">
        <f aca="false">$C57-$F57+$G57</f>
        <v>10</v>
      </c>
      <c r="I57" s="20" t="n">
        <f aca="false">$H57-$C57</f>
        <v>0</v>
      </c>
      <c r="J57" s="17" t="s">
        <v>145</v>
      </c>
    </row>
    <row r="58" customFormat="false" ht="15" hidden="false" customHeight="false" outlineLevel="5" collapsed="false">
      <c r="A58" s="17" t="s">
        <v>49</v>
      </c>
      <c r="B58" s="18" t="s">
        <v>146</v>
      </c>
      <c r="C58" s="19" t="n">
        <v>5</v>
      </c>
      <c r="D58" s="19" t="n">
        <v>5</v>
      </c>
      <c r="E58" s="19" t="n">
        <v>0</v>
      </c>
      <c r="F58" s="20" t="n">
        <f aca="false">SUMIFS(SeatExits,SeatDivision,$J58)+SUMIFS(SeatExits,SeatDepartment,$J58)+SUMIFS(SeatExits,SeatUnit,$J58)+SUMIFS(SeatExits,SeatSubUnit,$J58)</f>
        <v>0</v>
      </c>
      <c r="G58" s="20" t="n">
        <f aca="false">SUMIFS(AskTotal,AskDivision,$J58)+SUMIFS(AskTotal,AskDepartment,$J58)+SUMIFS(AskTotal,AskUnit,$J58)+SUMIFS(AskTotal,AskSubUnit,$J58)</f>
        <v>0</v>
      </c>
      <c r="H58" s="20" t="n">
        <f aca="false">$C58-$F58+$G58</f>
        <v>5</v>
      </c>
      <c r="I58" s="20" t="n">
        <f aca="false">$H58-$C58</f>
        <v>0</v>
      </c>
      <c r="J58" s="17" t="s">
        <v>147</v>
      </c>
    </row>
    <row r="59" customFormat="false" ht="15" hidden="false" customHeight="false" outlineLevel="5" collapsed="false">
      <c r="A59" s="17" t="s">
        <v>49</v>
      </c>
      <c r="B59" s="18" t="s">
        <v>148</v>
      </c>
      <c r="C59" s="19" t="n">
        <v>4</v>
      </c>
      <c r="D59" s="19" t="n">
        <v>4</v>
      </c>
      <c r="E59" s="19" t="n">
        <v>0</v>
      </c>
      <c r="F59" s="20" t="n">
        <f aca="false">SUMIFS(SeatExits,SeatDivision,$J59)+SUMIFS(SeatExits,SeatDepartment,$J59)+SUMIFS(SeatExits,SeatUnit,$J59)+SUMIFS(SeatExits,SeatSubUnit,$J59)</f>
        <v>0</v>
      </c>
      <c r="G59" s="20" t="n">
        <f aca="false">SUMIFS(AskTotal,AskDivision,$J59)+SUMIFS(AskTotal,AskDepartment,$J59)+SUMIFS(AskTotal,AskUnit,$J59)+SUMIFS(AskTotal,AskSubUnit,$J59)</f>
        <v>0</v>
      </c>
      <c r="H59" s="20" t="n">
        <f aca="false">$C59-$F59+$G59</f>
        <v>4</v>
      </c>
      <c r="I59" s="20" t="n">
        <f aca="false">$H59-$C59</f>
        <v>0</v>
      </c>
      <c r="J59" s="17" t="s">
        <v>149</v>
      </c>
    </row>
    <row r="60" customFormat="false" ht="15" hidden="false" customHeight="false" outlineLevel="3" collapsed="false">
      <c r="A60" s="17" t="s">
        <v>27</v>
      </c>
      <c r="B60" s="18" t="s">
        <v>150</v>
      </c>
      <c r="C60" s="19" t="n">
        <v>14</v>
      </c>
      <c r="D60" s="19" t="n">
        <v>14</v>
      </c>
      <c r="E60" s="19" t="n">
        <v>0</v>
      </c>
      <c r="F60" s="20" t="n">
        <f aca="false">SUMIFS(SeatExits,SeatDivision,$J60)+SUMIFS(SeatExits,SeatDepartment,$J60)+SUMIFS(SeatExits,SeatUnit,$J60)+SUMIFS(SeatExits,SeatSubUnit,$J60)</f>
        <v>0</v>
      </c>
      <c r="G60" s="20" t="n">
        <f aca="false">SUMIFS(AskTotal,AskDivision,$J60)+SUMIFS(AskTotal,AskDepartment,$J60)+SUMIFS(AskTotal,AskUnit,$J60)+SUMIFS(AskTotal,AskSubUnit,$J60)</f>
        <v>0</v>
      </c>
      <c r="H60" s="20" t="n">
        <f aca="false">$C60-$F60+$G60</f>
        <v>14</v>
      </c>
      <c r="I60" s="20" t="n">
        <f aca="false">$H60-$C60</f>
        <v>0</v>
      </c>
      <c r="J60" s="17" t="s">
        <v>151</v>
      </c>
    </row>
    <row r="61" customFormat="false" ht="15" hidden="false" customHeight="false" outlineLevel="4" collapsed="false">
      <c r="A61" s="17" t="s">
        <v>46</v>
      </c>
      <c r="B61" s="18" t="s">
        <v>152</v>
      </c>
      <c r="C61" s="19" t="n">
        <v>6</v>
      </c>
      <c r="D61" s="19" t="n">
        <v>6</v>
      </c>
      <c r="E61" s="19" t="n">
        <v>0</v>
      </c>
      <c r="F61" s="20" t="n">
        <f aca="false">SUMIFS(SeatExits,SeatDivision,$J61)+SUMIFS(SeatExits,SeatDepartment,$J61)+SUMIFS(SeatExits,SeatUnit,$J61)+SUMIFS(SeatExits,SeatSubUnit,$J61)</f>
        <v>0</v>
      </c>
      <c r="G61" s="20" t="n">
        <f aca="false">SUMIFS(AskTotal,AskDivision,$J61)+SUMIFS(AskTotal,AskDepartment,$J61)+SUMIFS(AskTotal,AskUnit,$J61)+SUMIFS(AskTotal,AskSubUnit,$J61)</f>
        <v>0</v>
      </c>
      <c r="H61" s="20" t="n">
        <f aca="false">$C61-$F61+$G61</f>
        <v>6</v>
      </c>
      <c r="I61" s="20" t="n">
        <f aca="false">$H61-$C61</f>
        <v>0</v>
      </c>
      <c r="J61" s="17" t="s">
        <v>153</v>
      </c>
    </row>
    <row r="62" customFormat="false" ht="15" hidden="false" customHeight="false" outlineLevel="5" collapsed="false">
      <c r="A62" s="17" t="s">
        <v>49</v>
      </c>
      <c r="B62" s="18" t="s">
        <v>154</v>
      </c>
      <c r="C62" s="19" t="n">
        <v>4</v>
      </c>
      <c r="D62" s="19" t="n">
        <v>4</v>
      </c>
      <c r="E62" s="19" t="n">
        <v>0</v>
      </c>
      <c r="F62" s="20" t="n">
        <f aca="false">SUMIFS(SeatExits,SeatDivision,$J62)+SUMIFS(SeatExits,SeatDepartment,$J62)+SUMIFS(SeatExits,SeatUnit,$J62)+SUMIFS(SeatExits,SeatSubUnit,$J62)</f>
        <v>0</v>
      </c>
      <c r="G62" s="20" t="n">
        <f aca="false">SUMIFS(AskTotal,AskDivision,$J62)+SUMIFS(AskTotal,AskDepartment,$J62)+SUMIFS(AskTotal,AskUnit,$J62)+SUMIFS(AskTotal,AskSubUnit,$J62)</f>
        <v>0</v>
      </c>
      <c r="H62" s="20" t="n">
        <f aca="false">$C62-$F62+$G62</f>
        <v>4</v>
      </c>
      <c r="I62" s="20" t="n">
        <f aca="false">$H62-$C62</f>
        <v>0</v>
      </c>
      <c r="J62" s="17" t="s">
        <v>155</v>
      </c>
    </row>
    <row r="63" customFormat="false" ht="15" hidden="false" customHeight="false" outlineLevel="5" collapsed="false">
      <c r="A63" s="17" t="s">
        <v>49</v>
      </c>
      <c r="B63" s="18" t="s">
        <v>156</v>
      </c>
      <c r="C63" s="19" t="n">
        <v>1</v>
      </c>
      <c r="D63" s="19" t="n">
        <v>1</v>
      </c>
      <c r="E63" s="19" t="n">
        <v>0</v>
      </c>
      <c r="F63" s="20" t="n">
        <f aca="false">SUMIFS(SeatExits,SeatDivision,$J63)+SUMIFS(SeatExits,SeatDepartment,$J63)+SUMIFS(SeatExits,SeatUnit,$J63)+SUMIFS(SeatExits,SeatSubUnit,$J63)</f>
        <v>0</v>
      </c>
      <c r="G63" s="20" t="n">
        <f aca="false">SUMIFS(AskTotal,AskDivision,$J63)+SUMIFS(AskTotal,AskDepartment,$J63)+SUMIFS(AskTotal,AskUnit,$J63)+SUMIFS(AskTotal,AskSubUnit,$J63)</f>
        <v>0</v>
      </c>
      <c r="H63" s="20" t="n">
        <f aca="false">$C63-$F63+$G63</f>
        <v>1</v>
      </c>
      <c r="I63" s="20" t="n">
        <f aca="false">$H63-$C63</f>
        <v>0</v>
      </c>
      <c r="J63" s="17" t="s">
        <v>157</v>
      </c>
    </row>
    <row r="64" customFormat="false" ht="15" hidden="false" customHeight="false" outlineLevel="4" collapsed="false">
      <c r="A64" s="17" t="s">
        <v>46</v>
      </c>
      <c r="B64" s="18" t="s">
        <v>158</v>
      </c>
      <c r="C64" s="19" t="n">
        <v>7</v>
      </c>
      <c r="D64" s="19" t="n">
        <v>7</v>
      </c>
      <c r="E64" s="19" t="n">
        <v>0</v>
      </c>
      <c r="F64" s="20" t="n">
        <f aca="false">SUMIFS(SeatExits,SeatDivision,$J64)+SUMIFS(SeatExits,SeatDepartment,$J64)+SUMIFS(SeatExits,SeatUnit,$J64)+SUMIFS(SeatExits,SeatSubUnit,$J64)</f>
        <v>0</v>
      </c>
      <c r="G64" s="20" t="n">
        <f aca="false">SUMIFS(AskTotal,AskDivision,$J64)+SUMIFS(AskTotal,AskDepartment,$J64)+SUMIFS(AskTotal,AskUnit,$J64)+SUMIFS(AskTotal,AskSubUnit,$J64)</f>
        <v>0</v>
      </c>
      <c r="H64" s="20" t="n">
        <f aca="false">$C64-$F64+$G64</f>
        <v>7</v>
      </c>
      <c r="I64" s="20" t="n">
        <f aca="false">$H64-$C64</f>
        <v>0</v>
      </c>
      <c r="J64" s="17" t="s">
        <v>159</v>
      </c>
    </row>
    <row r="65" customFormat="false" ht="15" hidden="false" customHeight="false" outlineLevel="5" collapsed="false">
      <c r="A65" s="17" t="s">
        <v>49</v>
      </c>
      <c r="B65" s="18" t="s">
        <v>160</v>
      </c>
      <c r="C65" s="19" t="n">
        <v>4</v>
      </c>
      <c r="D65" s="19" t="n">
        <v>4</v>
      </c>
      <c r="E65" s="19" t="n">
        <v>0</v>
      </c>
      <c r="F65" s="20" t="n">
        <f aca="false">SUMIFS(SeatExits,SeatDivision,$J65)+SUMIFS(SeatExits,SeatDepartment,$J65)+SUMIFS(SeatExits,SeatUnit,$J65)+SUMIFS(SeatExits,SeatSubUnit,$J65)</f>
        <v>0</v>
      </c>
      <c r="G65" s="20" t="n">
        <f aca="false">SUMIFS(AskTotal,AskDivision,$J65)+SUMIFS(AskTotal,AskDepartment,$J65)+SUMIFS(AskTotal,AskUnit,$J65)+SUMIFS(AskTotal,AskSubUnit,$J65)</f>
        <v>0</v>
      </c>
      <c r="H65" s="20" t="n">
        <f aca="false">$C65-$F65+$G65</f>
        <v>4</v>
      </c>
      <c r="I65" s="20" t="n">
        <f aca="false">$H65-$C65</f>
        <v>0</v>
      </c>
      <c r="J65" s="17" t="s">
        <v>161</v>
      </c>
    </row>
    <row r="66" customFormat="false" ht="15" hidden="false" customHeight="false" outlineLevel="5" collapsed="false">
      <c r="A66" s="17" t="s">
        <v>49</v>
      </c>
      <c r="B66" s="18" t="s">
        <v>162</v>
      </c>
      <c r="C66" s="19" t="n">
        <v>2</v>
      </c>
      <c r="D66" s="19" t="n">
        <v>2</v>
      </c>
      <c r="E66" s="19" t="n">
        <v>0</v>
      </c>
      <c r="F66" s="20" t="n">
        <f aca="false">SUMIFS(SeatExits,SeatDivision,$J66)+SUMIFS(SeatExits,SeatDepartment,$J66)+SUMIFS(SeatExits,SeatUnit,$J66)+SUMIFS(SeatExits,SeatSubUnit,$J66)</f>
        <v>0</v>
      </c>
      <c r="G66" s="20" t="n">
        <f aca="false">SUMIFS(AskTotal,AskDivision,$J66)+SUMIFS(AskTotal,AskDepartment,$J66)+SUMIFS(AskTotal,AskUnit,$J66)+SUMIFS(AskTotal,AskSubUnit,$J66)</f>
        <v>0</v>
      </c>
      <c r="H66" s="20" t="n">
        <f aca="false">$C66-$F66+$G66</f>
        <v>2</v>
      </c>
      <c r="I66" s="20" t="n">
        <f aca="false">$H66-$C66</f>
        <v>0</v>
      </c>
      <c r="J66" s="17" t="s">
        <v>163</v>
      </c>
    </row>
    <row r="67" customFormat="false" ht="15" hidden="false" customHeight="false" outlineLevel="1" collapsed="false">
      <c r="A67" s="13" t="s">
        <v>38</v>
      </c>
      <c r="B67" s="14" t="s">
        <v>164</v>
      </c>
      <c r="C67" s="15" t="n">
        <v>74</v>
      </c>
      <c r="D67" s="15" t="n">
        <v>64</v>
      </c>
      <c r="E67" s="15" t="n">
        <v>10</v>
      </c>
      <c r="F67" s="16" t="n">
        <f aca="false">SUMIFS(SeatExits,SeatDivision,$J67)+SUMIFS(SeatExits,SeatDepartment,$J67)+SUMIFS(SeatExits,SeatUnit,$J67)+SUMIFS(SeatExits,SeatSubUnit,$J67)</f>
        <v>0</v>
      </c>
      <c r="G67" s="16" t="n">
        <f aca="false">SUMIFS(AskTotal,AskDivision,$J67)+SUMIFS(AskTotal,AskDepartment,$J67)+SUMIFS(AskTotal,AskUnit,$J67)+SUMIFS(AskTotal,AskSubUnit,$J67)</f>
        <v>0</v>
      </c>
      <c r="H67" s="16" t="n">
        <f aca="false">$C67-$F67+$G67</f>
        <v>74</v>
      </c>
      <c r="I67" s="16" t="n">
        <f aca="false">$H67-$C67</f>
        <v>0</v>
      </c>
      <c r="J67" s="17" t="s">
        <v>165</v>
      </c>
    </row>
    <row r="68" customFormat="false" ht="15" hidden="false" customHeight="false" outlineLevel="2" collapsed="false">
      <c r="A68" s="17" t="s">
        <v>41</v>
      </c>
      <c r="B68" s="18" t="s">
        <v>166</v>
      </c>
      <c r="C68" s="19" t="n">
        <v>36</v>
      </c>
      <c r="D68" s="19" t="n">
        <v>30</v>
      </c>
      <c r="E68" s="19" t="n">
        <v>6</v>
      </c>
      <c r="F68" s="20" t="n">
        <f aca="false">SUMIFS(SeatExits,SeatDivision,$J68)+SUMIFS(SeatExits,SeatDepartment,$J68)+SUMIFS(SeatExits,SeatUnit,$J68)+SUMIFS(SeatExits,SeatSubUnit,$J68)</f>
        <v>0</v>
      </c>
      <c r="G68" s="20" t="n">
        <f aca="false">SUMIFS(AskTotal,AskDivision,$J68)+SUMIFS(AskTotal,AskDepartment,$J68)+SUMIFS(AskTotal,AskUnit,$J68)+SUMIFS(AskTotal,AskSubUnit,$J68)</f>
        <v>0</v>
      </c>
      <c r="H68" s="20" t="n">
        <f aca="false">$C68-$F68+$G68</f>
        <v>36</v>
      </c>
      <c r="I68" s="20" t="n">
        <f aca="false">$H68-$C68</f>
        <v>0</v>
      </c>
      <c r="J68" s="17" t="s">
        <v>167</v>
      </c>
    </row>
    <row r="69" customFormat="false" ht="15" hidden="false" customHeight="false" outlineLevel="3" collapsed="false">
      <c r="A69" s="17" t="s">
        <v>27</v>
      </c>
      <c r="B69" s="18" t="s">
        <v>168</v>
      </c>
      <c r="C69" s="19" t="n">
        <v>18</v>
      </c>
      <c r="D69" s="19" t="n">
        <v>16</v>
      </c>
      <c r="E69" s="19" t="n">
        <v>2</v>
      </c>
      <c r="F69" s="20" t="n">
        <f aca="false">SUMIFS(SeatExits,SeatDivision,$J69)+SUMIFS(SeatExits,SeatDepartment,$J69)+SUMIFS(SeatExits,SeatUnit,$J69)+SUMIFS(SeatExits,SeatSubUnit,$J69)</f>
        <v>0</v>
      </c>
      <c r="G69" s="20" t="n">
        <f aca="false">SUMIFS(AskTotal,AskDivision,$J69)+SUMIFS(AskTotal,AskDepartment,$J69)+SUMIFS(AskTotal,AskUnit,$J69)+SUMIFS(AskTotal,AskSubUnit,$J69)</f>
        <v>0</v>
      </c>
      <c r="H69" s="20" t="n">
        <f aca="false">$C69-$F69+$G69</f>
        <v>18</v>
      </c>
      <c r="I69" s="20" t="n">
        <f aca="false">$H69-$C69</f>
        <v>0</v>
      </c>
      <c r="J69" s="17" t="s">
        <v>169</v>
      </c>
    </row>
    <row r="70" customFormat="false" ht="15" hidden="false" customHeight="false" outlineLevel="4" collapsed="false">
      <c r="A70" s="17" t="s">
        <v>46</v>
      </c>
      <c r="B70" s="18" t="s">
        <v>170</v>
      </c>
      <c r="C70" s="19" t="n">
        <v>10</v>
      </c>
      <c r="D70" s="19" t="n">
        <v>9</v>
      </c>
      <c r="E70" s="19" t="n">
        <v>1</v>
      </c>
      <c r="F70" s="20" t="n">
        <f aca="false">SUMIFS(SeatExits,SeatDivision,$J70)+SUMIFS(SeatExits,SeatDepartment,$J70)+SUMIFS(SeatExits,SeatUnit,$J70)+SUMIFS(SeatExits,SeatSubUnit,$J70)</f>
        <v>0</v>
      </c>
      <c r="G70" s="20" t="n">
        <f aca="false">SUMIFS(AskTotal,AskDivision,$J70)+SUMIFS(AskTotal,AskDepartment,$J70)+SUMIFS(AskTotal,AskUnit,$J70)+SUMIFS(AskTotal,AskSubUnit,$J70)</f>
        <v>0</v>
      </c>
      <c r="H70" s="20" t="n">
        <f aca="false">$C70-$F70+$G70</f>
        <v>10</v>
      </c>
      <c r="I70" s="20" t="n">
        <f aca="false">$H70-$C70</f>
        <v>0</v>
      </c>
      <c r="J70" s="17" t="s">
        <v>171</v>
      </c>
    </row>
    <row r="71" customFormat="false" ht="15" hidden="false" customHeight="false" outlineLevel="5" collapsed="false">
      <c r="A71" s="17" t="s">
        <v>49</v>
      </c>
      <c r="B71" s="18" t="s">
        <v>172</v>
      </c>
      <c r="C71" s="19" t="n">
        <v>6</v>
      </c>
      <c r="D71" s="19" t="n">
        <v>6</v>
      </c>
      <c r="E71" s="19" t="n">
        <v>0</v>
      </c>
      <c r="F71" s="20" t="n">
        <f aca="false">SUMIFS(SeatExits,SeatDivision,$J71)+SUMIFS(SeatExits,SeatDepartment,$J71)+SUMIFS(SeatExits,SeatUnit,$J71)+SUMIFS(SeatExits,SeatSubUnit,$J71)</f>
        <v>0</v>
      </c>
      <c r="G71" s="20" t="n">
        <f aca="false">SUMIFS(AskTotal,AskDivision,$J71)+SUMIFS(AskTotal,AskDepartment,$J71)+SUMIFS(AskTotal,AskUnit,$J71)+SUMIFS(AskTotal,AskSubUnit,$J71)</f>
        <v>0</v>
      </c>
      <c r="H71" s="20" t="n">
        <f aca="false">$C71-$F71+$G71</f>
        <v>6</v>
      </c>
      <c r="I71" s="20" t="n">
        <f aca="false">$H71-$C71</f>
        <v>0</v>
      </c>
      <c r="J71" s="17" t="s">
        <v>173</v>
      </c>
    </row>
    <row r="72" customFormat="false" ht="15" hidden="false" customHeight="false" outlineLevel="5" collapsed="false">
      <c r="A72" s="17" t="s">
        <v>49</v>
      </c>
      <c r="B72" s="18" t="s">
        <v>174</v>
      </c>
      <c r="C72" s="19" t="n">
        <v>3</v>
      </c>
      <c r="D72" s="19" t="n">
        <v>2</v>
      </c>
      <c r="E72" s="19" t="n">
        <v>1</v>
      </c>
      <c r="F72" s="20" t="n">
        <f aca="false">SUMIFS(SeatExits,SeatDivision,$J72)+SUMIFS(SeatExits,SeatDepartment,$J72)+SUMIFS(SeatExits,SeatUnit,$J72)+SUMIFS(SeatExits,SeatSubUnit,$J72)</f>
        <v>0</v>
      </c>
      <c r="G72" s="20" t="n">
        <f aca="false">SUMIFS(AskTotal,AskDivision,$J72)+SUMIFS(AskTotal,AskDepartment,$J72)+SUMIFS(AskTotal,AskUnit,$J72)+SUMIFS(AskTotal,AskSubUnit,$J72)</f>
        <v>0</v>
      </c>
      <c r="H72" s="20" t="n">
        <f aca="false">$C72-$F72+$G72</f>
        <v>3</v>
      </c>
      <c r="I72" s="20" t="n">
        <f aca="false">$H72-$C72</f>
        <v>0</v>
      </c>
      <c r="J72" s="17" t="s">
        <v>175</v>
      </c>
    </row>
    <row r="73" customFormat="false" ht="15" hidden="false" customHeight="false" outlineLevel="4" collapsed="false">
      <c r="A73" s="17" t="s">
        <v>46</v>
      </c>
      <c r="B73" s="18" t="s">
        <v>176</v>
      </c>
      <c r="C73" s="19" t="n">
        <v>7</v>
      </c>
      <c r="D73" s="19" t="n">
        <v>6</v>
      </c>
      <c r="E73" s="19" t="n">
        <v>1</v>
      </c>
      <c r="F73" s="20" t="n">
        <f aca="false">SUMIFS(SeatExits,SeatDivision,$J73)+SUMIFS(SeatExits,SeatDepartment,$J73)+SUMIFS(SeatExits,SeatUnit,$J73)+SUMIFS(SeatExits,SeatSubUnit,$J73)</f>
        <v>0</v>
      </c>
      <c r="G73" s="20" t="n">
        <f aca="false">SUMIFS(AskTotal,AskDivision,$J73)+SUMIFS(AskTotal,AskDepartment,$J73)+SUMIFS(AskTotal,AskUnit,$J73)+SUMIFS(AskTotal,AskSubUnit,$J73)</f>
        <v>0</v>
      </c>
      <c r="H73" s="20" t="n">
        <f aca="false">$C73-$F73+$G73</f>
        <v>7</v>
      </c>
      <c r="I73" s="20" t="n">
        <f aca="false">$H73-$C73</f>
        <v>0</v>
      </c>
      <c r="J73" s="17" t="s">
        <v>177</v>
      </c>
    </row>
    <row r="74" customFormat="false" ht="15" hidden="false" customHeight="false" outlineLevel="5" collapsed="false">
      <c r="A74" s="17" t="s">
        <v>49</v>
      </c>
      <c r="B74" s="18" t="s">
        <v>178</v>
      </c>
      <c r="C74" s="19" t="n">
        <v>3</v>
      </c>
      <c r="D74" s="19" t="n">
        <v>3</v>
      </c>
      <c r="E74" s="19" t="n">
        <v>0</v>
      </c>
      <c r="F74" s="20" t="n">
        <f aca="false">SUMIFS(SeatExits,SeatDivision,$J74)+SUMIFS(SeatExits,SeatDepartment,$J74)+SUMIFS(SeatExits,SeatUnit,$J74)+SUMIFS(SeatExits,SeatSubUnit,$J74)</f>
        <v>0</v>
      </c>
      <c r="G74" s="20" t="n">
        <f aca="false">SUMIFS(AskTotal,AskDivision,$J74)+SUMIFS(AskTotal,AskDepartment,$J74)+SUMIFS(AskTotal,AskUnit,$J74)+SUMIFS(AskTotal,AskSubUnit,$J74)</f>
        <v>0</v>
      </c>
      <c r="H74" s="20" t="n">
        <f aca="false">$C74-$F74+$G74</f>
        <v>3</v>
      </c>
      <c r="I74" s="20" t="n">
        <f aca="false">$H74-$C74</f>
        <v>0</v>
      </c>
      <c r="J74" s="17" t="s">
        <v>179</v>
      </c>
    </row>
    <row r="75" customFormat="false" ht="15" hidden="false" customHeight="false" outlineLevel="5" collapsed="false">
      <c r="A75" s="17" t="s">
        <v>49</v>
      </c>
      <c r="B75" s="18" t="s">
        <v>180</v>
      </c>
      <c r="C75" s="19" t="n">
        <v>3</v>
      </c>
      <c r="D75" s="19" t="n">
        <v>2</v>
      </c>
      <c r="E75" s="19" t="n">
        <v>1</v>
      </c>
      <c r="F75" s="20" t="n">
        <f aca="false">SUMIFS(SeatExits,SeatDivision,$J75)+SUMIFS(SeatExits,SeatDepartment,$J75)+SUMIFS(SeatExits,SeatUnit,$J75)+SUMIFS(SeatExits,SeatSubUnit,$J75)</f>
        <v>0</v>
      </c>
      <c r="G75" s="20" t="n">
        <f aca="false">SUMIFS(AskTotal,AskDivision,$J75)+SUMIFS(AskTotal,AskDepartment,$J75)+SUMIFS(AskTotal,AskUnit,$J75)+SUMIFS(AskTotal,AskSubUnit,$J75)</f>
        <v>0</v>
      </c>
      <c r="H75" s="20" t="n">
        <f aca="false">$C75-$F75+$G75</f>
        <v>3</v>
      </c>
      <c r="I75" s="20" t="n">
        <f aca="false">$H75-$C75</f>
        <v>0</v>
      </c>
      <c r="J75" s="17" t="s">
        <v>181</v>
      </c>
    </row>
    <row r="76" customFormat="false" ht="15" hidden="false" customHeight="false" outlineLevel="3" collapsed="false">
      <c r="A76" s="17" t="s">
        <v>27</v>
      </c>
      <c r="B76" s="18" t="s">
        <v>182</v>
      </c>
      <c r="C76" s="19" t="n">
        <v>17</v>
      </c>
      <c r="D76" s="19" t="n">
        <v>13</v>
      </c>
      <c r="E76" s="19" t="n">
        <v>4</v>
      </c>
      <c r="F76" s="20" t="n">
        <f aca="false">SUMIFS(SeatExits,SeatDivision,$J76)+SUMIFS(SeatExits,SeatDepartment,$J76)+SUMIFS(SeatExits,SeatUnit,$J76)+SUMIFS(SeatExits,SeatSubUnit,$J76)</f>
        <v>0</v>
      </c>
      <c r="G76" s="20" t="n">
        <f aca="false">SUMIFS(AskTotal,AskDivision,$J76)+SUMIFS(AskTotal,AskDepartment,$J76)+SUMIFS(AskTotal,AskUnit,$J76)+SUMIFS(AskTotal,AskSubUnit,$J76)</f>
        <v>0</v>
      </c>
      <c r="H76" s="20" t="n">
        <f aca="false">$C76-$F76+$G76</f>
        <v>17</v>
      </c>
      <c r="I76" s="20" t="n">
        <f aca="false">$H76-$C76</f>
        <v>0</v>
      </c>
      <c r="J76" s="17" t="s">
        <v>183</v>
      </c>
    </row>
    <row r="77" customFormat="false" ht="15" hidden="false" customHeight="false" outlineLevel="4" collapsed="false">
      <c r="A77" s="17" t="s">
        <v>46</v>
      </c>
      <c r="B77" s="18" t="s">
        <v>184</v>
      </c>
      <c r="C77" s="19" t="n">
        <v>6</v>
      </c>
      <c r="D77" s="19" t="n">
        <v>6</v>
      </c>
      <c r="E77" s="19" t="n">
        <v>0</v>
      </c>
      <c r="F77" s="20" t="n">
        <f aca="false">SUMIFS(SeatExits,SeatDivision,$J77)+SUMIFS(SeatExits,SeatDepartment,$J77)+SUMIFS(SeatExits,SeatUnit,$J77)+SUMIFS(SeatExits,SeatSubUnit,$J77)</f>
        <v>0</v>
      </c>
      <c r="G77" s="20" t="n">
        <f aca="false">SUMIFS(AskTotal,AskDivision,$J77)+SUMIFS(AskTotal,AskDepartment,$J77)+SUMIFS(AskTotal,AskUnit,$J77)+SUMIFS(AskTotal,AskSubUnit,$J77)</f>
        <v>0</v>
      </c>
      <c r="H77" s="20" t="n">
        <f aca="false">$C77-$F77+$G77</f>
        <v>6</v>
      </c>
      <c r="I77" s="20" t="n">
        <f aca="false">$H77-$C77</f>
        <v>0</v>
      </c>
      <c r="J77" s="17" t="s">
        <v>185</v>
      </c>
    </row>
    <row r="78" customFormat="false" ht="15" hidden="false" customHeight="false" outlineLevel="5" collapsed="false">
      <c r="A78" s="17" t="s">
        <v>49</v>
      </c>
      <c r="B78" s="18" t="s">
        <v>186</v>
      </c>
      <c r="C78" s="19" t="n">
        <v>5</v>
      </c>
      <c r="D78" s="19" t="n">
        <v>5</v>
      </c>
      <c r="E78" s="19" t="n">
        <v>0</v>
      </c>
      <c r="F78" s="20" t="n">
        <f aca="false">SUMIFS(SeatExits,SeatDivision,$J78)+SUMIFS(SeatExits,SeatDepartment,$J78)+SUMIFS(SeatExits,SeatUnit,$J78)+SUMIFS(SeatExits,SeatSubUnit,$J78)</f>
        <v>0</v>
      </c>
      <c r="G78" s="20" t="n">
        <f aca="false">SUMIFS(AskTotal,AskDivision,$J78)+SUMIFS(AskTotal,AskDepartment,$J78)+SUMIFS(AskTotal,AskUnit,$J78)+SUMIFS(AskTotal,AskSubUnit,$J78)</f>
        <v>0</v>
      </c>
      <c r="H78" s="20" t="n">
        <f aca="false">$C78-$F78+$G78</f>
        <v>5</v>
      </c>
      <c r="I78" s="20" t="n">
        <f aca="false">$H78-$C78</f>
        <v>0</v>
      </c>
      <c r="J78" s="17" t="s">
        <v>187</v>
      </c>
    </row>
    <row r="79" customFormat="false" ht="15" hidden="false" customHeight="false" outlineLevel="4" collapsed="false">
      <c r="A79" s="17" t="s">
        <v>46</v>
      </c>
      <c r="B79" s="18" t="s">
        <v>188</v>
      </c>
      <c r="C79" s="19" t="n">
        <v>10</v>
      </c>
      <c r="D79" s="19" t="n">
        <v>6</v>
      </c>
      <c r="E79" s="19" t="n">
        <v>4</v>
      </c>
      <c r="F79" s="20" t="n">
        <f aca="false">SUMIFS(SeatExits,SeatDivision,$J79)+SUMIFS(SeatExits,SeatDepartment,$J79)+SUMIFS(SeatExits,SeatUnit,$J79)+SUMIFS(SeatExits,SeatSubUnit,$J79)</f>
        <v>0</v>
      </c>
      <c r="G79" s="20" t="n">
        <f aca="false">SUMIFS(AskTotal,AskDivision,$J79)+SUMIFS(AskTotal,AskDepartment,$J79)+SUMIFS(AskTotal,AskUnit,$J79)+SUMIFS(AskTotal,AskSubUnit,$J79)</f>
        <v>0</v>
      </c>
      <c r="H79" s="20" t="n">
        <f aca="false">$C79-$F79+$G79</f>
        <v>10</v>
      </c>
      <c r="I79" s="20" t="n">
        <f aca="false">$H79-$C79</f>
        <v>0</v>
      </c>
      <c r="J79" s="17" t="s">
        <v>189</v>
      </c>
    </row>
    <row r="80" customFormat="false" ht="15" hidden="false" customHeight="false" outlineLevel="5" collapsed="false">
      <c r="A80" s="17" t="s">
        <v>49</v>
      </c>
      <c r="B80" s="18" t="s">
        <v>190</v>
      </c>
      <c r="C80" s="19" t="n">
        <v>9</v>
      </c>
      <c r="D80" s="19" t="n">
        <v>5</v>
      </c>
      <c r="E80" s="19" t="n">
        <v>4</v>
      </c>
      <c r="F80" s="20" t="n">
        <f aca="false">SUMIFS(SeatExits,SeatDivision,$J80)+SUMIFS(SeatExits,SeatDepartment,$J80)+SUMIFS(SeatExits,SeatUnit,$J80)+SUMIFS(SeatExits,SeatSubUnit,$J80)</f>
        <v>0</v>
      </c>
      <c r="G80" s="20" t="n">
        <f aca="false">SUMIFS(AskTotal,AskDivision,$J80)+SUMIFS(AskTotal,AskDepartment,$J80)+SUMIFS(AskTotal,AskUnit,$J80)+SUMIFS(AskTotal,AskSubUnit,$J80)</f>
        <v>0</v>
      </c>
      <c r="H80" s="20" t="n">
        <f aca="false">$C80-$F80+$G80</f>
        <v>9</v>
      </c>
      <c r="I80" s="20" t="n">
        <f aca="false">$H80-$C80</f>
        <v>0</v>
      </c>
      <c r="J80" s="17" t="s">
        <v>191</v>
      </c>
    </row>
    <row r="81" customFormat="false" ht="15" hidden="false" customHeight="false" outlineLevel="2" collapsed="false">
      <c r="A81" s="17" t="s">
        <v>41</v>
      </c>
      <c r="B81" s="18" t="s">
        <v>192</v>
      </c>
      <c r="C81" s="19" t="n">
        <v>37</v>
      </c>
      <c r="D81" s="19" t="n">
        <v>33</v>
      </c>
      <c r="E81" s="19" t="n">
        <v>4</v>
      </c>
      <c r="F81" s="20" t="n">
        <f aca="false">SUMIFS(SeatExits,SeatDivision,$J81)+SUMIFS(SeatExits,SeatDepartment,$J81)+SUMIFS(SeatExits,SeatUnit,$J81)+SUMIFS(SeatExits,SeatSubUnit,$J81)</f>
        <v>0</v>
      </c>
      <c r="G81" s="20" t="n">
        <f aca="false">SUMIFS(AskTotal,AskDivision,$J81)+SUMIFS(AskTotal,AskDepartment,$J81)+SUMIFS(AskTotal,AskUnit,$J81)+SUMIFS(AskTotal,AskSubUnit,$J81)</f>
        <v>0</v>
      </c>
      <c r="H81" s="20" t="n">
        <f aca="false">$C81-$F81+$G81</f>
        <v>37</v>
      </c>
      <c r="I81" s="20" t="n">
        <f aca="false">$H81-$C81</f>
        <v>0</v>
      </c>
      <c r="J81" s="17" t="s">
        <v>193</v>
      </c>
    </row>
    <row r="82" customFormat="false" ht="15" hidden="false" customHeight="false" outlineLevel="3" collapsed="false">
      <c r="A82" s="17" t="s">
        <v>27</v>
      </c>
      <c r="B82" s="18" t="s">
        <v>194</v>
      </c>
      <c r="C82" s="19" t="n">
        <v>18</v>
      </c>
      <c r="D82" s="19" t="n">
        <v>15</v>
      </c>
      <c r="E82" s="19" t="n">
        <v>3</v>
      </c>
      <c r="F82" s="20" t="n">
        <f aca="false">SUMIFS(SeatExits,SeatDivision,$J82)+SUMIFS(SeatExits,SeatDepartment,$J82)+SUMIFS(SeatExits,SeatUnit,$J82)+SUMIFS(SeatExits,SeatSubUnit,$J82)</f>
        <v>0</v>
      </c>
      <c r="G82" s="20" t="n">
        <f aca="false">SUMIFS(AskTotal,AskDivision,$J82)+SUMIFS(AskTotal,AskDepartment,$J82)+SUMIFS(AskTotal,AskUnit,$J82)+SUMIFS(AskTotal,AskSubUnit,$J82)</f>
        <v>0</v>
      </c>
      <c r="H82" s="20" t="n">
        <f aca="false">$C82-$F82+$G82</f>
        <v>18</v>
      </c>
      <c r="I82" s="20" t="n">
        <f aca="false">$H82-$C82</f>
        <v>0</v>
      </c>
      <c r="J82" s="17" t="s">
        <v>195</v>
      </c>
    </row>
    <row r="83" customFormat="false" ht="15" hidden="false" customHeight="false" outlineLevel="4" collapsed="false">
      <c r="A83" s="17" t="s">
        <v>46</v>
      </c>
      <c r="B83" s="18" t="s">
        <v>196</v>
      </c>
      <c r="C83" s="19" t="n">
        <v>9</v>
      </c>
      <c r="D83" s="19" t="n">
        <v>8</v>
      </c>
      <c r="E83" s="19" t="n">
        <v>1</v>
      </c>
      <c r="F83" s="20" t="n">
        <f aca="false">SUMIFS(SeatExits,SeatDivision,$J83)+SUMIFS(SeatExits,SeatDepartment,$J83)+SUMIFS(SeatExits,SeatUnit,$J83)+SUMIFS(SeatExits,SeatSubUnit,$J83)</f>
        <v>0</v>
      </c>
      <c r="G83" s="20" t="n">
        <f aca="false">SUMIFS(AskTotal,AskDivision,$J83)+SUMIFS(AskTotal,AskDepartment,$J83)+SUMIFS(AskTotal,AskUnit,$J83)+SUMIFS(AskTotal,AskSubUnit,$J83)</f>
        <v>0</v>
      </c>
      <c r="H83" s="20" t="n">
        <f aca="false">$C83-$F83+$G83</f>
        <v>9</v>
      </c>
      <c r="I83" s="20" t="n">
        <f aca="false">$H83-$C83</f>
        <v>0</v>
      </c>
      <c r="J83" s="17" t="s">
        <v>197</v>
      </c>
    </row>
    <row r="84" customFormat="false" ht="15" hidden="false" customHeight="false" outlineLevel="5" collapsed="false">
      <c r="A84" s="17" t="s">
        <v>49</v>
      </c>
      <c r="B84" s="18" t="s">
        <v>198</v>
      </c>
      <c r="C84" s="19" t="n">
        <v>5</v>
      </c>
      <c r="D84" s="19" t="n">
        <v>4</v>
      </c>
      <c r="E84" s="19" t="n">
        <v>1</v>
      </c>
      <c r="F84" s="20" t="n">
        <f aca="false">SUMIFS(SeatExits,SeatDivision,$J84)+SUMIFS(SeatExits,SeatDepartment,$J84)+SUMIFS(SeatExits,SeatUnit,$J84)+SUMIFS(SeatExits,SeatSubUnit,$J84)</f>
        <v>0</v>
      </c>
      <c r="G84" s="20" t="n">
        <f aca="false">SUMIFS(AskTotal,AskDivision,$J84)+SUMIFS(AskTotal,AskDepartment,$J84)+SUMIFS(AskTotal,AskUnit,$J84)+SUMIFS(AskTotal,AskSubUnit,$J84)</f>
        <v>0</v>
      </c>
      <c r="H84" s="20" t="n">
        <f aca="false">$C84-$F84+$G84</f>
        <v>5</v>
      </c>
      <c r="I84" s="20" t="n">
        <f aca="false">$H84-$C84</f>
        <v>0</v>
      </c>
      <c r="J84" s="17" t="s">
        <v>199</v>
      </c>
    </row>
    <row r="85" customFormat="false" ht="15" hidden="false" customHeight="false" outlineLevel="5" collapsed="false">
      <c r="A85" s="17" t="s">
        <v>49</v>
      </c>
      <c r="B85" s="18" t="s">
        <v>200</v>
      </c>
      <c r="C85" s="19" t="n">
        <v>3</v>
      </c>
      <c r="D85" s="19" t="n">
        <v>3</v>
      </c>
      <c r="E85" s="19" t="n">
        <v>0</v>
      </c>
      <c r="F85" s="20" t="n">
        <f aca="false">SUMIFS(SeatExits,SeatDivision,$J85)+SUMIFS(SeatExits,SeatDepartment,$J85)+SUMIFS(SeatExits,SeatUnit,$J85)+SUMIFS(SeatExits,SeatSubUnit,$J85)</f>
        <v>0</v>
      </c>
      <c r="G85" s="20" t="n">
        <f aca="false">SUMIFS(AskTotal,AskDivision,$J85)+SUMIFS(AskTotal,AskDepartment,$J85)+SUMIFS(AskTotal,AskUnit,$J85)+SUMIFS(AskTotal,AskSubUnit,$J85)</f>
        <v>0</v>
      </c>
      <c r="H85" s="20" t="n">
        <f aca="false">$C85-$F85+$G85</f>
        <v>3</v>
      </c>
      <c r="I85" s="20" t="n">
        <f aca="false">$H85-$C85</f>
        <v>0</v>
      </c>
      <c r="J85" s="17" t="s">
        <v>201</v>
      </c>
    </row>
    <row r="86" customFormat="false" ht="15" hidden="false" customHeight="false" outlineLevel="4" collapsed="false">
      <c r="A86" s="17" t="s">
        <v>46</v>
      </c>
      <c r="B86" s="18" t="s">
        <v>202</v>
      </c>
      <c r="C86" s="19" t="n">
        <v>8</v>
      </c>
      <c r="D86" s="19" t="n">
        <v>6</v>
      </c>
      <c r="E86" s="19" t="n">
        <v>2</v>
      </c>
      <c r="F86" s="20" t="n">
        <f aca="false">SUMIFS(SeatExits,SeatDivision,$J86)+SUMIFS(SeatExits,SeatDepartment,$J86)+SUMIFS(SeatExits,SeatUnit,$J86)+SUMIFS(SeatExits,SeatSubUnit,$J86)</f>
        <v>0</v>
      </c>
      <c r="G86" s="20" t="n">
        <f aca="false">SUMIFS(AskTotal,AskDivision,$J86)+SUMIFS(AskTotal,AskDepartment,$J86)+SUMIFS(AskTotal,AskUnit,$J86)+SUMIFS(AskTotal,AskSubUnit,$J86)</f>
        <v>0</v>
      </c>
      <c r="H86" s="20" t="n">
        <f aca="false">$C86-$F86+$G86</f>
        <v>8</v>
      </c>
      <c r="I86" s="20" t="n">
        <f aca="false">$H86-$C86</f>
        <v>0</v>
      </c>
      <c r="J86" s="17" t="s">
        <v>203</v>
      </c>
    </row>
    <row r="87" customFormat="false" ht="15" hidden="false" customHeight="false" outlineLevel="5" collapsed="false">
      <c r="A87" s="17" t="s">
        <v>49</v>
      </c>
      <c r="B87" s="18" t="s">
        <v>204</v>
      </c>
      <c r="C87" s="19" t="n">
        <v>4</v>
      </c>
      <c r="D87" s="19" t="n">
        <v>3</v>
      </c>
      <c r="E87" s="19" t="n">
        <v>1</v>
      </c>
      <c r="F87" s="20" t="n">
        <f aca="false">SUMIFS(SeatExits,SeatDivision,$J87)+SUMIFS(SeatExits,SeatDepartment,$J87)+SUMIFS(SeatExits,SeatUnit,$J87)+SUMIFS(SeatExits,SeatSubUnit,$J87)</f>
        <v>0</v>
      </c>
      <c r="G87" s="20" t="n">
        <f aca="false">SUMIFS(AskTotal,AskDivision,$J87)+SUMIFS(AskTotal,AskDepartment,$J87)+SUMIFS(AskTotal,AskUnit,$J87)+SUMIFS(AskTotal,AskSubUnit,$J87)</f>
        <v>0</v>
      </c>
      <c r="H87" s="20" t="n">
        <f aca="false">$C87-$F87+$G87</f>
        <v>4</v>
      </c>
      <c r="I87" s="20" t="n">
        <f aca="false">$H87-$C87</f>
        <v>0</v>
      </c>
      <c r="J87" s="17" t="s">
        <v>205</v>
      </c>
    </row>
    <row r="88" customFormat="false" ht="15" hidden="false" customHeight="false" outlineLevel="5" collapsed="false">
      <c r="A88" s="17" t="s">
        <v>49</v>
      </c>
      <c r="B88" s="18" t="s">
        <v>206</v>
      </c>
      <c r="C88" s="19" t="n">
        <v>3</v>
      </c>
      <c r="D88" s="19" t="n">
        <v>2</v>
      </c>
      <c r="E88" s="19" t="n">
        <v>1</v>
      </c>
      <c r="F88" s="20" t="n">
        <f aca="false">SUMIFS(SeatExits,SeatDivision,$J88)+SUMIFS(SeatExits,SeatDepartment,$J88)+SUMIFS(SeatExits,SeatUnit,$J88)+SUMIFS(SeatExits,SeatSubUnit,$J88)</f>
        <v>0</v>
      </c>
      <c r="G88" s="20" t="n">
        <f aca="false">SUMIFS(AskTotal,AskDivision,$J88)+SUMIFS(AskTotal,AskDepartment,$J88)+SUMIFS(AskTotal,AskUnit,$J88)+SUMIFS(AskTotal,AskSubUnit,$J88)</f>
        <v>0</v>
      </c>
      <c r="H88" s="20" t="n">
        <f aca="false">$C88-$F88+$G88</f>
        <v>3</v>
      </c>
      <c r="I88" s="20" t="n">
        <f aca="false">$H88-$C88</f>
        <v>0</v>
      </c>
      <c r="J88" s="17" t="s">
        <v>207</v>
      </c>
    </row>
    <row r="89" customFormat="false" ht="15" hidden="false" customHeight="false" outlineLevel="3" collapsed="false">
      <c r="A89" s="17" t="s">
        <v>27</v>
      </c>
      <c r="B89" s="18" t="s">
        <v>208</v>
      </c>
      <c r="C89" s="19" t="n">
        <v>18</v>
      </c>
      <c r="D89" s="19" t="n">
        <v>17</v>
      </c>
      <c r="E89" s="19" t="n">
        <v>1</v>
      </c>
      <c r="F89" s="20" t="n">
        <f aca="false">SUMIFS(SeatExits,SeatDivision,$J89)+SUMIFS(SeatExits,SeatDepartment,$J89)+SUMIFS(SeatExits,SeatUnit,$J89)+SUMIFS(SeatExits,SeatSubUnit,$J89)</f>
        <v>0</v>
      </c>
      <c r="G89" s="20" t="n">
        <f aca="false">SUMIFS(AskTotal,AskDivision,$J89)+SUMIFS(AskTotal,AskDepartment,$J89)+SUMIFS(AskTotal,AskUnit,$J89)+SUMIFS(AskTotal,AskSubUnit,$J89)</f>
        <v>0</v>
      </c>
      <c r="H89" s="20" t="n">
        <f aca="false">$C89-$F89+$G89</f>
        <v>18</v>
      </c>
      <c r="I89" s="20" t="n">
        <f aca="false">$H89-$C89</f>
        <v>0</v>
      </c>
      <c r="J89" s="17" t="s">
        <v>209</v>
      </c>
    </row>
    <row r="90" customFormat="false" ht="15" hidden="false" customHeight="false" outlineLevel="4" collapsed="false">
      <c r="A90" s="17" t="s">
        <v>46</v>
      </c>
      <c r="B90" s="18" t="s">
        <v>210</v>
      </c>
      <c r="C90" s="19" t="n">
        <v>8</v>
      </c>
      <c r="D90" s="19" t="n">
        <v>7</v>
      </c>
      <c r="E90" s="19" t="n">
        <v>1</v>
      </c>
      <c r="F90" s="20" t="n">
        <f aca="false">SUMIFS(SeatExits,SeatDivision,$J90)+SUMIFS(SeatExits,SeatDepartment,$J90)+SUMIFS(SeatExits,SeatUnit,$J90)+SUMIFS(SeatExits,SeatSubUnit,$J90)</f>
        <v>0</v>
      </c>
      <c r="G90" s="20" t="n">
        <f aca="false">SUMIFS(AskTotal,AskDivision,$J90)+SUMIFS(AskTotal,AskDepartment,$J90)+SUMIFS(AskTotal,AskUnit,$J90)+SUMIFS(AskTotal,AskSubUnit,$J90)</f>
        <v>0</v>
      </c>
      <c r="H90" s="20" t="n">
        <f aca="false">$C90-$F90+$G90</f>
        <v>8</v>
      </c>
      <c r="I90" s="20" t="n">
        <f aca="false">$H90-$C90</f>
        <v>0</v>
      </c>
      <c r="J90" s="17" t="s">
        <v>211</v>
      </c>
    </row>
    <row r="91" customFormat="false" ht="15" hidden="false" customHeight="false" outlineLevel="5" collapsed="false">
      <c r="A91" s="17" t="s">
        <v>49</v>
      </c>
      <c r="B91" s="18" t="s">
        <v>212</v>
      </c>
      <c r="C91" s="19" t="n">
        <v>3</v>
      </c>
      <c r="D91" s="19" t="n">
        <v>3</v>
      </c>
      <c r="E91" s="19" t="n">
        <v>0</v>
      </c>
      <c r="F91" s="20" t="n">
        <f aca="false">SUMIFS(SeatExits,SeatDivision,$J91)+SUMIFS(SeatExits,SeatDepartment,$J91)+SUMIFS(SeatExits,SeatUnit,$J91)+SUMIFS(SeatExits,SeatSubUnit,$J91)</f>
        <v>0</v>
      </c>
      <c r="G91" s="20" t="n">
        <f aca="false">SUMIFS(AskTotal,AskDivision,$J91)+SUMIFS(AskTotal,AskDepartment,$J91)+SUMIFS(AskTotal,AskUnit,$J91)+SUMIFS(AskTotal,AskSubUnit,$J91)</f>
        <v>0</v>
      </c>
      <c r="H91" s="20" t="n">
        <f aca="false">$C91-$F91+$G91</f>
        <v>3</v>
      </c>
      <c r="I91" s="20" t="n">
        <f aca="false">$H91-$C91</f>
        <v>0</v>
      </c>
      <c r="J91" s="17" t="s">
        <v>213</v>
      </c>
    </row>
    <row r="92" customFormat="false" ht="15" hidden="false" customHeight="false" outlineLevel="5" collapsed="false">
      <c r="A92" s="17" t="s">
        <v>49</v>
      </c>
      <c r="B92" s="18" t="s">
        <v>214</v>
      </c>
      <c r="C92" s="19" t="n">
        <v>4</v>
      </c>
      <c r="D92" s="19" t="n">
        <v>3</v>
      </c>
      <c r="E92" s="19" t="n">
        <v>1</v>
      </c>
      <c r="F92" s="20" t="n">
        <f aca="false">SUMIFS(SeatExits,SeatDivision,$J92)+SUMIFS(SeatExits,SeatDepartment,$J92)+SUMIFS(SeatExits,SeatUnit,$J92)+SUMIFS(SeatExits,SeatSubUnit,$J92)</f>
        <v>0</v>
      </c>
      <c r="G92" s="20" t="n">
        <f aca="false">SUMIFS(AskTotal,AskDivision,$J92)+SUMIFS(AskTotal,AskDepartment,$J92)+SUMIFS(AskTotal,AskUnit,$J92)+SUMIFS(AskTotal,AskSubUnit,$J92)</f>
        <v>0</v>
      </c>
      <c r="H92" s="20" t="n">
        <f aca="false">$C92-$F92+$G92</f>
        <v>4</v>
      </c>
      <c r="I92" s="20" t="n">
        <f aca="false">$H92-$C92</f>
        <v>0</v>
      </c>
      <c r="J92" s="17" t="s">
        <v>215</v>
      </c>
    </row>
    <row r="93" customFormat="false" ht="15" hidden="false" customHeight="false" outlineLevel="4" collapsed="false">
      <c r="A93" s="17" t="s">
        <v>46</v>
      </c>
      <c r="B93" s="18" t="s">
        <v>216</v>
      </c>
      <c r="C93" s="19" t="n">
        <v>9</v>
      </c>
      <c r="D93" s="19" t="n">
        <v>9</v>
      </c>
      <c r="E93" s="19" t="n">
        <v>0</v>
      </c>
      <c r="F93" s="20" t="n">
        <f aca="false">SUMIFS(SeatExits,SeatDivision,$J93)+SUMIFS(SeatExits,SeatDepartment,$J93)+SUMIFS(SeatExits,SeatUnit,$J93)+SUMIFS(SeatExits,SeatSubUnit,$J93)</f>
        <v>0</v>
      </c>
      <c r="G93" s="20" t="n">
        <f aca="false">SUMIFS(AskTotal,AskDivision,$J93)+SUMIFS(AskTotal,AskDepartment,$J93)+SUMIFS(AskTotal,AskUnit,$J93)+SUMIFS(AskTotal,AskSubUnit,$J93)</f>
        <v>0</v>
      </c>
      <c r="H93" s="20" t="n">
        <f aca="false">$C93-$F93+$G93</f>
        <v>9</v>
      </c>
      <c r="I93" s="20" t="n">
        <f aca="false">$H93-$C93</f>
        <v>0</v>
      </c>
      <c r="J93" s="17" t="s">
        <v>217</v>
      </c>
    </row>
    <row r="94" customFormat="false" ht="15" hidden="false" customHeight="false" outlineLevel="5" collapsed="false">
      <c r="A94" s="17" t="s">
        <v>49</v>
      </c>
      <c r="B94" s="18" t="s">
        <v>218</v>
      </c>
      <c r="C94" s="19" t="n">
        <v>5</v>
      </c>
      <c r="D94" s="19" t="n">
        <v>5</v>
      </c>
      <c r="E94" s="19" t="n">
        <v>0</v>
      </c>
      <c r="F94" s="20" t="n">
        <f aca="false">SUMIFS(SeatExits,SeatDivision,$J94)+SUMIFS(SeatExits,SeatDepartment,$J94)+SUMIFS(SeatExits,SeatUnit,$J94)+SUMIFS(SeatExits,SeatSubUnit,$J94)</f>
        <v>0</v>
      </c>
      <c r="G94" s="20" t="n">
        <f aca="false">SUMIFS(AskTotal,AskDivision,$J94)+SUMIFS(AskTotal,AskDepartment,$J94)+SUMIFS(AskTotal,AskUnit,$J94)+SUMIFS(AskTotal,AskSubUnit,$J94)</f>
        <v>0</v>
      </c>
      <c r="H94" s="20" t="n">
        <f aca="false">$C94-$F94+$G94</f>
        <v>5</v>
      </c>
      <c r="I94" s="20" t="n">
        <f aca="false">$H94-$C94</f>
        <v>0</v>
      </c>
      <c r="J94" s="17" t="s">
        <v>219</v>
      </c>
    </row>
    <row r="95" customFormat="false" ht="15" hidden="false" customHeight="false" outlineLevel="5" collapsed="false">
      <c r="A95" s="17" t="s">
        <v>49</v>
      </c>
      <c r="B95" s="18" t="s">
        <v>220</v>
      </c>
      <c r="C95" s="19" t="n">
        <v>3</v>
      </c>
      <c r="D95" s="19" t="n">
        <v>3</v>
      </c>
      <c r="E95" s="19" t="n">
        <v>0</v>
      </c>
      <c r="F95" s="20" t="n">
        <f aca="false">SUMIFS(SeatExits,SeatDivision,$J95)+SUMIFS(SeatExits,SeatDepartment,$J95)+SUMIFS(SeatExits,SeatUnit,$J95)+SUMIFS(SeatExits,SeatSubUnit,$J95)</f>
        <v>0</v>
      </c>
      <c r="G95" s="20" t="n">
        <f aca="false">SUMIFS(AskTotal,AskDivision,$J95)+SUMIFS(AskTotal,AskDepartment,$J95)+SUMIFS(AskTotal,AskUnit,$J95)+SUMIFS(AskTotal,AskSubUnit,$J95)</f>
        <v>0</v>
      </c>
      <c r="H95" s="20" t="n">
        <f aca="false">$C95-$F95+$G95</f>
        <v>3</v>
      </c>
      <c r="I95" s="20" t="n">
        <f aca="false">$H95-$C95</f>
        <v>0</v>
      </c>
      <c r="J95" s="17" t="s">
        <v>221</v>
      </c>
    </row>
    <row r="96" customFormat="false" ht="15" hidden="false" customHeight="false" outlineLevel="1" collapsed="false">
      <c r="A96" s="13" t="s">
        <v>38</v>
      </c>
      <c r="B96" s="14" t="s">
        <v>222</v>
      </c>
      <c r="C96" s="15" t="n">
        <v>72</v>
      </c>
      <c r="D96" s="15" t="n">
        <v>64</v>
      </c>
      <c r="E96" s="15" t="n">
        <v>8</v>
      </c>
      <c r="F96" s="16" t="n">
        <f aca="false">SUMIFS(SeatExits,SeatDivision,$J96)+SUMIFS(SeatExits,SeatDepartment,$J96)+SUMIFS(SeatExits,SeatUnit,$J96)+SUMIFS(SeatExits,SeatSubUnit,$J96)</f>
        <v>0</v>
      </c>
      <c r="G96" s="16" t="n">
        <f aca="false">SUMIFS(AskTotal,AskDivision,$J96)+SUMIFS(AskTotal,AskDepartment,$J96)+SUMIFS(AskTotal,AskUnit,$J96)+SUMIFS(AskTotal,AskSubUnit,$J96)</f>
        <v>0</v>
      </c>
      <c r="H96" s="16" t="n">
        <f aca="false">$C96-$F96+$G96</f>
        <v>72</v>
      </c>
      <c r="I96" s="16" t="n">
        <f aca="false">$H96-$C96</f>
        <v>0</v>
      </c>
      <c r="J96" s="17" t="s">
        <v>223</v>
      </c>
    </row>
    <row r="97" customFormat="false" ht="15" hidden="false" customHeight="false" outlineLevel="2" collapsed="false">
      <c r="A97" s="17" t="s">
        <v>41</v>
      </c>
      <c r="B97" s="18" t="s">
        <v>224</v>
      </c>
      <c r="C97" s="19" t="n">
        <v>36</v>
      </c>
      <c r="D97" s="19" t="n">
        <v>32</v>
      </c>
      <c r="E97" s="19" t="n">
        <v>4</v>
      </c>
      <c r="F97" s="20" t="n">
        <f aca="false">SUMIFS(SeatExits,SeatDivision,$J97)+SUMIFS(SeatExits,SeatDepartment,$J97)+SUMIFS(SeatExits,SeatUnit,$J97)+SUMIFS(SeatExits,SeatSubUnit,$J97)</f>
        <v>0</v>
      </c>
      <c r="G97" s="20" t="n">
        <f aca="false">SUMIFS(AskTotal,AskDivision,$J97)+SUMIFS(AskTotal,AskDepartment,$J97)+SUMIFS(AskTotal,AskUnit,$J97)+SUMIFS(AskTotal,AskSubUnit,$J97)</f>
        <v>0</v>
      </c>
      <c r="H97" s="20" t="n">
        <f aca="false">$C97-$F97+$G97</f>
        <v>36</v>
      </c>
      <c r="I97" s="20" t="n">
        <f aca="false">$H97-$C97</f>
        <v>0</v>
      </c>
      <c r="J97" s="17" t="s">
        <v>225</v>
      </c>
    </row>
    <row r="98" customFormat="false" ht="15" hidden="false" customHeight="false" outlineLevel="3" collapsed="false">
      <c r="A98" s="17" t="s">
        <v>27</v>
      </c>
      <c r="B98" s="18" t="s">
        <v>226</v>
      </c>
      <c r="C98" s="19" t="n">
        <v>15</v>
      </c>
      <c r="D98" s="19" t="n">
        <v>12</v>
      </c>
      <c r="E98" s="19" t="n">
        <v>3</v>
      </c>
      <c r="F98" s="20" t="n">
        <f aca="false">SUMIFS(SeatExits,SeatDivision,$J98)+SUMIFS(SeatExits,SeatDepartment,$J98)+SUMIFS(SeatExits,SeatUnit,$J98)+SUMIFS(SeatExits,SeatSubUnit,$J98)</f>
        <v>0</v>
      </c>
      <c r="G98" s="20" t="n">
        <f aca="false">SUMIFS(AskTotal,AskDivision,$J98)+SUMIFS(AskTotal,AskDepartment,$J98)+SUMIFS(AskTotal,AskUnit,$J98)+SUMIFS(AskTotal,AskSubUnit,$J98)</f>
        <v>0</v>
      </c>
      <c r="H98" s="20" t="n">
        <f aca="false">$C98-$F98+$G98</f>
        <v>15</v>
      </c>
      <c r="I98" s="20" t="n">
        <f aca="false">$H98-$C98</f>
        <v>0</v>
      </c>
      <c r="J98" s="17" t="s">
        <v>227</v>
      </c>
    </row>
    <row r="99" customFormat="false" ht="15" hidden="false" customHeight="false" outlineLevel="4" collapsed="false">
      <c r="A99" s="17" t="s">
        <v>46</v>
      </c>
      <c r="B99" s="18" t="s">
        <v>228</v>
      </c>
      <c r="C99" s="19" t="n">
        <v>8</v>
      </c>
      <c r="D99" s="19" t="n">
        <v>7</v>
      </c>
      <c r="E99" s="19" t="n">
        <v>1</v>
      </c>
      <c r="F99" s="20" t="n">
        <f aca="false">SUMIFS(SeatExits,SeatDivision,$J99)+SUMIFS(SeatExits,SeatDepartment,$J99)+SUMIFS(SeatExits,SeatUnit,$J99)+SUMIFS(SeatExits,SeatSubUnit,$J99)</f>
        <v>0</v>
      </c>
      <c r="G99" s="20" t="n">
        <f aca="false">SUMIFS(AskTotal,AskDivision,$J99)+SUMIFS(AskTotal,AskDepartment,$J99)+SUMIFS(AskTotal,AskUnit,$J99)+SUMIFS(AskTotal,AskSubUnit,$J99)</f>
        <v>0</v>
      </c>
      <c r="H99" s="20" t="n">
        <f aca="false">$C99-$F99+$G99</f>
        <v>8</v>
      </c>
      <c r="I99" s="20" t="n">
        <f aca="false">$H99-$C99</f>
        <v>0</v>
      </c>
      <c r="J99" s="17" t="s">
        <v>229</v>
      </c>
    </row>
    <row r="100" customFormat="false" ht="15" hidden="false" customHeight="false" outlineLevel="5" collapsed="false">
      <c r="A100" s="17" t="s">
        <v>49</v>
      </c>
      <c r="B100" s="18" t="s">
        <v>230</v>
      </c>
      <c r="C100" s="19" t="n">
        <v>5</v>
      </c>
      <c r="D100" s="19" t="n">
        <v>5</v>
      </c>
      <c r="E100" s="19" t="n">
        <v>0</v>
      </c>
      <c r="F100" s="20" t="n">
        <f aca="false">SUMIFS(SeatExits,SeatDivision,$J100)+SUMIFS(SeatExits,SeatDepartment,$J100)+SUMIFS(SeatExits,SeatUnit,$J100)+SUMIFS(SeatExits,SeatSubUnit,$J100)</f>
        <v>0</v>
      </c>
      <c r="G100" s="20" t="n">
        <f aca="false">SUMIFS(AskTotal,AskDivision,$J100)+SUMIFS(AskTotal,AskDepartment,$J100)+SUMIFS(AskTotal,AskUnit,$J100)+SUMIFS(AskTotal,AskSubUnit,$J100)</f>
        <v>0</v>
      </c>
      <c r="H100" s="20" t="n">
        <f aca="false">$C100-$F100+$G100</f>
        <v>5</v>
      </c>
      <c r="I100" s="20" t="n">
        <f aca="false">$H100-$C100</f>
        <v>0</v>
      </c>
      <c r="J100" s="17" t="s">
        <v>231</v>
      </c>
    </row>
    <row r="101" customFormat="false" ht="15" hidden="false" customHeight="false" outlineLevel="5" collapsed="false">
      <c r="A101" s="17" t="s">
        <v>49</v>
      </c>
      <c r="B101" s="18" t="s">
        <v>232</v>
      </c>
      <c r="C101" s="19" t="n">
        <v>2</v>
      </c>
      <c r="D101" s="19" t="n">
        <v>1</v>
      </c>
      <c r="E101" s="19" t="n">
        <v>1</v>
      </c>
      <c r="F101" s="20" t="n">
        <f aca="false">SUMIFS(SeatExits,SeatDivision,$J101)+SUMIFS(SeatExits,SeatDepartment,$J101)+SUMIFS(SeatExits,SeatUnit,$J101)+SUMIFS(SeatExits,SeatSubUnit,$J101)</f>
        <v>0</v>
      </c>
      <c r="G101" s="20" t="n">
        <f aca="false">SUMIFS(AskTotal,AskDivision,$J101)+SUMIFS(AskTotal,AskDepartment,$J101)+SUMIFS(AskTotal,AskUnit,$J101)+SUMIFS(AskTotal,AskSubUnit,$J101)</f>
        <v>0</v>
      </c>
      <c r="H101" s="20" t="n">
        <f aca="false">$C101-$F101+$G101</f>
        <v>2</v>
      </c>
      <c r="I101" s="20" t="n">
        <f aca="false">$H101-$C101</f>
        <v>0</v>
      </c>
      <c r="J101" s="17" t="s">
        <v>233</v>
      </c>
    </row>
    <row r="102" customFormat="false" ht="15" hidden="false" customHeight="false" outlineLevel="4" collapsed="false">
      <c r="A102" s="17" t="s">
        <v>46</v>
      </c>
      <c r="B102" s="18" t="s">
        <v>234</v>
      </c>
      <c r="C102" s="19" t="n">
        <v>6</v>
      </c>
      <c r="D102" s="19" t="n">
        <v>4</v>
      </c>
      <c r="E102" s="19" t="n">
        <v>2</v>
      </c>
      <c r="F102" s="20" t="n">
        <f aca="false">SUMIFS(SeatExits,SeatDivision,$J102)+SUMIFS(SeatExits,SeatDepartment,$J102)+SUMIFS(SeatExits,SeatUnit,$J102)+SUMIFS(SeatExits,SeatSubUnit,$J102)</f>
        <v>0</v>
      </c>
      <c r="G102" s="20" t="n">
        <f aca="false">SUMIFS(AskTotal,AskDivision,$J102)+SUMIFS(AskTotal,AskDepartment,$J102)+SUMIFS(AskTotal,AskUnit,$J102)+SUMIFS(AskTotal,AskSubUnit,$J102)</f>
        <v>0</v>
      </c>
      <c r="H102" s="20" t="n">
        <f aca="false">$C102-$F102+$G102</f>
        <v>6</v>
      </c>
      <c r="I102" s="20" t="n">
        <f aca="false">$H102-$C102</f>
        <v>0</v>
      </c>
      <c r="J102" s="17" t="s">
        <v>235</v>
      </c>
    </row>
    <row r="103" customFormat="false" ht="15" hidden="false" customHeight="false" outlineLevel="5" collapsed="false">
      <c r="A103" s="17" t="s">
        <v>49</v>
      </c>
      <c r="B103" s="18" t="s">
        <v>236</v>
      </c>
      <c r="C103" s="19" t="n">
        <v>2</v>
      </c>
      <c r="D103" s="19" t="n">
        <v>2</v>
      </c>
      <c r="E103" s="19" t="n">
        <v>0</v>
      </c>
      <c r="F103" s="20" t="n">
        <f aca="false">SUMIFS(SeatExits,SeatDivision,$J103)+SUMIFS(SeatExits,SeatDepartment,$J103)+SUMIFS(SeatExits,SeatUnit,$J103)+SUMIFS(SeatExits,SeatSubUnit,$J103)</f>
        <v>0</v>
      </c>
      <c r="G103" s="20" t="n">
        <f aca="false">SUMIFS(AskTotal,AskDivision,$J103)+SUMIFS(AskTotal,AskDepartment,$J103)+SUMIFS(AskTotal,AskUnit,$J103)+SUMIFS(AskTotal,AskSubUnit,$J103)</f>
        <v>0</v>
      </c>
      <c r="H103" s="20" t="n">
        <f aca="false">$C103-$F103+$G103</f>
        <v>2</v>
      </c>
      <c r="I103" s="20" t="n">
        <f aca="false">$H103-$C103</f>
        <v>0</v>
      </c>
      <c r="J103" s="17" t="s">
        <v>237</v>
      </c>
    </row>
    <row r="104" customFormat="false" ht="15" hidden="false" customHeight="false" outlineLevel="5" collapsed="false">
      <c r="A104" s="17" t="s">
        <v>49</v>
      </c>
      <c r="B104" s="18" t="s">
        <v>238</v>
      </c>
      <c r="C104" s="19" t="n">
        <v>3</v>
      </c>
      <c r="D104" s="19" t="n">
        <v>2</v>
      </c>
      <c r="E104" s="19" t="n">
        <v>1</v>
      </c>
      <c r="F104" s="20" t="n">
        <f aca="false">SUMIFS(SeatExits,SeatDivision,$J104)+SUMIFS(SeatExits,SeatDepartment,$J104)+SUMIFS(SeatExits,SeatUnit,$J104)+SUMIFS(SeatExits,SeatSubUnit,$J104)</f>
        <v>0</v>
      </c>
      <c r="G104" s="20" t="n">
        <f aca="false">SUMIFS(AskTotal,AskDivision,$J104)+SUMIFS(AskTotal,AskDepartment,$J104)+SUMIFS(AskTotal,AskUnit,$J104)+SUMIFS(AskTotal,AskSubUnit,$J104)</f>
        <v>0</v>
      </c>
      <c r="H104" s="20" t="n">
        <f aca="false">$C104-$F104+$G104</f>
        <v>3</v>
      </c>
      <c r="I104" s="20" t="n">
        <f aca="false">$H104-$C104</f>
        <v>0</v>
      </c>
      <c r="J104" s="17" t="s">
        <v>239</v>
      </c>
    </row>
    <row r="105" customFormat="false" ht="15" hidden="false" customHeight="false" outlineLevel="3" collapsed="false">
      <c r="A105" s="17" t="s">
        <v>27</v>
      </c>
      <c r="B105" s="18" t="s">
        <v>240</v>
      </c>
      <c r="C105" s="19" t="n">
        <v>20</v>
      </c>
      <c r="D105" s="19" t="n">
        <v>19</v>
      </c>
      <c r="E105" s="19" t="n">
        <v>1</v>
      </c>
      <c r="F105" s="20" t="n">
        <f aca="false">SUMIFS(SeatExits,SeatDivision,$J105)+SUMIFS(SeatExits,SeatDepartment,$J105)+SUMIFS(SeatExits,SeatUnit,$J105)+SUMIFS(SeatExits,SeatSubUnit,$J105)</f>
        <v>0</v>
      </c>
      <c r="G105" s="20" t="n">
        <f aca="false">SUMIFS(AskTotal,AskDivision,$J105)+SUMIFS(AskTotal,AskDepartment,$J105)+SUMIFS(AskTotal,AskUnit,$J105)+SUMIFS(AskTotal,AskSubUnit,$J105)</f>
        <v>0</v>
      </c>
      <c r="H105" s="20" t="n">
        <f aca="false">$C105-$F105+$G105</f>
        <v>20</v>
      </c>
      <c r="I105" s="20" t="n">
        <f aca="false">$H105-$C105</f>
        <v>0</v>
      </c>
      <c r="J105" s="17" t="s">
        <v>241</v>
      </c>
    </row>
    <row r="106" customFormat="false" ht="15" hidden="false" customHeight="false" outlineLevel="4" collapsed="false">
      <c r="A106" s="17" t="s">
        <v>46</v>
      </c>
      <c r="B106" s="18" t="s">
        <v>242</v>
      </c>
      <c r="C106" s="19" t="n">
        <v>9</v>
      </c>
      <c r="D106" s="19" t="n">
        <v>9</v>
      </c>
      <c r="E106" s="19" t="n">
        <v>0</v>
      </c>
      <c r="F106" s="20" t="n">
        <f aca="false">SUMIFS(SeatExits,SeatDivision,$J106)+SUMIFS(SeatExits,SeatDepartment,$J106)+SUMIFS(SeatExits,SeatUnit,$J106)+SUMIFS(SeatExits,SeatSubUnit,$J106)</f>
        <v>0</v>
      </c>
      <c r="G106" s="20" t="n">
        <f aca="false">SUMIFS(AskTotal,AskDivision,$J106)+SUMIFS(AskTotal,AskDepartment,$J106)+SUMIFS(AskTotal,AskUnit,$J106)+SUMIFS(AskTotal,AskSubUnit,$J106)</f>
        <v>0</v>
      </c>
      <c r="H106" s="20" t="n">
        <f aca="false">$C106-$F106+$G106</f>
        <v>9</v>
      </c>
      <c r="I106" s="20" t="n">
        <f aca="false">$H106-$C106</f>
        <v>0</v>
      </c>
      <c r="J106" s="17" t="s">
        <v>243</v>
      </c>
    </row>
    <row r="107" customFormat="false" ht="15" hidden="false" customHeight="false" outlineLevel="5" collapsed="false">
      <c r="A107" s="17" t="s">
        <v>49</v>
      </c>
      <c r="B107" s="18" t="s">
        <v>244</v>
      </c>
      <c r="C107" s="19" t="n">
        <v>1</v>
      </c>
      <c r="D107" s="19" t="n">
        <v>1</v>
      </c>
      <c r="E107" s="19" t="n">
        <v>0</v>
      </c>
      <c r="F107" s="20" t="n">
        <f aca="false">SUMIFS(SeatExits,SeatDivision,$J107)+SUMIFS(SeatExits,SeatDepartment,$J107)+SUMIFS(SeatExits,SeatUnit,$J107)+SUMIFS(SeatExits,SeatSubUnit,$J107)</f>
        <v>0</v>
      </c>
      <c r="G107" s="20" t="n">
        <f aca="false">SUMIFS(AskTotal,AskDivision,$J107)+SUMIFS(AskTotal,AskDepartment,$J107)+SUMIFS(AskTotal,AskUnit,$J107)+SUMIFS(AskTotal,AskSubUnit,$J107)</f>
        <v>0</v>
      </c>
      <c r="H107" s="20" t="n">
        <f aca="false">$C107-$F107+$G107</f>
        <v>1</v>
      </c>
      <c r="I107" s="20" t="n">
        <f aca="false">$H107-$C107</f>
        <v>0</v>
      </c>
      <c r="J107" s="17" t="s">
        <v>245</v>
      </c>
    </row>
    <row r="108" customFormat="false" ht="15" hidden="false" customHeight="false" outlineLevel="5" collapsed="false">
      <c r="A108" s="17" t="s">
        <v>49</v>
      </c>
      <c r="B108" s="18" t="s">
        <v>246</v>
      </c>
      <c r="C108" s="19" t="n">
        <v>7</v>
      </c>
      <c r="D108" s="19" t="n">
        <v>7</v>
      </c>
      <c r="E108" s="19" t="n">
        <v>0</v>
      </c>
      <c r="F108" s="20" t="n">
        <f aca="false">SUMIFS(SeatExits,SeatDivision,$J108)+SUMIFS(SeatExits,SeatDepartment,$J108)+SUMIFS(SeatExits,SeatUnit,$J108)+SUMIFS(SeatExits,SeatSubUnit,$J108)</f>
        <v>0</v>
      </c>
      <c r="G108" s="20" t="n">
        <f aca="false">SUMIFS(AskTotal,AskDivision,$J108)+SUMIFS(AskTotal,AskDepartment,$J108)+SUMIFS(AskTotal,AskUnit,$J108)+SUMIFS(AskTotal,AskSubUnit,$J108)</f>
        <v>0</v>
      </c>
      <c r="H108" s="20" t="n">
        <f aca="false">$C108-$F108+$G108</f>
        <v>7</v>
      </c>
      <c r="I108" s="20" t="n">
        <f aca="false">$H108-$C108</f>
        <v>0</v>
      </c>
      <c r="J108" s="17" t="s">
        <v>247</v>
      </c>
    </row>
    <row r="109" customFormat="false" ht="15" hidden="false" customHeight="false" outlineLevel="4" collapsed="false">
      <c r="A109" s="17" t="s">
        <v>46</v>
      </c>
      <c r="B109" s="18" t="s">
        <v>248</v>
      </c>
      <c r="C109" s="19" t="n">
        <v>10</v>
      </c>
      <c r="D109" s="19" t="n">
        <v>9</v>
      </c>
      <c r="E109" s="19" t="n">
        <v>1</v>
      </c>
      <c r="F109" s="20" t="n">
        <f aca="false">SUMIFS(SeatExits,SeatDivision,$J109)+SUMIFS(SeatExits,SeatDepartment,$J109)+SUMIFS(SeatExits,SeatUnit,$J109)+SUMIFS(SeatExits,SeatSubUnit,$J109)</f>
        <v>0</v>
      </c>
      <c r="G109" s="20" t="n">
        <f aca="false">SUMIFS(AskTotal,AskDivision,$J109)+SUMIFS(AskTotal,AskDepartment,$J109)+SUMIFS(AskTotal,AskUnit,$J109)+SUMIFS(AskTotal,AskSubUnit,$J109)</f>
        <v>0</v>
      </c>
      <c r="H109" s="20" t="n">
        <f aca="false">$C109-$F109+$G109</f>
        <v>10</v>
      </c>
      <c r="I109" s="20" t="n">
        <f aca="false">$H109-$C109</f>
        <v>0</v>
      </c>
      <c r="J109" s="17" t="s">
        <v>249</v>
      </c>
    </row>
    <row r="110" customFormat="false" ht="15" hidden="false" customHeight="false" outlineLevel="5" collapsed="false">
      <c r="A110" s="17" t="s">
        <v>49</v>
      </c>
      <c r="B110" s="18" t="s">
        <v>250</v>
      </c>
      <c r="C110" s="19" t="n">
        <v>5</v>
      </c>
      <c r="D110" s="19" t="n">
        <v>5</v>
      </c>
      <c r="E110" s="19" t="n">
        <v>0</v>
      </c>
      <c r="F110" s="20" t="n">
        <f aca="false">SUMIFS(SeatExits,SeatDivision,$J110)+SUMIFS(SeatExits,SeatDepartment,$J110)+SUMIFS(SeatExits,SeatUnit,$J110)+SUMIFS(SeatExits,SeatSubUnit,$J110)</f>
        <v>0</v>
      </c>
      <c r="G110" s="20" t="n">
        <f aca="false">SUMIFS(AskTotal,AskDivision,$J110)+SUMIFS(AskTotal,AskDepartment,$J110)+SUMIFS(AskTotal,AskUnit,$J110)+SUMIFS(AskTotal,AskSubUnit,$J110)</f>
        <v>0</v>
      </c>
      <c r="H110" s="20" t="n">
        <f aca="false">$C110-$F110+$G110</f>
        <v>5</v>
      </c>
      <c r="I110" s="20" t="n">
        <f aca="false">$H110-$C110</f>
        <v>0</v>
      </c>
      <c r="J110" s="17" t="s">
        <v>251</v>
      </c>
    </row>
    <row r="111" customFormat="false" ht="15" hidden="false" customHeight="false" outlineLevel="5" collapsed="false">
      <c r="A111" s="17" t="s">
        <v>49</v>
      </c>
      <c r="B111" s="18" t="s">
        <v>252</v>
      </c>
      <c r="C111" s="19" t="n">
        <v>4</v>
      </c>
      <c r="D111" s="19" t="n">
        <v>3</v>
      </c>
      <c r="E111" s="19" t="n">
        <v>1</v>
      </c>
      <c r="F111" s="20" t="n">
        <f aca="false">SUMIFS(SeatExits,SeatDivision,$J111)+SUMIFS(SeatExits,SeatDepartment,$J111)+SUMIFS(SeatExits,SeatUnit,$J111)+SUMIFS(SeatExits,SeatSubUnit,$J111)</f>
        <v>0</v>
      </c>
      <c r="G111" s="20" t="n">
        <f aca="false">SUMIFS(AskTotal,AskDivision,$J111)+SUMIFS(AskTotal,AskDepartment,$J111)+SUMIFS(AskTotal,AskUnit,$J111)+SUMIFS(AskTotal,AskSubUnit,$J111)</f>
        <v>0</v>
      </c>
      <c r="H111" s="20" t="n">
        <f aca="false">$C111-$F111+$G111</f>
        <v>4</v>
      </c>
      <c r="I111" s="20" t="n">
        <f aca="false">$H111-$C111</f>
        <v>0</v>
      </c>
      <c r="J111" s="17" t="s">
        <v>253</v>
      </c>
    </row>
    <row r="112" customFormat="false" ht="15" hidden="false" customHeight="false" outlineLevel="2" collapsed="false">
      <c r="A112" s="17" t="s">
        <v>41</v>
      </c>
      <c r="B112" s="18" t="s">
        <v>254</v>
      </c>
      <c r="C112" s="19" t="n">
        <v>35</v>
      </c>
      <c r="D112" s="19" t="n">
        <v>31</v>
      </c>
      <c r="E112" s="19" t="n">
        <v>4</v>
      </c>
      <c r="F112" s="20" t="n">
        <f aca="false">SUMIFS(SeatExits,SeatDivision,$J112)+SUMIFS(SeatExits,SeatDepartment,$J112)+SUMIFS(SeatExits,SeatUnit,$J112)+SUMIFS(SeatExits,SeatSubUnit,$J112)</f>
        <v>0</v>
      </c>
      <c r="G112" s="20" t="n">
        <f aca="false">SUMIFS(AskTotal,AskDivision,$J112)+SUMIFS(AskTotal,AskDepartment,$J112)+SUMIFS(AskTotal,AskUnit,$J112)+SUMIFS(AskTotal,AskSubUnit,$J112)</f>
        <v>0</v>
      </c>
      <c r="H112" s="20" t="n">
        <f aca="false">$C112-$F112+$G112</f>
        <v>35</v>
      </c>
      <c r="I112" s="20" t="n">
        <f aca="false">$H112-$C112</f>
        <v>0</v>
      </c>
      <c r="J112" s="17" t="s">
        <v>255</v>
      </c>
    </row>
    <row r="113" customFormat="false" ht="15" hidden="false" customHeight="false" outlineLevel="3" collapsed="false">
      <c r="A113" s="17" t="s">
        <v>27</v>
      </c>
      <c r="B113" s="18" t="s">
        <v>256</v>
      </c>
      <c r="C113" s="19" t="n">
        <v>17</v>
      </c>
      <c r="D113" s="19" t="n">
        <v>14</v>
      </c>
      <c r="E113" s="19" t="n">
        <v>3</v>
      </c>
      <c r="F113" s="20" t="n">
        <f aca="false">SUMIFS(SeatExits,SeatDivision,$J113)+SUMIFS(SeatExits,SeatDepartment,$J113)+SUMIFS(SeatExits,SeatUnit,$J113)+SUMIFS(SeatExits,SeatSubUnit,$J113)</f>
        <v>0</v>
      </c>
      <c r="G113" s="20" t="n">
        <f aca="false">SUMIFS(AskTotal,AskDivision,$J113)+SUMIFS(AskTotal,AskDepartment,$J113)+SUMIFS(AskTotal,AskUnit,$J113)+SUMIFS(AskTotal,AskSubUnit,$J113)</f>
        <v>0</v>
      </c>
      <c r="H113" s="20" t="n">
        <f aca="false">$C113-$F113+$G113</f>
        <v>17</v>
      </c>
      <c r="I113" s="20" t="n">
        <f aca="false">$H113-$C113</f>
        <v>0</v>
      </c>
      <c r="J113" s="17" t="s">
        <v>257</v>
      </c>
    </row>
    <row r="114" customFormat="false" ht="15" hidden="false" customHeight="false" outlineLevel="4" collapsed="false">
      <c r="A114" s="17" t="s">
        <v>46</v>
      </c>
      <c r="B114" s="18" t="s">
        <v>258</v>
      </c>
      <c r="C114" s="19" t="n">
        <v>8</v>
      </c>
      <c r="D114" s="19" t="n">
        <v>6</v>
      </c>
      <c r="E114" s="19" t="n">
        <v>2</v>
      </c>
      <c r="F114" s="20" t="n">
        <f aca="false">SUMIFS(SeatExits,SeatDivision,$J114)+SUMIFS(SeatExits,SeatDepartment,$J114)+SUMIFS(SeatExits,SeatUnit,$J114)+SUMIFS(SeatExits,SeatSubUnit,$J114)</f>
        <v>0</v>
      </c>
      <c r="G114" s="20" t="n">
        <f aca="false">SUMIFS(AskTotal,AskDivision,$J114)+SUMIFS(AskTotal,AskDepartment,$J114)+SUMIFS(AskTotal,AskUnit,$J114)+SUMIFS(AskTotal,AskSubUnit,$J114)</f>
        <v>0</v>
      </c>
      <c r="H114" s="20" t="n">
        <f aca="false">$C114-$F114+$G114</f>
        <v>8</v>
      </c>
      <c r="I114" s="20" t="n">
        <f aca="false">$H114-$C114</f>
        <v>0</v>
      </c>
      <c r="J114" s="17" t="s">
        <v>259</v>
      </c>
    </row>
    <row r="115" customFormat="false" ht="15" hidden="false" customHeight="false" outlineLevel="5" collapsed="false">
      <c r="A115" s="17" t="s">
        <v>49</v>
      </c>
      <c r="B115" s="18" t="s">
        <v>260</v>
      </c>
      <c r="C115" s="19" t="n">
        <v>3</v>
      </c>
      <c r="D115" s="19" t="n">
        <v>3</v>
      </c>
      <c r="E115" s="19" t="n">
        <v>0</v>
      </c>
      <c r="F115" s="20" t="n">
        <f aca="false">SUMIFS(SeatExits,SeatDivision,$J115)+SUMIFS(SeatExits,SeatDepartment,$J115)+SUMIFS(SeatExits,SeatUnit,$J115)+SUMIFS(SeatExits,SeatSubUnit,$J115)</f>
        <v>0</v>
      </c>
      <c r="G115" s="20" t="n">
        <f aca="false">SUMIFS(AskTotal,AskDivision,$J115)+SUMIFS(AskTotal,AskDepartment,$J115)+SUMIFS(AskTotal,AskUnit,$J115)+SUMIFS(AskTotal,AskSubUnit,$J115)</f>
        <v>0</v>
      </c>
      <c r="H115" s="20" t="n">
        <f aca="false">$C115-$F115+$G115</f>
        <v>3</v>
      </c>
      <c r="I115" s="20" t="n">
        <f aca="false">$H115-$C115</f>
        <v>0</v>
      </c>
      <c r="J115" s="17" t="s">
        <v>261</v>
      </c>
    </row>
    <row r="116" customFormat="false" ht="15" hidden="false" customHeight="false" outlineLevel="5" collapsed="false">
      <c r="A116" s="17" t="s">
        <v>49</v>
      </c>
      <c r="B116" s="18" t="s">
        <v>262</v>
      </c>
      <c r="C116" s="19" t="n">
        <v>4</v>
      </c>
      <c r="D116" s="19" t="n">
        <v>2</v>
      </c>
      <c r="E116" s="19" t="n">
        <v>2</v>
      </c>
      <c r="F116" s="20" t="n">
        <f aca="false">SUMIFS(SeatExits,SeatDivision,$J116)+SUMIFS(SeatExits,SeatDepartment,$J116)+SUMIFS(SeatExits,SeatUnit,$J116)+SUMIFS(SeatExits,SeatSubUnit,$J116)</f>
        <v>0</v>
      </c>
      <c r="G116" s="20" t="n">
        <f aca="false">SUMIFS(AskTotal,AskDivision,$J116)+SUMIFS(AskTotal,AskDepartment,$J116)+SUMIFS(AskTotal,AskUnit,$J116)+SUMIFS(AskTotal,AskSubUnit,$J116)</f>
        <v>0</v>
      </c>
      <c r="H116" s="20" t="n">
        <f aca="false">$C116-$F116+$G116</f>
        <v>4</v>
      </c>
      <c r="I116" s="20" t="n">
        <f aca="false">$H116-$C116</f>
        <v>0</v>
      </c>
      <c r="J116" s="17" t="s">
        <v>263</v>
      </c>
    </row>
    <row r="117" customFormat="false" ht="15" hidden="false" customHeight="false" outlineLevel="4" collapsed="false">
      <c r="A117" s="17" t="s">
        <v>46</v>
      </c>
      <c r="B117" s="18" t="s">
        <v>264</v>
      </c>
      <c r="C117" s="19" t="n">
        <v>8</v>
      </c>
      <c r="D117" s="19" t="n">
        <v>7</v>
      </c>
      <c r="E117" s="19" t="n">
        <v>1</v>
      </c>
      <c r="F117" s="20" t="n">
        <f aca="false">SUMIFS(SeatExits,SeatDivision,$J117)+SUMIFS(SeatExits,SeatDepartment,$J117)+SUMIFS(SeatExits,SeatUnit,$J117)+SUMIFS(SeatExits,SeatSubUnit,$J117)</f>
        <v>0</v>
      </c>
      <c r="G117" s="20" t="n">
        <f aca="false">SUMIFS(AskTotal,AskDivision,$J117)+SUMIFS(AskTotal,AskDepartment,$J117)+SUMIFS(AskTotal,AskUnit,$J117)+SUMIFS(AskTotal,AskSubUnit,$J117)</f>
        <v>0</v>
      </c>
      <c r="H117" s="20" t="n">
        <f aca="false">$C117-$F117+$G117</f>
        <v>8</v>
      </c>
      <c r="I117" s="20" t="n">
        <f aca="false">$H117-$C117</f>
        <v>0</v>
      </c>
      <c r="J117" s="17" t="s">
        <v>265</v>
      </c>
    </row>
    <row r="118" customFormat="false" ht="15" hidden="false" customHeight="false" outlineLevel="5" collapsed="false">
      <c r="A118" s="17" t="s">
        <v>49</v>
      </c>
      <c r="B118" s="18" t="s">
        <v>266</v>
      </c>
      <c r="C118" s="19" t="n">
        <v>5</v>
      </c>
      <c r="D118" s="19" t="n">
        <v>5</v>
      </c>
      <c r="E118" s="19" t="n">
        <v>0</v>
      </c>
      <c r="F118" s="20" t="n">
        <f aca="false">SUMIFS(SeatExits,SeatDivision,$J118)+SUMIFS(SeatExits,SeatDepartment,$J118)+SUMIFS(SeatExits,SeatUnit,$J118)+SUMIFS(SeatExits,SeatSubUnit,$J118)</f>
        <v>0</v>
      </c>
      <c r="G118" s="20" t="n">
        <f aca="false">SUMIFS(AskTotal,AskDivision,$J118)+SUMIFS(AskTotal,AskDepartment,$J118)+SUMIFS(AskTotal,AskUnit,$J118)+SUMIFS(AskTotal,AskSubUnit,$J118)</f>
        <v>0</v>
      </c>
      <c r="H118" s="20" t="n">
        <f aca="false">$C118-$F118+$G118</f>
        <v>5</v>
      </c>
      <c r="I118" s="20" t="n">
        <f aca="false">$H118-$C118</f>
        <v>0</v>
      </c>
      <c r="J118" s="17" t="s">
        <v>267</v>
      </c>
    </row>
    <row r="119" customFormat="false" ht="15" hidden="false" customHeight="false" outlineLevel="5" collapsed="false">
      <c r="A119" s="17" t="s">
        <v>49</v>
      </c>
      <c r="B119" s="18" t="s">
        <v>268</v>
      </c>
      <c r="C119" s="19" t="n">
        <v>2</v>
      </c>
      <c r="D119" s="19" t="n">
        <v>2</v>
      </c>
      <c r="E119" s="19" t="n">
        <v>0</v>
      </c>
      <c r="F119" s="20" t="n">
        <f aca="false">SUMIFS(SeatExits,SeatDivision,$J119)+SUMIFS(SeatExits,SeatDepartment,$J119)+SUMIFS(SeatExits,SeatUnit,$J119)+SUMIFS(SeatExits,SeatSubUnit,$J119)</f>
        <v>0</v>
      </c>
      <c r="G119" s="20" t="n">
        <f aca="false">SUMIFS(AskTotal,AskDivision,$J119)+SUMIFS(AskTotal,AskDepartment,$J119)+SUMIFS(AskTotal,AskUnit,$J119)+SUMIFS(AskTotal,AskSubUnit,$J119)</f>
        <v>0</v>
      </c>
      <c r="H119" s="20" t="n">
        <f aca="false">$C119-$F119+$G119</f>
        <v>2</v>
      </c>
      <c r="I119" s="20" t="n">
        <f aca="false">$H119-$C119</f>
        <v>0</v>
      </c>
      <c r="J119" s="17" t="s">
        <v>269</v>
      </c>
    </row>
    <row r="120" customFormat="false" ht="15" hidden="false" customHeight="false" outlineLevel="3" collapsed="false">
      <c r="A120" s="17" t="s">
        <v>27</v>
      </c>
      <c r="B120" s="18" t="s">
        <v>270</v>
      </c>
      <c r="C120" s="19" t="n">
        <v>17</v>
      </c>
      <c r="D120" s="19" t="n">
        <v>16</v>
      </c>
      <c r="E120" s="19" t="n">
        <v>1</v>
      </c>
      <c r="F120" s="20" t="n">
        <f aca="false">SUMIFS(SeatExits,SeatDivision,$J120)+SUMIFS(SeatExits,SeatDepartment,$J120)+SUMIFS(SeatExits,SeatUnit,$J120)+SUMIFS(SeatExits,SeatSubUnit,$J120)</f>
        <v>0</v>
      </c>
      <c r="G120" s="20" t="n">
        <f aca="false">SUMIFS(AskTotal,AskDivision,$J120)+SUMIFS(AskTotal,AskDepartment,$J120)+SUMIFS(AskTotal,AskUnit,$J120)+SUMIFS(AskTotal,AskSubUnit,$J120)</f>
        <v>0</v>
      </c>
      <c r="H120" s="20" t="n">
        <f aca="false">$C120-$F120+$G120</f>
        <v>17</v>
      </c>
      <c r="I120" s="20" t="n">
        <f aca="false">$H120-$C120</f>
        <v>0</v>
      </c>
      <c r="J120" s="17" t="s">
        <v>271</v>
      </c>
    </row>
    <row r="121" customFormat="false" ht="15" hidden="false" customHeight="false" outlineLevel="4" collapsed="false">
      <c r="A121" s="17" t="s">
        <v>46</v>
      </c>
      <c r="B121" s="18" t="s">
        <v>272</v>
      </c>
      <c r="C121" s="19" t="n">
        <v>7</v>
      </c>
      <c r="D121" s="19" t="n">
        <v>6</v>
      </c>
      <c r="E121" s="19" t="n">
        <v>1</v>
      </c>
      <c r="F121" s="20" t="n">
        <f aca="false">SUMIFS(SeatExits,SeatDivision,$J121)+SUMIFS(SeatExits,SeatDepartment,$J121)+SUMIFS(SeatExits,SeatUnit,$J121)+SUMIFS(SeatExits,SeatSubUnit,$J121)</f>
        <v>0</v>
      </c>
      <c r="G121" s="20" t="n">
        <f aca="false">SUMIFS(AskTotal,AskDivision,$J121)+SUMIFS(AskTotal,AskDepartment,$J121)+SUMIFS(AskTotal,AskUnit,$J121)+SUMIFS(AskTotal,AskSubUnit,$J121)</f>
        <v>0</v>
      </c>
      <c r="H121" s="20" t="n">
        <f aca="false">$C121-$F121+$G121</f>
        <v>7</v>
      </c>
      <c r="I121" s="20" t="n">
        <f aca="false">$H121-$C121</f>
        <v>0</v>
      </c>
      <c r="J121" s="17" t="s">
        <v>273</v>
      </c>
    </row>
    <row r="122" customFormat="false" ht="15" hidden="false" customHeight="false" outlineLevel="5" collapsed="false">
      <c r="A122" s="17" t="s">
        <v>49</v>
      </c>
      <c r="B122" s="18" t="s">
        <v>274</v>
      </c>
      <c r="C122" s="19" t="n">
        <v>3</v>
      </c>
      <c r="D122" s="19" t="n">
        <v>3</v>
      </c>
      <c r="E122" s="19" t="n">
        <v>0</v>
      </c>
      <c r="F122" s="20" t="n">
        <f aca="false">SUMIFS(SeatExits,SeatDivision,$J122)+SUMIFS(SeatExits,SeatDepartment,$J122)+SUMIFS(SeatExits,SeatUnit,$J122)+SUMIFS(SeatExits,SeatSubUnit,$J122)</f>
        <v>0</v>
      </c>
      <c r="G122" s="20" t="n">
        <f aca="false">SUMIFS(AskTotal,AskDivision,$J122)+SUMIFS(AskTotal,AskDepartment,$J122)+SUMIFS(AskTotal,AskUnit,$J122)+SUMIFS(AskTotal,AskSubUnit,$J122)</f>
        <v>0</v>
      </c>
      <c r="H122" s="20" t="n">
        <f aca="false">$C122-$F122+$G122</f>
        <v>3</v>
      </c>
      <c r="I122" s="20" t="n">
        <f aca="false">$H122-$C122</f>
        <v>0</v>
      </c>
      <c r="J122" s="17" t="s">
        <v>275</v>
      </c>
    </row>
    <row r="123" customFormat="false" ht="15" hidden="false" customHeight="false" outlineLevel="5" collapsed="false">
      <c r="A123" s="17" t="s">
        <v>49</v>
      </c>
      <c r="B123" s="18" t="s">
        <v>276</v>
      </c>
      <c r="C123" s="19" t="n">
        <v>3</v>
      </c>
      <c r="D123" s="19" t="n">
        <v>2</v>
      </c>
      <c r="E123" s="19" t="n">
        <v>1</v>
      </c>
      <c r="F123" s="20" t="n">
        <f aca="false">SUMIFS(SeatExits,SeatDivision,$J123)+SUMIFS(SeatExits,SeatDepartment,$J123)+SUMIFS(SeatExits,SeatUnit,$J123)+SUMIFS(SeatExits,SeatSubUnit,$J123)</f>
        <v>0</v>
      </c>
      <c r="G123" s="20" t="n">
        <f aca="false">SUMIFS(AskTotal,AskDivision,$J123)+SUMIFS(AskTotal,AskDepartment,$J123)+SUMIFS(AskTotal,AskUnit,$J123)+SUMIFS(AskTotal,AskSubUnit,$J123)</f>
        <v>0</v>
      </c>
      <c r="H123" s="20" t="n">
        <f aca="false">$C123-$F123+$G123</f>
        <v>3</v>
      </c>
      <c r="I123" s="20" t="n">
        <f aca="false">$H123-$C123</f>
        <v>0</v>
      </c>
      <c r="J123" s="17" t="s">
        <v>277</v>
      </c>
    </row>
    <row r="124" customFormat="false" ht="15" hidden="false" customHeight="false" outlineLevel="4" collapsed="false">
      <c r="A124" s="17" t="s">
        <v>46</v>
      </c>
      <c r="B124" s="18" t="s">
        <v>278</v>
      </c>
      <c r="C124" s="19" t="n">
        <v>9</v>
      </c>
      <c r="D124" s="19" t="n">
        <v>9</v>
      </c>
      <c r="E124" s="19" t="n">
        <v>0</v>
      </c>
      <c r="F124" s="20" t="n">
        <f aca="false">SUMIFS(SeatExits,SeatDivision,$J124)+SUMIFS(SeatExits,SeatDepartment,$J124)+SUMIFS(SeatExits,SeatUnit,$J124)+SUMIFS(SeatExits,SeatSubUnit,$J124)</f>
        <v>0</v>
      </c>
      <c r="G124" s="20" t="n">
        <f aca="false">SUMIFS(AskTotal,AskDivision,$J124)+SUMIFS(AskTotal,AskDepartment,$J124)+SUMIFS(AskTotal,AskUnit,$J124)+SUMIFS(AskTotal,AskSubUnit,$J124)</f>
        <v>0</v>
      </c>
      <c r="H124" s="20" t="n">
        <f aca="false">$C124-$F124+$G124</f>
        <v>9</v>
      </c>
      <c r="I124" s="20" t="n">
        <f aca="false">$H124-$C124</f>
        <v>0</v>
      </c>
      <c r="J124" s="17" t="s">
        <v>279</v>
      </c>
    </row>
    <row r="125" customFormat="false" ht="15" hidden="false" customHeight="false" outlineLevel="5" collapsed="false">
      <c r="A125" s="17" t="s">
        <v>49</v>
      </c>
      <c r="B125" s="18" t="s">
        <v>280</v>
      </c>
      <c r="C125" s="19" t="n">
        <v>4</v>
      </c>
      <c r="D125" s="19" t="n">
        <v>4</v>
      </c>
      <c r="E125" s="19" t="n">
        <v>0</v>
      </c>
      <c r="F125" s="20" t="n">
        <f aca="false">SUMIFS(SeatExits,SeatDivision,$J125)+SUMIFS(SeatExits,SeatDepartment,$J125)+SUMIFS(SeatExits,SeatUnit,$J125)+SUMIFS(SeatExits,SeatSubUnit,$J125)</f>
        <v>0</v>
      </c>
      <c r="G125" s="20" t="n">
        <f aca="false">SUMIFS(AskTotal,AskDivision,$J125)+SUMIFS(AskTotal,AskDepartment,$J125)+SUMIFS(AskTotal,AskUnit,$J125)+SUMIFS(AskTotal,AskSubUnit,$J125)</f>
        <v>0</v>
      </c>
      <c r="H125" s="20" t="n">
        <f aca="false">$C125-$F125+$G125</f>
        <v>4</v>
      </c>
      <c r="I125" s="20" t="n">
        <f aca="false">$H125-$C125</f>
        <v>0</v>
      </c>
      <c r="J125" s="17" t="s">
        <v>281</v>
      </c>
    </row>
    <row r="126" customFormat="false" ht="15" hidden="false" customHeight="false" outlineLevel="5" collapsed="false">
      <c r="A126" s="17" t="s">
        <v>49</v>
      </c>
      <c r="B126" s="18" t="s">
        <v>282</v>
      </c>
      <c r="C126" s="19" t="n">
        <v>4</v>
      </c>
      <c r="D126" s="19" t="n">
        <v>4</v>
      </c>
      <c r="E126" s="19" t="n">
        <v>0</v>
      </c>
      <c r="F126" s="20" t="n">
        <f aca="false">SUMIFS(SeatExits,SeatDivision,$J126)+SUMIFS(SeatExits,SeatDepartment,$J126)+SUMIFS(SeatExits,SeatUnit,$J126)+SUMIFS(SeatExits,SeatSubUnit,$J126)</f>
        <v>0</v>
      </c>
      <c r="G126" s="20" t="n">
        <f aca="false">SUMIFS(AskTotal,AskDivision,$J126)+SUMIFS(AskTotal,AskDepartment,$J126)+SUMIFS(AskTotal,AskUnit,$J126)+SUMIFS(AskTotal,AskSubUnit,$J126)</f>
        <v>0</v>
      </c>
      <c r="H126" s="20" t="n">
        <f aca="false">$C126-$F126+$G126</f>
        <v>4</v>
      </c>
      <c r="I126" s="20" t="n">
        <f aca="false">$H126-$C126</f>
        <v>0</v>
      </c>
      <c r="J126" s="17" t="s">
        <v>283</v>
      </c>
    </row>
    <row r="127" customFormat="false" ht="15" hidden="false" customHeight="false" outlineLevel="1" collapsed="false">
      <c r="A127" s="13" t="s">
        <v>38</v>
      </c>
      <c r="B127" s="14" t="s">
        <v>284</v>
      </c>
      <c r="C127" s="15" t="n">
        <v>71</v>
      </c>
      <c r="D127" s="15" t="n">
        <v>63</v>
      </c>
      <c r="E127" s="15" t="n">
        <v>8</v>
      </c>
      <c r="F127" s="16" t="n">
        <f aca="false">SUMIFS(SeatExits,SeatDivision,$J127)+SUMIFS(SeatExits,SeatDepartment,$J127)+SUMIFS(SeatExits,SeatUnit,$J127)+SUMIFS(SeatExits,SeatSubUnit,$J127)</f>
        <v>0</v>
      </c>
      <c r="G127" s="16" t="n">
        <f aca="false">SUMIFS(AskTotal,AskDivision,$J127)+SUMIFS(AskTotal,AskDepartment,$J127)+SUMIFS(AskTotal,AskUnit,$J127)+SUMIFS(AskTotal,AskSubUnit,$J127)</f>
        <v>0</v>
      </c>
      <c r="H127" s="16" t="n">
        <f aca="false">$C127-$F127+$G127</f>
        <v>71</v>
      </c>
      <c r="I127" s="16" t="n">
        <f aca="false">$H127-$C127</f>
        <v>0</v>
      </c>
      <c r="J127" s="17" t="s">
        <v>285</v>
      </c>
    </row>
    <row r="128" customFormat="false" ht="15" hidden="false" customHeight="false" outlineLevel="2" collapsed="false">
      <c r="A128" s="17" t="s">
        <v>41</v>
      </c>
      <c r="B128" s="18" t="s">
        <v>286</v>
      </c>
      <c r="C128" s="19" t="n">
        <v>34</v>
      </c>
      <c r="D128" s="19" t="n">
        <v>31</v>
      </c>
      <c r="E128" s="19" t="n">
        <v>3</v>
      </c>
      <c r="F128" s="20" t="n">
        <f aca="false">SUMIFS(SeatExits,SeatDivision,$J128)+SUMIFS(SeatExits,SeatDepartment,$J128)+SUMIFS(SeatExits,SeatUnit,$J128)+SUMIFS(SeatExits,SeatSubUnit,$J128)</f>
        <v>0</v>
      </c>
      <c r="G128" s="20" t="n">
        <f aca="false">SUMIFS(AskTotal,AskDivision,$J128)+SUMIFS(AskTotal,AskDepartment,$J128)+SUMIFS(AskTotal,AskUnit,$J128)+SUMIFS(AskTotal,AskSubUnit,$J128)</f>
        <v>0</v>
      </c>
      <c r="H128" s="20" t="n">
        <f aca="false">$C128-$F128+$G128</f>
        <v>34</v>
      </c>
      <c r="I128" s="20" t="n">
        <f aca="false">$H128-$C128</f>
        <v>0</v>
      </c>
      <c r="J128" s="17" t="s">
        <v>287</v>
      </c>
    </row>
    <row r="129" customFormat="false" ht="15" hidden="false" customHeight="false" outlineLevel="3" collapsed="false">
      <c r="A129" s="17" t="s">
        <v>27</v>
      </c>
      <c r="B129" s="18" t="s">
        <v>288</v>
      </c>
      <c r="C129" s="19" t="n">
        <v>17</v>
      </c>
      <c r="D129" s="19" t="n">
        <v>16</v>
      </c>
      <c r="E129" s="19" t="n">
        <v>1</v>
      </c>
      <c r="F129" s="20" t="n">
        <f aca="false">SUMIFS(SeatExits,SeatDivision,$J129)+SUMIFS(SeatExits,SeatDepartment,$J129)+SUMIFS(SeatExits,SeatUnit,$J129)+SUMIFS(SeatExits,SeatSubUnit,$J129)</f>
        <v>0</v>
      </c>
      <c r="G129" s="20" t="n">
        <f aca="false">SUMIFS(AskTotal,AskDivision,$J129)+SUMIFS(AskTotal,AskDepartment,$J129)+SUMIFS(AskTotal,AskUnit,$J129)+SUMIFS(AskTotal,AskSubUnit,$J129)</f>
        <v>0</v>
      </c>
      <c r="H129" s="20" t="n">
        <f aca="false">$C129-$F129+$G129</f>
        <v>17</v>
      </c>
      <c r="I129" s="20" t="n">
        <f aca="false">$H129-$C129</f>
        <v>0</v>
      </c>
      <c r="J129" s="17" t="s">
        <v>289</v>
      </c>
    </row>
    <row r="130" customFormat="false" ht="15" hidden="false" customHeight="false" outlineLevel="4" collapsed="false">
      <c r="A130" s="17" t="s">
        <v>46</v>
      </c>
      <c r="B130" s="18" t="s">
        <v>290</v>
      </c>
      <c r="C130" s="19" t="n">
        <v>8</v>
      </c>
      <c r="D130" s="19" t="n">
        <v>8</v>
      </c>
      <c r="E130" s="19" t="n">
        <v>0</v>
      </c>
      <c r="F130" s="20" t="n">
        <f aca="false">SUMIFS(SeatExits,SeatDivision,$J130)+SUMIFS(SeatExits,SeatDepartment,$J130)+SUMIFS(SeatExits,SeatUnit,$J130)+SUMIFS(SeatExits,SeatSubUnit,$J130)</f>
        <v>0</v>
      </c>
      <c r="G130" s="20" t="n">
        <f aca="false">SUMIFS(AskTotal,AskDivision,$J130)+SUMIFS(AskTotal,AskDepartment,$J130)+SUMIFS(AskTotal,AskUnit,$J130)+SUMIFS(AskTotal,AskSubUnit,$J130)</f>
        <v>0</v>
      </c>
      <c r="H130" s="20" t="n">
        <f aca="false">$C130-$F130+$G130</f>
        <v>8</v>
      </c>
      <c r="I130" s="20" t="n">
        <f aca="false">$H130-$C130</f>
        <v>0</v>
      </c>
      <c r="J130" s="17" t="s">
        <v>291</v>
      </c>
    </row>
    <row r="131" customFormat="false" ht="15" hidden="false" customHeight="false" outlineLevel="5" collapsed="false">
      <c r="A131" s="17" t="s">
        <v>49</v>
      </c>
      <c r="B131" s="18" t="s">
        <v>292</v>
      </c>
      <c r="C131" s="19" t="n">
        <v>4</v>
      </c>
      <c r="D131" s="19" t="n">
        <v>4</v>
      </c>
      <c r="E131" s="19" t="n">
        <v>0</v>
      </c>
      <c r="F131" s="20" t="n">
        <f aca="false">SUMIFS(SeatExits,SeatDivision,$J131)+SUMIFS(SeatExits,SeatDepartment,$J131)+SUMIFS(SeatExits,SeatUnit,$J131)+SUMIFS(SeatExits,SeatSubUnit,$J131)</f>
        <v>0</v>
      </c>
      <c r="G131" s="20" t="n">
        <f aca="false">SUMIFS(AskTotal,AskDivision,$J131)+SUMIFS(AskTotal,AskDepartment,$J131)+SUMIFS(AskTotal,AskUnit,$J131)+SUMIFS(AskTotal,AskSubUnit,$J131)</f>
        <v>0</v>
      </c>
      <c r="H131" s="20" t="n">
        <f aca="false">$C131-$F131+$G131</f>
        <v>4</v>
      </c>
      <c r="I131" s="20" t="n">
        <f aca="false">$H131-$C131</f>
        <v>0</v>
      </c>
      <c r="J131" s="17" t="s">
        <v>293</v>
      </c>
    </row>
    <row r="132" customFormat="false" ht="15" hidden="false" customHeight="false" outlineLevel="5" collapsed="false">
      <c r="A132" s="17" t="s">
        <v>49</v>
      </c>
      <c r="B132" s="18" t="s">
        <v>294</v>
      </c>
      <c r="C132" s="19" t="n">
        <v>3</v>
      </c>
      <c r="D132" s="19" t="n">
        <v>3</v>
      </c>
      <c r="E132" s="19" t="n">
        <v>0</v>
      </c>
      <c r="F132" s="20" t="n">
        <f aca="false">SUMIFS(SeatExits,SeatDivision,$J132)+SUMIFS(SeatExits,SeatDepartment,$J132)+SUMIFS(SeatExits,SeatUnit,$J132)+SUMIFS(SeatExits,SeatSubUnit,$J132)</f>
        <v>0</v>
      </c>
      <c r="G132" s="20" t="n">
        <f aca="false">SUMIFS(AskTotal,AskDivision,$J132)+SUMIFS(AskTotal,AskDepartment,$J132)+SUMIFS(AskTotal,AskUnit,$J132)+SUMIFS(AskTotal,AskSubUnit,$J132)</f>
        <v>0</v>
      </c>
      <c r="H132" s="20" t="n">
        <f aca="false">$C132-$F132+$G132</f>
        <v>3</v>
      </c>
      <c r="I132" s="20" t="n">
        <f aca="false">$H132-$C132</f>
        <v>0</v>
      </c>
      <c r="J132" s="17" t="s">
        <v>295</v>
      </c>
    </row>
    <row r="133" customFormat="false" ht="15" hidden="false" customHeight="false" outlineLevel="4" collapsed="false">
      <c r="A133" s="17" t="s">
        <v>46</v>
      </c>
      <c r="B133" s="18" t="s">
        <v>296</v>
      </c>
      <c r="C133" s="19" t="n">
        <v>8</v>
      </c>
      <c r="D133" s="19" t="n">
        <v>7</v>
      </c>
      <c r="E133" s="19" t="n">
        <v>1</v>
      </c>
      <c r="F133" s="20" t="n">
        <f aca="false">SUMIFS(SeatExits,SeatDivision,$J133)+SUMIFS(SeatExits,SeatDepartment,$J133)+SUMIFS(SeatExits,SeatUnit,$J133)+SUMIFS(SeatExits,SeatSubUnit,$J133)</f>
        <v>0</v>
      </c>
      <c r="G133" s="20" t="n">
        <f aca="false">SUMIFS(AskTotal,AskDivision,$J133)+SUMIFS(AskTotal,AskDepartment,$J133)+SUMIFS(AskTotal,AskUnit,$J133)+SUMIFS(AskTotal,AskSubUnit,$J133)</f>
        <v>0</v>
      </c>
      <c r="H133" s="20" t="n">
        <f aca="false">$C133-$F133+$G133</f>
        <v>8</v>
      </c>
      <c r="I133" s="20" t="n">
        <f aca="false">$H133-$C133</f>
        <v>0</v>
      </c>
      <c r="J133" s="17" t="s">
        <v>297</v>
      </c>
    </row>
    <row r="134" customFormat="false" ht="15" hidden="false" customHeight="false" outlineLevel="5" collapsed="false">
      <c r="A134" s="17" t="s">
        <v>49</v>
      </c>
      <c r="B134" s="18" t="s">
        <v>298</v>
      </c>
      <c r="C134" s="19" t="n">
        <v>3</v>
      </c>
      <c r="D134" s="19" t="n">
        <v>3</v>
      </c>
      <c r="E134" s="19" t="n">
        <v>0</v>
      </c>
      <c r="F134" s="20" t="n">
        <f aca="false">SUMIFS(SeatExits,SeatDivision,$J134)+SUMIFS(SeatExits,SeatDepartment,$J134)+SUMIFS(SeatExits,SeatUnit,$J134)+SUMIFS(SeatExits,SeatSubUnit,$J134)</f>
        <v>0</v>
      </c>
      <c r="G134" s="20" t="n">
        <f aca="false">SUMIFS(AskTotal,AskDivision,$J134)+SUMIFS(AskTotal,AskDepartment,$J134)+SUMIFS(AskTotal,AskUnit,$J134)+SUMIFS(AskTotal,AskSubUnit,$J134)</f>
        <v>0</v>
      </c>
      <c r="H134" s="20" t="n">
        <f aca="false">$C134-$F134+$G134</f>
        <v>3</v>
      </c>
      <c r="I134" s="20" t="n">
        <f aca="false">$H134-$C134</f>
        <v>0</v>
      </c>
      <c r="J134" s="17" t="s">
        <v>299</v>
      </c>
    </row>
    <row r="135" customFormat="false" ht="15" hidden="false" customHeight="false" outlineLevel="5" collapsed="false">
      <c r="A135" s="17" t="s">
        <v>49</v>
      </c>
      <c r="B135" s="18" t="s">
        <v>300</v>
      </c>
      <c r="C135" s="19" t="n">
        <v>4</v>
      </c>
      <c r="D135" s="19" t="n">
        <v>3</v>
      </c>
      <c r="E135" s="19" t="n">
        <v>1</v>
      </c>
      <c r="F135" s="20" t="n">
        <f aca="false">SUMIFS(SeatExits,SeatDivision,$J135)+SUMIFS(SeatExits,SeatDepartment,$J135)+SUMIFS(SeatExits,SeatUnit,$J135)+SUMIFS(SeatExits,SeatSubUnit,$J135)</f>
        <v>0</v>
      </c>
      <c r="G135" s="20" t="n">
        <f aca="false">SUMIFS(AskTotal,AskDivision,$J135)+SUMIFS(AskTotal,AskDepartment,$J135)+SUMIFS(AskTotal,AskUnit,$J135)+SUMIFS(AskTotal,AskSubUnit,$J135)</f>
        <v>0</v>
      </c>
      <c r="H135" s="20" t="n">
        <f aca="false">$C135-$F135+$G135</f>
        <v>4</v>
      </c>
      <c r="I135" s="20" t="n">
        <f aca="false">$H135-$C135</f>
        <v>0</v>
      </c>
      <c r="J135" s="17" t="s">
        <v>301</v>
      </c>
    </row>
    <row r="136" customFormat="false" ht="15" hidden="false" customHeight="false" outlineLevel="3" collapsed="false">
      <c r="A136" s="17" t="s">
        <v>27</v>
      </c>
      <c r="B136" s="18" t="s">
        <v>302</v>
      </c>
      <c r="C136" s="19" t="n">
        <v>16</v>
      </c>
      <c r="D136" s="19" t="n">
        <v>14</v>
      </c>
      <c r="E136" s="19" t="n">
        <v>2</v>
      </c>
      <c r="F136" s="20" t="n">
        <f aca="false">SUMIFS(SeatExits,SeatDivision,$J136)+SUMIFS(SeatExits,SeatDepartment,$J136)+SUMIFS(SeatExits,SeatUnit,$J136)+SUMIFS(SeatExits,SeatSubUnit,$J136)</f>
        <v>0</v>
      </c>
      <c r="G136" s="20" t="n">
        <f aca="false">SUMIFS(AskTotal,AskDivision,$J136)+SUMIFS(AskTotal,AskDepartment,$J136)+SUMIFS(AskTotal,AskUnit,$J136)+SUMIFS(AskTotal,AskSubUnit,$J136)</f>
        <v>0</v>
      </c>
      <c r="H136" s="20" t="n">
        <f aca="false">$C136-$F136+$G136</f>
        <v>16</v>
      </c>
      <c r="I136" s="20" t="n">
        <f aca="false">$H136-$C136</f>
        <v>0</v>
      </c>
      <c r="J136" s="17" t="s">
        <v>303</v>
      </c>
    </row>
    <row r="137" customFormat="false" ht="15" hidden="false" customHeight="false" outlineLevel="4" collapsed="false">
      <c r="A137" s="17" t="s">
        <v>46</v>
      </c>
      <c r="B137" s="18" t="s">
        <v>304</v>
      </c>
      <c r="C137" s="19" t="n">
        <v>8</v>
      </c>
      <c r="D137" s="19" t="n">
        <v>7</v>
      </c>
      <c r="E137" s="19" t="n">
        <v>1</v>
      </c>
      <c r="F137" s="20" t="n">
        <f aca="false">SUMIFS(SeatExits,SeatDivision,$J137)+SUMIFS(SeatExits,SeatDepartment,$J137)+SUMIFS(SeatExits,SeatUnit,$J137)+SUMIFS(SeatExits,SeatSubUnit,$J137)</f>
        <v>0</v>
      </c>
      <c r="G137" s="20" t="n">
        <f aca="false">SUMIFS(AskTotal,AskDivision,$J137)+SUMIFS(AskTotal,AskDepartment,$J137)+SUMIFS(AskTotal,AskUnit,$J137)+SUMIFS(AskTotal,AskSubUnit,$J137)</f>
        <v>0</v>
      </c>
      <c r="H137" s="20" t="n">
        <f aca="false">$C137-$F137+$G137</f>
        <v>8</v>
      </c>
      <c r="I137" s="20" t="n">
        <f aca="false">$H137-$C137</f>
        <v>0</v>
      </c>
      <c r="J137" s="17" t="s">
        <v>305</v>
      </c>
    </row>
    <row r="138" customFormat="false" ht="15" hidden="false" customHeight="false" outlineLevel="5" collapsed="false">
      <c r="A138" s="17" t="s">
        <v>49</v>
      </c>
      <c r="B138" s="18" t="s">
        <v>306</v>
      </c>
      <c r="C138" s="19" t="n">
        <v>4</v>
      </c>
      <c r="D138" s="19" t="n">
        <v>4</v>
      </c>
      <c r="E138" s="19" t="n">
        <v>0</v>
      </c>
      <c r="F138" s="20" t="n">
        <f aca="false">SUMIFS(SeatExits,SeatDivision,$J138)+SUMIFS(SeatExits,SeatDepartment,$J138)+SUMIFS(SeatExits,SeatUnit,$J138)+SUMIFS(SeatExits,SeatSubUnit,$J138)</f>
        <v>0</v>
      </c>
      <c r="G138" s="20" t="n">
        <f aca="false">SUMIFS(AskTotal,AskDivision,$J138)+SUMIFS(AskTotal,AskDepartment,$J138)+SUMIFS(AskTotal,AskUnit,$J138)+SUMIFS(AskTotal,AskSubUnit,$J138)</f>
        <v>0</v>
      </c>
      <c r="H138" s="20" t="n">
        <f aca="false">$C138-$F138+$G138</f>
        <v>4</v>
      </c>
      <c r="I138" s="20" t="n">
        <f aca="false">$H138-$C138</f>
        <v>0</v>
      </c>
      <c r="J138" s="17" t="s">
        <v>307</v>
      </c>
    </row>
    <row r="139" customFormat="false" ht="15" hidden="false" customHeight="false" outlineLevel="5" collapsed="false">
      <c r="A139" s="17" t="s">
        <v>49</v>
      </c>
      <c r="B139" s="18" t="s">
        <v>308</v>
      </c>
      <c r="C139" s="19" t="n">
        <v>3</v>
      </c>
      <c r="D139" s="19" t="n">
        <v>2</v>
      </c>
      <c r="E139" s="19" t="n">
        <v>1</v>
      </c>
      <c r="F139" s="20" t="n">
        <f aca="false">SUMIFS(SeatExits,SeatDivision,$J139)+SUMIFS(SeatExits,SeatDepartment,$J139)+SUMIFS(SeatExits,SeatUnit,$J139)+SUMIFS(SeatExits,SeatSubUnit,$J139)</f>
        <v>0</v>
      </c>
      <c r="G139" s="20" t="n">
        <f aca="false">SUMIFS(AskTotal,AskDivision,$J139)+SUMIFS(AskTotal,AskDepartment,$J139)+SUMIFS(AskTotal,AskUnit,$J139)+SUMIFS(AskTotal,AskSubUnit,$J139)</f>
        <v>0</v>
      </c>
      <c r="H139" s="20" t="n">
        <f aca="false">$C139-$F139+$G139</f>
        <v>3</v>
      </c>
      <c r="I139" s="20" t="n">
        <f aca="false">$H139-$C139</f>
        <v>0</v>
      </c>
      <c r="J139" s="17" t="s">
        <v>309</v>
      </c>
    </row>
    <row r="140" customFormat="false" ht="15" hidden="false" customHeight="false" outlineLevel="4" collapsed="false">
      <c r="A140" s="17" t="s">
        <v>46</v>
      </c>
      <c r="B140" s="18" t="s">
        <v>310</v>
      </c>
      <c r="C140" s="19" t="n">
        <v>7</v>
      </c>
      <c r="D140" s="19" t="n">
        <v>6</v>
      </c>
      <c r="E140" s="19" t="n">
        <v>1</v>
      </c>
      <c r="F140" s="20" t="n">
        <f aca="false">SUMIFS(SeatExits,SeatDivision,$J140)+SUMIFS(SeatExits,SeatDepartment,$J140)+SUMIFS(SeatExits,SeatUnit,$J140)+SUMIFS(SeatExits,SeatSubUnit,$J140)</f>
        <v>0</v>
      </c>
      <c r="G140" s="20" t="n">
        <f aca="false">SUMIFS(AskTotal,AskDivision,$J140)+SUMIFS(AskTotal,AskDepartment,$J140)+SUMIFS(AskTotal,AskUnit,$J140)+SUMIFS(AskTotal,AskSubUnit,$J140)</f>
        <v>0</v>
      </c>
      <c r="H140" s="20" t="n">
        <f aca="false">$C140-$F140+$G140</f>
        <v>7</v>
      </c>
      <c r="I140" s="20" t="n">
        <f aca="false">$H140-$C140</f>
        <v>0</v>
      </c>
      <c r="J140" s="17" t="s">
        <v>311</v>
      </c>
    </row>
    <row r="141" customFormat="false" ht="15" hidden="false" customHeight="false" outlineLevel="5" collapsed="false">
      <c r="A141" s="17" t="s">
        <v>49</v>
      </c>
      <c r="B141" s="18" t="s">
        <v>312</v>
      </c>
      <c r="C141" s="19" t="n">
        <v>5</v>
      </c>
      <c r="D141" s="19" t="n">
        <v>4</v>
      </c>
      <c r="E141" s="19" t="n">
        <v>1</v>
      </c>
      <c r="F141" s="20" t="n">
        <f aca="false">SUMIFS(SeatExits,SeatDivision,$J141)+SUMIFS(SeatExits,SeatDepartment,$J141)+SUMIFS(SeatExits,SeatUnit,$J141)+SUMIFS(SeatExits,SeatSubUnit,$J141)</f>
        <v>0</v>
      </c>
      <c r="G141" s="20" t="n">
        <f aca="false">SUMIFS(AskTotal,AskDivision,$J141)+SUMIFS(AskTotal,AskDepartment,$J141)+SUMIFS(AskTotal,AskUnit,$J141)+SUMIFS(AskTotal,AskSubUnit,$J141)</f>
        <v>0</v>
      </c>
      <c r="H141" s="20" t="n">
        <f aca="false">$C141-$F141+$G141</f>
        <v>5</v>
      </c>
      <c r="I141" s="20" t="n">
        <f aca="false">$H141-$C141</f>
        <v>0</v>
      </c>
      <c r="J141" s="17" t="s">
        <v>313</v>
      </c>
    </row>
    <row r="142" customFormat="false" ht="15" hidden="false" customHeight="false" outlineLevel="5" collapsed="false">
      <c r="A142" s="17" t="s">
        <v>49</v>
      </c>
      <c r="B142" s="18" t="s">
        <v>314</v>
      </c>
      <c r="C142" s="19" t="n">
        <v>1</v>
      </c>
      <c r="D142" s="19" t="n">
        <v>1</v>
      </c>
      <c r="E142" s="19" t="n">
        <v>0</v>
      </c>
      <c r="F142" s="20" t="n">
        <f aca="false">SUMIFS(SeatExits,SeatDivision,$J142)+SUMIFS(SeatExits,SeatDepartment,$J142)+SUMIFS(SeatExits,SeatUnit,$J142)+SUMIFS(SeatExits,SeatSubUnit,$J142)</f>
        <v>0</v>
      </c>
      <c r="G142" s="20" t="n">
        <f aca="false">SUMIFS(AskTotal,AskDivision,$J142)+SUMIFS(AskTotal,AskDepartment,$J142)+SUMIFS(AskTotal,AskUnit,$J142)+SUMIFS(AskTotal,AskSubUnit,$J142)</f>
        <v>0</v>
      </c>
      <c r="H142" s="20" t="n">
        <f aca="false">$C142-$F142+$G142</f>
        <v>1</v>
      </c>
      <c r="I142" s="20" t="n">
        <f aca="false">$H142-$C142</f>
        <v>0</v>
      </c>
      <c r="J142" s="17" t="s">
        <v>315</v>
      </c>
    </row>
    <row r="143" customFormat="false" ht="15" hidden="false" customHeight="false" outlineLevel="2" collapsed="false">
      <c r="A143" s="17" t="s">
        <v>41</v>
      </c>
      <c r="B143" s="18" t="s">
        <v>316</v>
      </c>
      <c r="C143" s="19" t="n">
        <v>36</v>
      </c>
      <c r="D143" s="19" t="n">
        <v>31</v>
      </c>
      <c r="E143" s="19" t="n">
        <v>5</v>
      </c>
      <c r="F143" s="20" t="n">
        <f aca="false">SUMIFS(SeatExits,SeatDivision,$J143)+SUMIFS(SeatExits,SeatDepartment,$J143)+SUMIFS(SeatExits,SeatUnit,$J143)+SUMIFS(SeatExits,SeatSubUnit,$J143)</f>
        <v>0</v>
      </c>
      <c r="G143" s="20" t="n">
        <f aca="false">SUMIFS(AskTotal,AskDivision,$J143)+SUMIFS(AskTotal,AskDepartment,$J143)+SUMIFS(AskTotal,AskUnit,$J143)+SUMIFS(AskTotal,AskSubUnit,$J143)</f>
        <v>0</v>
      </c>
      <c r="H143" s="20" t="n">
        <f aca="false">$C143-$F143+$G143</f>
        <v>36</v>
      </c>
      <c r="I143" s="20" t="n">
        <f aca="false">$H143-$C143</f>
        <v>0</v>
      </c>
      <c r="J143" s="17" t="s">
        <v>317</v>
      </c>
    </row>
    <row r="144" customFormat="false" ht="15" hidden="false" customHeight="false" outlineLevel="3" collapsed="false">
      <c r="A144" s="17" t="s">
        <v>27</v>
      </c>
      <c r="B144" s="18" t="s">
        <v>318</v>
      </c>
      <c r="C144" s="19" t="n">
        <v>18</v>
      </c>
      <c r="D144" s="19" t="n">
        <v>17</v>
      </c>
      <c r="E144" s="19" t="n">
        <v>1</v>
      </c>
      <c r="F144" s="20" t="n">
        <f aca="false">SUMIFS(SeatExits,SeatDivision,$J144)+SUMIFS(SeatExits,SeatDepartment,$J144)+SUMIFS(SeatExits,SeatUnit,$J144)+SUMIFS(SeatExits,SeatSubUnit,$J144)</f>
        <v>0</v>
      </c>
      <c r="G144" s="20" t="n">
        <f aca="false">SUMIFS(AskTotal,AskDivision,$J144)+SUMIFS(AskTotal,AskDepartment,$J144)+SUMIFS(AskTotal,AskUnit,$J144)+SUMIFS(AskTotal,AskSubUnit,$J144)</f>
        <v>0</v>
      </c>
      <c r="H144" s="20" t="n">
        <f aca="false">$C144-$F144+$G144</f>
        <v>18</v>
      </c>
      <c r="I144" s="20" t="n">
        <f aca="false">$H144-$C144</f>
        <v>0</v>
      </c>
      <c r="J144" s="17" t="s">
        <v>319</v>
      </c>
    </row>
    <row r="145" customFormat="false" ht="15" hidden="false" customHeight="false" outlineLevel="4" collapsed="false">
      <c r="A145" s="17" t="s">
        <v>46</v>
      </c>
      <c r="B145" s="18" t="s">
        <v>320</v>
      </c>
      <c r="C145" s="19" t="n">
        <v>8</v>
      </c>
      <c r="D145" s="19" t="n">
        <v>7</v>
      </c>
      <c r="E145" s="19" t="n">
        <v>1</v>
      </c>
      <c r="F145" s="20" t="n">
        <f aca="false">SUMIFS(SeatExits,SeatDivision,$J145)+SUMIFS(SeatExits,SeatDepartment,$J145)+SUMIFS(SeatExits,SeatUnit,$J145)+SUMIFS(SeatExits,SeatSubUnit,$J145)</f>
        <v>0</v>
      </c>
      <c r="G145" s="20" t="n">
        <f aca="false">SUMIFS(AskTotal,AskDivision,$J145)+SUMIFS(AskTotal,AskDepartment,$J145)+SUMIFS(AskTotal,AskUnit,$J145)+SUMIFS(AskTotal,AskSubUnit,$J145)</f>
        <v>0</v>
      </c>
      <c r="H145" s="20" t="n">
        <f aca="false">$C145-$F145+$G145</f>
        <v>8</v>
      </c>
      <c r="I145" s="20" t="n">
        <f aca="false">$H145-$C145</f>
        <v>0</v>
      </c>
      <c r="J145" s="17" t="s">
        <v>321</v>
      </c>
    </row>
    <row r="146" customFormat="false" ht="15" hidden="false" customHeight="false" outlineLevel="5" collapsed="false">
      <c r="A146" s="17" t="s">
        <v>49</v>
      </c>
      <c r="B146" s="18" t="s">
        <v>322</v>
      </c>
      <c r="C146" s="19" t="n">
        <v>3</v>
      </c>
      <c r="D146" s="19" t="n">
        <v>3</v>
      </c>
      <c r="E146" s="19" t="n">
        <v>0</v>
      </c>
      <c r="F146" s="20" t="n">
        <f aca="false">SUMIFS(SeatExits,SeatDivision,$J146)+SUMIFS(SeatExits,SeatDepartment,$J146)+SUMIFS(SeatExits,SeatUnit,$J146)+SUMIFS(SeatExits,SeatSubUnit,$J146)</f>
        <v>0</v>
      </c>
      <c r="G146" s="20" t="n">
        <f aca="false">SUMIFS(AskTotal,AskDivision,$J146)+SUMIFS(AskTotal,AskDepartment,$J146)+SUMIFS(AskTotal,AskUnit,$J146)+SUMIFS(AskTotal,AskSubUnit,$J146)</f>
        <v>0</v>
      </c>
      <c r="H146" s="20" t="n">
        <f aca="false">$C146-$F146+$G146</f>
        <v>3</v>
      </c>
      <c r="I146" s="20" t="n">
        <f aca="false">$H146-$C146</f>
        <v>0</v>
      </c>
      <c r="J146" s="17" t="s">
        <v>323</v>
      </c>
    </row>
    <row r="147" customFormat="false" ht="15" hidden="false" customHeight="false" outlineLevel="5" collapsed="false">
      <c r="A147" s="17" t="s">
        <v>49</v>
      </c>
      <c r="B147" s="18" t="s">
        <v>324</v>
      </c>
      <c r="C147" s="19" t="n">
        <v>4</v>
      </c>
      <c r="D147" s="19" t="n">
        <v>3</v>
      </c>
      <c r="E147" s="19" t="n">
        <v>1</v>
      </c>
      <c r="F147" s="20" t="n">
        <f aca="false">SUMIFS(SeatExits,SeatDivision,$J147)+SUMIFS(SeatExits,SeatDepartment,$J147)+SUMIFS(SeatExits,SeatUnit,$J147)+SUMIFS(SeatExits,SeatSubUnit,$J147)</f>
        <v>0</v>
      </c>
      <c r="G147" s="20" t="n">
        <f aca="false">SUMIFS(AskTotal,AskDivision,$J147)+SUMIFS(AskTotal,AskDepartment,$J147)+SUMIFS(AskTotal,AskUnit,$J147)+SUMIFS(AskTotal,AskSubUnit,$J147)</f>
        <v>0</v>
      </c>
      <c r="H147" s="20" t="n">
        <f aca="false">$C147-$F147+$G147</f>
        <v>4</v>
      </c>
      <c r="I147" s="20" t="n">
        <f aca="false">$H147-$C147</f>
        <v>0</v>
      </c>
      <c r="J147" s="17" t="s">
        <v>325</v>
      </c>
    </row>
    <row r="148" customFormat="false" ht="15" hidden="false" customHeight="false" outlineLevel="4" collapsed="false">
      <c r="A148" s="17" t="s">
        <v>46</v>
      </c>
      <c r="B148" s="18" t="s">
        <v>326</v>
      </c>
      <c r="C148" s="19" t="n">
        <v>9</v>
      </c>
      <c r="D148" s="19" t="n">
        <v>9</v>
      </c>
      <c r="E148" s="19" t="n">
        <v>0</v>
      </c>
      <c r="F148" s="20" t="n">
        <f aca="false">SUMIFS(SeatExits,SeatDivision,$J148)+SUMIFS(SeatExits,SeatDepartment,$J148)+SUMIFS(SeatExits,SeatUnit,$J148)+SUMIFS(SeatExits,SeatSubUnit,$J148)</f>
        <v>0</v>
      </c>
      <c r="G148" s="20" t="n">
        <f aca="false">SUMIFS(AskTotal,AskDivision,$J148)+SUMIFS(AskTotal,AskDepartment,$J148)+SUMIFS(AskTotal,AskUnit,$J148)+SUMIFS(AskTotal,AskSubUnit,$J148)</f>
        <v>0</v>
      </c>
      <c r="H148" s="20" t="n">
        <f aca="false">$C148-$F148+$G148</f>
        <v>9</v>
      </c>
      <c r="I148" s="20" t="n">
        <f aca="false">$H148-$C148</f>
        <v>0</v>
      </c>
      <c r="J148" s="17" t="s">
        <v>327</v>
      </c>
    </row>
    <row r="149" customFormat="false" ht="15" hidden="false" customHeight="false" outlineLevel="5" collapsed="false">
      <c r="A149" s="17" t="s">
        <v>49</v>
      </c>
      <c r="B149" s="18" t="s">
        <v>328</v>
      </c>
      <c r="C149" s="19" t="n">
        <v>4</v>
      </c>
      <c r="D149" s="19" t="n">
        <v>4</v>
      </c>
      <c r="E149" s="19" t="n">
        <v>0</v>
      </c>
      <c r="F149" s="20" t="n">
        <f aca="false">SUMIFS(SeatExits,SeatDivision,$J149)+SUMIFS(SeatExits,SeatDepartment,$J149)+SUMIFS(SeatExits,SeatUnit,$J149)+SUMIFS(SeatExits,SeatSubUnit,$J149)</f>
        <v>0</v>
      </c>
      <c r="G149" s="20" t="n">
        <f aca="false">SUMIFS(AskTotal,AskDivision,$J149)+SUMIFS(AskTotal,AskDepartment,$J149)+SUMIFS(AskTotal,AskUnit,$J149)+SUMIFS(AskTotal,AskSubUnit,$J149)</f>
        <v>0</v>
      </c>
      <c r="H149" s="20" t="n">
        <f aca="false">$C149-$F149+$G149</f>
        <v>4</v>
      </c>
      <c r="I149" s="20" t="n">
        <f aca="false">$H149-$C149</f>
        <v>0</v>
      </c>
      <c r="J149" s="17" t="s">
        <v>329</v>
      </c>
    </row>
    <row r="150" customFormat="false" ht="15" hidden="false" customHeight="false" outlineLevel="5" collapsed="false">
      <c r="A150" s="17" t="s">
        <v>49</v>
      </c>
      <c r="B150" s="18" t="s">
        <v>330</v>
      </c>
      <c r="C150" s="19" t="n">
        <v>4</v>
      </c>
      <c r="D150" s="19" t="n">
        <v>4</v>
      </c>
      <c r="E150" s="19" t="n">
        <v>0</v>
      </c>
      <c r="F150" s="20" t="n">
        <f aca="false">SUMIFS(SeatExits,SeatDivision,$J150)+SUMIFS(SeatExits,SeatDepartment,$J150)+SUMIFS(SeatExits,SeatUnit,$J150)+SUMIFS(SeatExits,SeatSubUnit,$J150)</f>
        <v>0</v>
      </c>
      <c r="G150" s="20" t="n">
        <f aca="false">SUMIFS(AskTotal,AskDivision,$J150)+SUMIFS(AskTotal,AskDepartment,$J150)+SUMIFS(AskTotal,AskUnit,$J150)+SUMIFS(AskTotal,AskSubUnit,$J150)</f>
        <v>0</v>
      </c>
      <c r="H150" s="20" t="n">
        <f aca="false">$C150-$F150+$G150</f>
        <v>4</v>
      </c>
      <c r="I150" s="20" t="n">
        <f aca="false">$H150-$C150</f>
        <v>0</v>
      </c>
      <c r="J150" s="17" t="s">
        <v>331</v>
      </c>
    </row>
    <row r="151" customFormat="false" ht="15" hidden="false" customHeight="false" outlineLevel="3" collapsed="false">
      <c r="A151" s="17" t="s">
        <v>27</v>
      </c>
      <c r="B151" s="18" t="s">
        <v>332</v>
      </c>
      <c r="C151" s="19" t="n">
        <v>17</v>
      </c>
      <c r="D151" s="19" t="n">
        <v>13</v>
      </c>
      <c r="E151" s="19" t="n">
        <v>4</v>
      </c>
      <c r="F151" s="20" t="n">
        <f aca="false">SUMIFS(SeatExits,SeatDivision,$J151)+SUMIFS(SeatExits,SeatDepartment,$J151)+SUMIFS(SeatExits,SeatUnit,$J151)+SUMIFS(SeatExits,SeatSubUnit,$J151)</f>
        <v>0</v>
      </c>
      <c r="G151" s="20" t="n">
        <f aca="false">SUMIFS(AskTotal,AskDivision,$J151)+SUMIFS(AskTotal,AskDepartment,$J151)+SUMIFS(AskTotal,AskUnit,$J151)+SUMIFS(AskTotal,AskSubUnit,$J151)</f>
        <v>0</v>
      </c>
      <c r="H151" s="20" t="n">
        <f aca="false">$C151-$F151+$G151</f>
        <v>17</v>
      </c>
      <c r="I151" s="20" t="n">
        <f aca="false">$H151-$C151</f>
        <v>0</v>
      </c>
      <c r="J151" s="17" t="s">
        <v>333</v>
      </c>
    </row>
    <row r="152" customFormat="false" ht="15" hidden="false" customHeight="false" outlineLevel="4" collapsed="false">
      <c r="A152" s="17" t="s">
        <v>46</v>
      </c>
      <c r="B152" s="18" t="s">
        <v>334</v>
      </c>
      <c r="C152" s="19" t="n">
        <v>8</v>
      </c>
      <c r="D152" s="19" t="n">
        <v>6</v>
      </c>
      <c r="E152" s="19" t="n">
        <v>2</v>
      </c>
      <c r="F152" s="20" t="n">
        <f aca="false">SUMIFS(SeatExits,SeatDivision,$J152)+SUMIFS(SeatExits,SeatDepartment,$J152)+SUMIFS(SeatExits,SeatUnit,$J152)+SUMIFS(SeatExits,SeatSubUnit,$J152)</f>
        <v>0</v>
      </c>
      <c r="G152" s="20" t="n">
        <f aca="false">SUMIFS(AskTotal,AskDivision,$J152)+SUMIFS(AskTotal,AskDepartment,$J152)+SUMIFS(AskTotal,AskUnit,$J152)+SUMIFS(AskTotal,AskSubUnit,$J152)</f>
        <v>0</v>
      </c>
      <c r="H152" s="20" t="n">
        <f aca="false">$C152-$F152+$G152</f>
        <v>8</v>
      </c>
      <c r="I152" s="20" t="n">
        <f aca="false">$H152-$C152</f>
        <v>0</v>
      </c>
      <c r="J152" s="17" t="s">
        <v>335</v>
      </c>
    </row>
    <row r="153" customFormat="false" ht="15" hidden="false" customHeight="false" outlineLevel="5" collapsed="false">
      <c r="A153" s="17" t="s">
        <v>49</v>
      </c>
      <c r="B153" s="18" t="s">
        <v>336</v>
      </c>
      <c r="C153" s="19" t="n">
        <v>5</v>
      </c>
      <c r="D153" s="19" t="n">
        <v>5</v>
      </c>
      <c r="E153" s="19" t="n">
        <v>0</v>
      </c>
      <c r="F153" s="20" t="n">
        <f aca="false">SUMIFS(SeatExits,SeatDivision,$J153)+SUMIFS(SeatExits,SeatDepartment,$J153)+SUMIFS(SeatExits,SeatUnit,$J153)+SUMIFS(SeatExits,SeatSubUnit,$J153)</f>
        <v>0</v>
      </c>
      <c r="G153" s="20" t="n">
        <f aca="false">SUMIFS(AskTotal,AskDivision,$J153)+SUMIFS(AskTotal,AskDepartment,$J153)+SUMIFS(AskTotal,AskUnit,$J153)+SUMIFS(AskTotal,AskSubUnit,$J153)</f>
        <v>0</v>
      </c>
      <c r="H153" s="20" t="n">
        <f aca="false">$C153-$F153+$G153</f>
        <v>5</v>
      </c>
      <c r="I153" s="20" t="n">
        <f aca="false">$H153-$C153</f>
        <v>0</v>
      </c>
      <c r="J153" s="17" t="s">
        <v>337</v>
      </c>
    </row>
    <row r="154" customFormat="false" ht="15" hidden="false" customHeight="false" outlineLevel="5" collapsed="false">
      <c r="A154" s="17" t="s">
        <v>49</v>
      </c>
      <c r="B154" s="18" t="s">
        <v>338</v>
      </c>
      <c r="C154" s="19" t="n">
        <v>2</v>
      </c>
      <c r="D154" s="19" t="n">
        <v>0</v>
      </c>
      <c r="E154" s="19" t="n">
        <v>2</v>
      </c>
      <c r="F154" s="20" t="n">
        <f aca="false">SUMIFS(SeatExits,SeatDivision,$J154)+SUMIFS(SeatExits,SeatDepartment,$J154)+SUMIFS(SeatExits,SeatUnit,$J154)+SUMIFS(SeatExits,SeatSubUnit,$J154)</f>
        <v>0</v>
      </c>
      <c r="G154" s="20" t="n">
        <f aca="false">SUMIFS(AskTotal,AskDivision,$J154)+SUMIFS(AskTotal,AskDepartment,$J154)+SUMIFS(AskTotal,AskUnit,$J154)+SUMIFS(AskTotal,AskSubUnit,$J154)</f>
        <v>0</v>
      </c>
      <c r="H154" s="20" t="n">
        <f aca="false">$C154-$F154+$G154</f>
        <v>2</v>
      </c>
      <c r="I154" s="20" t="n">
        <f aca="false">$H154-$C154</f>
        <v>0</v>
      </c>
      <c r="J154" s="17" t="s">
        <v>339</v>
      </c>
    </row>
    <row r="155" customFormat="false" ht="15" hidden="false" customHeight="false" outlineLevel="4" collapsed="false">
      <c r="A155" s="17" t="s">
        <v>46</v>
      </c>
      <c r="B155" s="18" t="s">
        <v>340</v>
      </c>
      <c r="C155" s="19" t="n">
        <v>8</v>
      </c>
      <c r="D155" s="19" t="n">
        <v>7</v>
      </c>
      <c r="E155" s="19" t="n">
        <v>1</v>
      </c>
      <c r="F155" s="20" t="n">
        <f aca="false">SUMIFS(SeatExits,SeatDivision,$J155)+SUMIFS(SeatExits,SeatDepartment,$J155)+SUMIFS(SeatExits,SeatUnit,$J155)+SUMIFS(SeatExits,SeatSubUnit,$J155)</f>
        <v>0</v>
      </c>
      <c r="G155" s="20" t="n">
        <f aca="false">SUMIFS(AskTotal,AskDivision,$J155)+SUMIFS(AskTotal,AskDepartment,$J155)+SUMIFS(AskTotal,AskUnit,$J155)+SUMIFS(AskTotal,AskSubUnit,$J155)</f>
        <v>0</v>
      </c>
      <c r="H155" s="20" t="n">
        <f aca="false">$C155-$F155+$G155</f>
        <v>8</v>
      </c>
      <c r="I155" s="20" t="n">
        <f aca="false">$H155-$C155</f>
        <v>0</v>
      </c>
      <c r="J155" s="17" t="s">
        <v>341</v>
      </c>
    </row>
    <row r="156" customFormat="false" ht="15" hidden="false" customHeight="false" outlineLevel="5" collapsed="false">
      <c r="A156" s="17" t="s">
        <v>49</v>
      </c>
      <c r="B156" s="18" t="s">
        <v>342</v>
      </c>
      <c r="C156" s="19" t="n">
        <v>4</v>
      </c>
      <c r="D156" s="19" t="n">
        <v>3</v>
      </c>
      <c r="E156" s="19" t="n">
        <v>1</v>
      </c>
      <c r="F156" s="20" t="n">
        <f aca="false">SUMIFS(SeatExits,SeatDivision,$J156)+SUMIFS(SeatExits,SeatDepartment,$J156)+SUMIFS(SeatExits,SeatUnit,$J156)+SUMIFS(SeatExits,SeatSubUnit,$J156)</f>
        <v>0</v>
      </c>
      <c r="G156" s="20" t="n">
        <f aca="false">SUMIFS(AskTotal,AskDivision,$J156)+SUMIFS(AskTotal,AskDepartment,$J156)+SUMIFS(AskTotal,AskUnit,$J156)+SUMIFS(AskTotal,AskSubUnit,$J156)</f>
        <v>0</v>
      </c>
      <c r="H156" s="20" t="n">
        <f aca="false">$C156-$F156+$G156</f>
        <v>4</v>
      </c>
      <c r="I156" s="20" t="n">
        <f aca="false">$H156-$C156</f>
        <v>0</v>
      </c>
      <c r="J156" s="17" t="s">
        <v>343</v>
      </c>
    </row>
    <row r="157" customFormat="false" ht="15" hidden="false" customHeight="false" outlineLevel="5" collapsed="false">
      <c r="A157" s="17" t="s">
        <v>49</v>
      </c>
      <c r="B157" s="18" t="s">
        <v>344</v>
      </c>
      <c r="C157" s="19" t="n">
        <v>3</v>
      </c>
      <c r="D157" s="19" t="n">
        <v>3</v>
      </c>
      <c r="E157" s="19" t="n">
        <v>0</v>
      </c>
      <c r="F157" s="20" t="n">
        <f aca="false">SUMIFS(SeatExits,SeatDivision,$J157)+SUMIFS(SeatExits,SeatDepartment,$J157)+SUMIFS(SeatExits,SeatUnit,$J157)+SUMIFS(SeatExits,SeatSubUnit,$J157)</f>
        <v>0</v>
      </c>
      <c r="G157" s="20" t="n">
        <f aca="false">SUMIFS(AskTotal,AskDivision,$J157)+SUMIFS(AskTotal,AskDepartment,$J157)+SUMIFS(AskTotal,AskUnit,$J157)+SUMIFS(AskTotal,AskSubUnit,$J157)</f>
        <v>0</v>
      </c>
      <c r="H157" s="20" t="n">
        <f aca="false">$C157-$F157+$G157</f>
        <v>3</v>
      </c>
      <c r="I157" s="20" t="n">
        <f aca="false">$H157-$C157</f>
        <v>0</v>
      </c>
      <c r="J157" s="17" t="s">
        <v>345</v>
      </c>
    </row>
    <row r="159" customFormat="false" ht="25.5" hidden="false" customHeight="true" outlineLevel="0" collapsed="false">
      <c r="A159" s="11" t="s">
        <v>346</v>
      </c>
      <c r="B159" s="11"/>
      <c r="C159" s="11"/>
      <c r="D159" s="11"/>
      <c r="E159" s="11"/>
      <c r="F159" s="11"/>
      <c r="G159" s="11"/>
      <c r="H159" s="11"/>
      <c r="I159" s="11"/>
    </row>
  </sheetData>
  <mergeCells count="2">
    <mergeCell ref="A2:J2"/>
    <mergeCell ref="A159:I159"/>
  </mergeCells>
  <conditionalFormatting sqref="I5:I157">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157">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9"/>
    <col collapsed="false" customWidth="true" hidden="false" outlineLevel="0" max="16" min="16" style="0" width="34"/>
  </cols>
  <sheetData>
    <row r="1" customFormat="false" ht="24" hidden="false" customHeight="true" outlineLevel="0" collapsed="false">
      <c r="A1" s="1" t="s">
        <v>347</v>
      </c>
    </row>
    <row r="2" customFormat="false" ht="15" hidden="false" customHeight="false" outlineLevel="0" collapsed="false">
      <c r="A2" s="2" t="s">
        <v>348</v>
      </c>
      <c r="B2" s="2"/>
      <c r="C2" s="2"/>
      <c r="D2" s="2"/>
      <c r="E2" s="2"/>
      <c r="F2" s="2"/>
      <c r="G2" s="2"/>
      <c r="H2" s="2"/>
      <c r="I2" s="2"/>
      <c r="J2" s="2"/>
    </row>
    <row r="5" customFormat="false" ht="30" hidden="false" customHeight="true" outlineLevel="0" collapsed="false">
      <c r="A5" s="12" t="s">
        <v>349</v>
      </c>
      <c r="B5" s="12" t="s">
        <v>38</v>
      </c>
      <c r="C5" s="12" t="s">
        <v>41</v>
      </c>
      <c r="D5" s="12" t="s">
        <v>27</v>
      </c>
      <c r="E5" s="12" t="s">
        <v>350</v>
      </c>
      <c r="F5" s="12" t="s">
        <v>351</v>
      </c>
      <c r="G5" s="12" t="s">
        <v>352</v>
      </c>
      <c r="H5" s="12" t="s">
        <v>353</v>
      </c>
      <c r="I5" s="12" t="s">
        <v>354</v>
      </c>
      <c r="J5" s="12" t="s">
        <v>355</v>
      </c>
      <c r="K5" s="12" t="s">
        <v>29</v>
      </c>
      <c r="L5" s="12" t="s">
        <v>30</v>
      </c>
      <c r="M5" s="12" t="s">
        <v>356</v>
      </c>
      <c r="N5" s="12" t="s">
        <v>357</v>
      </c>
      <c r="O5" s="12" t="s">
        <v>358</v>
      </c>
      <c r="P5" s="12" t="s">
        <v>359</v>
      </c>
    </row>
    <row r="6" customFormat="false" ht="15" hidden="false" customHeight="false" outlineLevel="0" collapsed="false">
      <c r="A6" s="21" t="s">
        <v>360</v>
      </c>
      <c r="B6" s="21"/>
      <c r="C6" s="21"/>
      <c r="D6" s="21"/>
      <c r="E6" s="21"/>
      <c r="F6" s="21" t="s">
        <v>361</v>
      </c>
      <c r="G6" s="21"/>
      <c r="H6" s="21" t="s">
        <v>362</v>
      </c>
      <c r="I6" s="21"/>
      <c r="J6" s="22" t="n">
        <v>1</v>
      </c>
      <c r="K6" s="22" t="n">
        <v>1</v>
      </c>
      <c r="L6" s="22" t="n">
        <v>0</v>
      </c>
      <c r="M6" s="21" t="s">
        <v>363</v>
      </c>
      <c r="N6" s="21"/>
      <c r="O6" s="20" t="n">
        <f aca="false">IF($N6="Exit",N($J6),0)</f>
        <v>0</v>
      </c>
      <c r="P6" s="23" t="str">
        <f aca="false">IF($F6="","",MID(IF($G6="",", career level","")&amp;IF($I6="",", nationality mandate","")&amp;IF($N6="",", capacity direction","")&amp;IF(N($J6)&lt;=0,", approved HC","")&amp;IF(AND($G6&lt;&gt;"",COUNTIF(CareerLevels,$G6)=0),", a career level that is not on the ladder",""),3,200))</f>
        <v>career level, nationality mandate, capacity direction</v>
      </c>
    </row>
    <row r="7" customFormat="false" ht="15" hidden="false" customHeight="false" outlineLevel="0" collapsed="false">
      <c r="A7" s="21" t="s">
        <v>364</v>
      </c>
      <c r="B7" s="21" t="s">
        <v>40</v>
      </c>
      <c r="C7" s="21"/>
      <c r="D7" s="21"/>
      <c r="E7" s="21"/>
      <c r="F7" s="21" t="s">
        <v>365</v>
      </c>
      <c r="G7" s="21"/>
      <c r="H7" s="21" t="s">
        <v>366</v>
      </c>
      <c r="I7" s="21"/>
      <c r="J7" s="22" t="n">
        <v>1</v>
      </c>
      <c r="K7" s="22" t="n">
        <v>1</v>
      </c>
      <c r="L7" s="22" t="n">
        <v>0</v>
      </c>
      <c r="M7" s="21" t="s">
        <v>363</v>
      </c>
      <c r="N7" s="21"/>
      <c r="O7" s="20" t="n">
        <f aca="false">IF($N7="Exit",N($J7),0)</f>
        <v>0</v>
      </c>
      <c r="P7" s="23" t="str">
        <f aca="false">IF($F7="","",MID(IF($G7="",", career level","")&amp;IF($I7="",", nationality mandate","")&amp;IF($N7="",", capacity direction","")&amp;IF(N($J7)&lt;=0,", approved HC","")&amp;IF(AND($G7&lt;&gt;"",COUNTIF(CareerLevels,$G7)=0),", a career level that is not on the ladder",""),3,200))</f>
        <v>career level, nationality mandate, capacity direction</v>
      </c>
    </row>
    <row r="8" customFormat="false" ht="15" hidden="false" customHeight="false" outlineLevel="0" collapsed="false">
      <c r="A8" s="21" t="s">
        <v>367</v>
      </c>
      <c r="B8" s="21" t="s">
        <v>40</v>
      </c>
      <c r="C8" s="21" t="s">
        <v>43</v>
      </c>
      <c r="D8" s="21"/>
      <c r="E8" s="21"/>
      <c r="F8" s="21" t="s">
        <v>368</v>
      </c>
      <c r="G8" s="21"/>
      <c r="H8" s="21" t="s">
        <v>366</v>
      </c>
      <c r="I8" s="21"/>
      <c r="J8" s="22" t="n">
        <v>1</v>
      </c>
      <c r="K8" s="22" t="n">
        <v>1</v>
      </c>
      <c r="L8" s="22" t="n">
        <v>0</v>
      </c>
      <c r="M8" s="21" t="s">
        <v>363</v>
      </c>
      <c r="N8" s="21"/>
      <c r="O8" s="20" t="n">
        <f aca="false">IF($N8="Exit",N($J8),0)</f>
        <v>0</v>
      </c>
      <c r="P8" s="23" t="str">
        <f aca="false">IF($F8="","",MID(IF($G8="",", career level","")&amp;IF($I8="",", nationality mandate","")&amp;IF($N8="",", capacity direction","")&amp;IF(N($J8)&lt;=0,", approved HC","")&amp;IF(AND($G8&lt;&gt;"",COUNTIF(CareerLevels,$G8)=0),", a career level that is not on the ladder",""),3,200))</f>
        <v>career level, nationality mandate, capacity direction</v>
      </c>
    </row>
    <row r="9" customFormat="false" ht="15" hidden="false" customHeight="false" outlineLevel="0" collapsed="false">
      <c r="A9" s="21" t="s">
        <v>369</v>
      </c>
      <c r="B9" s="21" t="s">
        <v>40</v>
      </c>
      <c r="C9" s="21" t="s">
        <v>43</v>
      </c>
      <c r="D9" s="21" t="s">
        <v>45</v>
      </c>
      <c r="E9" s="21"/>
      <c r="F9" s="21" t="s">
        <v>370</v>
      </c>
      <c r="G9" s="21"/>
      <c r="H9" s="21" t="s">
        <v>371</v>
      </c>
      <c r="I9" s="21"/>
      <c r="J9" s="22" t="n">
        <v>1</v>
      </c>
      <c r="K9" s="22" t="n">
        <v>1</v>
      </c>
      <c r="L9" s="22" t="n">
        <v>0</v>
      </c>
      <c r="M9" s="21" t="s">
        <v>363</v>
      </c>
      <c r="N9" s="21"/>
      <c r="O9" s="20" t="n">
        <f aca="false">IF($N9="Exit",N($J9),0)</f>
        <v>0</v>
      </c>
      <c r="P9" s="23" t="str">
        <f aca="false">IF($F9="","",MID(IF($G9="",", career level","")&amp;IF($I9="",", nationality mandate","")&amp;IF($N9="",", capacity direction","")&amp;IF(N($J9)&lt;=0,", approved HC","")&amp;IF(AND($G9&lt;&gt;"",COUNTIF(CareerLevels,$G9)=0),", a career level that is not on the ladder",""),3,200))</f>
        <v>career level, nationality mandate, capacity direction</v>
      </c>
    </row>
    <row r="10" customFormat="false" ht="15" hidden="false" customHeight="false" outlineLevel="0" collapsed="false">
      <c r="A10" s="21" t="s">
        <v>372</v>
      </c>
      <c r="B10" s="21" t="s">
        <v>40</v>
      </c>
      <c r="C10" s="21" t="s">
        <v>43</v>
      </c>
      <c r="D10" s="21" t="s">
        <v>45</v>
      </c>
      <c r="E10" s="21" t="s">
        <v>48</v>
      </c>
      <c r="F10" s="21" t="s">
        <v>373</v>
      </c>
      <c r="G10" s="21"/>
      <c r="H10" s="21" t="s">
        <v>374</v>
      </c>
      <c r="I10" s="21"/>
      <c r="J10" s="22" t="n">
        <v>1</v>
      </c>
      <c r="K10" s="22" t="n">
        <v>1</v>
      </c>
      <c r="L10" s="22" t="n">
        <v>0</v>
      </c>
      <c r="M10" s="21" t="s">
        <v>363</v>
      </c>
      <c r="N10" s="21"/>
      <c r="O10" s="20" t="n">
        <f aca="false">IF($N10="Exit",N($J10),0)</f>
        <v>0</v>
      </c>
      <c r="P10" s="23" t="str">
        <f aca="false">IF($F10="","",MID(IF($G10="",", career level","")&amp;IF($I10="",", nationality mandate","")&amp;IF($N10="",", capacity direction","")&amp;IF(N($J10)&lt;=0,", approved HC","")&amp;IF(AND($G10&lt;&gt;"",COUNTIF(CareerLevels,$G10)=0),", a career level that is not on the ladder",""),3,200))</f>
        <v>career level, nationality mandate, capacity direction</v>
      </c>
    </row>
    <row r="11" customFormat="false" ht="15" hidden="false" customHeight="false" outlineLevel="0" collapsed="false">
      <c r="A11" s="21" t="s">
        <v>375</v>
      </c>
      <c r="B11" s="21" t="s">
        <v>40</v>
      </c>
      <c r="C11" s="21" t="s">
        <v>43</v>
      </c>
      <c r="D11" s="21" t="s">
        <v>45</v>
      </c>
      <c r="E11" s="21" t="s">
        <v>48</v>
      </c>
      <c r="F11" s="21" t="s">
        <v>373</v>
      </c>
      <c r="G11" s="21"/>
      <c r="H11" s="21" t="s">
        <v>374</v>
      </c>
      <c r="I11" s="21"/>
      <c r="J11" s="22" t="n">
        <v>1</v>
      </c>
      <c r="K11" s="22" t="n">
        <v>1</v>
      </c>
      <c r="L11" s="22" t="n">
        <v>0</v>
      </c>
      <c r="M11" s="21" t="s">
        <v>363</v>
      </c>
      <c r="N11" s="21"/>
      <c r="O11" s="20" t="n">
        <f aca="false">IF($N11="Exit",N($J11),0)</f>
        <v>0</v>
      </c>
      <c r="P11" s="23" t="str">
        <f aca="false">IF($F11="","",MID(IF($G11="",", career level","")&amp;IF($I11="",", nationality mandate","")&amp;IF($N11="",", capacity direction","")&amp;IF(N($J11)&lt;=0,", approved HC","")&amp;IF(AND($G11&lt;&gt;"",COUNTIF(CareerLevels,$G11)=0),", a career level that is not on the ladder",""),3,200))</f>
        <v>career level, nationality mandate, capacity direction</v>
      </c>
    </row>
    <row r="12" customFormat="false" ht="15" hidden="false" customHeight="false" outlineLevel="0" collapsed="false">
      <c r="A12" s="21" t="s">
        <v>376</v>
      </c>
      <c r="B12" s="21" t="s">
        <v>40</v>
      </c>
      <c r="C12" s="21" t="s">
        <v>43</v>
      </c>
      <c r="D12" s="21" t="s">
        <v>45</v>
      </c>
      <c r="E12" s="21" t="s">
        <v>48</v>
      </c>
      <c r="F12" s="21" t="s">
        <v>373</v>
      </c>
      <c r="G12" s="21"/>
      <c r="H12" s="21" t="s">
        <v>374</v>
      </c>
      <c r="I12" s="21"/>
      <c r="J12" s="22" t="n">
        <v>1</v>
      </c>
      <c r="K12" s="22" t="n">
        <v>0</v>
      </c>
      <c r="L12" s="22" t="n">
        <v>1</v>
      </c>
      <c r="M12" s="21" t="s">
        <v>363</v>
      </c>
      <c r="N12" s="21"/>
      <c r="O12" s="20" t="n">
        <f aca="false">IF($N12="Exit",N($J12),0)</f>
        <v>0</v>
      </c>
      <c r="P12" s="23" t="str">
        <f aca="false">IF($F12="","",MID(IF($G12="",", career level","")&amp;IF($I12="",", nationality mandate","")&amp;IF($N12="",", capacity direction","")&amp;IF(N($J12)&lt;=0,", approved HC","")&amp;IF(AND($G12&lt;&gt;"",COUNTIF(CareerLevels,$G12)=0),", a career level that is not on the ladder",""),3,200))</f>
        <v>career level, nationality mandate, capacity direction</v>
      </c>
    </row>
    <row r="13" customFormat="false" ht="15" hidden="false" customHeight="false" outlineLevel="0" collapsed="false">
      <c r="A13" s="21" t="s">
        <v>377</v>
      </c>
      <c r="B13" s="21" t="s">
        <v>40</v>
      </c>
      <c r="C13" s="21" t="s">
        <v>43</v>
      </c>
      <c r="D13" s="21" t="s">
        <v>45</v>
      </c>
      <c r="E13" s="21" t="s">
        <v>48</v>
      </c>
      <c r="F13" s="21" t="s">
        <v>378</v>
      </c>
      <c r="G13" s="21"/>
      <c r="H13" s="21" t="s">
        <v>374</v>
      </c>
      <c r="I13" s="21"/>
      <c r="J13" s="22" t="n">
        <v>1</v>
      </c>
      <c r="K13" s="22" t="n">
        <v>1</v>
      </c>
      <c r="L13" s="22" t="n">
        <v>0</v>
      </c>
      <c r="M13" s="21" t="s">
        <v>363</v>
      </c>
      <c r="N13" s="21"/>
      <c r="O13" s="20" t="n">
        <f aca="false">IF($N13="Exit",N($J13),0)</f>
        <v>0</v>
      </c>
      <c r="P13" s="23" t="str">
        <f aca="false">IF($F13="","",MID(IF($G13="",", career level","")&amp;IF($I13="",", nationality mandate","")&amp;IF($N13="",", capacity direction","")&amp;IF(N($J13)&lt;=0,", approved HC","")&amp;IF(AND($G13&lt;&gt;"",COUNTIF(CareerLevels,$G13)=0),", a career level that is not on the ladder",""),3,200))</f>
        <v>career level, nationality mandate, capacity direction</v>
      </c>
    </row>
    <row r="14" customFormat="false" ht="15" hidden="false" customHeight="false" outlineLevel="0" collapsed="false">
      <c r="A14" s="21" t="s">
        <v>379</v>
      </c>
      <c r="B14" s="21" t="s">
        <v>40</v>
      </c>
      <c r="C14" s="21" t="s">
        <v>43</v>
      </c>
      <c r="D14" s="21" t="s">
        <v>45</v>
      </c>
      <c r="E14" s="21" t="s">
        <v>48</v>
      </c>
      <c r="F14" s="21" t="s">
        <v>378</v>
      </c>
      <c r="G14" s="21"/>
      <c r="H14" s="21" t="s">
        <v>374</v>
      </c>
      <c r="I14" s="21"/>
      <c r="J14" s="22" t="n">
        <v>1</v>
      </c>
      <c r="K14" s="22" t="n">
        <v>1</v>
      </c>
      <c r="L14" s="22" t="n">
        <v>0</v>
      </c>
      <c r="M14" s="21" t="s">
        <v>363</v>
      </c>
      <c r="N14" s="21"/>
      <c r="O14" s="20" t="n">
        <f aca="false">IF($N14="Exit",N($J14),0)</f>
        <v>0</v>
      </c>
      <c r="P14" s="23" t="str">
        <f aca="false">IF($F14="","",MID(IF($G14="",", career level","")&amp;IF($I14="",", nationality mandate","")&amp;IF($N14="",", capacity direction","")&amp;IF(N($J14)&lt;=0,", approved HC","")&amp;IF(AND($G14&lt;&gt;"",COUNTIF(CareerLevels,$G14)=0),", a career level that is not on the ladder",""),3,200))</f>
        <v>career level, nationality mandate, capacity direction</v>
      </c>
    </row>
    <row r="15" customFormat="false" ht="15" hidden="false" customHeight="false" outlineLevel="0" collapsed="false">
      <c r="A15" s="21" t="s">
        <v>380</v>
      </c>
      <c r="B15" s="21" t="s">
        <v>40</v>
      </c>
      <c r="C15" s="21" t="s">
        <v>43</v>
      </c>
      <c r="D15" s="21" t="s">
        <v>45</v>
      </c>
      <c r="E15" s="21" t="s">
        <v>48</v>
      </c>
      <c r="F15" s="21" t="s">
        <v>381</v>
      </c>
      <c r="G15" s="21"/>
      <c r="H15" s="21" t="s">
        <v>374</v>
      </c>
      <c r="I15" s="21"/>
      <c r="J15" s="22" t="n">
        <v>1</v>
      </c>
      <c r="K15" s="22" t="n">
        <v>1</v>
      </c>
      <c r="L15" s="22" t="n">
        <v>0</v>
      </c>
      <c r="M15" s="21" t="s">
        <v>363</v>
      </c>
      <c r="N15" s="21"/>
      <c r="O15" s="20" t="n">
        <f aca="false">IF($N15="Exit",N($J15),0)</f>
        <v>0</v>
      </c>
      <c r="P15" s="23" t="str">
        <f aca="false">IF($F15="","",MID(IF($G15="",", career level","")&amp;IF($I15="",", nationality mandate","")&amp;IF($N15="",", capacity direction","")&amp;IF(N($J15)&lt;=0,", approved HC","")&amp;IF(AND($G15&lt;&gt;"",COUNTIF(CareerLevels,$G15)=0),", a career level that is not on the ladder",""),3,200))</f>
        <v>career level, nationality mandate, capacity direction</v>
      </c>
    </row>
    <row r="16" customFormat="false" ht="15" hidden="false" customHeight="false" outlineLevel="0" collapsed="false">
      <c r="A16" s="21" t="s">
        <v>382</v>
      </c>
      <c r="B16" s="21" t="s">
        <v>40</v>
      </c>
      <c r="C16" s="21" t="s">
        <v>43</v>
      </c>
      <c r="D16" s="21" t="s">
        <v>45</v>
      </c>
      <c r="E16" s="21" t="s">
        <v>48</v>
      </c>
      <c r="F16" s="21" t="s">
        <v>381</v>
      </c>
      <c r="G16" s="21"/>
      <c r="H16" s="21" t="s">
        <v>374</v>
      </c>
      <c r="I16" s="21"/>
      <c r="J16" s="22" t="n">
        <v>1</v>
      </c>
      <c r="K16" s="22" t="n">
        <v>1</v>
      </c>
      <c r="L16" s="22" t="n">
        <v>0</v>
      </c>
      <c r="M16" s="21" t="s">
        <v>363</v>
      </c>
      <c r="N16" s="21"/>
      <c r="O16" s="20" t="n">
        <f aca="false">IF($N16="Exit",N($J16),0)</f>
        <v>0</v>
      </c>
      <c r="P16" s="23" t="str">
        <f aca="false">IF($F16="","",MID(IF($G16="",", career level","")&amp;IF($I16="",", nationality mandate","")&amp;IF($N16="",", capacity direction","")&amp;IF(N($J16)&lt;=0,", approved HC","")&amp;IF(AND($G16&lt;&gt;"",COUNTIF(CareerLevels,$G16)=0),", a career level that is not on the ladder",""),3,200))</f>
        <v>career level, nationality mandate, capacity direction</v>
      </c>
    </row>
    <row r="17" customFormat="false" ht="15" hidden="false" customHeight="false" outlineLevel="0" collapsed="false">
      <c r="A17" s="21" t="s">
        <v>383</v>
      </c>
      <c r="B17" s="21" t="s">
        <v>40</v>
      </c>
      <c r="C17" s="21" t="s">
        <v>43</v>
      </c>
      <c r="D17" s="21" t="s">
        <v>45</v>
      </c>
      <c r="E17" s="21" t="s">
        <v>48</v>
      </c>
      <c r="F17" s="21" t="s">
        <v>381</v>
      </c>
      <c r="G17" s="21"/>
      <c r="H17" s="21" t="s">
        <v>374</v>
      </c>
      <c r="I17" s="21"/>
      <c r="J17" s="22" t="n">
        <v>1</v>
      </c>
      <c r="K17" s="22" t="n">
        <v>1</v>
      </c>
      <c r="L17" s="22" t="n">
        <v>0</v>
      </c>
      <c r="M17" s="21" t="s">
        <v>363</v>
      </c>
      <c r="N17" s="21"/>
      <c r="O17" s="20" t="n">
        <f aca="false">IF($N17="Exit",N($J17),0)</f>
        <v>0</v>
      </c>
      <c r="P17" s="23" t="str">
        <f aca="false">IF($F17="","",MID(IF($G17="",", career level","")&amp;IF($I17="",", nationality mandate","")&amp;IF($N17="",", capacity direction","")&amp;IF(N($J17)&lt;=0,", approved HC","")&amp;IF(AND($G17&lt;&gt;"",COUNTIF(CareerLevels,$G17)=0),", a career level that is not on the ladder",""),3,200))</f>
        <v>career level, nationality mandate, capacity direction</v>
      </c>
    </row>
    <row r="18" customFormat="false" ht="15" hidden="false" customHeight="false" outlineLevel="0" collapsed="false">
      <c r="A18" s="21" t="s">
        <v>384</v>
      </c>
      <c r="B18" s="21" t="s">
        <v>40</v>
      </c>
      <c r="C18" s="21" t="s">
        <v>43</v>
      </c>
      <c r="D18" s="21" t="s">
        <v>45</v>
      </c>
      <c r="E18" s="21" t="s">
        <v>48</v>
      </c>
      <c r="F18" s="21" t="s">
        <v>385</v>
      </c>
      <c r="G18" s="21"/>
      <c r="H18" s="21" t="s">
        <v>371</v>
      </c>
      <c r="I18" s="21"/>
      <c r="J18" s="22" t="n">
        <v>1</v>
      </c>
      <c r="K18" s="22" t="n">
        <v>1</v>
      </c>
      <c r="L18" s="22" t="n">
        <v>0</v>
      </c>
      <c r="M18" s="21" t="s">
        <v>363</v>
      </c>
      <c r="N18" s="21"/>
      <c r="O18" s="20" t="n">
        <f aca="false">IF($N18="Exit",N($J18),0)</f>
        <v>0</v>
      </c>
      <c r="P18" s="23" t="str">
        <f aca="false">IF($F18="","",MID(IF($G18="",", career level","")&amp;IF($I18="",", nationality mandate","")&amp;IF($N18="",", capacity direction","")&amp;IF(N($J18)&lt;=0,", approved HC","")&amp;IF(AND($G18&lt;&gt;"",COUNTIF(CareerLevels,$G18)=0),", a career level that is not on the ladder",""),3,200))</f>
        <v>career level, nationality mandate, capacity direction</v>
      </c>
    </row>
    <row r="19" customFormat="false" ht="15" hidden="false" customHeight="false" outlineLevel="0" collapsed="false">
      <c r="A19" s="21" t="s">
        <v>386</v>
      </c>
      <c r="B19" s="21" t="s">
        <v>40</v>
      </c>
      <c r="C19" s="21" t="s">
        <v>43</v>
      </c>
      <c r="D19" s="21" t="s">
        <v>45</v>
      </c>
      <c r="E19" s="21" t="s">
        <v>55</v>
      </c>
      <c r="F19" s="21" t="s">
        <v>387</v>
      </c>
      <c r="G19" s="21"/>
      <c r="H19" s="21" t="s">
        <v>374</v>
      </c>
      <c r="I19" s="21"/>
      <c r="J19" s="22" t="n">
        <v>1</v>
      </c>
      <c r="K19" s="22" t="n">
        <v>1</v>
      </c>
      <c r="L19" s="22" t="n">
        <v>0</v>
      </c>
      <c r="M19" s="21" t="s">
        <v>363</v>
      </c>
      <c r="N19" s="21"/>
      <c r="O19" s="20" t="n">
        <f aca="false">IF($N19="Exit",N($J19),0)</f>
        <v>0</v>
      </c>
      <c r="P19" s="23" t="str">
        <f aca="false">IF($F19="","",MID(IF($G19="",", career level","")&amp;IF($I19="",", nationality mandate","")&amp;IF($N19="",", capacity direction","")&amp;IF(N($J19)&lt;=0,", approved HC","")&amp;IF(AND($G19&lt;&gt;"",COUNTIF(CareerLevels,$G19)=0),", a career level that is not on the ladder",""),3,200))</f>
        <v>career level, nationality mandate, capacity direction</v>
      </c>
    </row>
    <row r="20" customFormat="false" ht="15" hidden="false" customHeight="false" outlineLevel="0" collapsed="false">
      <c r="A20" s="21" t="s">
        <v>388</v>
      </c>
      <c r="B20" s="21" t="s">
        <v>40</v>
      </c>
      <c r="C20" s="21" t="s">
        <v>43</v>
      </c>
      <c r="D20" s="21" t="s">
        <v>45</v>
      </c>
      <c r="E20" s="21" t="s">
        <v>55</v>
      </c>
      <c r="F20" s="21" t="s">
        <v>378</v>
      </c>
      <c r="G20" s="21"/>
      <c r="H20" s="21" t="s">
        <v>374</v>
      </c>
      <c r="I20" s="21"/>
      <c r="J20" s="22" t="n">
        <v>1</v>
      </c>
      <c r="K20" s="22" t="n">
        <v>1</v>
      </c>
      <c r="L20" s="22" t="n">
        <v>0</v>
      </c>
      <c r="M20" s="21" t="s">
        <v>363</v>
      </c>
      <c r="N20" s="21"/>
      <c r="O20" s="20" t="n">
        <f aca="false">IF($N20="Exit",N($J20),0)</f>
        <v>0</v>
      </c>
      <c r="P20" s="23" t="str">
        <f aca="false">IF($F20="","",MID(IF($G20="",", career level","")&amp;IF($I20="",", nationality mandate","")&amp;IF($N20="",", capacity direction","")&amp;IF(N($J20)&lt;=0,", approved HC","")&amp;IF(AND($G20&lt;&gt;"",COUNTIF(CareerLevels,$G20)=0),", a career level that is not on the ladder",""),3,200))</f>
        <v>career level, nationality mandate, capacity direction</v>
      </c>
    </row>
    <row r="21" customFormat="false" ht="15" hidden="false" customHeight="false" outlineLevel="0" collapsed="false">
      <c r="A21" s="21" t="s">
        <v>389</v>
      </c>
      <c r="B21" s="21" t="s">
        <v>40</v>
      </c>
      <c r="C21" s="21" t="s">
        <v>43</v>
      </c>
      <c r="D21" s="21" t="s">
        <v>45</v>
      </c>
      <c r="E21" s="21" t="s">
        <v>55</v>
      </c>
      <c r="F21" s="21" t="s">
        <v>390</v>
      </c>
      <c r="G21" s="21"/>
      <c r="H21" s="21" t="s">
        <v>374</v>
      </c>
      <c r="I21" s="21"/>
      <c r="J21" s="22" t="n">
        <v>1</v>
      </c>
      <c r="K21" s="22" t="n">
        <v>1</v>
      </c>
      <c r="L21" s="22" t="n">
        <v>0</v>
      </c>
      <c r="M21" s="21" t="s">
        <v>363</v>
      </c>
      <c r="N21" s="21"/>
      <c r="O21" s="20" t="n">
        <f aca="false">IF($N21="Exit",N($J21),0)</f>
        <v>0</v>
      </c>
      <c r="P21" s="23" t="str">
        <f aca="false">IF($F21="","",MID(IF($G21="",", career level","")&amp;IF($I21="",", nationality mandate","")&amp;IF($N21="",", capacity direction","")&amp;IF(N($J21)&lt;=0,", approved HC","")&amp;IF(AND($G21&lt;&gt;"",COUNTIF(CareerLevels,$G21)=0),", a career level that is not on the ladder",""),3,200))</f>
        <v>career level, nationality mandate, capacity direction</v>
      </c>
    </row>
    <row r="22" customFormat="false" ht="15" hidden="false" customHeight="false" outlineLevel="0" collapsed="false">
      <c r="A22" s="21" t="s">
        <v>391</v>
      </c>
      <c r="B22" s="21" t="s">
        <v>40</v>
      </c>
      <c r="C22" s="21" t="s">
        <v>43</v>
      </c>
      <c r="D22" s="21" t="s">
        <v>45</v>
      </c>
      <c r="E22" s="21" t="s">
        <v>55</v>
      </c>
      <c r="F22" s="21" t="s">
        <v>381</v>
      </c>
      <c r="G22" s="21"/>
      <c r="H22" s="21" t="s">
        <v>374</v>
      </c>
      <c r="I22" s="21"/>
      <c r="J22" s="22" t="n">
        <v>1</v>
      </c>
      <c r="K22" s="22" t="n">
        <v>1</v>
      </c>
      <c r="L22" s="22" t="n">
        <v>0</v>
      </c>
      <c r="M22" s="21" t="s">
        <v>363</v>
      </c>
      <c r="N22" s="21"/>
      <c r="O22" s="20" t="n">
        <f aca="false">IF($N22="Exit",N($J22),0)</f>
        <v>0</v>
      </c>
      <c r="P22" s="23" t="str">
        <f aca="false">IF($F22="","",MID(IF($G22="",", career level","")&amp;IF($I22="",", nationality mandate","")&amp;IF($N22="",", capacity direction","")&amp;IF(N($J22)&lt;=0,", approved HC","")&amp;IF(AND($G22&lt;&gt;"",COUNTIF(CareerLevels,$G22)=0),", a career level that is not on the ladder",""),3,200))</f>
        <v>career level, nationality mandate, capacity direction</v>
      </c>
    </row>
    <row r="23" customFormat="false" ht="15" hidden="false" customHeight="false" outlineLevel="0" collapsed="false">
      <c r="A23" s="21" t="s">
        <v>391</v>
      </c>
      <c r="B23" s="21" t="s">
        <v>40</v>
      </c>
      <c r="C23" s="21" t="s">
        <v>43</v>
      </c>
      <c r="D23" s="21" t="s">
        <v>45</v>
      </c>
      <c r="E23" s="21" t="s">
        <v>55</v>
      </c>
      <c r="F23" s="21" t="s">
        <v>381</v>
      </c>
      <c r="G23" s="21"/>
      <c r="H23" s="21" t="s">
        <v>374</v>
      </c>
      <c r="I23" s="21"/>
      <c r="J23" s="22" t="n">
        <v>1</v>
      </c>
      <c r="K23" s="22" t="n">
        <v>1</v>
      </c>
      <c r="L23" s="22" t="n">
        <v>0</v>
      </c>
      <c r="M23" s="21" t="s">
        <v>363</v>
      </c>
      <c r="N23" s="21"/>
      <c r="O23" s="20" t="n">
        <f aca="false">IF($N23="Exit",N($J23),0)</f>
        <v>0</v>
      </c>
      <c r="P23" s="23" t="str">
        <f aca="false">IF($F23="","",MID(IF($G23="",", career level","")&amp;IF($I23="",", nationality mandate","")&amp;IF($N23="",", capacity direction","")&amp;IF(N($J23)&lt;=0,", approved HC","")&amp;IF(AND($G23&lt;&gt;"",COUNTIF(CareerLevels,$G23)=0),", a career level that is not on the ladder",""),3,200))</f>
        <v>career level, nationality mandate, capacity direction</v>
      </c>
    </row>
    <row r="24" customFormat="false" ht="15" hidden="false" customHeight="false" outlineLevel="0" collapsed="false">
      <c r="A24" s="21" t="s">
        <v>392</v>
      </c>
      <c r="B24" s="21" t="s">
        <v>40</v>
      </c>
      <c r="C24" s="21" t="s">
        <v>43</v>
      </c>
      <c r="D24" s="21" t="s">
        <v>45</v>
      </c>
      <c r="E24" s="21" t="s">
        <v>55</v>
      </c>
      <c r="F24" s="21" t="s">
        <v>381</v>
      </c>
      <c r="G24" s="21"/>
      <c r="H24" s="21" t="s">
        <v>374</v>
      </c>
      <c r="I24" s="21"/>
      <c r="J24" s="22" t="n">
        <v>1</v>
      </c>
      <c r="K24" s="22" t="n">
        <v>0</v>
      </c>
      <c r="L24" s="22" t="n">
        <v>1</v>
      </c>
      <c r="M24" s="21" t="s">
        <v>363</v>
      </c>
      <c r="N24" s="21"/>
      <c r="O24" s="20" t="n">
        <f aca="false">IF($N24="Exit",N($J24),0)</f>
        <v>0</v>
      </c>
      <c r="P24" s="23" t="str">
        <f aca="false">IF($F24="","",MID(IF($G24="",", career level","")&amp;IF($I24="",", nationality mandate","")&amp;IF($N24="",", capacity direction","")&amp;IF(N($J24)&lt;=0,", approved HC","")&amp;IF(AND($G24&lt;&gt;"",COUNTIF(CareerLevels,$G24)=0),", a career level that is not on the ladder",""),3,200))</f>
        <v>career level, nationality mandate, capacity direction</v>
      </c>
    </row>
    <row r="25" customFormat="false" ht="15" hidden="false" customHeight="false" outlineLevel="0" collapsed="false">
      <c r="A25" s="21" t="s">
        <v>380</v>
      </c>
      <c r="B25" s="21" t="s">
        <v>40</v>
      </c>
      <c r="C25" s="21" t="s">
        <v>43</v>
      </c>
      <c r="D25" s="21" t="s">
        <v>45</v>
      </c>
      <c r="E25" s="21" t="s">
        <v>55</v>
      </c>
      <c r="F25" s="21" t="s">
        <v>385</v>
      </c>
      <c r="G25" s="21"/>
      <c r="H25" s="21" t="s">
        <v>371</v>
      </c>
      <c r="I25" s="21"/>
      <c r="J25" s="22" t="n">
        <v>1</v>
      </c>
      <c r="K25" s="22" t="n">
        <v>1</v>
      </c>
      <c r="L25" s="22" t="n">
        <v>0</v>
      </c>
      <c r="M25" s="21" t="s">
        <v>363</v>
      </c>
      <c r="N25" s="21"/>
      <c r="O25" s="20" t="n">
        <f aca="false">IF($N25="Exit",N($J25),0)</f>
        <v>0</v>
      </c>
      <c r="P25" s="23" t="str">
        <f aca="false">IF($F25="","",MID(IF($G25="",", career level","")&amp;IF($I25="",", nationality mandate","")&amp;IF($N25="",", capacity direction","")&amp;IF(N($J25)&lt;=0,", approved HC","")&amp;IF(AND($G25&lt;&gt;"",COUNTIF(CareerLevels,$G25)=0),", a career level that is not on the ladder",""),3,200))</f>
        <v>career level, nationality mandate, capacity direction</v>
      </c>
    </row>
    <row r="26" customFormat="false" ht="15" hidden="false" customHeight="false" outlineLevel="0" collapsed="false">
      <c r="A26" s="21" t="s">
        <v>388</v>
      </c>
      <c r="B26" s="21" t="s">
        <v>40</v>
      </c>
      <c r="C26" s="21" t="s">
        <v>43</v>
      </c>
      <c r="D26" s="21" t="s">
        <v>61</v>
      </c>
      <c r="E26" s="21"/>
      <c r="F26" s="21" t="s">
        <v>370</v>
      </c>
      <c r="G26" s="21"/>
      <c r="H26" s="21" t="s">
        <v>371</v>
      </c>
      <c r="I26" s="21"/>
      <c r="J26" s="22" t="n">
        <v>1</v>
      </c>
      <c r="K26" s="22" t="n">
        <v>1</v>
      </c>
      <c r="L26" s="22" t="n">
        <v>0</v>
      </c>
      <c r="M26" s="21" t="s">
        <v>393</v>
      </c>
      <c r="N26" s="21"/>
      <c r="O26" s="20" t="n">
        <f aca="false">IF($N26="Exit",N($J26),0)</f>
        <v>0</v>
      </c>
      <c r="P26" s="23" t="str">
        <f aca="false">IF($F26="","",MID(IF($G26="",", career level","")&amp;IF($I26="",", nationality mandate","")&amp;IF($N26="",", capacity direction","")&amp;IF(N($J26)&lt;=0,", approved HC","")&amp;IF(AND($G26&lt;&gt;"",COUNTIF(CareerLevels,$G26)=0),", a career level that is not on the ladder",""),3,200))</f>
        <v>career level, nationality mandate, capacity direction</v>
      </c>
    </row>
    <row r="27" customFormat="false" ht="15" hidden="false" customHeight="false" outlineLevel="0" collapsed="false">
      <c r="A27" s="21" t="s">
        <v>394</v>
      </c>
      <c r="B27" s="21" t="s">
        <v>40</v>
      </c>
      <c r="C27" s="21" t="s">
        <v>43</v>
      </c>
      <c r="D27" s="21" t="s">
        <v>61</v>
      </c>
      <c r="E27" s="21" t="s">
        <v>63</v>
      </c>
      <c r="F27" s="21" t="s">
        <v>387</v>
      </c>
      <c r="G27" s="21"/>
      <c r="H27" s="21" t="s">
        <v>374</v>
      </c>
      <c r="I27" s="21"/>
      <c r="J27" s="22" t="n">
        <v>1</v>
      </c>
      <c r="K27" s="22" t="n">
        <v>1</v>
      </c>
      <c r="L27" s="22" t="n">
        <v>0</v>
      </c>
      <c r="M27" s="21" t="s">
        <v>363</v>
      </c>
      <c r="N27" s="21"/>
      <c r="O27" s="20" t="n">
        <f aca="false">IF($N27="Exit",N($J27),0)</f>
        <v>0</v>
      </c>
      <c r="P27" s="23" t="str">
        <f aca="false">IF($F27="","",MID(IF($G27="",", career level","")&amp;IF($I27="",", nationality mandate","")&amp;IF($N27="",", capacity direction","")&amp;IF(N($J27)&lt;=0,", approved HC","")&amp;IF(AND($G27&lt;&gt;"",COUNTIF(CareerLevels,$G27)=0),", a career level that is not on the ladder",""),3,200))</f>
        <v>career level, nationality mandate, capacity direction</v>
      </c>
    </row>
    <row r="28" customFormat="false" ht="15" hidden="false" customHeight="false" outlineLevel="0" collapsed="false">
      <c r="A28" s="21" t="s">
        <v>372</v>
      </c>
      <c r="B28" s="21" t="s">
        <v>40</v>
      </c>
      <c r="C28" s="21" t="s">
        <v>43</v>
      </c>
      <c r="D28" s="21" t="s">
        <v>61</v>
      </c>
      <c r="E28" s="21" t="s">
        <v>63</v>
      </c>
      <c r="F28" s="21" t="s">
        <v>387</v>
      </c>
      <c r="G28" s="21"/>
      <c r="H28" s="21" t="s">
        <v>374</v>
      </c>
      <c r="I28" s="21"/>
      <c r="J28" s="22" t="n">
        <v>1</v>
      </c>
      <c r="K28" s="22" t="n">
        <v>1</v>
      </c>
      <c r="L28" s="22" t="n">
        <v>0</v>
      </c>
      <c r="M28" s="21" t="s">
        <v>363</v>
      </c>
      <c r="N28" s="21"/>
      <c r="O28" s="20" t="n">
        <f aca="false">IF($N28="Exit",N($J28),0)</f>
        <v>0</v>
      </c>
      <c r="P28" s="23" t="str">
        <f aca="false">IF($F28="","",MID(IF($G28="",", career level","")&amp;IF($I28="",", nationality mandate","")&amp;IF($N28="",", capacity direction","")&amp;IF(N($J28)&lt;=0,", approved HC","")&amp;IF(AND($G28&lt;&gt;"",COUNTIF(CareerLevels,$G28)=0),", a career level that is not on the ladder",""),3,200))</f>
        <v>career level, nationality mandate, capacity direction</v>
      </c>
    </row>
    <row r="29" customFormat="false" ht="15" hidden="false" customHeight="false" outlineLevel="0" collapsed="false">
      <c r="A29" s="21" t="s">
        <v>360</v>
      </c>
      <c r="B29" s="21" t="s">
        <v>40</v>
      </c>
      <c r="C29" s="21" t="s">
        <v>43</v>
      </c>
      <c r="D29" s="21" t="s">
        <v>61</v>
      </c>
      <c r="E29" s="21" t="s">
        <v>63</v>
      </c>
      <c r="F29" s="21" t="s">
        <v>395</v>
      </c>
      <c r="G29" s="21"/>
      <c r="H29" s="21" t="s">
        <v>374</v>
      </c>
      <c r="I29" s="21"/>
      <c r="J29" s="22" t="n">
        <v>1</v>
      </c>
      <c r="K29" s="22" t="n">
        <v>1</v>
      </c>
      <c r="L29" s="22" t="n">
        <v>0</v>
      </c>
      <c r="M29" s="21" t="s">
        <v>363</v>
      </c>
      <c r="N29" s="21"/>
      <c r="O29" s="20" t="n">
        <f aca="false">IF($N29="Exit",N($J29),0)</f>
        <v>0</v>
      </c>
      <c r="P29" s="23" t="str">
        <f aca="false">IF($F29="","",MID(IF($G29="",", career level","")&amp;IF($I29="",", nationality mandate","")&amp;IF($N29="",", capacity direction","")&amp;IF(N($J29)&lt;=0,", approved HC","")&amp;IF(AND($G29&lt;&gt;"",COUNTIF(CareerLevels,$G29)=0),", a career level that is not on the ladder",""),3,200))</f>
        <v>career level, nationality mandate, capacity direction</v>
      </c>
    </row>
    <row r="30" customFormat="false" ht="15" hidden="false" customHeight="false" outlineLevel="0" collapsed="false">
      <c r="A30" s="21" t="s">
        <v>386</v>
      </c>
      <c r="B30" s="21" t="s">
        <v>40</v>
      </c>
      <c r="C30" s="21" t="s">
        <v>43</v>
      </c>
      <c r="D30" s="21" t="s">
        <v>61</v>
      </c>
      <c r="E30" s="21" t="s">
        <v>63</v>
      </c>
      <c r="F30" s="21" t="s">
        <v>378</v>
      </c>
      <c r="G30" s="21"/>
      <c r="H30" s="21" t="s">
        <v>374</v>
      </c>
      <c r="I30" s="21"/>
      <c r="J30" s="22" t="n">
        <v>1</v>
      </c>
      <c r="K30" s="22" t="n">
        <v>0</v>
      </c>
      <c r="L30" s="22" t="n">
        <v>1</v>
      </c>
      <c r="M30" s="21" t="s">
        <v>363</v>
      </c>
      <c r="N30" s="21"/>
      <c r="O30" s="20" t="n">
        <f aca="false">IF($N30="Exit",N($J30),0)</f>
        <v>0</v>
      </c>
      <c r="P30" s="23" t="str">
        <f aca="false">IF($F30="","",MID(IF($G30="",", career level","")&amp;IF($I30="",", nationality mandate","")&amp;IF($N30="",", capacity direction","")&amp;IF(N($J30)&lt;=0,", approved HC","")&amp;IF(AND($G30&lt;&gt;"",COUNTIF(CareerLevels,$G30)=0),", a career level that is not on the ladder",""),3,200))</f>
        <v>career level, nationality mandate, capacity direction</v>
      </c>
    </row>
    <row r="31" customFormat="false" ht="15" hidden="false" customHeight="false" outlineLevel="0" collapsed="false">
      <c r="A31" s="21" t="s">
        <v>396</v>
      </c>
      <c r="B31" s="21" t="s">
        <v>40</v>
      </c>
      <c r="C31" s="21" t="s">
        <v>43</v>
      </c>
      <c r="D31" s="21" t="s">
        <v>61</v>
      </c>
      <c r="E31" s="21" t="s">
        <v>63</v>
      </c>
      <c r="F31" s="21" t="s">
        <v>390</v>
      </c>
      <c r="G31" s="21"/>
      <c r="H31" s="21" t="s">
        <v>374</v>
      </c>
      <c r="I31" s="21"/>
      <c r="J31" s="22" t="n">
        <v>1</v>
      </c>
      <c r="K31" s="22" t="n">
        <v>1</v>
      </c>
      <c r="L31" s="22" t="n">
        <v>0</v>
      </c>
      <c r="M31" s="21" t="s">
        <v>363</v>
      </c>
      <c r="N31" s="21"/>
      <c r="O31" s="20" t="n">
        <f aca="false">IF($N31="Exit",N($J31),0)</f>
        <v>0</v>
      </c>
      <c r="P31" s="23" t="str">
        <f aca="false">IF($F31="","",MID(IF($G31="",", career level","")&amp;IF($I31="",", nationality mandate","")&amp;IF($N31="",", capacity direction","")&amp;IF(N($J31)&lt;=0,", approved HC","")&amp;IF(AND($G31&lt;&gt;"",COUNTIF(CareerLevels,$G31)=0),", a career level that is not on the ladder",""),3,200))</f>
        <v>career level, nationality mandate, capacity direction</v>
      </c>
    </row>
    <row r="32" customFormat="false" ht="15" hidden="false" customHeight="false" outlineLevel="0" collapsed="false">
      <c r="A32" s="21" t="s">
        <v>391</v>
      </c>
      <c r="B32" s="21" t="s">
        <v>40</v>
      </c>
      <c r="C32" s="21" t="s">
        <v>43</v>
      </c>
      <c r="D32" s="21" t="s">
        <v>61</v>
      </c>
      <c r="E32" s="21" t="s">
        <v>63</v>
      </c>
      <c r="F32" s="21" t="s">
        <v>390</v>
      </c>
      <c r="G32" s="21"/>
      <c r="H32" s="21" t="s">
        <v>374</v>
      </c>
      <c r="I32" s="21"/>
      <c r="J32" s="22" t="n">
        <v>1</v>
      </c>
      <c r="K32" s="22" t="n">
        <v>1</v>
      </c>
      <c r="L32" s="22" t="n">
        <v>0</v>
      </c>
      <c r="M32" s="21" t="s">
        <v>393</v>
      </c>
      <c r="N32" s="21"/>
      <c r="O32" s="20" t="n">
        <f aca="false">IF($N32="Exit",N($J32),0)</f>
        <v>0</v>
      </c>
      <c r="P32" s="23" t="str">
        <f aca="false">IF($F32="","",MID(IF($G32="",", career level","")&amp;IF($I32="",", nationality mandate","")&amp;IF($N32="",", capacity direction","")&amp;IF(N($J32)&lt;=0,", approved HC","")&amp;IF(AND($G32&lt;&gt;"",COUNTIF(CareerLevels,$G32)=0),", a career level that is not on the ladder",""),3,200))</f>
        <v>career level, nationality mandate, capacity direction</v>
      </c>
    </row>
    <row r="33" customFormat="false" ht="15" hidden="false" customHeight="false" outlineLevel="0" collapsed="false">
      <c r="A33" s="21" t="s">
        <v>397</v>
      </c>
      <c r="B33" s="21" t="s">
        <v>40</v>
      </c>
      <c r="C33" s="21" t="s">
        <v>43</v>
      </c>
      <c r="D33" s="21" t="s">
        <v>61</v>
      </c>
      <c r="E33" s="21" t="s">
        <v>63</v>
      </c>
      <c r="F33" s="21" t="s">
        <v>385</v>
      </c>
      <c r="G33" s="21"/>
      <c r="H33" s="21" t="s">
        <v>371</v>
      </c>
      <c r="I33" s="21"/>
      <c r="J33" s="22" t="n">
        <v>1</v>
      </c>
      <c r="K33" s="22" t="n">
        <v>1</v>
      </c>
      <c r="L33" s="22" t="n">
        <v>0</v>
      </c>
      <c r="M33" s="21" t="s">
        <v>363</v>
      </c>
      <c r="N33" s="21"/>
      <c r="O33" s="20" t="n">
        <f aca="false">IF($N33="Exit",N($J33),0)</f>
        <v>0</v>
      </c>
      <c r="P33" s="23" t="str">
        <f aca="false">IF($F33="","",MID(IF($G33="",", career level","")&amp;IF($I33="",", nationality mandate","")&amp;IF($N33="",", capacity direction","")&amp;IF(N($J33)&lt;=0,", approved HC","")&amp;IF(AND($G33&lt;&gt;"",COUNTIF(CareerLevels,$G33)=0),", a career level that is not on the ladder",""),3,200))</f>
        <v>career level, nationality mandate, capacity direction</v>
      </c>
    </row>
    <row r="34" customFormat="false" ht="15" hidden="false" customHeight="false" outlineLevel="0" collapsed="false">
      <c r="A34" s="21" t="s">
        <v>398</v>
      </c>
      <c r="B34" s="21" t="s">
        <v>40</v>
      </c>
      <c r="C34" s="21" t="s">
        <v>43</v>
      </c>
      <c r="D34" s="21" t="s">
        <v>61</v>
      </c>
      <c r="E34" s="21" t="s">
        <v>69</v>
      </c>
      <c r="F34" s="21" t="s">
        <v>373</v>
      </c>
      <c r="G34" s="21"/>
      <c r="H34" s="21" t="s">
        <v>374</v>
      </c>
      <c r="I34" s="21"/>
      <c r="J34" s="22" t="n">
        <v>1</v>
      </c>
      <c r="K34" s="22" t="n">
        <v>1</v>
      </c>
      <c r="L34" s="22" t="n">
        <v>0</v>
      </c>
      <c r="M34" s="21" t="s">
        <v>363</v>
      </c>
      <c r="N34" s="21"/>
      <c r="O34" s="20" t="n">
        <f aca="false">IF($N34="Exit",N($J34),0)</f>
        <v>0</v>
      </c>
      <c r="P34" s="23" t="str">
        <f aca="false">IF($F34="","",MID(IF($G34="",", career level","")&amp;IF($I34="",", nationality mandate","")&amp;IF($N34="",", capacity direction","")&amp;IF(N($J34)&lt;=0,", approved HC","")&amp;IF(AND($G34&lt;&gt;"",COUNTIF(CareerLevels,$G34)=0),", a career level that is not on the ladder",""),3,200))</f>
        <v>career level, nationality mandate, capacity direction</v>
      </c>
    </row>
    <row r="35" customFormat="false" ht="15" hidden="false" customHeight="false" outlineLevel="0" collapsed="false">
      <c r="A35" s="21" t="s">
        <v>399</v>
      </c>
      <c r="B35" s="21" t="s">
        <v>40</v>
      </c>
      <c r="C35" s="21" t="s">
        <v>43</v>
      </c>
      <c r="D35" s="21" t="s">
        <v>61</v>
      </c>
      <c r="E35" s="21" t="s">
        <v>69</v>
      </c>
      <c r="F35" s="21" t="s">
        <v>373</v>
      </c>
      <c r="G35" s="21"/>
      <c r="H35" s="21" t="s">
        <v>374</v>
      </c>
      <c r="I35" s="21"/>
      <c r="J35" s="22" t="n">
        <v>1</v>
      </c>
      <c r="K35" s="22" t="n">
        <v>1</v>
      </c>
      <c r="L35" s="22" t="n">
        <v>0</v>
      </c>
      <c r="M35" s="21" t="s">
        <v>363</v>
      </c>
      <c r="N35" s="21"/>
      <c r="O35" s="20" t="n">
        <f aca="false">IF($N35="Exit",N($J35),0)</f>
        <v>0</v>
      </c>
      <c r="P35" s="23" t="str">
        <f aca="false">IF($F35="","",MID(IF($G35="",", career level","")&amp;IF($I35="",", nationality mandate","")&amp;IF($N35="",", capacity direction","")&amp;IF(N($J35)&lt;=0,", approved HC","")&amp;IF(AND($G35&lt;&gt;"",COUNTIF(CareerLevels,$G35)=0),", a career level that is not on the ladder",""),3,200))</f>
        <v>career level, nationality mandate, capacity direction</v>
      </c>
    </row>
    <row r="36" customFormat="false" ht="15" hidden="false" customHeight="false" outlineLevel="0" collapsed="false">
      <c r="A36" s="21" t="s">
        <v>394</v>
      </c>
      <c r="B36" s="21" t="s">
        <v>40</v>
      </c>
      <c r="C36" s="21" t="s">
        <v>43</v>
      </c>
      <c r="D36" s="21" t="s">
        <v>61</v>
      </c>
      <c r="E36" s="21" t="s">
        <v>69</v>
      </c>
      <c r="F36" s="21" t="s">
        <v>387</v>
      </c>
      <c r="G36" s="21"/>
      <c r="H36" s="21" t="s">
        <v>374</v>
      </c>
      <c r="I36" s="21"/>
      <c r="J36" s="22" t="n">
        <v>1</v>
      </c>
      <c r="K36" s="22" t="n">
        <v>1</v>
      </c>
      <c r="L36" s="22" t="n">
        <v>0</v>
      </c>
      <c r="M36" s="21" t="s">
        <v>363</v>
      </c>
      <c r="N36" s="21"/>
      <c r="O36" s="20" t="n">
        <f aca="false">IF($N36="Exit",N($J36),0)</f>
        <v>0</v>
      </c>
      <c r="P36" s="23" t="str">
        <f aca="false">IF($F36="","",MID(IF($G36="",", career level","")&amp;IF($I36="",", nationality mandate","")&amp;IF($N36="",", capacity direction","")&amp;IF(N($J36)&lt;=0,", approved HC","")&amp;IF(AND($G36&lt;&gt;"",COUNTIF(CareerLevels,$G36)=0),", a career level that is not on the ladder",""),3,200))</f>
        <v>career level, nationality mandate, capacity direction</v>
      </c>
    </row>
    <row r="37" customFormat="false" ht="15" hidden="false" customHeight="false" outlineLevel="0" collapsed="false">
      <c r="A37" s="21" t="s">
        <v>379</v>
      </c>
      <c r="B37" s="21" t="s">
        <v>40</v>
      </c>
      <c r="C37" s="21" t="s">
        <v>43</v>
      </c>
      <c r="D37" s="21" t="s">
        <v>61</v>
      </c>
      <c r="E37" s="21" t="s">
        <v>69</v>
      </c>
      <c r="F37" s="21" t="s">
        <v>387</v>
      </c>
      <c r="G37" s="21"/>
      <c r="H37" s="21" t="s">
        <v>374</v>
      </c>
      <c r="I37" s="21"/>
      <c r="J37" s="22" t="n">
        <v>1</v>
      </c>
      <c r="K37" s="22" t="n">
        <v>1</v>
      </c>
      <c r="L37" s="22" t="n">
        <v>0</v>
      </c>
      <c r="M37" s="21" t="s">
        <v>363</v>
      </c>
      <c r="N37" s="21"/>
      <c r="O37" s="20" t="n">
        <f aca="false">IF($N37="Exit",N($J37),0)</f>
        <v>0</v>
      </c>
      <c r="P37" s="23" t="str">
        <f aca="false">IF($F37="","",MID(IF($G37="",", career level","")&amp;IF($I37="",", nationality mandate","")&amp;IF($N37="",", capacity direction","")&amp;IF(N($J37)&lt;=0,", approved HC","")&amp;IF(AND($G37&lt;&gt;"",COUNTIF(CareerLevels,$G37)=0),", a career level that is not on the ladder",""),3,200))</f>
        <v>career level, nationality mandate, capacity direction</v>
      </c>
    </row>
    <row r="38" customFormat="false" ht="15" hidden="false" customHeight="false" outlineLevel="0" collapsed="false">
      <c r="A38" s="21" t="s">
        <v>389</v>
      </c>
      <c r="B38" s="21" t="s">
        <v>40</v>
      </c>
      <c r="C38" s="21" t="s">
        <v>43</v>
      </c>
      <c r="D38" s="21" t="s">
        <v>61</v>
      </c>
      <c r="E38" s="21" t="s">
        <v>69</v>
      </c>
      <c r="F38" s="21" t="s">
        <v>395</v>
      </c>
      <c r="G38" s="21"/>
      <c r="H38" s="21" t="s">
        <v>374</v>
      </c>
      <c r="I38" s="21"/>
      <c r="J38" s="22" t="n">
        <v>1</v>
      </c>
      <c r="K38" s="22" t="n">
        <v>0</v>
      </c>
      <c r="L38" s="22" t="n">
        <v>1</v>
      </c>
      <c r="M38" s="21" t="s">
        <v>363</v>
      </c>
      <c r="N38" s="21"/>
      <c r="O38" s="20" t="n">
        <f aca="false">IF($N38="Exit",N($J38),0)</f>
        <v>0</v>
      </c>
      <c r="P38" s="23" t="str">
        <f aca="false">IF($F38="","",MID(IF($G38="",", career level","")&amp;IF($I38="",", nationality mandate","")&amp;IF($N38="",", capacity direction","")&amp;IF(N($J38)&lt;=0,", approved HC","")&amp;IF(AND($G38&lt;&gt;"",COUNTIF(CareerLevels,$G38)=0),", a career level that is not on the ladder",""),3,200))</f>
        <v>career level, nationality mandate, capacity direction</v>
      </c>
    </row>
    <row r="39" customFormat="false" ht="15" hidden="false" customHeight="false" outlineLevel="0" collapsed="false">
      <c r="A39" s="21" t="s">
        <v>398</v>
      </c>
      <c r="B39" s="21" t="s">
        <v>40</v>
      </c>
      <c r="C39" s="21" t="s">
        <v>43</v>
      </c>
      <c r="D39" s="21" t="s">
        <v>61</v>
      </c>
      <c r="E39" s="21" t="s">
        <v>69</v>
      </c>
      <c r="F39" s="21" t="s">
        <v>378</v>
      </c>
      <c r="G39" s="21"/>
      <c r="H39" s="21" t="s">
        <v>374</v>
      </c>
      <c r="I39" s="21"/>
      <c r="J39" s="22" t="n">
        <v>1</v>
      </c>
      <c r="K39" s="22" t="n">
        <v>1</v>
      </c>
      <c r="L39" s="22" t="n">
        <v>0</v>
      </c>
      <c r="M39" s="21" t="s">
        <v>363</v>
      </c>
      <c r="N39" s="21"/>
      <c r="O39" s="20" t="n">
        <f aca="false">IF($N39="Exit",N($J39),0)</f>
        <v>0</v>
      </c>
      <c r="P39" s="23" t="str">
        <f aca="false">IF($F39="","",MID(IF($G39="",", career level","")&amp;IF($I39="",", nationality mandate","")&amp;IF($N39="",", capacity direction","")&amp;IF(N($J39)&lt;=0,", approved HC","")&amp;IF(AND($G39&lt;&gt;"",COUNTIF(CareerLevels,$G39)=0),", a career level that is not on the ladder",""),3,200))</f>
        <v>career level, nationality mandate, capacity direction</v>
      </c>
    </row>
    <row r="40" customFormat="false" ht="15" hidden="false" customHeight="false" outlineLevel="0" collapsed="false">
      <c r="A40" s="21" t="s">
        <v>400</v>
      </c>
      <c r="B40" s="21" t="s">
        <v>40</v>
      </c>
      <c r="C40" s="21" t="s">
        <v>43</v>
      </c>
      <c r="D40" s="21" t="s">
        <v>61</v>
      </c>
      <c r="E40" s="21" t="s">
        <v>69</v>
      </c>
      <c r="F40" s="21" t="s">
        <v>390</v>
      </c>
      <c r="G40" s="21"/>
      <c r="H40" s="21" t="s">
        <v>374</v>
      </c>
      <c r="I40" s="21"/>
      <c r="J40" s="22" t="n">
        <v>1</v>
      </c>
      <c r="K40" s="22" t="n">
        <v>1</v>
      </c>
      <c r="L40" s="22" t="n">
        <v>0</v>
      </c>
      <c r="M40" s="21" t="s">
        <v>363</v>
      </c>
      <c r="N40" s="21"/>
      <c r="O40" s="20" t="n">
        <f aca="false">IF($N40="Exit",N($J40),0)</f>
        <v>0</v>
      </c>
      <c r="P40" s="23" t="str">
        <f aca="false">IF($F40="","",MID(IF($G40="",", career level","")&amp;IF($I40="",", nationality mandate","")&amp;IF($N40="",", capacity direction","")&amp;IF(N($J40)&lt;=0,", approved HC","")&amp;IF(AND($G40&lt;&gt;"",COUNTIF(CareerLevels,$G40)=0),", a career level that is not on the ladder",""),3,200))</f>
        <v>career level, nationality mandate, capacity direction</v>
      </c>
    </row>
    <row r="41" customFormat="false" ht="15" hidden="false" customHeight="false" outlineLevel="0" collapsed="false">
      <c r="A41" s="21" t="s">
        <v>400</v>
      </c>
      <c r="B41" s="21" t="s">
        <v>40</v>
      </c>
      <c r="C41" s="21" t="s">
        <v>43</v>
      </c>
      <c r="D41" s="21" t="s">
        <v>61</v>
      </c>
      <c r="E41" s="21" t="s">
        <v>69</v>
      </c>
      <c r="F41" s="21" t="s">
        <v>390</v>
      </c>
      <c r="G41" s="21"/>
      <c r="H41" s="21" t="s">
        <v>374</v>
      </c>
      <c r="I41" s="21"/>
      <c r="J41" s="22" t="n">
        <v>1</v>
      </c>
      <c r="K41" s="22" t="n">
        <v>1</v>
      </c>
      <c r="L41" s="22" t="n">
        <v>0</v>
      </c>
      <c r="M41" s="21" t="s">
        <v>363</v>
      </c>
      <c r="N41" s="21"/>
      <c r="O41" s="20" t="n">
        <f aca="false">IF($N41="Exit",N($J41),0)</f>
        <v>0</v>
      </c>
      <c r="P41" s="23" t="str">
        <f aca="false">IF($F41="","",MID(IF($G41="",", career level","")&amp;IF($I41="",", nationality mandate","")&amp;IF($N41="",", capacity direction","")&amp;IF(N($J41)&lt;=0,", approved HC","")&amp;IF(AND($G41&lt;&gt;"",COUNTIF(CareerLevels,$G41)=0),", a career level that is not on the ladder",""),3,200))</f>
        <v>career level, nationality mandate, capacity direction</v>
      </c>
    </row>
    <row r="42" customFormat="false" ht="15" hidden="false" customHeight="false" outlineLevel="0" collapsed="false">
      <c r="A42" s="21" t="s">
        <v>401</v>
      </c>
      <c r="B42" s="21" t="s">
        <v>40</v>
      </c>
      <c r="C42" s="21" t="s">
        <v>43</v>
      </c>
      <c r="D42" s="21" t="s">
        <v>61</v>
      </c>
      <c r="E42" s="21" t="s">
        <v>69</v>
      </c>
      <c r="F42" s="21" t="s">
        <v>385</v>
      </c>
      <c r="G42" s="21"/>
      <c r="H42" s="21" t="s">
        <v>371</v>
      </c>
      <c r="I42" s="21"/>
      <c r="J42" s="22" t="n">
        <v>1</v>
      </c>
      <c r="K42" s="22" t="n">
        <v>1</v>
      </c>
      <c r="L42" s="22" t="n">
        <v>0</v>
      </c>
      <c r="M42" s="21" t="s">
        <v>363</v>
      </c>
      <c r="N42" s="21"/>
      <c r="O42" s="20" t="n">
        <f aca="false">IF($N42="Exit",N($J42),0)</f>
        <v>0</v>
      </c>
      <c r="P42" s="23" t="str">
        <f aca="false">IF($F42="","",MID(IF($G42="",", career level","")&amp;IF($I42="",", nationality mandate","")&amp;IF($N42="",", capacity direction","")&amp;IF(N($J42)&lt;=0,", approved HC","")&amp;IF(AND($G42&lt;&gt;"",COUNTIF(CareerLevels,$G42)=0),", a career level that is not on the ladder",""),3,200))</f>
        <v>career level, nationality mandate, capacity direction</v>
      </c>
    </row>
    <row r="43" customFormat="false" ht="15" hidden="false" customHeight="false" outlineLevel="0" collapsed="false">
      <c r="A43" s="21" t="s">
        <v>376</v>
      </c>
      <c r="B43" s="21" t="s">
        <v>40</v>
      </c>
      <c r="C43" s="21" t="s">
        <v>75</v>
      </c>
      <c r="D43" s="21"/>
      <c r="E43" s="21"/>
      <c r="F43" s="21" t="s">
        <v>402</v>
      </c>
      <c r="G43" s="21"/>
      <c r="H43" s="21" t="s">
        <v>366</v>
      </c>
      <c r="I43" s="21"/>
      <c r="J43" s="22" t="n">
        <v>1</v>
      </c>
      <c r="K43" s="22" t="n">
        <v>1</v>
      </c>
      <c r="L43" s="22" t="n">
        <v>0</v>
      </c>
      <c r="M43" s="21" t="s">
        <v>363</v>
      </c>
      <c r="N43" s="21"/>
      <c r="O43" s="20" t="n">
        <f aca="false">IF($N43="Exit",N($J43),0)</f>
        <v>0</v>
      </c>
      <c r="P43" s="23" t="str">
        <f aca="false">IF($F43="","",MID(IF($G43="",", career level","")&amp;IF($I43="",", nationality mandate","")&amp;IF($N43="",", capacity direction","")&amp;IF(N($J43)&lt;=0,", approved HC","")&amp;IF(AND($G43&lt;&gt;"",COUNTIF(CareerLevels,$G43)=0),", a career level that is not on the ladder",""),3,200))</f>
        <v>career level, nationality mandate, capacity direction</v>
      </c>
    </row>
    <row r="44" customFormat="false" ht="15" hidden="false" customHeight="false" outlineLevel="0" collapsed="false">
      <c r="A44" s="21" t="s">
        <v>372</v>
      </c>
      <c r="B44" s="21" t="s">
        <v>40</v>
      </c>
      <c r="C44" s="21" t="s">
        <v>75</v>
      </c>
      <c r="D44" s="21" t="s">
        <v>77</v>
      </c>
      <c r="E44" s="21"/>
      <c r="F44" s="21" t="s">
        <v>403</v>
      </c>
      <c r="G44" s="21"/>
      <c r="H44" s="21" t="s">
        <v>371</v>
      </c>
      <c r="I44" s="21"/>
      <c r="J44" s="22" t="n">
        <v>1</v>
      </c>
      <c r="K44" s="22" t="n">
        <v>1</v>
      </c>
      <c r="L44" s="22" t="n">
        <v>0</v>
      </c>
      <c r="M44" s="21" t="s">
        <v>363</v>
      </c>
      <c r="N44" s="21"/>
      <c r="O44" s="20" t="n">
        <f aca="false">IF($N44="Exit",N($J44),0)</f>
        <v>0</v>
      </c>
      <c r="P44" s="23" t="str">
        <f aca="false">IF($F44="","",MID(IF($G44="",", career level","")&amp;IF($I44="",", nationality mandate","")&amp;IF($N44="",", capacity direction","")&amp;IF(N($J44)&lt;=0,", approved HC","")&amp;IF(AND($G44&lt;&gt;"",COUNTIF(CareerLevels,$G44)=0),", a career level that is not on the ladder",""),3,200))</f>
        <v>career level, nationality mandate, capacity direction</v>
      </c>
    </row>
    <row r="45" customFormat="false" ht="15" hidden="false" customHeight="false" outlineLevel="0" collapsed="false">
      <c r="A45" s="21" t="s">
        <v>404</v>
      </c>
      <c r="B45" s="21" t="s">
        <v>40</v>
      </c>
      <c r="C45" s="21" t="s">
        <v>75</v>
      </c>
      <c r="D45" s="21" t="s">
        <v>77</v>
      </c>
      <c r="E45" s="21" t="s">
        <v>79</v>
      </c>
      <c r="F45" s="21" t="s">
        <v>405</v>
      </c>
      <c r="G45" s="21"/>
      <c r="H45" s="21" t="s">
        <v>374</v>
      </c>
      <c r="I45" s="21"/>
      <c r="J45" s="22" t="n">
        <v>1</v>
      </c>
      <c r="K45" s="22" t="n">
        <v>1</v>
      </c>
      <c r="L45" s="22" t="n">
        <v>0</v>
      </c>
      <c r="M45" s="21" t="s">
        <v>363</v>
      </c>
      <c r="N45" s="21"/>
      <c r="O45" s="20" t="n">
        <f aca="false">IF($N45="Exit",N($J45),0)</f>
        <v>0</v>
      </c>
      <c r="P45" s="23" t="str">
        <f aca="false">IF($F45="","",MID(IF($G45="",", career level","")&amp;IF($I45="",", nationality mandate","")&amp;IF($N45="",", capacity direction","")&amp;IF(N($J45)&lt;=0,", approved HC","")&amp;IF(AND($G45&lt;&gt;"",COUNTIF(CareerLevels,$G45)=0),", a career level that is not on the ladder",""),3,200))</f>
        <v>career level, nationality mandate, capacity direction</v>
      </c>
    </row>
    <row r="46" customFormat="false" ht="15" hidden="false" customHeight="false" outlineLevel="0" collapsed="false">
      <c r="A46" s="21" t="s">
        <v>406</v>
      </c>
      <c r="B46" s="21" t="s">
        <v>40</v>
      </c>
      <c r="C46" s="21" t="s">
        <v>75</v>
      </c>
      <c r="D46" s="21" t="s">
        <v>77</v>
      </c>
      <c r="E46" s="21" t="s">
        <v>79</v>
      </c>
      <c r="F46" s="21" t="s">
        <v>407</v>
      </c>
      <c r="G46" s="21"/>
      <c r="H46" s="21" t="s">
        <v>374</v>
      </c>
      <c r="I46" s="21"/>
      <c r="J46" s="22" t="n">
        <v>1</v>
      </c>
      <c r="K46" s="22" t="n">
        <v>1</v>
      </c>
      <c r="L46" s="22" t="n">
        <v>0</v>
      </c>
      <c r="M46" s="21" t="s">
        <v>363</v>
      </c>
      <c r="N46" s="21"/>
      <c r="O46" s="20" t="n">
        <f aca="false">IF($N46="Exit",N($J46),0)</f>
        <v>0</v>
      </c>
      <c r="P46" s="23" t="str">
        <f aca="false">IF($F46="","",MID(IF($G46="",", career level","")&amp;IF($I46="",", nationality mandate","")&amp;IF($N46="",", capacity direction","")&amp;IF(N($J46)&lt;=0,", approved HC","")&amp;IF(AND($G46&lt;&gt;"",COUNTIF(CareerLevels,$G46)=0),", a career level that is not on the ladder",""),3,200))</f>
        <v>career level, nationality mandate, capacity direction</v>
      </c>
    </row>
    <row r="47" customFormat="false" ht="15" hidden="false" customHeight="false" outlineLevel="0" collapsed="false">
      <c r="A47" s="21" t="s">
        <v>408</v>
      </c>
      <c r="B47" s="21" t="s">
        <v>40</v>
      </c>
      <c r="C47" s="21" t="s">
        <v>75</v>
      </c>
      <c r="D47" s="21" t="s">
        <v>77</v>
      </c>
      <c r="E47" s="21" t="s">
        <v>79</v>
      </c>
      <c r="F47" s="21" t="s">
        <v>407</v>
      </c>
      <c r="G47" s="21"/>
      <c r="H47" s="21" t="s">
        <v>374</v>
      </c>
      <c r="I47" s="21"/>
      <c r="J47" s="22" t="n">
        <v>1</v>
      </c>
      <c r="K47" s="22" t="n">
        <v>1</v>
      </c>
      <c r="L47" s="22" t="n">
        <v>0</v>
      </c>
      <c r="M47" s="21" t="s">
        <v>393</v>
      </c>
      <c r="N47" s="21"/>
      <c r="O47" s="20" t="n">
        <f aca="false">IF($N47="Exit",N($J47),0)</f>
        <v>0</v>
      </c>
      <c r="P47" s="23" t="str">
        <f aca="false">IF($F47="","",MID(IF($G47="",", career level","")&amp;IF($I47="",", nationality mandate","")&amp;IF($N47="",", capacity direction","")&amp;IF(N($J47)&lt;=0,", approved HC","")&amp;IF(AND($G47&lt;&gt;"",COUNTIF(CareerLevels,$G47)=0),", a career level that is not on the ladder",""),3,200))</f>
        <v>career level, nationality mandate, capacity direction</v>
      </c>
    </row>
    <row r="48" customFormat="false" ht="15" hidden="false" customHeight="false" outlineLevel="0" collapsed="false">
      <c r="A48" s="21" t="s">
        <v>369</v>
      </c>
      <c r="B48" s="21" t="s">
        <v>40</v>
      </c>
      <c r="C48" s="21" t="s">
        <v>75</v>
      </c>
      <c r="D48" s="21" t="s">
        <v>77</v>
      </c>
      <c r="E48" s="21" t="s">
        <v>79</v>
      </c>
      <c r="F48" s="21" t="s">
        <v>407</v>
      </c>
      <c r="G48" s="21"/>
      <c r="H48" s="21" t="s">
        <v>374</v>
      </c>
      <c r="I48" s="21"/>
      <c r="J48" s="22" t="n">
        <v>1</v>
      </c>
      <c r="K48" s="22" t="n">
        <v>1</v>
      </c>
      <c r="L48" s="22" t="n">
        <v>0</v>
      </c>
      <c r="M48" s="21" t="s">
        <v>363</v>
      </c>
      <c r="N48" s="21"/>
      <c r="O48" s="20" t="n">
        <f aca="false">IF($N48="Exit",N($J48),0)</f>
        <v>0</v>
      </c>
      <c r="P48" s="23" t="str">
        <f aca="false">IF($F48="","",MID(IF($G48="",", career level","")&amp;IF($I48="",", nationality mandate","")&amp;IF($N48="",", capacity direction","")&amp;IF(N($J48)&lt;=0,", approved HC","")&amp;IF(AND($G48&lt;&gt;"",COUNTIF(CareerLevels,$G48)=0),", a career level that is not on the ladder",""),3,200))</f>
        <v>career level, nationality mandate, capacity direction</v>
      </c>
    </row>
    <row r="49" customFormat="false" ht="15" hidden="false" customHeight="false" outlineLevel="0" collapsed="false">
      <c r="A49" s="21" t="s">
        <v>409</v>
      </c>
      <c r="B49" s="21" t="s">
        <v>40</v>
      </c>
      <c r="C49" s="21" t="s">
        <v>75</v>
      </c>
      <c r="D49" s="21" t="s">
        <v>77</v>
      </c>
      <c r="E49" s="21" t="s">
        <v>79</v>
      </c>
      <c r="F49" s="21" t="s">
        <v>410</v>
      </c>
      <c r="G49" s="21"/>
      <c r="H49" s="21" t="s">
        <v>374</v>
      </c>
      <c r="I49" s="21"/>
      <c r="J49" s="22" t="n">
        <v>1</v>
      </c>
      <c r="K49" s="22" t="n">
        <v>1</v>
      </c>
      <c r="L49" s="22" t="n">
        <v>0</v>
      </c>
      <c r="M49" s="21" t="s">
        <v>363</v>
      </c>
      <c r="N49" s="21"/>
      <c r="O49" s="20" t="n">
        <f aca="false">IF($N49="Exit",N($J49),0)</f>
        <v>0</v>
      </c>
      <c r="P49" s="23" t="str">
        <f aca="false">IF($F49="","",MID(IF($G49="",", career level","")&amp;IF($I49="",", nationality mandate","")&amp;IF($N49="",", capacity direction","")&amp;IF(N($J49)&lt;=0,", approved HC","")&amp;IF(AND($G49&lt;&gt;"",COUNTIF(CareerLevels,$G49)=0),", a career level that is not on the ladder",""),3,200))</f>
        <v>career level, nationality mandate, capacity direction</v>
      </c>
    </row>
    <row r="50" customFormat="false" ht="15" hidden="false" customHeight="false" outlineLevel="0" collapsed="false">
      <c r="A50" s="21" t="s">
        <v>376</v>
      </c>
      <c r="B50" s="21" t="s">
        <v>40</v>
      </c>
      <c r="C50" s="21" t="s">
        <v>75</v>
      </c>
      <c r="D50" s="21" t="s">
        <v>77</v>
      </c>
      <c r="E50" s="21" t="s">
        <v>79</v>
      </c>
      <c r="F50" s="21" t="s">
        <v>411</v>
      </c>
      <c r="G50" s="21"/>
      <c r="H50" s="21" t="s">
        <v>371</v>
      </c>
      <c r="I50" s="21"/>
      <c r="J50" s="22" t="n">
        <v>1</v>
      </c>
      <c r="K50" s="22" t="n">
        <v>1</v>
      </c>
      <c r="L50" s="22" t="n">
        <v>0</v>
      </c>
      <c r="M50" s="21" t="s">
        <v>363</v>
      </c>
      <c r="N50" s="21"/>
      <c r="O50" s="20" t="n">
        <f aca="false">IF($N50="Exit",N($J50),0)</f>
        <v>0</v>
      </c>
      <c r="P50" s="23" t="str">
        <f aca="false">IF($F50="","",MID(IF($G50="",", career level","")&amp;IF($I50="",", nationality mandate","")&amp;IF($N50="",", capacity direction","")&amp;IF(N($J50)&lt;=0,", approved HC","")&amp;IF(AND($G50&lt;&gt;"",COUNTIF(CareerLevels,$G50)=0),", a career level that is not on the ladder",""),3,200))</f>
        <v>career level, nationality mandate, capacity direction</v>
      </c>
    </row>
    <row r="51" customFormat="false" ht="15" hidden="false" customHeight="false" outlineLevel="0" collapsed="false">
      <c r="A51" s="21" t="s">
        <v>412</v>
      </c>
      <c r="B51" s="21" t="s">
        <v>40</v>
      </c>
      <c r="C51" s="21" t="s">
        <v>75</v>
      </c>
      <c r="D51" s="21" t="s">
        <v>77</v>
      </c>
      <c r="E51" s="21" t="s">
        <v>85</v>
      </c>
      <c r="F51" s="21" t="s">
        <v>413</v>
      </c>
      <c r="G51" s="21"/>
      <c r="H51" s="21" t="s">
        <v>374</v>
      </c>
      <c r="I51" s="21"/>
      <c r="J51" s="22" t="n">
        <v>1</v>
      </c>
      <c r="K51" s="22" t="n">
        <v>1</v>
      </c>
      <c r="L51" s="22" t="n">
        <v>0</v>
      </c>
      <c r="M51" s="21" t="s">
        <v>363</v>
      </c>
      <c r="N51" s="21"/>
      <c r="O51" s="20" t="n">
        <f aca="false">IF($N51="Exit",N($J51),0)</f>
        <v>0</v>
      </c>
      <c r="P51" s="23" t="str">
        <f aca="false">IF($F51="","",MID(IF($G51="",", career level","")&amp;IF($I51="",", nationality mandate","")&amp;IF($N51="",", capacity direction","")&amp;IF(N($J51)&lt;=0,", approved HC","")&amp;IF(AND($G51&lt;&gt;"",COUNTIF(CareerLevels,$G51)=0),", a career level that is not on the ladder",""),3,200))</f>
        <v>career level, nationality mandate, capacity direction</v>
      </c>
    </row>
    <row r="52" customFormat="false" ht="15" hidden="false" customHeight="false" outlineLevel="0" collapsed="false">
      <c r="A52" s="21" t="s">
        <v>367</v>
      </c>
      <c r="B52" s="21" t="s">
        <v>40</v>
      </c>
      <c r="C52" s="21" t="s">
        <v>75</v>
      </c>
      <c r="D52" s="21" t="s">
        <v>77</v>
      </c>
      <c r="E52" s="21" t="s">
        <v>85</v>
      </c>
      <c r="F52" s="21" t="s">
        <v>413</v>
      </c>
      <c r="G52" s="21"/>
      <c r="H52" s="21" t="s">
        <v>374</v>
      </c>
      <c r="I52" s="21"/>
      <c r="J52" s="22" t="n">
        <v>1</v>
      </c>
      <c r="K52" s="22" t="n">
        <v>1</v>
      </c>
      <c r="L52" s="22" t="n">
        <v>0</v>
      </c>
      <c r="M52" s="21" t="s">
        <v>363</v>
      </c>
      <c r="N52" s="21"/>
      <c r="O52" s="20" t="n">
        <f aca="false">IF($N52="Exit",N($J52),0)</f>
        <v>0</v>
      </c>
      <c r="P52" s="23" t="str">
        <f aca="false">IF($F52="","",MID(IF($G52="",", career level","")&amp;IF($I52="",", nationality mandate","")&amp;IF($N52="",", capacity direction","")&amp;IF(N($J52)&lt;=0,", approved HC","")&amp;IF(AND($G52&lt;&gt;"",COUNTIF(CareerLevels,$G52)=0),", a career level that is not on the ladder",""),3,200))</f>
        <v>career level, nationality mandate, capacity direction</v>
      </c>
    </row>
    <row r="53" customFormat="false" ht="15" hidden="false" customHeight="false" outlineLevel="0" collapsed="false">
      <c r="A53" s="21" t="s">
        <v>398</v>
      </c>
      <c r="B53" s="21" t="s">
        <v>40</v>
      </c>
      <c r="C53" s="21" t="s">
        <v>75</v>
      </c>
      <c r="D53" s="21" t="s">
        <v>77</v>
      </c>
      <c r="E53" s="21" t="s">
        <v>85</v>
      </c>
      <c r="F53" s="21" t="s">
        <v>405</v>
      </c>
      <c r="G53" s="21"/>
      <c r="H53" s="21" t="s">
        <v>374</v>
      </c>
      <c r="I53" s="21"/>
      <c r="J53" s="22" t="n">
        <v>1</v>
      </c>
      <c r="K53" s="22" t="n">
        <v>1</v>
      </c>
      <c r="L53" s="22" t="n">
        <v>0</v>
      </c>
      <c r="M53" s="21" t="s">
        <v>363</v>
      </c>
      <c r="N53" s="21"/>
      <c r="O53" s="20" t="n">
        <f aca="false">IF($N53="Exit",N($J53),0)</f>
        <v>0</v>
      </c>
      <c r="P53" s="23" t="str">
        <f aca="false">IF($F53="","",MID(IF($G53="",", career level","")&amp;IF($I53="",", nationality mandate","")&amp;IF($N53="",", capacity direction","")&amp;IF(N($J53)&lt;=0,", approved HC","")&amp;IF(AND($G53&lt;&gt;"",COUNTIF(CareerLevels,$G53)=0),", a career level that is not on the ladder",""),3,200))</f>
        <v>career level, nationality mandate, capacity direction</v>
      </c>
    </row>
    <row r="54" customFormat="false" ht="15" hidden="false" customHeight="false" outlineLevel="0" collapsed="false">
      <c r="A54" s="21" t="s">
        <v>414</v>
      </c>
      <c r="B54" s="21" t="s">
        <v>40</v>
      </c>
      <c r="C54" s="21" t="s">
        <v>75</v>
      </c>
      <c r="D54" s="21" t="s">
        <v>77</v>
      </c>
      <c r="E54" s="21" t="s">
        <v>85</v>
      </c>
      <c r="F54" s="21" t="s">
        <v>415</v>
      </c>
      <c r="G54" s="21"/>
      <c r="H54" s="21" t="s">
        <v>374</v>
      </c>
      <c r="I54" s="21"/>
      <c r="J54" s="22" t="n">
        <v>1</v>
      </c>
      <c r="K54" s="22" t="n">
        <v>1</v>
      </c>
      <c r="L54" s="22" t="n">
        <v>0</v>
      </c>
      <c r="M54" s="21" t="s">
        <v>363</v>
      </c>
      <c r="N54" s="21"/>
      <c r="O54" s="20" t="n">
        <f aca="false">IF($N54="Exit",N($J54),0)</f>
        <v>0</v>
      </c>
      <c r="P54" s="23" t="str">
        <f aca="false">IF($F54="","",MID(IF($G54="",", career level","")&amp;IF($I54="",", nationality mandate","")&amp;IF($N54="",", capacity direction","")&amp;IF(N($J54)&lt;=0,", approved HC","")&amp;IF(AND($G54&lt;&gt;"",COUNTIF(CareerLevels,$G54)=0),", a career level that is not on the ladder",""),3,200))</f>
        <v>career level, nationality mandate, capacity direction</v>
      </c>
    </row>
    <row r="55" customFormat="false" ht="15" hidden="false" customHeight="false" outlineLevel="0" collapsed="false">
      <c r="A55" s="21" t="s">
        <v>408</v>
      </c>
      <c r="B55" s="21" t="s">
        <v>40</v>
      </c>
      <c r="C55" s="21" t="s">
        <v>75</v>
      </c>
      <c r="D55" s="21" t="s">
        <v>77</v>
      </c>
      <c r="E55" s="21" t="s">
        <v>85</v>
      </c>
      <c r="F55" s="21" t="s">
        <v>416</v>
      </c>
      <c r="G55" s="21"/>
      <c r="H55" s="21" t="s">
        <v>374</v>
      </c>
      <c r="I55" s="21"/>
      <c r="J55" s="22" t="n">
        <v>1</v>
      </c>
      <c r="K55" s="22" t="n">
        <v>1</v>
      </c>
      <c r="L55" s="22" t="n">
        <v>0</v>
      </c>
      <c r="M55" s="21" t="s">
        <v>363</v>
      </c>
      <c r="N55" s="21"/>
      <c r="O55" s="20" t="n">
        <f aca="false">IF($N55="Exit",N($J55),0)</f>
        <v>0</v>
      </c>
      <c r="P55" s="23" t="str">
        <f aca="false">IF($F55="","",MID(IF($G55="",", career level","")&amp;IF($I55="",", nationality mandate","")&amp;IF($N55="",", capacity direction","")&amp;IF(N($J55)&lt;=0,", approved HC","")&amp;IF(AND($G55&lt;&gt;"",COUNTIF(CareerLevels,$G55)=0),", a career level that is not on the ladder",""),3,200))</f>
        <v>career level, nationality mandate, capacity direction</v>
      </c>
    </row>
    <row r="56" customFormat="false" ht="15" hidden="false" customHeight="false" outlineLevel="0" collapsed="false">
      <c r="A56" s="21" t="s">
        <v>417</v>
      </c>
      <c r="B56" s="21" t="s">
        <v>40</v>
      </c>
      <c r="C56" s="21" t="s">
        <v>75</v>
      </c>
      <c r="D56" s="21" t="s">
        <v>77</v>
      </c>
      <c r="E56" s="21" t="s">
        <v>85</v>
      </c>
      <c r="F56" s="21" t="s">
        <v>416</v>
      </c>
      <c r="G56" s="21"/>
      <c r="H56" s="21" t="s">
        <v>374</v>
      </c>
      <c r="I56" s="21"/>
      <c r="J56" s="22" t="n">
        <v>1</v>
      </c>
      <c r="K56" s="22" t="n">
        <v>1</v>
      </c>
      <c r="L56" s="22" t="n">
        <v>0</v>
      </c>
      <c r="M56" s="21" t="s">
        <v>363</v>
      </c>
      <c r="N56" s="21"/>
      <c r="O56" s="20" t="n">
        <f aca="false">IF($N56="Exit",N($J56),0)</f>
        <v>0</v>
      </c>
      <c r="P56" s="23" t="str">
        <f aca="false">IF($F56="","",MID(IF($G56="",", career level","")&amp;IF($I56="",", nationality mandate","")&amp;IF($N56="",", capacity direction","")&amp;IF(N($J56)&lt;=0,", approved HC","")&amp;IF(AND($G56&lt;&gt;"",COUNTIF(CareerLevels,$G56)=0),", a career level that is not on the ladder",""),3,200))</f>
        <v>career level, nationality mandate, capacity direction</v>
      </c>
    </row>
    <row r="57" customFormat="false" ht="15" hidden="false" customHeight="false" outlineLevel="0" collapsed="false">
      <c r="A57" s="21" t="s">
        <v>382</v>
      </c>
      <c r="B57" s="21" t="s">
        <v>40</v>
      </c>
      <c r="C57" s="21" t="s">
        <v>75</v>
      </c>
      <c r="D57" s="21" t="s">
        <v>77</v>
      </c>
      <c r="E57" s="21" t="s">
        <v>85</v>
      </c>
      <c r="F57" s="21" t="s">
        <v>407</v>
      </c>
      <c r="G57" s="21"/>
      <c r="H57" s="21" t="s">
        <v>374</v>
      </c>
      <c r="I57" s="21"/>
      <c r="J57" s="22" t="n">
        <v>1</v>
      </c>
      <c r="K57" s="22" t="n">
        <v>0</v>
      </c>
      <c r="L57" s="22" t="n">
        <v>1</v>
      </c>
      <c r="M57" s="21" t="s">
        <v>363</v>
      </c>
      <c r="N57" s="21"/>
      <c r="O57" s="20" t="n">
        <f aca="false">IF($N57="Exit",N($J57),0)</f>
        <v>0</v>
      </c>
      <c r="P57" s="23" t="str">
        <f aca="false">IF($F57="","",MID(IF($G57="",", career level","")&amp;IF($I57="",", nationality mandate","")&amp;IF($N57="",", capacity direction","")&amp;IF(N($J57)&lt;=0,", approved HC","")&amp;IF(AND($G57&lt;&gt;"",COUNTIF(CareerLevels,$G57)=0),", a career level that is not on the ladder",""),3,200))</f>
        <v>career level, nationality mandate, capacity direction</v>
      </c>
    </row>
    <row r="58" customFormat="false" ht="15" hidden="false" customHeight="false" outlineLevel="0" collapsed="false">
      <c r="A58" s="21" t="s">
        <v>418</v>
      </c>
      <c r="B58" s="21" t="s">
        <v>40</v>
      </c>
      <c r="C58" s="21" t="s">
        <v>75</v>
      </c>
      <c r="D58" s="21" t="s">
        <v>77</v>
      </c>
      <c r="E58" s="21" t="s">
        <v>85</v>
      </c>
      <c r="F58" s="21" t="s">
        <v>407</v>
      </c>
      <c r="G58" s="21"/>
      <c r="H58" s="21" t="s">
        <v>374</v>
      </c>
      <c r="I58" s="21"/>
      <c r="J58" s="22" t="n">
        <v>1</v>
      </c>
      <c r="K58" s="22" t="n">
        <v>1</v>
      </c>
      <c r="L58" s="22" t="n">
        <v>0</v>
      </c>
      <c r="M58" s="21" t="s">
        <v>363</v>
      </c>
      <c r="N58" s="21"/>
      <c r="O58" s="20" t="n">
        <f aca="false">IF($N58="Exit",N($J58),0)</f>
        <v>0</v>
      </c>
      <c r="P58" s="23" t="str">
        <f aca="false">IF($F58="","",MID(IF($G58="",", career level","")&amp;IF($I58="",", nationality mandate","")&amp;IF($N58="",", capacity direction","")&amp;IF(N($J58)&lt;=0,", approved HC","")&amp;IF(AND($G58&lt;&gt;"",COUNTIF(CareerLevels,$G58)=0),", a career level that is not on the ladder",""),3,200))</f>
        <v>career level, nationality mandate, capacity direction</v>
      </c>
    </row>
    <row r="59" customFormat="false" ht="15" hidden="false" customHeight="false" outlineLevel="0" collapsed="false">
      <c r="A59" s="21" t="s">
        <v>382</v>
      </c>
      <c r="B59" s="21" t="s">
        <v>40</v>
      </c>
      <c r="C59" s="21" t="s">
        <v>75</v>
      </c>
      <c r="D59" s="21" t="s">
        <v>77</v>
      </c>
      <c r="E59" s="21" t="s">
        <v>85</v>
      </c>
      <c r="F59" s="21" t="s">
        <v>410</v>
      </c>
      <c r="G59" s="21"/>
      <c r="H59" s="21" t="s">
        <v>374</v>
      </c>
      <c r="I59" s="21"/>
      <c r="J59" s="22" t="n">
        <v>1</v>
      </c>
      <c r="K59" s="22" t="n">
        <v>1</v>
      </c>
      <c r="L59" s="22" t="n">
        <v>0</v>
      </c>
      <c r="M59" s="21" t="s">
        <v>363</v>
      </c>
      <c r="N59" s="21"/>
      <c r="O59" s="20" t="n">
        <f aca="false">IF($N59="Exit",N($J59),0)</f>
        <v>0</v>
      </c>
      <c r="P59" s="23" t="str">
        <f aca="false">IF($F59="","",MID(IF($G59="",", career level","")&amp;IF($I59="",", nationality mandate","")&amp;IF($N59="",", capacity direction","")&amp;IF(N($J59)&lt;=0,", approved HC","")&amp;IF(AND($G59&lt;&gt;"",COUNTIF(CareerLevels,$G59)=0),", a career level that is not on the ladder",""),3,200))</f>
        <v>career level, nationality mandate, capacity direction</v>
      </c>
    </row>
    <row r="60" customFormat="false" ht="15" hidden="false" customHeight="false" outlineLevel="0" collapsed="false">
      <c r="A60" s="21" t="s">
        <v>419</v>
      </c>
      <c r="B60" s="21" t="s">
        <v>40</v>
      </c>
      <c r="C60" s="21" t="s">
        <v>75</v>
      </c>
      <c r="D60" s="21" t="s">
        <v>77</v>
      </c>
      <c r="E60" s="21" t="s">
        <v>85</v>
      </c>
      <c r="F60" s="21" t="s">
        <v>411</v>
      </c>
      <c r="G60" s="21"/>
      <c r="H60" s="21" t="s">
        <v>371</v>
      </c>
      <c r="I60" s="21"/>
      <c r="J60" s="22" t="n">
        <v>1</v>
      </c>
      <c r="K60" s="22" t="n">
        <v>1</v>
      </c>
      <c r="L60" s="22" t="n">
        <v>0</v>
      </c>
      <c r="M60" s="21" t="s">
        <v>363</v>
      </c>
      <c r="N60" s="21"/>
      <c r="O60" s="20" t="n">
        <f aca="false">IF($N60="Exit",N($J60),0)</f>
        <v>0</v>
      </c>
      <c r="P60" s="23" t="str">
        <f aca="false">IF($F60="","",MID(IF($G60="",", career level","")&amp;IF($I60="",", nationality mandate","")&amp;IF($N60="",", capacity direction","")&amp;IF(N($J60)&lt;=0,", approved HC","")&amp;IF(AND($G60&lt;&gt;"",COUNTIF(CareerLevels,$G60)=0),", a career level that is not on the ladder",""),3,200))</f>
        <v>career level, nationality mandate, capacity direction</v>
      </c>
    </row>
    <row r="61" customFormat="false" ht="15" hidden="false" customHeight="false" outlineLevel="0" collapsed="false">
      <c r="A61" s="21" t="s">
        <v>420</v>
      </c>
      <c r="B61" s="21" t="s">
        <v>40</v>
      </c>
      <c r="C61" s="21" t="s">
        <v>75</v>
      </c>
      <c r="D61" s="21" t="s">
        <v>91</v>
      </c>
      <c r="E61" s="21"/>
      <c r="F61" s="21" t="s">
        <v>403</v>
      </c>
      <c r="G61" s="21"/>
      <c r="H61" s="21" t="s">
        <v>371</v>
      </c>
      <c r="I61" s="21"/>
      <c r="J61" s="22" t="n">
        <v>1</v>
      </c>
      <c r="K61" s="22" t="n">
        <v>1</v>
      </c>
      <c r="L61" s="22" t="n">
        <v>0</v>
      </c>
      <c r="M61" s="21" t="s">
        <v>363</v>
      </c>
      <c r="N61" s="21"/>
      <c r="O61" s="20" t="n">
        <f aca="false">IF($N61="Exit",N($J61),0)</f>
        <v>0</v>
      </c>
      <c r="P61" s="23" t="str">
        <f aca="false">IF($F61="","",MID(IF($G61="",", career level","")&amp;IF($I61="",", nationality mandate","")&amp;IF($N61="",", capacity direction","")&amp;IF(N($J61)&lt;=0,", approved HC","")&amp;IF(AND($G61&lt;&gt;"",COUNTIF(CareerLevels,$G61)=0),", a career level that is not on the ladder",""),3,200))</f>
        <v>career level, nationality mandate, capacity direction</v>
      </c>
    </row>
    <row r="62" customFormat="false" ht="15" hidden="false" customHeight="false" outlineLevel="0" collapsed="false">
      <c r="A62" s="21" t="s">
        <v>414</v>
      </c>
      <c r="B62" s="21" t="s">
        <v>40</v>
      </c>
      <c r="C62" s="21" t="s">
        <v>75</v>
      </c>
      <c r="D62" s="21" t="s">
        <v>91</v>
      </c>
      <c r="E62" s="21" t="s">
        <v>93</v>
      </c>
      <c r="F62" s="21" t="s">
        <v>413</v>
      </c>
      <c r="G62" s="21"/>
      <c r="H62" s="21" t="s">
        <v>374</v>
      </c>
      <c r="I62" s="21"/>
      <c r="J62" s="22" t="n">
        <v>1</v>
      </c>
      <c r="K62" s="22" t="n">
        <v>1</v>
      </c>
      <c r="L62" s="22" t="n">
        <v>0</v>
      </c>
      <c r="M62" s="21" t="s">
        <v>363</v>
      </c>
      <c r="N62" s="21"/>
      <c r="O62" s="20" t="n">
        <f aca="false">IF($N62="Exit",N($J62),0)</f>
        <v>0</v>
      </c>
      <c r="P62" s="23" t="str">
        <f aca="false">IF($F62="","",MID(IF($G62="",", career level","")&amp;IF($I62="",", nationality mandate","")&amp;IF($N62="",", capacity direction","")&amp;IF(N($J62)&lt;=0,", approved HC","")&amp;IF(AND($G62&lt;&gt;"",COUNTIF(CareerLevels,$G62)=0),", a career level that is not on the ladder",""),3,200))</f>
        <v>career level, nationality mandate, capacity direction</v>
      </c>
    </row>
    <row r="63" customFormat="false" ht="15" hidden="false" customHeight="false" outlineLevel="0" collapsed="false">
      <c r="A63" s="21" t="s">
        <v>421</v>
      </c>
      <c r="B63" s="21" t="s">
        <v>40</v>
      </c>
      <c r="C63" s="21" t="s">
        <v>75</v>
      </c>
      <c r="D63" s="21" t="s">
        <v>91</v>
      </c>
      <c r="E63" s="21" t="s">
        <v>93</v>
      </c>
      <c r="F63" s="21" t="s">
        <v>413</v>
      </c>
      <c r="G63" s="21"/>
      <c r="H63" s="21" t="s">
        <v>374</v>
      </c>
      <c r="I63" s="21"/>
      <c r="J63" s="22" t="n">
        <v>1</v>
      </c>
      <c r="K63" s="22" t="n">
        <v>1</v>
      </c>
      <c r="L63" s="22" t="n">
        <v>0</v>
      </c>
      <c r="M63" s="21" t="s">
        <v>363</v>
      </c>
      <c r="N63" s="21"/>
      <c r="O63" s="20" t="n">
        <f aca="false">IF($N63="Exit",N($J63),0)</f>
        <v>0</v>
      </c>
      <c r="P63" s="23" t="str">
        <f aca="false">IF($F63="","",MID(IF($G63="",", career level","")&amp;IF($I63="",", nationality mandate","")&amp;IF($N63="",", capacity direction","")&amp;IF(N($J63)&lt;=0,", approved HC","")&amp;IF(AND($G63&lt;&gt;"",COUNTIF(CareerLevels,$G63)=0),", a career level that is not on the ladder",""),3,200))</f>
        <v>career level, nationality mandate, capacity direction</v>
      </c>
    </row>
    <row r="64" customFormat="false" ht="15" hidden="false" customHeight="false" outlineLevel="0" collapsed="false">
      <c r="A64" s="21" t="s">
        <v>417</v>
      </c>
      <c r="B64" s="21" t="s">
        <v>40</v>
      </c>
      <c r="C64" s="21" t="s">
        <v>75</v>
      </c>
      <c r="D64" s="21" t="s">
        <v>91</v>
      </c>
      <c r="E64" s="21" t="s">
        <v>93</v>
      </c>
      <c r="F64" s="21" t="s">
        <v>413</v>
      </c>
      <c r="G64" s="21"/>
      <c r="H64" s="21" t="s">
        <v>374</v>
      </c>
      <c r="I64" s="21"/>
      <c r="J64" s="22" t="n">
        <v>1</v>
      </c>
      <c r="K64" s="22" t="n">
        <v>1</v>
      </c>
      <c r="L64" s="22" t="n">
        <v>0</v>
      </c>
      <c r="M64" s="21" t="s">
        <v>363</v>
      </c>
      <c r="N64" s="21"/>
      <c r="O64" s="20" t="n">
        <f aca="false">IF($N64="Exit",N($J64),0)</f>
        <v>0</v>
      </c>
      <c r="P64" s="23" t="str">
        <f aca="false">IF($F64="","",MID(IF($G64="",", career level","")&amp;IF($I64="",", nationality mandate","")&amp;IF($N64="",", capacity direction","")&amp;IF(N($J64)&lt;=0,", approved HC","")&amp;IF(AND($G64&lt;&gt;"",COUNTIF(CareerLevels,$G64)=0),", a career level that is not on the ladder",""),3,200))</f>
        <v>career level, nationality mandate, capacity direction</v>
      </c>
    </row>
    <row r="65" customFormat="false" ht="15" hidden="false" customHeight="false" outlineLevel="0" collapsed="false">
      <c r="A65" s="21" t="s">
        <v>406</v>
      </c>
      <c r="B65" s="21" t="s">
        <v>40</v>
      </c>
      <c r="C65" s="21" t="s">
        <v>75</v>
      </c>
      <c r="D65" s="21" t="s">
        <v>91</v>
      </c>
      <c r="E65" s="21" t="s">
        <v>93</v>
      </c>
      <c r="F65" s="21" t="s">
        <v>405</v>
      </c>
      <c r="G65" s="21"/>
      <c r="H65" s="21" t="s">
        <v>374</v>
      </c>
      <c r="I65" s="21"/>
      <c r="J65" s="22" t="n">
        <v>1</v>
      </c>
      <c r="K65" s="22" t="n">
        <v>1</v>
      </c>
      <c r="L65" s="22" t="n">
        <v>0</v>
      </c>
      <c r="M65" s="21" t="s">
        <v>363</v>
      </c>
      <c r="N65" s="21"/>
      <c r="O65" s="20" t="n">
        <f aca="false">IF($N65="Exit",N($J65),0)</f>
        <v>0</v>
      </c>
      <c r="P65" s="23" t="str">
        <f aca="false">IF($F65="","",MID(IF($G65="",", career level","")&amp;IF($I65="",", nationality mandate","")&amp;IF($N65="",", capacity direction","")&amp;IF(N($J65)&lt;=0,", approved HC","")&amp;IF(AND($G65&lt;&gt;"",COUNTIF(CareerLevels,$G65)=0),", a career level that is not on the ladder",""),3,200))</f>
        <v>career level, nationality mandate, capacity direction</v>
      </c>
    </row>
    <row r="66" customFormat="false" ht="15" hidden="false" customHeight="false" outlineLevel="0" collapsed="false">
      <c r="A66" s="21" t="s">
        <v>422</v>
      </c>
      <c r="B66" s="21" t="s">
        <v>40</v>
      </c>
      <c r="C66" s="21" t="s">
        <v>75</v>
      </c>
      <c r="D66" s="21" t="s">
        <v>91</v>
      </c>
      <c r="E66" s="21" t="s">
        <v>93</v>
      </c>
      <c r="F66" s="21" t="s">
        <v>407</v>
      </c>
      <c r="G66" s="21"/>
      <c r="H66" s="21" t="s">
        <v>374</v>
      </c>
      <c r="I66" s="21"/>
      <c r="J66" s="22" t="n">
        <v>1</v>
      </c>
      <c r="K66" s="22" t="n">
        <v>1</v>
      </c>
      <c r="L66" s="22" t="n">
        <v>0</v>
      </c>
      <c r="M66" s="21" t="s">
        <v>363</v>
      </c>
      <c r="N66" s="21"/>
      <c r="O66" s="20" t="n">
        <f aca="false">IF($N66="Exit",N($J66),0)</f>
        <v>0</v>
      </c>
      <c r="P66" s="23" t="str">
        <f aca="false">IF($F66="","",MID(IF($G66="",", career level","")&amp;IF($I66="",", nationality mandate","")&amp;IF($N66="",", capacity direction","")&amp;IF(N($J66)&lt;=0,", approved HC","")&amp;IF(AND($G66&lt;&gt;"",COUNTIF(CareerLevels,$G66)=0),", a career level that is not on the ladder",""),3,200))</f>
        <v>career level, nationality mandate, capacity direction</v>
      </c>
    </row>
    <row r="67" customFormat="false" ht="15" hidden="false" customHeight="false" outlineLevel="0" collapsed="false">
      <c r="A67" s="21" t="s">
        <v>418</v>
      </c>
      <c r="B67" s="21" t="s">
        <v>40</v>
      </c>
      <c r="C67" s="21" t="s">
        <v>75</v>
      </c>
      <c r="D67" s="21" t="s">
        <v>91</v>
      </c>
      <c r="E67" s="21" t="s">
        <v>93</v>
      </c>
      <c r="F67" s="21" t="s">
        <v>407</v>
      </c>
      <c r="G67" s="21"/>
      <c r="H67" s="21" t="s">
        <v>374</v>
      </c>
      <c r="I67" s="21"/>
      <c r="J67" s="22" t="n">
        <v>1</v>
      </c>
      <c r="K67" s="22" t="n">
        <v>1</v>
      </c>
      <c r="L67" s="22" t="n">
        <v>0</v>
      </c>
      <c r="M67" s="21" t="s">
        <v>363</v>
      </c>
      <c r="N67" s="21"/>
      <c r="O67" s="20" t="n">
        <f aca="false">IF($N67="Exit",N($J67),0)</f>
        <v>0</v>
      </c>
      <c r="P67" s="23" t="str">
        <f aca="false">IF($F67="","",MID(IF($G67="",", career level","")&amp;IF($I67="",", nationality mandate","")&amp;IF($N67="",", capacity direction","")&amp;IF(N($J67)&lt;=0,", approved HC","")&amp;IF(AND($G67&lt;&gt;"",COUNTIF(CareerLevels,$G67)=0),", a career level that is not on the ladder",""),3,200))</f>
        <v>career level, nationality mandate, capacity direction</v>
      </c>
    </row>
    <row r="68" customFormat="false" ht="15" hidden="false" customHeight="false" outlineLevel="0" collapsed="false">
      <c r="A68" s="21" t="s">
        <v>377</v>
      </c>
      <c r="B68" s="21" t="s">
        <v>40</v>
      </c>
      <c r="C68" s="21" t="s">
        <v>75</v>
      </c>
      <c r="D68" s="21" t="s">
        <v>91</v>
      </c>
      <c r="E68" s="21" t="s">
        <v>93</v>
      </c>
      <c r="F68" s="21" t="s">
        <v>407</v>
      </c>
      <c r="G68" s="21"/>
      <c r="H68" s="21" t="s">
        <v>374</v>
      </c>
      <c r="I68" s="21"/>
      <c r="J68" s="22" t="n">
        <v>1</v>
      </c>
      <c r="K68" s="22" t="n">
        <v>1</v>
      </c>
      <c r="L68" s="22" t="n">
        <v>0</v>
      </c>
      <c r="M68" s="21" t="s">
        <v>363</v>
      </c>
      <c r="N68" s="21"/>
      <c r="O68" s="20" t="n">
        <f aca="false">IF($N68="Exit",N($J68),0)</f>
        <v>0</v>
      </c>
      <c r="P68" s="23" t="str">
        <f aca="false">IF($F68="","",MID(IF($G68="",", career level","")&amp;IF($I68="",", nationality mandate","")&amp;IF($N68="",", capacity direction","")&amp;IF(N($J68)&lt;=0,", approved HC","")&amp;IF(AND($G68&lt;&gt;"",COUNTIF(CareerLevels,$G68)=0),", a career level that is not on the ladder",""),3,200))</f>
        <v>career level, nationality mandate, capacity direction</v>
      </c>
    </row>
    <row r="69" customFormat="false" ht="15" hidden="false" customHeight="false" outlineLevel="0" collapsed="false">
      <c r="A69" s="21" t="s">
        <v>409</v>
      </c>
      <c r="B69" s="21" t="s">
        <v>40</v>
      </c>
      <c r="C69" s="21" t="s">
        <v>75</v>
      </c>
      <c r="D69" s="21" t="s">
        <v>91</v>
      </c>
      <c r="E69" s="21" t="s">
        <v>93</v>
      </c>
      <c r="F69" s="21" t="s">
        <v>410</v>
      </c>
      <c r="G69" s="21"/>
      <c r="H69" s="21" t="s">
        <v>374</v>
      </c>
      <c r="I69" s="21"/>
      <c r="J69" s="22" t="n">
        <v>1</v>
      </c>
      <c r="K69" s="22" t="n">
        <v>1</v>
      </c>
      <c r="L69" s="22" t="n">
        <v>0</v>
      </c>
      <c r="M69" s="21" t="s">
        <v>363</v>
      </c>
      <c r="N69" s="21"/>
      <c r="O69" s="20" t="n">
        <f aca="false">IF($N69="Exit",N($J69),0)</f>
        <v>0</v>
      </c>
      <c r="P69" s="23" t="str">
        <f aca="false">IF($F69="","",MID(IF($G69="",", career level","")&amp;IF($I69="",", nationality mandate","")&amp;IF($N69="",", capacity direction","")&amp;IF(N($J69)&lt;=0,", approved HC","")&amp;IF(AND($G69&lt;&gt;"",COUNTIF(CareerLevels,$G69)=0),", a career level that is not on the ladder",""),3,200))</f>
        <v>career level, nationality mandate, capacity direction</v>
      </c>
    </row>
    <row r="70" customFormat="false" ht="15" hidden="false" customHeight="false" outlineLevel="0" collapsed="false">
      <c r="A70" s="21" t="s">
        <v>388</v>
      </c>
      <c r="B70" s="21" t="s">
        <v>40</v>
      </c>
      <c r="C70" s="21" t="s">
        <v>75</v>
      </c>
      <c r="D70" s="21" t="s">
        <v>91</v>
      </c>
      <c r="E70" s="21" t="s">
        <v>93</v>
      </c>
      <c r="F70" s="21" t="s">
        <v>410</v>
      </c>
      <c r="G70" s="21"/>
      <c r="H70" s="21" t="s">
        <v>374</v>
      </c>
      <c r="I70" s="21"/>
      <c r="J70" s="22" t="n">
        <v>1</v>
      </c>
      <c r="K70" s="22" t="n">
        <v>1</v>
      </c>
      <c r="L70" s="22" t="n">
        <v>0</v>
      </c>
      <c r="M70" s="21" t="s">
        <v>363</v>
      </c>
      <c r="N70" s="21"/>
      <c r="O70" s="20" t="n">
        <f aca="false">IF($N70="Exit",N($J70),0)</f>
        <v>0</v>
      </c>
      <c r="P70" s="23" t="str">
        <f aca="false">IF($F70="","",MID(IF($G70="",", career level","")&amp;IF($I70="",", nationality mandate","")&amp;IF($N70="",", capacity direction","")&amp;IF(N($J70)&lt;=0,", approved HC","")&amp;IF(AND($G70&lt;&gt;"",COUNTIF(CareerLevels,$G70)=0),", a career level that is not on the ladder",""),3,200))</f>
        <v>career level, nationality mandate, capacity direction</v>
      </c>
    </row>
    <row r="71" customFormat="false" ht="15" hidden="false" customHeight="false" outlineLevel="0" collapsed="false">
      <c r="A71" s="21" t="s">
        <v>422</v>
      </c>
      <c r="B71" s="21" t="s">
        <v>40</v>
      </c>
      <c r="C71" s="21" t="s">
        <v>75</v>
      </c>
      <c r="D71" s="21" t="s">
        <v>91</v>
      </c>
      <c r="E71" s="21" t="s">
        <v>93</v>
      </c>
      <c r="F71" s="21" t="s">
        <v>411</v>
      </c>
      <c r="G71" s="21"/>
      <c r="H71" s="21" t="s">
        <v>371</v>
      </c>
      <c r="I71" s="21"/>
      <c r="J71" s="22" t="n">
        <v>1</v>
      </c>
      <c r="K71" s="22" t="n">
        <v>1</v>
      </c>
      <c r="L71" s="22" t="n">
        <v>0</v>
      </c>
      <c r="M71" s="21" t="s">
        <v>393</v>
      </c>
      <c r="N71" s="21"/>
      <c r="O71" s="20" t="n">
        <f aca="false">IF($N71="Exit",N($J71),0)</f>
        <v>0</v>
      </c>
      <c r="P71" s="23" t="str">
        <f aca="false">IF($F71="","",MID(IF($G71="",", career level","")&amp;IF($I71="",", nationality mandate","")&amp;IF($N71="",", capacity direction","")&amp;IF(N($J71)&lt;=0,", approved HC","")&amp;IF(AND($G71&lt;&gt;"",COUNTIF(CareerLevels,$G71)=0),", a career level that is not on the ladder",""),3,200))</f>
        <v>career level, nationality mandate, capacity direction</v>
      </c>
    </row>
    <row r="72" customFormat="false" ht="15" hidden="false" customHeight="false" outlineLevel="0" collapsed="false">
      <c r="A72" s="21" t="s">
        <v>382</v>
      </c>
      <c r="B72" s="21" t="s">
        <v>40</v>
      </c>
      <c r="C72" s="21" t="s">
        <v>75</v>
      </c>
      <c r="D72" s="21" t="s">
        <v>91</v>
      </c>
      <c r="E72" s="21" t="s">
        <v>99</v>
      </c>
      <c r="F72" s="21" t="s">
        <v>413</v>
      </c>
      <c r="G72" s="21"/>
      <c r="H72" s="21" t="s">
        <v>374</v>
      </c>
      <c r="I72" s="21"/>
      <c r="J72" s="22" t="n">
        <v>1</v>
      </c>
      <c r="K72" s="22" t="n">
        <v>1</v>
      </c>
      <c r="L72" s="22" t="n">
        <v>0</v>
      </c>
      <c r="M72" s="21" t="s">
        <v>393</v>
      </c>
      <c r="N72" s="21"/>
      <c r="O72" s="20" t="n">
        <f aca="false">IF($N72="Exit",N($J72),0)</f>
        <v>0</v>
      </c>
      <c r="P72" s="23" t="str">
        <f aca="false">IF($F72="","",MID(IF($G72="",", career level","")&amp;IF($I72="",", nationality mandate","")&amp;IF($N72="",", capacity direction","")&amp;IF(N($J72)&lt;=0,", approved HC","")&amp;IF(AND($G72&lt;&gt;"",COUNTIF(CareerLevels,$G72)=0),", a career level that is not on the ladder",""),3,200))</f>
        <v>career level, nationality mandate, capacity direction</v>
      </c>
    </row>
    <row r="73" customFormat="false" ht="15" hidden="false" customHeight="false" outlineLevel="0" collapsed="false">
      <c r="A73" s="21" t="s">
        <v>418</v>
      </c>
      <c r="B73" s="21" t="s">
        <v>40</v>
      </c>
      <c r="C73" s="21" t="s">
        <v>75</v>
      </c>
      <c r="D73" s="21" t="s">
        <v>91</v>
      </c>
      <c r="E73" s="21" t="s">
        <v>99</v>
      </c>
      <c r="F73" s="21" t="s">
        <v>405</v>
      </c>
      <c r="G73" s="21"/>
      <c r="H73" s="21" t="s">
        <v>374</v>
      </c>
      <c r="I73" s="21"/>
      <c r="J73" s="22" t="n">
        <v>1</v>
      </c>
      <c r="K73" s="22" t="n">
        <v>1</v>
      </c>
      <c r="L73" s="22" t="n">
        <v>0</v>
      </c>
      <c r="M73" s="21" t="s">
        <v>363</v>
      </c>
      <c r="N73" s="21"/>
      <c r="O73" s="20" t="n">
        <f aca="false">IF($N73="Exit",N($J73),0)</f>
        <v>0</v>
      </c>
      <c r="P73" s="23" t="str">
        <f aca="false">IF($F73="","",MID(IF($G73="",", career level","")&amp;IF($I73="",", nationality mandate","")&amp;IF($N73="",", capacity direction","")&amp;IF(N($J73)&lt;=0,", approved HC","")&amp;IF(AND($G73&lt;&gt;"",COUNTIF(CareerLevels,$G73)=0),", a career level that is not on the ladder",""),3,200))</f>
        <v>career level, nationality mandate, capacity direction</v>
      </c>
    </row>
    <row r="74" customFormat="false" ht="15" hidden="false" customHeight="false" outlineLevel="0" collapsed="false">
      <c r="A74" s="21" t="s">
        <v>423</v>
      </c>
      <c r="B74" s="21" t="s">
        <v>40</v>
      </c>
      <c r="C74" s="21" t="s">
        <v>75</v>
      </c>
      <c r="D74" s="21" t="s">
        <v>91</v>
      </c>
      <c r="E74" s="21" t="s">
        <v>99</v>
      </c>
      <c r="F74" s="21" t="s">
        <v>405</v>
      </c>
      <c r="G74" s="21"/>
      <c r="H74" s="21" t="s">
        <v>374</v>
      </c>
      <c r="I74" s="21"/>
      <c r="J74" s="22" t="n">
        <v>1</v>
      </c>
      <c r="K74" s="22" t="n">
        <v>1</v>
      </c>
      <c r="L74" s="22" t="n">
        <v>0</v>
      </c>
      <c r="M74" s="21" t="s">
        <v>363</v>
      </c>
      <c r="N74" s="21"/>
      <c r="O74" s="20" t="n">
        <f aca="false">IF($N74="Exit",N($J74),0)</f>
        <v>0</v>
      </c>
      <c r="P74" s="23" t="str">
        <f aca="false">IF($F74="","",MID(IF($G74="",", career level","")&amp;IF($I74="",", nationality mandate","")&amp;IF($N74="",", capacity direction","")&amp;IF(N($J74)&lt;=0,", approved HC","")&amp;IF(AND($G74&lt;&gt;"",COUNTIF(CareerLevels,$G74)=0),", a career level that is not on the ladder",""),3,200))</f>
        <v>career level, nationality mandate, capacity direction</v>
      </c>
    </row>
    <row r="75" customFormat="false" ht="15" hidden="false" customHeight="false" outlineLevel="0" collapsed="false">
      <c r="A75" s="21" t="s">
        <v>369</v>
      </c>
      <c r="B75" s="21" t="s">
        <v>40</v>
      </c>
      <c r="C75" s="21" t="s">
        <v>75</v>
      </c>
      <c r="D75" s="21" t="s">
        <v>91</v>
      </c>
      <c r="E75" s="21" t="s">
        <v>99</v>
      </c>
      <c r="F75" s="21" t="s">
        <v>416</v>
      </c>
      <c r="G75" s="21"/>
      <c r="H75" s="21" t="s">
        <v>374</v>
      </c>
      <c r="I75" s="21"/>
      <c r="J75" s="22" t="n">
        <v>1</v>
      </c>
      <c r="K75" s="22" t="n">
        <v>1</v>
      </c>
      <c r="L75" s="22" t="n">
        <v>0</v>
      </c>
      <c r="M75" s="21" t="s">
        <v>363</v>
      </c>
      <c r="N75" s="21"/>
      <c r="O75" s="20" t="n">
        <f aca="false">IF($N75="Exit",N($J75),0)</f>
        <v>0</v>
      </c>
      <c r="P75" s="23" t="str">
        <f aca="false">IF($F75="","",MID(IF($G75="",", career level","")&amp;IF($I75="",", nationality mandate","")&amp;IF($N75="",", capacity direction","")&amp;IF(N($J75)&lt;=0,", approved HC","")&amp;IF(AND($G75&lt;&gt;"",COUNTIF(CareerLevels,$G75)=0),", a career level that is not on the ladder",""),3,200))</f>
        <v>career level, nationality mandate, capacity direction</v>
      </c>
    </row>
    <row r="76" customFormat="false" ht="15" hidden="false" customHeight="false" outlineLevel="0" collapsed="false">
      <c r="A76" s="21" t="s">
        <v>372</v>
      </c>
      <c r="B76" s="21" t="s">
        <v>40</v>
      </c>
      <c r="C76" s="21" t="s">
        <v>75</v>
      </c>
      <c r="D76" s="21" t="s">
        <v>91</v>
      </c>
      <c r="E76" s="21" t="s">
        <v>99</v>
      </c>
      <c r="F76" s="21" t="s">
        <v>407</v>
      </c>
      <c r="G76" s="21"/>
      <c r="H76" s="21" t="s">
        <v>374</v>
      </c>
      <c r="I76" s="21"/>
      <c r="J76" s="22" t="n">
        <v>1</v>
      </c>
      <c r="K76" s="22" t="n">
        <v>1</v>
      </c>
      <c r="L76" s="22" t="n">
        <v>0</v>
      </c>
      <c r="M76" s="21" t="s">
        <v>363</v>
      </c>
      <c r="N76" s="21"/>
      <c r="O76" s="20" t="n">
        <f aca="false">IF($N76="Exit",N($J76),0)</f>
        <v>0</v>
      </c>
      <c r="P76" s="23" t="str">
        <f aca="false">IF($F76="","",MID(IF($G76="",", career level","")&amp;IF($I76="",", nationality mandate","")&amp;IF($N76="",", capacity direction","")&amp;IF(N($J76)&lt;=0,", approved HC","")&amp;IF(AND($G76&lt;&gt;"",COUNTIF(CareerLevels,$G76)=0),", a career level that is not on the ladder",""),3,200))</f>
        <v>career level, nationality mandate, capacity direction</v>
      </c>
    </row>
    <row r="77" customFormat="false" ht="15" hidden="false" customHeight="false" outlineLevel="0" collapsed="false">
      <c r="A77" s="21" t="s">
        <v>424</v>
      </c>
      <c r="B77" s="21" t="s">
        <v>40</v>
      </c>
      <c r="C77" s="21" t="s">
        <v>75</v>
      </c>
      <c r="D77" s="21" t="s">
        <v>91</v>
      </c>
      <c r="E77" s="21" t="s">
        <v>99</v>
      </c>
      <c r="F77" s="21" t="s">
        <v>410</v>
      </c>
      <c r="G77" s="21"/>
      <c r="H77" s="21" t="s">
        <v>374</v>
      </c>
      <c r="I77" s="21"/>
      <c r="J77" s="22" t="n">
        <v>1</v>
      </c>
      <c r="K77" s="22" t="n">
        <v>1</v>
      </c>
      <c r="L77" s="22" t="n">
        <v>0</v>
      </c>
      <c r="M77" s="21" t="s">
        <v>363</v>
      </c>
      <c r="N77" s="21"/>
      <c r="O77" s="20" t="n">
        <f aca="false">IF($N77="Exit",N($J77),0)</f>
        <v>0</v>
      </c>
      <c r="P77" s="23" t="str">
        <f aca="false">IF($F77="","",MID(IF($G77="",", career level","")&amp;IF($I77="",", nationality mandate","")&amp;IF($N77="",", capacity direction","")&amp;IF(N($J77)&lt;=0,", approved HC","")&amp;IF(AND($G77&lt;&gt;"",COUNTIF(CareerLevels,$G77)=0),", a career level that is not on the ladder",""),3,200))</f>
        <v>career level, nationality mandate, capacity direction</v>
      </c>
    </row>
    <row r="78" customFormat="false" ht="15" hidden="false" customHeight="false" outlineLevel="0" collapsed="false">
      <c r="A78" s="21" t="s">
        <v>425</v>
      </c>
      <c r="B78" s="21" t="s">
        <v>40</v>
      </c>
      <c r="C78" s="21" t="s">
        <v>75</v>
      </c>
      <c r="D78" s="21" t="s">
        <v>91</v>
      </c>
      <c r="E78" s="21" t="s">
        <v>99</v>
      </c>
      <c r="F78" s="21" t="s">
        <v>411</v>
      </c>
      <c r="G78" s="21"/>
      <c r="H78" s="21" t="s">
        <v>371</v>
      </c>
      <c r="I78" s="21"/>
      <c r="J78" s="22" t="n">
        <v>1</v>
      </c>
      <c r="K78" s="22" t="n">
        <v>1</v>
      </c>
      <c r="L78" s="22" t="n">
        <v>0</v>
      </c>
      <c r="M78" s="21" t="s">
        <v>363</v>
      </c>
      <c r="N78" s="21"/>
      <c r="O78" s="20" t="n">
        <f aca="false">IF($N78="Exit",N($J78),0)</f>
        <v>0</v>
      </c>
      <c r="P78" s="23" t="str">
        <f aca="false">IF($F78="","",MID(IF($G78="",", career level","")&amp;IF($I78="",", nationality mandate","")&amp;IF($N78="",", capacity direction","")&amp;IF(N($J78)&lt;=0,", approved HC","")&amp;IF(AND($G78&lt;&gt;"",COUNTIF(CareerLevels,$G78)=0),", a career level that is not on the ladder",""),3,200))</f>
        <v>career level, nationality mandate, capacity direction</v>
      </c>
    </row>
    <row r="79" customFormat="false" ht="15" hidden="false" customHeight="false" outlineLevel="0" collapsed="false">
      <c r="A79" s="21" t="s">
        <v>397</v>
      </c>
      <c r="B79" s="21" t="s">
        <v>105</v>
      </c>
      <c r="C79" s="21"/>
      <c r="D79" s="21"/>
      <c r="E79" s="21"/>
      <c r="F79" s="21" t="s">
        <v>426</v>
      </c>
      <c r="G79" s="21"/>
      <c r="H79" s="21" t="s">
        <v>366</v>
      </c>
      <c r="I79" s="21"/>
      <c r="J79" s="22" t="n">
        <v>1</v>
      </c>
      <c r="K79" s="22" t="n">
        <v>1</v>
      </c>
      <c r="L79" s="22" t="n">
        <v>0</v>
      </c>
      <c r="M79" s="21" t="s">
        <v>363</v>
      </c>
      <c r="N79" s="21"/>
      <c r="O79" s="20" t="n">
        <f aca="false">IF($N79="Exit",N($J79),0)</f>
        <v>0</v>
      </c>
      <c r="P79" s="23" t="str">
        <f aca="false">IF($F79="","",MID(IF($G79="",", career level","")&amp;IF($I79="",", nationality mandate","")&amp;IF($N79="",", capacity direction","")&amp;IF(N($J79)&lt;=0,", approved HC","")&amp;IF(AND($G79&lt;&gt;"",COUNTIF(CareerLevels,$G79)=0),", a career level that is not on the ladder",""),3,200))</f>
        <v>career level, nationality mandate, capacity direction</v>
      </c>
    </row>
    <row r="80" customFormat="false" ht="15" hidden="false" customHeight="false" outlineLevel="0" collapsed="false">
      <c r="A80" s="21" t="s">
        <v>397</v>
      </c>
      <c r="B80" s="21" t="s">
        <v>105</v>
      </c>
      <c r="C80" s="21" t="s">
        <v>107</v>
      </c>
      <c r="D80" s="21"/>
      <c r="E80" s="21"/>
      <c r="F80" s="21" t="s">
        <v>427</v>
      </c>
      <c r="G80" s="21"/>
      <c r="H80" s="21" t="s">
        <v>366</v>
      </c>
      <c r="I80" s="21"/>
      <c r="J80" s="22" t="n">
        <v>1</v>
      </c>
      <c r="K80" s="22" t="n">
        <v>1</v>
      </c>
      <c r="L80" s="22" t="n">
        <v>0</v>
      </c>
      <c r="M80" s="21" t="s">
        <v>363</v>
      </c>
      <c r="N80" s="21"/>
      <c r="O80" s="20" t="n">
        <f aca="false">IF($N80="Exit",N($J80),0)</f>
        <v>0</v>
      </c>
      <c r="P80" s="23" t="str">
        <f aca="false">IF($F80="","",MID(IF($G80="",", career level","")&amp;IF($I80="",", nationality mandate","")&amp;IF($N80="",", capacity direction","")&amp;IF(N($J80)&lt;=0,", approved HC","")&amp;IF(AND($G80&lt;&gt;"",COUNTIF(CareerLevels,$G80)=0),", a career level that is not on the ladder",""),3,200))</f>
        <v>career level, nationality mandate, capacity direction</v>
      </c>
    </row>
    <row r="81" customFormat="false" ht="15" hidden="false" customHeight="false" outlineLevel="0" collapsed="false">
      <c r="A81" s="21" t="s">
        <v>428</v>
      </c>
      <c r="B81" s="21" t="s">
        <v>105</v>
      </c>
      <c r="C81" s="21" t="s">
        <v>107</v>
      </c>
      <c r="D81" s="21" t="s">
        <v>109</v>
      </c>
      <c r="E81" s="21"/>
      <c r="F81" s="21" t="s">
        <v>429</v>
      </c>
      <c r="G81" s="21"/>
      <c r="H81" s="21" t="s">
        <v>371</v>
      </c>
      <c r="I81" s="21"/>
      <c r="J81" s="22" t="n">
        <v>1</v>
      </c>
      <c r="K81" s="22" t="n">
        <v>1</v>
      </c>
      <c r="L81" s="22" t="n">
        <v>0</v>
      </c>
      <c r="M81" s="21" t="s">
        <v>363</v>
      </c>
      <c r="N81" s="21"/>
      <c r="O81" s="20" t="n">
        <f aca="false">IF($N81="Exit",N($J81),0)</f>
        <v>0</v>
      </c>
      <c r="P81" s="23" t="str">
        <f aca="false">IF($F81="","",MID(IF($G81="",", career level","")&amp;IF($I81="",", nationality mandate","")&amp;IF($N81="",", capacity direction","")&amp;IF(N($J81)&lt;=0,", approved HC","")&amp;IF(AND($G81&lt;&gt;"",COUNTIF(CareerLevels,$G81)=0),", a career level that is not on the ladder",""),3,200))</f>
        <v>career level, nationality mandate, capacity direction</v>
      </c>
    </row>
    <row r="82" customFormat="false" ht="15" hidden="false" customHeight="false" outlineLevel="0" collapsed="false">
      <c r="A82" s="21" t="s">
        <v>375</v>
      </c>
      <c r="B82" s="21" t="s">
        <v>105</v>
      </c>
      <c r="C82" s="21" t="s">
        <v>107</v>
      </c>
      <c r="D82" s="21" t="s">
        <v>109</v>
      </c>
      <c r="E82" s="21" t="s">
        <v>111</v>
      </c>
      <c r="F82" s="21" t="s">
        <v>430</v>
      </c>
      <c r="G82" s="21"/>
      <c r="H82" s="21" t="s">
        <v>374</v>
      </c>
      <c r="I82" s="21"/>
      <c r="J82" s="22" t="n">
        <v>1</v>
      </c>
      <c r="K82" s="22" t="n">
        <v>0</v>
      </c>
      <c r="L82" s="22" t="n">
        <v>1</v>
      </c>
      <c r="M82" s="21" t="s">
        <v>363</v>
      </c>
      <c r="N82" s="21"/>
      <c r="O82" s="20" t="n">
        <f aca="false">IF($N82="Exit",N($J82),0)</f>
        <v>0</v>
      </c>
      <c r="P82" s="23" t="str">
        <f aca="false">IF($F82="","",MID(IF($G82="",", career level","")&amp;IF($I82="",", nationality mandate","")&amp;IF($N82="",", capacity direction","")&amp;IF(N($J82)&lt;=0,", approved HC","")&amp;IF(AND($G82&lt;&gt;"",COUNTIF(CareerLevels,$G82)=0),", a career level that is not on the ladder",""),3,200))</f>
        <v>career level, nationality mandate, capacity direction</v>
      </c>
    </row>
    <row r="83" customFormat="false" ht="15" hidden="false" customHeight="false" outlineLevel="0" collapsed="false">
      <c r="A83" s="21" t="s">
        <v>408</v>
      </c>
      <c r="B83" s="21" t="s">
        <v>105</v>
      </c>
      <c r="C83" s="21" t="s">
        <v>107</v>
      </c>
      <c r="D83" s="21" t="s">
        <v>109</v>
      </c>
      <c r="E83" s="21" t="s">
        <v>111</v>
      </c>
      <c r="F83" s="21" t="s">
        <v>431</v>
      </c>
      <c r="G83" s="21"/>
      <c r="H83" s="21" t="s">
        <v>374</v>
      </c>
      <c r="I83" s="21"/>
      <c r="J83" s="22" t="n">
        <v>1</v>
      </c>
      <c r="K83" s="22" t="n">
        <v>1</v>
      </c>
      <c r="L83" s="22" t="n">
        <v>0</v>
      </c>
      <c r="M83" s="21" t="s">
        <v>363</v>
      </c>
      <c r="N83" s="21"/>
      <c r="O83" s="20" t="n">
        <f aca="false">IF($N83="Exit",N($J83),0)</f>
        <v>0</v>
      </c>
      <c r="P83" s="23" t="str">
        <f aca="false">IF($F83="","",MID(IF($G83="",", career level","")&amp;IF($I83="",", nationality mandate","")&amp;IF($N83="",", capacity direction","")&amp;IF(N($J83)&lt;=0,", approved HC","")&amp;IF(AND($G83&lt;&gt;"",COUNTIF(CareerLevels,$G83)=0),", a career level that is not on the ladder",""),3,200))</f>
        <v>career level, nationality mandate, capacity direction</v>
      </c>
    </row>
    <row r="84" customFormat="false" ht="15" hidden="false" customHeight="false" outlineLevel="0" collapsed="false">
      <c r="A84" s="21" t="s">
        <v>432</v>
      </c>
      <c r="B84" s="21" t="s">
        <v>105</v>
      </c>
      <c r="C84" s="21" t="s">
        <v>107</v>
      </c>
      <c r="D84" s="21" t="s">
        <v>109</v>
      </c>
      <c r="E84" s="21" t="s">
        <v>111</v>
      </c>
      <c r="F84" s="21" t="s">
        <v>431</v>
      </c>
      <c r="G84" s="21"/>
      <c r="H84" s="21" t="s">
        <v>374</v>
      </c>
      <c r="I84" s="21"/>
      <c r="J84" s="22" t="n">
        <v>1</v>
      </c>
      <c r="K84" s="22" t="n">
        <v>0</v>
      </c>
      <c r="L84" s="22" t="n">
        <v>1</v>
      </c>
      <c r="M84" s="21" t="s">
        <v>363</v>
      </c>
      <c r="N84" s="21"/>
      <c r="O84" s="20" t="n">
        <f aca="false">IF($N84="Exit",N($J84),0)</f>
        <v>0</v>
      </c>
      <c r="P84" s="23" t="str">
        <f aca="false">IF($F84="","",MID(IF($G84="",", career level","")&amp;IF($I84="",", nationality mandate","")&amp;IF($N84="",", capacity direction","")&amp;IF(N($J84)&lt;=0,", approved HC","")&amp;IF(AND($G84&lt;&gt;"",COUNTIF(CareerLevels,$G84)=0),", a career level that is not on the ladder",""),3,200))</f>
        <v>career level, nationality mandate, capacity direction</v>
      </c>
    </row>
    <row r="85" customFormat="false" ht="15" hidden="false" customHeight="false" outlineLevel="0" collapsed="false">
      <c r="A85" s="21" t="s">
        <v>420</v>
      </c>
      <c r="B85" s="21" t="s">
        <v>105</v>
      </c>
      <c r="C85" s="21" t="s">
        <v>107</v>
      </c>
      <c r="D85" s="21" t="s">
        <v>109</v>
      </c>
      <c r="E85" s="21" t="s">
        <v>111</v>
      </c>
      <c r="F85" s="21" t="s">
        <v>431</v>
      </c>
      <c r="G85" s="21"/>
      <c r="H85" s="21" t="s">
        <v>374</v>
      </c>
      <c r="I85" s="21"/>
      <c r="J85" s="22" t="n">
        <v>1</v>
      </c>
      <c r="K85" s="22" t="n">
        <v>1</v>
      </c>
      <c r="L85" s="22" t="n">
        <v>0</v>
      </c>
      <c r="M85" s="21" t="s">
        <v>363</v>
      </c>
      <c r="N85" s="21"/>
      <c r="O85" s="20" t="n">
        <f aca="false">IF($N85="Exit",N($J85),0)</f>
        <v>0</v>
      </c>
      <c r="P85" s="23" t="str">
        <f aca="false">IF($F85="","",MID(IF($G85="",", career level","")&amp;IF($I85="",", nationality mandate","")&amp;IF($N85="",", capacity direction","")&amp;IF(N($J85)&lt;=0,", approved HC","")&amp;IF(AND($G85&lt;&gt;"",COUNTIF(CareerLevels,$G85)=0),", a career level that is not on the ladder",""),3,200))</f>
        <v>career level, nationality mandate, capacity direction</v>
      </c>
    </row>
    <row r="86" customFormat="false" ht="15" hidden="false" customHeight="false" outlineLevel="0" collapsed="false">
      <c r="A86" s="21" t="s">
        <v>399</v>
      </c>
      <c r="B86" s="21" t="s">
        <v>105</v>
      </c>
      <c r="C86" s="21" t="s">
        <v>107</v>
      </c>
      <c r="D86" s="21" t="s">
        <v>109</v>
      </c>
      <c r="E86" s="21" t="s">
        <v>111</v>
      </c>
      <c r="F86" s="21" t="s">
        <v>433</v>
      </c>
      <c r="G86" s="21"/>
      <c r="H86" s="21" t="s">
        <v>374</v>
      </c>
      <c r="I86" s="21"/>
      <c r="J86" s="22" t="n">
        <v>1</v>
      </c>
      <c r="K86" s="22" t="n">
        <v>1</v>
      </c>
      <c r="L86" s="22" t="n">
        <v>0</v>
      </c>
      <c r="M86" s="21" t="s">
        <v>393</v>
      </c>
      <c r="N86" s="21"/>
      <c r="O86" s="20" t="n">
        <f aca="false">IF($N86="Exit",N($J86),0)</f>
        <v>0</v>
      </c>
      <c r="P86" s="23" t="str">
        <f aca="false">IF($F86="","",MID(IF($G86="",", career level","")&amp;IF($I86="",", nationality mandate","")&amp;IF($N86="",", capacity direction","")&amp;IF(N($J86)&lt;=0,", approved HC","")&amp;IF(AND($G86&lt;&gt;"",COUNTIF(CareerLevels,$G86)=0),", a career level that is not on the ladder",""),3,200))</f>
        <v>career level, nationality mandate, capacity direction</v>
      </c>
    </row>
    <row r="87" customFormat="false" ht="15" hidden="false" customHeight="false" outlineLevel="0" collapsed="false">
      <c r="A87" s="21" t="s">
        <v>377</v>
      </c>
      <c r="B87" s="21" t="s">
        <v>105</v>
      </c>
      <c r="C87" s="21" t="s">
        <v>107</v>
      </c>
      <c r="D87" s="21" t="s">
        <v>109</v>
      </c>
      <c r="E87" s="21" t="s">
        <v>111</v>
      </c>
      <c r="F87" s="21" t="s">
        <v>433</v>
      </c>
      <c r="G87" s="21"/>
      <c r="H87" s="21" t="s">
        <v>374</v>
      </c>
      <c r="I87" s="21"/>
      <c r="J87" s="22" t="n">
        <v>1</v>
      </c>
      <c r="K87" s="22" t="n">
        <v>1</v>
      </c>
      <c r="L87" s="22" t="n">
        <v>0</v>
      </c>
      <c r="M87" s="21" t="s">
        <v>363</v>
      </c>
      <c r="N87" s="21"/>
      <c r="O87" s="20" t="n">
        <f aca="false">IF($N87="Exit",N($J87),0)</f>
        <v>0</v>
      </c>
      <c r="P87" s="23" t="str">
        <f aca="false">IF($F87="","",MID(IF($G87="",", career level","")&amp;IF($I87="",", nationality mandate","")&amp;IF($N87="",", capacity direction","")&amp;IF(N($J87)&lt;=0,", approved HC","")&amp;IF(AND($G87&lt;&gt;"",COUNTIF(CareerLevels,$G87)=0),", a career level that is not on the ladder",""),3,200))</f>
        <v>career level, nationality mandate, capacity direction</v>
      </c>
    </row>
    <row r="88" customFormat="false" ht="15" hidden="false" customHeight="false" outlineLevel="0" collapsed="false">
      <c r="A88" s="21" t="s">
        <v>379</v>
      </c>
      <c r="B88" s="21" t="s">
        <v>105</v>
      </c>
      <c r="C88" s="21" t="s">
        <v>107</v>
      </c>
      <c r="D88" s="21" t="s">
        <v>109</v>
      </c>
      <c r="E88" s="21" t="s">
        <v>111</v>
      </c>
      <c r="F88" s="21" t="s">
        <v>433</v>
      </c>
      <c r="G88" s="21"/>
      <c r="H88" s="21" t="s">
        <v>374</v>
      </c>
      <c r="I88" s="21"/>
      <c r="J88" s="22" t="n">
        <v>1</v>
      </c>
      <c r="K88" s="22" t="n">
        <v>1</v>
      </c>
      <c r="L88" s="22" t="n">
        <v>0</v>
      </c>
      <c r="M88" s="21" t="s">
        <v>363</v>
      </c>
      <c r="N88" s="21"/>
      <c r="O88" s="20" t="n">
        <f aca="false">IF($N88="Exit",N($J88),0)</f>
        <v>0</v>
      </c>
      <c r="P88" s="23" t="str">
        <f aca="false">IF($F88="","",MID(IF($G88="",", career level","")&amp;IF($I88="",", nationality mandate","")&amp;IF($N88="",", capacity direction","")&amp;IF(N($J88)&lt;=0,", approved HC","")&amp;IF(AND($G88&lt;&gt;"",COUNTIF(CareerLevels,$G88)=0),", a career level that is not on the ladder",""),3,200))</f>
        <v>career level, nationality mandate, capacity direction</v>
      </c>
    </row>
    <row r="89" customFormat="false" ht="15" hidden="false" customHeight="false" outlineLevel="0" collapsed="false">
      <c r="A89" s="21" t="s">
        <v>425</v>
      </c>
      <c r="B89" s="21" t="s">
        <v>105</v>
      </c>
      <c r="C89" s="21" t="s">
        <v>107</v>
      </c>
      <c r="D89" s="21" t="s">
        <v>109</v>
      </c>
      <c r="E89" s="21" t="s">
        <v>111</v>
      </c>
      <c r="F89" s="21" t="s">
        <v>434</v>
      </c>
      <c r="G89" s="21"/>
      <c r="H89" s="21" t="s">
        <v>374</v>
      </c>
      <c r="I89" s="21"/>
      <c r="J89" s="22" t="n">
        <v>1</v>
      </c>
      <c r="K89" s="22" t="n">
        <v>1</v>
      </c>
      <c r="L89" s="22" t="n">
        <v>0</v>
      </c>
      <c r="M89" s="21" t="s">
        <v>363</v>
      </c>
      <c r="N89" s="21"/>
      <c r="O89" s="20" t="n">
        <f aca="false">IF($N89="Exit",N($J89),0)</f>
        <v>0</v>
      </c>
      <c r="P89" s="23" t="str">
        <f aca="false">IF($F89="","",MID(IF($G89="",", career level","")&amp;IF($I89="",", nationality mandate","")&amp;IF($N89="",", capacity direction","")&amp;IF(N($J89)&lt;=0,", approved HC","")&amp;IF(AND($G89&lt;&gt;"",COUNTIF(CareerLevels,$G89)=0),", a career level that is not on the ladder",""),3,200))</f>
        <v>career level, nationality mandate, capacity direction</v>
      </c>
    </row>
    <row r="90" customFormat="false" ht="15" hidden="false" customHeight="false" outlineLevel="0" collapsed="false">
      <c r="A90" s="21" t="s">
        <v>420</v>
      </c>
      <c r="B90" s="21" t="s">
        <v>105</v>
      </c>
      <c r="C90" s="21" t="s">
        <v>107</v>
      </c>
      <c r="D90" s="21" t="s">
        <v>109</v>
      </c>
      <c r="E90" s="21" t="s">
        <v>111</v>
      </c>
      <c r="F90" s="21" t="s">
        <v>435</v>
      </c>
      <c r="G90" s="21"/>
      <c r="H90" s="21" t="s">
        <v>371</v>
      </c>
      <c r="I90" s="21"/>
      <c r="J90" s="22" t="n">
        <v>1</v>
      </c>
      <c r="K90" s="22" t="n">
        <v>1</v>
      </c>
      <c r="L90" s="22" t="n">
        <v>0</v>
      </c>
      <c r="M90" s="21" t="s">
        <v>363</v>
      </c>
      <c r="N90" s="21"/>
      <c r="O90" s="20" t="n">
        <f aca="false">IF($N90="Exit",N($J90),0)</f>
        <v>0</v>
      </c>
      <c r="P90" s="23" t="str">
        <f aca="false">IF($F90="","",MID(IF($G90="",", career level","")&amp;IF($I90="",", nationality mandate","")&amp;IF($N90="",", capacity direction","")&amp;IF(N($J90)&lt;=0,", approved HC","")&amp;IF(AND($G90&lt;&gt;"",COUNTIF(CareerLevels,$G90)=0),", a career level that is not on the ladder",""),3,200))</f>
        <v>career level, nationality mandate, capacity direction</v>
      </c>
    </row>
    <row r="91" customFormat="false" ht="15" hidden="false" customHeight="false" outlineLevel="0" collapsed="false">
      <c r="A91" s="21" t="s">
        <v>419</v>
      </c>
      <c r="B91" s="21" t="s">
        <v>105</v>
      </c>
      <c r="C91" s="21" t="s">
        <v>107</v>
      </c>
      <c r="D91" s="21" t="s">
        <v>109</v>
      </c>
      <c r="E91" s="21" t="s">
        <v>115</v>
      </c>
      <c r="F91" s="21" t="s">
        <v>436</v>
      </c>
      <c r="G91" s="21"/>
      <c r="H91" s="21" t="s">
        <v>374</v>
      </c>
      <c r="I91" s="21"/>
      <c r="J91" s="22" t="n">
        <v>1</v>
      </c>
      <c r="K91" s="22" t="n">
        <v>0</v>
      </c>
      <c r="L91" s="22" t="n">
        <v>1</v>
      </c>
      <c r="M91" s="21" t="s">
        <v>363</v>
      </c>
      <c r="N91" s="21"/>
      <c r="O91" s="20" t="n">
        <f aca="false">IF($N91="Exit",N($J91),0)</f>
        <v>0</v>
      </c>
      <c r="P91" s="23" t="str">
        <f aca="false">IF($F91="","",MID(IF($G91="",", career level","")&amp;IF($I91="",", nationality mandate","")&amp;IF($N91="",", capacity direction","")&amp;IF(N($J91)&lt;=0,", approved HC","")&amp;IF(AND($G91&lt;&gt;"",COUNTIF(CareerLevels,$G91)=0),", a career level that is not on the ladder",""),3,200))</f>
        <v>career level, nationality mandate, capacity direction</v>
      </c>
    </row>
    <row r="92" customFormat="false" ht="15" hidden="false" customHeight="false" outlineLevel="0" collapsed="false">
      <c r="A92" s="21" t="s">
        <v>420</v>
      </c>
      <c r="B92" s="21" t="s">
        <v>105</v>
      </c>
      <c r="C92" s="21" t="s">
        <v>107</v>
      </c>
      <c r="D92" s="21" t="s">
        <v>109</v>
      </c>
      <c r="E92" s="21" t="s">
        <v>115</v>
      </c>
      <c r="F92" s="21" t="s">
        <v>436</v>
      </c>
      <c r="G92" s="21"/>
      <c r="H92" s="21" t="s">
        <v>374</v>
      </c>
      <c r="I92" s="21"/>
      <c r="J92" s="22" t="n">
        <v>1</v>
      </c>
      <c r="K92" s="22" t="n">
        <v>1</v>
      </c>
      <c r="L92" s="22" t="n">
        <v>0</v>
      </c>
      <c r="M92" s="21" t="s">
        <v>363</v>
      </c>
      <c r="N92" s="21"/>
      <c r="O92" s="20" t="n">
        <f aca="false">IF($N92="Exit",N($J92),0)</f>
        <v>0</v>
      </c>
      <c r="P92" s="23" t="str">
        <f aca="false">IF($F92="","",MID(IF($G92="",", career level","")&amp;IF($I92="",", nationality mandate","")&amp;IF($N92="",", capacity direction","")&amp;IF(N($J92)&lt;=0,", approved HC","")&amp;IF(AND($G92&lt;&gt;"",COUNTIF(CareerLevels,$G92)=0),", a career level that is not on the ladder",""),3,200))</f>
        <v>career level, nationality mandate, capacity direction</v>
      </c>
    </row>
    <row r="93" customFormat="false" ht="15" hidden="false" customHeight="false" outlineLevel="0" collapsed="false">
      <c r="A93" s="21" t="s">
        <v>437</v>
      </c>
      <c r="B93" s="21" t="s">
        <v>105</v>
      </c>
      <c r="C93" s="21" t="s">
        <v>107</v>
      </c>
      <c r="D93" s="21" t="s">
        <v>109</v>
      </c>
      <c r="E93" s="21" t="s">
        <v>115</v>
      </c>
      <c r="F93" s="21" t="s">
        <v>431</v>
      </c>
      <c r="G93" s="21"/>
      <c r="H93" s="21" t="s">
        <v>374</v>
      </c>
      <c r="I93" s="21"/>
      <c r="J93" s="22" t="n">
        <v>1</v>
      </c>
      <c r="K93" s="22" t="n">
        <v>1</v>
      </c>
      <c r="L93" s="22" t="n">
        <v>0</v>
      </c>
      <c r="M93" s="21" t="s">
        <v>363</v>
      </c>
      <c r="N93" s="21"/>
      <c r="O93" s="20" t="n">
        <f aca="false">IF($N93="Exit",N($J93),0)</f>
        <v>0</v>
      </c>
      <c r="P93" s="23" t="str">
        <f aca="false">IF($F93="","",MID(IF($G93="",", career level","")&amp;IF($I93="",", nationality mandate","")&amp;IF($N93="",", capacity direction","")&amp;IF(N($J93)&lt;=0,", approved HC","")&amp;IF(AND($G93&lt;&gt;"",COUNTIF(CareerLevels,$G93)=0),", a career level that is not on the ladder",""),3,200))</f>
        <v>career level, nationality mandate, capacity direction</v>
      </c>
    </row>
    <row r="94" customFormat="false" ht="15" hidden="false" customHeight="false" outlineLevel="0" collapsed="false">
      <c r="A94" s="21" t="s">
        <v>420</v>
      </c>
      <c r="B94" s="21" t="s">
        <v>105</v>
      </c>
      <c r="C94" s="21" t="s">
        <v>107</v>
      </c>
      <c r="D94" s="21" t="s">
        <v>109</v>
      </c>
      <c r="E94" s="21" t="s">
        <v>115</v>
      </c>
      <c r="F94" s="21" t="s">
        <v>433</v>
      </c>
      <c r="G94" s="21"/>
      <c r="H94" s="21" t="s">
        <v>374</v>
      </c>
      <c r="I94" s="21"/>
      <c r="J94" s="22" t="n">
        <v>1</v>
      </c>
      <c r="K94" s="22" t="n">
        <v>1</v>
      </c>
      <c r="L94" s="22" t="n">
        <v>0</v>
      </c>
      <c r="M94" s="21" t="s">
        <v>363</v>
      </c>
      <c r="N94" s="21"/>
      <c r="O94" s="20" t="n">
        <f aca="false">IF($N94="Exit",N($J94),0)</f>
        <v>0</v>
      </c>
      <c r="P94" s="23" t="str">
        <f aca="false">IF($F94="","",MID(IF($G94="",", career level","")&amp;IF($I94="",", nationality mandate","")&amp;IF($N94="",", capacity direction","")&amp;IF(N($J94)&lt;=0,", approved HC","")&amp;IF(AND($G94&lt;&gt;"",COUNTIF(CareerLevels,$G94)=0),", a career level that is not on the ladder",""),3,200))</f>
        <v>career level, nationality mandate, capacity direction</v>
      </c>
    </row>
    <row r="95" customFormat="false" ht="15" hidden="false" customHeight="false" outlineLevel="0" collapsed="false">
      <c r="A95" s="21" t="s">
        <v>438</v>
      </c>
      <c r="B95" s="21" t="s">
        <v>105</v>
      </c>
      <c r="C95" s="21" t="s">
        <v>107</v>
      </c>
      <c r="D95" s="21" t="s">
        <v>109</v>
      </c>
      <c r="E95" s="21" t="s">
        <v>115</v>
      </c>
      <c r="F95" s="21" t="s">
        <v>433</v>
      </c>
      <c r="G95" s="21"/>
      <c r="H95" s="21" t="s">
        <v>374</v>
      </c>
      <c r="I95" s="21"/>
      <c r="J95" s="22" t="n">
        <v>1</v>
      </c>
      <c r="K95" s="22" t="n">
        <v>1</v>
      </c>
      <c r="L95" s="22" t="n">
        <v>0</v>
      </c>
      <c r="M95" s="21" t="s">
        <v>363</v>
      </c>
      <c r="N95" s="21"/>
      <c r="O95" s="20" t="n">
        <f aca="false">IF($N95="Exit",N($J95),0)</f>
        <v>0</v>
      </c>
      <c r="P95" s="23" t="str">
        <f aca="false">IF($F95="","",MID(IF($G95="",", career level","")&amp;IF($I95="",", nationality mandate","")&amp;IF($N95="",", capacity direction","")&amp;IF(N($J95)&lt;=0,", approved HC","")&amp;IF(AND($G95&lt;&gt;"",COUNTIF(CareerLevels,$G95)=0),", a career level that is not on the ladder",""),3,200))</f>
        <v>career level, nationality mandate, capacity direction</v>
      </c>
    </row>
    <row r="96" customFormat="false" ht="15" hidden="false" customHeight="false" outlineLevel="0" collapsed="false">
      <c r="A96" s="21" t="s">
        <v>412</v>
      </c>
      <c r="B96" s="21" t="s">
        <v>105</v>
      </c>
      <c r="C96" s="21" t="s">
        <v>107</v>
      </c>
      <c r="D96" s="21" t="s">
        <v>109</v>
      </c>
      <c r="E96" s="21" t="s">
        <v>115</v>
      </c>
      <c r="F96" s="21" t="s">
        <v>435</v>
      </c>
      <c r="G96" s="21"/>
      <c r="H96" s="21" t="s">
        <v>371</v>
      </c>
      <c r="I96" s="21"/>
      <c r="J96" s="22" t="n">
        <v>1</v>
      </c>
      <c r="K96" s="22" t="n">
        <v>1</v>
      </c>
      <c r="L96" s="22" t="n">
        <v>0</v>
      </c>
      <c r="M96" s="21" t="s">
        <v>363</v>
      </c>
      <c r="N96" s="21"/>
      <c r="O96" s="20" t="n">
        <f aca="false">IF($N96="Exit",N($J96),0)</f>
        <v>0</v>
      </c>
      <c r="P96" s="23" t="str">
        <f aca="false">IF($F96="","",MID(IF($G96="",", career level","")&amp;IF($I96="",", nationality mandate","")&amp;IF($N96="",", capacity direction","")&amp;IF(N($J96)&lt;=0,", approved HC","")&amp;IF(AND($G96&lt;&gt;"",COUNTIF(CareerLevels,$G96)=0),", a career level that is not on the ladder",""),3,200))</f>
        <v>career level, nationality mandate, capacity direction</v>
      </c>
    </row>
    <row r="97" customFormat="false" ht="15" hidden="false" customHeight="false" outlineLevel="0" collapsed="false">
      <c r="A97" s="21" t="s">
        <v>401</v>
      </c>
      <c r="B97" s="21" t="s">
        <v>105</v>
      </c>
      <c r="C97" s="21" t="s">
        <v>107</v>
      </c>
      <c r="D97" s="21" t="s">
        <v>121</v>
      </c>
      <c r="E97" s="21"/>
      <c r="F97" s="21" t="s">
        <v>429</v>
      </c>
      <c r="G97" s="21"/>
      <c r="H97" s="21" t="s">
        <v>371</v>
      </c>
      <c r="I97" s="21"/>
      <c r="J97" s="22" t="n">
        <v>1</v>
      </c>
      <c r="K97" s="22" t="n">
        <v>1</v>
      </c>
      <c r="L97" s="22" t="n">
        <v>0</v>
      </c>
      <c r="M97" s="21" t="s">
        <v>363</v>
      </c>
      <c r="N97" s="21"/>
      <c r="O97" s="20" t="n">
        <f aca="false">IF($N97="Exit",N($J97),0)</f>
        <v>0</v>
      </c>
      <c r="P97" s="23" t="str">
        <f aca="false">IF($F97="","",MID(IF($G97="",", career level","")&amp;IF($I97="",", nationality mandate","")&amp;IF($N97="",", capacity direction","")&amp;IF(N($J97)&lt;=0,", approved HC","")&amp;IF(AND($G97&lt;&gt;"",COUNTIF(CareerLevels,$G97)=0),", a career level that is not on the ladder",""),3,200))</f>
        <v>career level, nationality mandate, capacity direction</v>
      </c>
    </row>
    <row r="98" customFormat="false" ht="15" hidden="false" customHeight="false" outlineLevel="0" collapsed="false">
      <c r="A98" s="21" t="s">
        <v>439</v>
      </c>
      <c r="B98" s="21" t="s">
        <v>105</v>
      </c>
      <c r="C98" s="21" t="s">
        <v>107</v>
      </c>
      <c r="D98" s="21" t="s">
        <v>121</v>
      </c>
      <c r="E98" s="21" t="s">
        <v>123</v>
      </c>
      <c r="F98" s="21" t="s">
        <v>430</v>
      </c>
      <c r="G98" s="21"/>
      <c r="H98" s="21" t="s">
        <v>374</v>
      </c>
      <c r="I98" s="21"/>
      <c r="J98" s="22" t="n">
        <v>1</v>
      </c>
      <c r="K98" s="22" t="n">
        <v>0</v>
      </c>
      <c r="L98" s="22" t="n">
        <v>1</v>
      </c>
      <c r="M98" s="21" t="s">
        <v>363</v>
      </c>
      <c r="N98" s="21"/>
      <c r="O98" s="20" t="n">
        <f aca="false">IF($N98="Exit",N($J98),0)</f>
        <v>0</v>
      </c>
      <c r="P98" s="23" t="str">
        <f aca="false">IF($F98="","",MID(IF($G98="",", career level","")&amp;IF($I98="",", nationality mandate","")&amp;IF($N98="",", capacity direction","")&amp;IF(N($J98)&lt;=0,", approved HC","")&amp;IF(AND($G98&lt;&gt;"",COUNTIF(CareerLevels,$G98)=0),", a career level that is not on the ladder",""),3,200))</f>
        <v>career level, nationality mandate, capacity direction</v>
      </c>
    </row>
    <row r="99" customFormat="false" ht="15" hidden="false" customHeight="false" outlineLevel="0" collapsed="false">
      <c r="A99" s="21" t="s">
        <v>409</v>
      </c>
      <c r="B99" s="21" t="s">
        <v>105</v>
      </c>
      <c r="C99" s="21" t="s">
        <v>107</v>
      </c>
      <c r="D99" s="21" t="s">
        <v>121</v>
      </c>
      <c r="E99" s="21" t="s">
        <v>123</v>
      </c>
      <c r="F99" s="21" t="s">
        <v>430</v>
      </c>
      <c r="G99" s="21"/>
      <c r="H99" s="21" t="s">
        <v>374</v>
      </c>
      <c r="I99" s="21"/>
      <c r="J99" s="22" t="n">
        <v>1</v>
      </c>
      <c r="K99" s="22" t="n">
        <v>1</v>
      </c>
      <c r="L99" s="22" t="n">
        <v>0</v>
      </c>
      <c r="M99" s="21" t="s">
        <v>363</v>
      </c>
      <c r="N99" s="21"/>
      <c r="O99" s="20" t="n">
        <f aca="false">IF($N99="Exit",N($J99),0)</f>
        <v>0</v>
      </c>
      <c r="P99" s="23" t="str">
        <f aca="false">IF($F99="","",MID(IF($G99="",", career level","")&amp;IF($I99="",", nationality mandate","")&amp;IF($N99="",", capacity direction","")&amp;IF(N($J99)&lt;=0,", approved HC","")&amp;IF(AND($G99&lt;&gt;"",COUNTIF(CareerLevels,$G99)=0),", a career level that is not on the ladder",""),3,200))</f>
        <v>career level, nationality mandate, capacity direction</v>
      </c>
    </row>
    <row r="100" customFormat="false" ht="15" hidden="false" customHeight="false" outlineLevel="0" collapsed="false">
      <c r="A100" s="21" t="s">
        <v>417</v>
      </c>
      <c r="B100" s="21" t="s">
        <v>105</v>
      </c>
      <c r="C100" s="21" t="s">
        <v>107</v>
      </c>
      <c r="D100" s="21" t="s">
        <v>121</v>
      </c>
      <c r="E100" s="21" t="s">
        <v>123</v>
      </c>
      <c r="F100" s="21" t="s">
        <v>433</v>
      </c>
      <c r="G100" s="21"/>
      <c r="H100" s="21" t="s">
        <v>374</v>
      </c>
      <c r="I100" s="21"/>
      <c r="J100" s="22" t="n">
        <v>1</v>
      </c>
      <c r="K100" s="22" t="n">
        <v>1</v>
      </c>
      <c r="L100" s="22" t="n">
        <v>0</v>
      </c>
      <c r="M100" s="21" t="s">
        <v>363</v>
      </c>
      <c r="N100" s="21"/>
      <c r="O100" s="20" t="n">
        <f aca="false">IF($N100="Exit",N($J100),0)</f>
        <v>0</v>
      </c>
      <c r="P100" s="23" t="str">
        <f aca="false">IF($F100="","",MID(IF($G100="",", career level","")&amp;IF($I100="",", nationality mandate","")&amp;IF($N100="",", capacity direction","")&amp;IF(N($J100)&lt;=0,", approved HC","")&amp;IF(AND($G100&lt;&gt;"",COUNTIF(CareerLevels,$G100)=0),", a career level that is not on the ladder",""),3,200))</f>
        <v>career level, nationality mandate, capacity direction</v>
      </c>
    </row>
    <row r="101" customFormat="false" ht="15" hidden="false" customHeight="false" outlineLevel="0" collapsed="false">
      <c r="A101" s="21" t="s">
        <v>409</v>
      </c>
      <c r="B101" s="21" t="s">
        <v>105</v>
      </c>
      <c r="C101" s="21" t="s">
        <v>107</v>
      </c>
      <c r="D101" s="21" t="s">
        <v>121</v>
      </c>
      <c r="E101" s="21" t="s">
        <v>123</v>
      </c>
      <c r="F101" s="21" t="s">
        <v>433</v>
      </c>
      <c r="G101" s="21"/>
      <c r="H101" s="21" t="s">
        <v>374</v>
      </c>
      <c r="I101" s="21"/>
      <c r="J101" s="22" t="n">
        <v>1</v>
      </c>
      <c r="K101" s="22" t="n">
        <v>1</v>
      </c>
      <c r="L101" s="22" t="n">
        <v>0</v>
      </c>
      <c r="M101" s="21" t="s">
        <v>363</v>
      </c>
      <c r="N101" s="21"/>
      <c r="O101" s="20" t="n">
        <f aca="false">IF($N101="Exit",N($J101),0)</f>
        <v>0</v>
      </c>
      <c r="P101" s="23" t="str">
        <f aca="false">IF($F101="","",MID(IF($G101="",", career level","")&amp;IF($I101="",", nationality mandate","")&amp;IF($N101="",", capacity direction","")&amp;IF(N($J101)&lt;=0,", approved HC","")&amp;IF(AND($G101&lt;&gt;"",COUNTIF(CareerLevels,$G101)=0),", a career level that is not on the ladder",""),3,200))</f>
        <v>career level, nationality mandate, capacity direction</v>
      </c>
    </row>
    <row r="102" customFormat="false" ht="15" hidden="false" customHeight="false" outlineLevel="0" collapsed="false">
      <c r="A102" s="21" t="s">
        <v>440</v>
      </c>
      <c r="B102" s="21" t="s">
        <v>105</v>
      </c>
      <c r="C102" s="21" t="s">
        <v>107</v>
      </c>
      <c r="D102" s="21" t="s">
        <v>121</v>
      </c>
      <c r="E102" s="21" t="s">
        <v>123</v>
      </c>
      <c r="F102" s="21" t="s">
        <v>441</v>
      </c>
      <c r="G102" s="21"/>
      <c r="H102" s="21" t="s">
        <v>374</v>
      </c>
      <c r="I102" s="21"/>
      <c r="J102" s="22" t="n">
        <v>1</v>
      </c>
      <c r="K102" s="22" t="n">
        <v>1</v>
      </c>
      <c r="L102" s="22" t="n">
        <v>0</v>
      </c>
      <c r="M102" s="21" t="s">
        <v>363</v>
      </c>
      <c r="N102" s="21"/>
      <c r="O102" s="20" t="n">
        <f aca="false">IF($N102="Exit",N($J102),0)</f>
        <v>0</v>
      </c>
      <c r="P102" s="23" t="str">
        <f aca="false">IF($F102="","",MID(IF($G102="",", career level","")&amp;IF($I102="",", nationality mandate","")&amp;IF($N102="",", capacity direction","")&amp;IF(N($J102)&lt;=0,", approved HC","")&amp;IF(AND($G102&lt;&gt;"",COUNTIF(CareerLevels,$G102)=0),", a career level that is not on the ladder",""),3,200))</f>
        <v>career level, nationality mandate, capacity direction</v>
      </c>
    </row>
    <row r="103" customFormat="false" ht="15" hidden="false" customHeight="false" outlineLevel="0" collapsed="false">
      <c r="A103" s="21" t="s">
        <v>421</v>
      </c>
      <c r="B103" s="21" t="s">
        <v>105</v>
      </c>
      <c r="C103" s="21" t="s">
        <v>107</v>
      </c>
      <c r="D103" s="21" t="s">
        <v>121</v>
      </c>
      <c r="E103" s="21" t="s">
        <v>123</v>
      </c>
      <c r="F103" s="21" t="s">
        <v>441</v>
      </c>
      <c r="G103" s="21"/>
      <c r="H103" s="21" t="s">
        <v>374</v>
      </c>
      <c r="I103" s="21"/>
      <c r="J103" s="22" t="n">
        <v>1</v>
      </c>
      <c r="K103" s="22" t="n">
        <v>1</v>
      </c>
      <c r="L103" s="22" t="n">
        <v>0</v>
      </c>
      <c r="M103" s="21" t="s">
        <v>363</v>
      </c>
      <c r="N103" s="21"/>
      <c r="O103" s="20" t="n">
        <f aca="false">IF($N103="Exit",N($J103),0)</f>
        <v>0</v>
      </c>
      <c r="P103" s="23" t="str">
        <f aca="false">IF($F103="","",MID(IF($G103="",", career level","")&amp;IF($I103="",", nationality mandate","")&amp;IF($N103="",", capacity direction","")&amp;IF(N($J103)&lt;=0,", approved HC","")&amp;IF(AND($G103&lt;&gt;"",COUNTIF(CareerLevels,$G103)=0),", a career level that is not on the ladder",""),3,200))</f>
        <v>career level, nationality mandate, capacity direction</v>
      </c>
    </row>
    <row r="104" customFormat="false" ht="15" hidden="false" customHeight="false" outlineLevel="0" collapsed="false">
      <c r="A104" s="21" t="s">
        <v>442</v>
      </c>
      <c r="B104" s="21" t="s">
        <v>105</v>
      </c>
      <c r="C104" s="21" t="s">
        <v>107</v>
      </c>
      <c r="D104" s="21" t="s">
        <v>121</v>
      </c>
      <c r="E104" s="21" t="s">
        <v>123</v>
      </c>
      <c r="F104" s="21" t="s">
        <v>434</v>
      </c>
      <c r="G104" s="21"/>
      <c r="H104" s="21" t="s">
        <v>374</v>
      </c>
      <c r="I104" s="21"/>
      <c r="J104" s="22" t="n">
        <v>1</v>
      </c>
      <c r="K104" s="22" t="n">
        <v>1</v>
      </c>
      <c r="L104" s="22" t="n">
        <v>0</v>
      </c>
      <c r="M104" s="21" t="s">
        <v>363</v>
      </c>
      <c r="N104" s="21"/>
      <c r="O104" s="20" t="n">
        <f aca="false">IF($N104="Exit",N($J104),0)</f>
        <v>0</v>
      </c>
      <c r="P104" s="23" t="str">
        <f aca="false">IF($F104="","",MID(IF($G104="",", career level","")&amp;IF($I104="",", nationality mandate","")&amp;IF($N104="",", capacity direction","")&amp;IF(N($J104)&lt;=0,", approved HC","")&amp;IF(AND($G104&lt;&gt;"",COUNTIF(CareerLevels,$G104)=0),", a career level that is not on the ladder",""),3,200))</f>
        <v>career level, nationality mandate, capacity direction</v>
      </c>
    </row>
    <row r="105" customFormat="false" ht="15" hidden="false" customHeight="false" outlineLevel="0" collapsed="false">
      <c r="A105" s="21" t="s">
        <v>443</v>
      </c>
      <c r="B105" s="21" t="s">
        <v>105</v>
      </c>
      <c r="C105" s="21" t="s">
        <v>107</v>
      </c>
      <c r="D105" s="21" t="s">
        <v>121</v>
      </c>
      <c r="E105" s="21" t="s">
        <v>123</v>
      </c>
      <c r="F105" s="21" t="s">
        <v>434</v>
      </c>
      <c r="G105" s="21"/>
      <c r="H105" s="21" t="s">
        <v>374</v>
      </c>
      <c r="I105" s="21"/>
      <c r="J105" s="22" t="n">
        <v>1</v>
      </c>
      <c r="K105" s="22" t="n">
        <v>1</v>
      </c>
      <c r="L105" s="22" t="n">
        <v>0</v>
      </c>
      <c r="M105" s="21" t="s">
        <v>363</v>
      </c>
      <c r="N105" s="21"/>
      <c r="O105" s="20" t="n">
        <f aca="false">IF($N105="Exit",N($J105),0)</f>
        <v>0</v>
      </c>
      <c r="P105" s="23" t="str">
        <f aca="false">IF($F105="","",MID(IF($G105="",", career level","")&amp;IF($I105="",", nationality mandate","")&amp;IF($N105="",", capacity direction","")&amp;IF(N($J105)&lt;=0,", approved HC","")&amp;IF(AND($G105&lt;&gt;"",COUNTIF(CareerLevels,$G105)=0),", a career level that is not on the ladder",""),3,200))</f>
        <v>career level, nationality mandate, capacity direction</v>
      </c>
    </row>
    <row r="106" customFormat="false" ht="15" hidden="false" customHeight="false" outlineLevel="0" collapsed="false">
      <c r="A106" s="21" t="s">
        <v>444</v>
      </c>
      <c r="B106" s="21" t="s">
        <v>105</v>
      </c>
      <c r="C106" s="21" t="s">
        <v>107</v>
      </c>
      <c r="D106" s="21" t="s">
        <v>121</v>
      </c>
      <c r="E106" s="21" t="s">
        <v>123</v>
      </c>
      <c r="F106" s="21" t="s">
        <v>434</v>
      </c>
      <c r="G106" s="21"/>
      <c r="H106" s="21" t="s">
        <v>374</v>
      </c>
      <c r="I106" s="21"/>
      <c r="J106" s="22" t="n">
        <v>1</v>
      </c>
      <c r="K106" s="22" t="n">
        <v>1</v>
      </c>
      <c r="L106" s="22" t="n">
        <v>0</v>
      </c>
      <c r="M106" s="21" t="s">
        <v>363</v>
      </c>
      <c r="N106" s="21"/>
      <c r="O106" s="20" t="n">
        <f aca="false">IF($N106="Exit",N($J106),0)</f>
        <v>0</v>
      </c>
      <c r="P106" s="23" t="str">
        <f aca="false">IF($F106="","",MID(IF($G106="",", career level","")&amp;IF($I106="",", nationality mandate","")&amp;IF($N106="",", capacity direction","")&amp;IF(N($J106)&lt;=0,", approved HC","")&amp;IF(AND($G106&lt;&gt;"",COUNTIF(CareerLevels,$G106)=0),", a career level that is not on the ladder",""),3,200))</f>
        <v>career level, nationality mandate, capacity direction</v>
      </c>
    </row>
    <row r="107" customFormat="false" ht="15" hidden="false" customHeight="false" outlineLevel="0" collapsed="false">
      <c r="A107" s="21" t="s">
        <v>445</v>
      </c>
      <c r="B107" s="21" t="s">
        <v>105</v>
      </c>
      <c r="C107" s="21" t="s">
        <v>107</v>
      </c>
      <c r="D107" s="21" t="s">
        <v>121</v>
      </c>
      <c r="E107" s="21" t="s">
        <v>123</v>
      </c>
      <c r="F107" s="21" t="s">
        <v>435</v>
      </c>
      <c r="G107" s="21"/>
      <c r="H107" s="21" t="s">
        <v>371</v>
      </c>
      <c r="I107" s="21"/>
      <c r="J107" s="22" t="n">
        <v>1</v>
      </c>
      <c r="K107" s="22" t="n">
        <v>1</v>
      </c>
      <c r="L107" s="22" t="n">
        <v>0</v>
      </c>
      <c r="M107" s="21" t="s">
        <v>363</v>
      </c>
      <c r="N107" s="21"/>
      <c r="O107" s="20" t="n">
        <f aca="false">IF($N107="Exit",N($J107),0)</f>
        <v>0</v>
      </c>
      <c r="P107" s="23" t="str">
        <f aca="false">IF($F107="","",MID(IF($G107="",", career level","")&amp;IF($I107="",", nationality mandate","")&amp;IF($N107="",", capacity direction","")&amp;IF(N($J107)&lt;=0,", approved HC","")&amp;IF(AND($G107&lt;&gt;"",COUNTIF(CareerLevels,$G107)=0),", a career level that is not on the ladder",""),3,200))</f>
        <v>career level, nationality mandate, capacity direction</v>
      </c>
    </row>
    <row r="108" customFormat="false" ht="15" hidden="false" customHeight="false" outlineLevel="0" collapsed="false">
      <c r="A108" s="21" t="s">
        <v>377</v>
      </c>
      <c r="B108" s="21" t="s">
        <v>105</v>
      </c>
      <c r="C108" s="21" t="s">
        <v>107</v>
      </c>
      <c r="D108" s="21" t="s">
        <v>121</v>
      </c>
      <c r="E108" s="21" t="s">
        <v>129</v>
      </c>
      <c r="F108" s="21" t="s">
        <v>436</v>
      </c>
      <c r="G108" s="21"/>
      <c r="H108" s="21" t="s">
        <v>374</v>
      </c>
      <c r="I108" s="21"/>
      <c r="J108" s="22" t="n">
        <v>1</v>
      </c>
      <c r="K108" s="22" t="n">
        <v>1</v>
      </c>
      <c r="L108" s="22" t="n">
        <v>0</v>
      </c>
      <c r="M108" s="21" t="s">
        <v>363</v>
      </c>
      <c r="N108" s="21"/>
      <c r="O108" s="20" t="n">
        <f aca="false">IF($N108="Exit",N($J108),0)</f>
        <v>0</v>
      </c>
      <c r="P108" s="23" t="str">
        <f aca="false">IF($F108="","",MID(IF($G108="",", career level","")&amp;IF($I108="",", nationality mandate","")&amp;IF($N108="",", capacity direction","")&amp;IF(N($J108)&lt;=0,", approved HC","")&amp;IF(AND($G108&lt;&gt;"",COUNTIF(CareerLevels,$G108)=0),", a career level that is not on the ladder",""),3,200))</f>
        <v>career level, nationality mandate, capacity direction</v>
      </c>
    </row>
    <row r="109" customFormat="false" ht="15" hidden="false" customHeight="false" outlineLevel="0" collapsed="false">
      <c r="A109" s="21" t="s">
        <v>423</v>
      </c>
      <c r="B109" s="21" t="s">
        <v>105</v>
      </c>
      <c r="C109" s="21" t="s">
        <v>107</v>
      </c>
      <c r="D109" s="21" t="s">
        <v>121</v>
      </c>
      <c r="E109" s="21" t="s">
        <v>129</v>
      </c>
      <c r="F109" s="21" t="s">
        <v>431</v>
      </c>
      <c r="G109" s="21"/>
      <c r="H109" s="21" t="s">
        <v>374</v>
      </c>
      <c r="I109" s="21"/>
      <c r="J109" s="22" t="n">
        <v>1</v>
      </c>
      <c r="K109" s="22" t="n">
        <v>1</v>
      </c>
      <c r="L109" s="22" t="n">
        <v>0</v>
      </c>
      <c r="M109" s="21" t="s">
        <v>363</v>
      </c>
      <c r="N109" s="21"/>
      <c r="O109" s="20" t="n">
        <f aca="false">IF($N109="Exit",N($J109),0)</f>
        <v>0</v>
      </c>
      <c r="P109" s="23" t="str">
        <f aca="false">IF($F109="","",MID(IF($G109="",", career level","")&amp;IF($I109="",", nationality mandate","")&amp;IF($N109="",", capacity direction","")&amp;IF(N($J109)&lt;=0,", approved HC","")&amp;IF(AND($G109&lt;&gt;"",COUNTIF(CareerLevels,$G109)=0),", a career level that is not on the ladder",""),3,200))</f>
        <v>career level, nationality mandate, capacity direction</v>
      </c>
    </row>
    <row r="110" customFormat="false" ht="15" hidden="false" customHeight="false" outlineLevel="0" collapsed="false">
      <c r="A110" s="21" t="s">
        <v>445</v>
      </c>
      <c r="B110" s="21" t="s">
        <v>105</v>
      </c>
      <c r="C110" s="21" t="s">
        <v>107</v>
      </c>
      <c r="D110" s="21" t="s">
        <v>121</v>
      </c>
      <c r="E110" s="21" t="s">
        <v>129</v>
      </c>
      <c r="F110" s="21" t="s">
        <v>433</v>
      </c>
      <c r="G110" s="21"/>
      <c r="H110" s="21" t="s">
        <v>374</v>
      </c>
      <c r="I110" s="21"/>
      <c r="J110" s="22" t="n">
        <v>1</v>
      </c>
      <c r="K110" s="22" t="n">
        <v>1</v>
      </c>
      <c r="L110" s="22" t="n">
        <v>0</v>
      </c>
      <c r="M110" s="21" t="s">
        <v>363</v>
      </c>
      <c r="N110" s="21"/>
      <c r="O110" s="20" t="n">
        <f aca="false">IF($N110="Exit",N($J110),0)</f>
        <v>0</v>
      </c>
      <c r="P110" s="23" t="str">
        <f aca="false">IF($F110="","",MID(IF($G110="",", career level","")&amp;IF($I110="",", nationality mandate","")&amp;IF($N110="",", capacity direction","")&amp;IF(N($J110)&lt;=0,", approved HC","")&amp;IF(AND($G110&lt;&gt;"",COUNTIF(CareerLevels,$G110)=0),", a career level that is not on the ladder",""),3,200))</f>
        <v>career level, nationality mandate, capacity direction</v>
      </c>
    </row>
    <row r="111" customFormat="false" ht="15" hidden="false" customHeight="false" outlineLevel="0" collapsed="false">
      <c r="A111" s="21" t="s">
        <v>446</v>
      </c>
      <c r="B111" s="21" t="s">
        <v>105</v>
      </c>
      <c r="C111" s="21" t="s">
        <v>107</v>
      </c>
      <c r="D111" s="21" t="s">
        <v>121</v>
      </c>
      <c r="E111" s="21" t="s">
        <v>129</v>
      </c>
      <c r="F111" s="21" t="s">
        <v>433</v>
      </c>
      <c r="G111" s="21"/>
      <c r="H111" s="21" t="s">
        <v>374</v>
      </c>
      <c r="I111" s="21"/>
      <c r="J111" s="22" t="n">
        <v>1</v>
      </c>
      <c r="K111" s="22" t="n">
        <v>1</v>
      </c>
      <c r="L111" s="22" t="n">
        <v>0</v>
      </c>
      <c r="M111" s="21" t="s">
        <v>393</v>
      </c>
      <c r="N111" s="21"/>
      <c r="O111" s="20" t="n">
        <f aca="false">IF($N111="Exit",N($J111),0)</f>
        <v>0</v>
      </c>
      <c r="P111" s="23" t="str">
        <f aca="false">IF($F111="","",MID(IF($G111="",", career level","")&amp;IF($I111="",", nationality mandate","")&amp;IF($N111="",", capacity direction","")&amp;IF(N($J111)&lt;=0,", approved HC","")&amp;IF(AND($G111&lt;&gt;"",COUNTIF(CareerLevels,$G111)=0),", a career level that is not on the ladder",""),3,200))</f>
        <v>career level, nationality mandate, capacity direction</v>
      </c>
    </row>
    <row r="112" customFormat="false" ht="15" hidden="false" customHeight="false" outlineLevel="0" collapsed="false">
      <c r="A112" s="21" t="s">
        <v>419</v>
      </c>
      <c r="B112" s="21" t="s">
        <v>105</v>
      </c>
      <c r="C112" s="21" t="s">
        <v>107</v>
      </c>
      <c r="D112" s="21" t="s">
        <v>121</v>
      </c>
      <c r="E112" s="21" t="s">
        <v>129</v>
      </c>
      <c r="F112" s="21" t="s">
        <v>433</v>
      </c>
      <c r="G112" s="21"/>
      <c r="H112" s="21" t="s">
        <v>374</v>
      </c>
      <c r="I112" s="21"/>
      <c r="J112" s="22" t="n">
        <v>1</v>
      </c>
      <c r="K112" s="22" t="n">
        <v>1</v>
      </c>
      <c r="L112" s="22" t="n">
        <v>0</v>
      </c>
      <c r="M112" s="21" t="s">
        <v>363</v>
      </c>
      <c r="N112" s="21"/>
      <c r="O112" s="20" t="n">
        <f aca="false">IF($N112="Exit",N($J112),0)</f>
        <v>0</v>
      </c>
      <c r="P112" s="23" t="str">
        <f aca="false">IF($F112="","",MID(IF($G112="",", career level","")&amp;IF($I112="",", nationality mandate","")&amp;IF($N112="",", capacity direction","")&amp;IF(N($J112)&lt;=0,", approved HC","")&amp;IF(AND($G112&lt;&gt;"",COUNTIF(CareerLevels,$G112)=0),", a career level that is not on the ladder",""),3,200))</f>
        <v>career level, nationality mandate, capacity direction</v>
      </c>
    </row>
    <row r="113" customFormat="false" ht="15" hidden="false" customHeight="false" outlineLevel="0" collapsed="false">
      <c r="A113" s="21" t="s">
        <v>447</v>
      </c>
      <c r="B113" s="21" t="s">
        <v>105</v>
      </c>
      <c r="C113" s="21" t="s">
        <v>107</v>
      </c>
      <c r="D113" s="21" t="s">
        <v>121</v>
      </c>
      <c r="E113" s="21" t="s">
        <v>129</v>
      </c>
      <c r="F113" s="21" t="s">
        <v>433</v>
      </c>
      <c r="G113" s="21"/>
      <c r="H113" s="21" t="s">
        <v>374</v>
      </c>
      <c r="I113" s="21"/>
      <c r="J113" s="22" t="n">
        <v>1</v>
      </c>
      <c r="K113" s="22" t="n">
        <v>1</v>
      </c>
      <c r="L113" s="22" t="n">
        <v>0</v>
      </c>
      <c r="M113" s="21" t="s">
        <v>363</v>
      </c>
      <c r="N113" s="21"/>
      <c r="O113" s="20" t="n">
        <f aca="false">IF($N113="Exit",N($J113),0)</f>
        <v>0</v>
      </c>
      <c r="P113" s="23" t="str">
        <f aca="false">IF($F113="","",MID(IF($G113="",", career level","")&amp;IF($I113="",", nationality mandate","")&amp;IF($N113="",", capacity direction","")&amp;IF(N($J113)&lt;=0,", approved HC","")&amp;IF(AND($G113&lt;&gt;"",COUNTIF(CareerLevels,$G113)=0),", a career level that is not on the ladder",""),3,200))</f>
        <v>career level, nationality mandate, capacity direction</v>
      </c>
    </row>
    <row r="114" customFormat="false" ht="15" hidden="false" customHeight="false" outlineLevel="0" collapsed="false">
      <c r="A114" s="21" t="s">
        <v>380</v>
      </c>
      <c r="B114" s="21" t="s">
        <v>105</v>
      </c>
      <c r="C114" s="21" t="s">
        <v>107</v>
      </c>
      <c r="D114" s="21" t="s">
        <v>121</v>
      </c>
      <c r="E114" s="21" t="s">
        <v>129</v>
      </c>
      <c r="F114" s="21" t="s">
        <v>435</v>
      </c>
      <c r="G114" s="21"/>
      <c r="H114" s="21" t="s">
        <v>371</v>
      </c>
      <c r="I114" s="21"/>
      <c r="J114" s="22" t="n">
        <v>1</v>
      </c>
      <c r="K114" s="22" t="n">
        <v>1</v>
      </c>
      <c r="L114" s="22" t="n">
        <v>0</v>
      </c>
      <c r="M114" s="21" t="s">
        <v>363</v>
      </c>
      <c r="N114" s="21"/>
      <c r="O114" s="20" t="n">
        <f aca="false">IF($N114="Exit",N($J114),0)</f>
        <v>0</v>
      </c>
      <c r="P114" s="23" t="str">
        <f aca="false">IF($F114="","",MID(IF($G114="",", career level","")&amp;IF($I114="",", nationality mandate","")&amp;IF($N114="",", capacity direction","")&amp;IF(N($J114)&lt;=0,", approved HC","")&amp;IF(AND($G114&lt;&gt;"",COUNTIF(CareerLevels,$G114)=0),", a career level that is not on the ladder",""),3,200))</f>
        <v>career level, nationality mandate, capacity direction</v>
      </c>
    </row>
    <row r="115" customFormat="false" ht="15" hidden="false" customHeight="false" outlineLevel="0" collapsed="false">
      <c r="A115" s="21" t="s">
        <v>369</v>
      </c>
      <c r="B115" s="21" t="s">
        <v>105</v>
      </c>
      <c r="C115" s="21" t="s">
        <v>135</v>
      </c>
      <c r="D115" s="21"/>
      <c r="E115" s="21"/>
      <c r="F115" s="21" t="s">
        <v>448</v>
      </c>
      <c r="G115" s="21"/>
      <c r="H115" s="21" t="s">
        <v>366</v>
      </c>
      <c r="I115" s="21"/>
      <c r="J115" s="22" t="n">
        <v>1</v>
      </c>
      <c r="K115" s="22" t="n">
        <v>1</v>
      </c>
      <c r="L115" s="22" t="n">
        <v>0</v>
      </c>
      <c r="M115" s="21" t="s">
        <v>363</v>
      </c>
      <c r="N115" s="21"/>
      <c r="O115" s="20" t="n">
        <f aca="false">IF($N115="Exit",N($J115),0)</f>
        <v>0</v>
      </c>
      <c r="P115" s="23" t="str">
        <f aca="false">IF($F115="","",MID(IF($G115="",", career level","")&amp;IF($I115="",", nationality mandate","")&amp;IF($N115="",", capacity direction","")&amp;IF(N($J115)&lt;=0,", approved HC","")&amp;IF(AND($G115&lt;&gt;"",COUNTIF(CareerLevels,$G115)=0),", a career level that is not on the ladder",""),3,200))</f>
        <v>career level, nationality mandate, capacity direction</v>
      </c>
    </row>
    <row r="116" customFormat="false" ht="15" hidden="false" customHeight="false" outlineLevel="0" collapsed="false">
      <c r="A116" s="21" t="s">
        <v>449</v>
      </c>
      <c r="B116" s="21" t="s">
        <v>105</v>
      </c>
      <c r="C116" s="21" t="s">
        <v>135</v>
      </c>
      <c r="D116" s="21" t="s">
        <v>137</v>
      </c>
      <c r="E116" s="21"/>
      <c r="F116" s="21" t="s">
        <v>450</v>
      </c>
      <c r="G116" s="21"/>
      <c r="H116" s="21" t="s">
        <v>371</v>
      </c>
      <c r="I116" s="21"/>
      <c r="J116" s="22" t="n">
        <v>1</v>
      </c>
      <c r="K116" s="22" t="n">
        <v>0</v>
      </c>
      <c r="L116" s="22" t="n">
        <v>1</v>
      </c>
      <c r="M116" s="21" t="s">
        <v>363</v>
      </c>
      <c r="N116" s="21"/>
      <c r="O116" s="20" t="n">
        <f aca="false">IF($N116="Exit",N($J116),0)</f>
        <v>0</v>
      </c>
      <c r="P116" s="23" t="str">
        <f aca="false">IF($F116="","",MID(IF($G116="",", career level","")&amp;IF($I116="",", nationality mandate","")&amp;IF($N116="",", capacity direction","")&amp;IF(N($J116)&lt;=0,", approved HC","")&amp;IF(AND($G116&lt;&gt;"",COUNTIF(CareerLevels,$G116)=0),", a career level that is not on the ladder",""),3,200))</f>
        <v>career level, nationality mandate, capacity direction</v>
      </c>
    </row>
    <row r="117" customFormat="false" ht="15" hidden="false" customHeight="false" outlineLevel="0" collapsed="false">
      <c r="A117" s="21" t="s">
        <v>439</v>
      </c>
      <c r="B117" s="21" t="s">
        <v>105</v>
      </c>
      <c r="C117" s="21" t="s">
        <v>135</v>
      </c>
      <c r="D117" s="21" t="s">
        <v>137</v>
      </c>
      <c r="E117" s="21" t="s">
        <v>139</v>
      </c>
      <c r="F117" s="21" t="s">
        <v>451</v>
      </c>
      <c r="G117" s="21"/>
      <c r="H117" s="21" t="s">
        <v>374</v>
      </c>
      <c r="I117" s="21"/>
      <c r="J117" s="22" t="n">
        <v>1</v>
      </c>
      <c r="K117" s="22" t="n">
        <v>1</v>
      </c>
      <c r="L117" s="22" t="n">
        <v>0</v>
      </c>
      <c r="M117" s="21" t="s">
        <v>363</v>
      </c>
      <c r="N117" s="21"/>
      <c r="O117" s="20" t="n">
        <f aca="false">IF($N117="Exit",N($J117),0)</f>
        <v>0</v>
      </c>
      <c r="P117" s="23" t="str">
        <f aca="false">IF($F117="","",MID(IF($G117="",", career level","")&amp;IF($I117="",", nationality mandate","")&amp;IF($N117="",", capacity direction","")&amp;IF(N($J117)&lt;=0,", approved HC","")&amp;IF(AND($G117&lt;&gt;"",COUNTIF(CareerLevels,$G117)=0),", a career level that is not on the ladder",""),3,200))</f>
        <v>career level, nationality mandate, capacity direction</v>
      </c>
    </row>
    <row r="118" customFormat="false" ht="15" hidden="false" customHeight="false" outlineLevel="0" collapsed="false">
      <c r="A118" s="21" t="s">
        <v>414</v>
      </c>
      <c r="B118" s="21" t="s">
        <v>105</v>
      </c>
      <c r="C118" s="21" t="s">
        <v>135</v>
      </c>
      <c r="D118" s="21" t="s">
        <v>137</v>
      </c>
      <c r="E118" s="21" t="s">
        <v>139</v>
      </c>
      <c r="F118" s="21" t="s">
        <v>452</v>
      </c>
      <c r="G118" s="21"/>
      <c r="H118" s="21" t="s">
        <v>374</v>
      </c>
      <c r="I118" s="21"/>
      <c r="J118" s="22" t="n">
        <v>1</v>
      </c>
      <c r="K118" s="22" t="n">
        <v>1</v>
      </c>
      <c r="L118" s="22" t="n">
        <v>0</v>
      </c>
      <c r="M118" s="21" t="s">
        <v>363</v>
      </c>
      <c r="N118" s="21"/>
      <c r="O118" s="20" t="n">
        <f aca="false">IF($N118="Exit",N($J118),0)</f>
        <v>0</v>
      </c>
      <c r="P118" s="23" t="str">
        <f aca="false">IF($F118="","",MID(IF($G118="",", career level","")&amp;IF($I118="",", nationality mandate","")&amp;IF($N118="",", capacity direction","")&amp;IF(N($J118)&lt;=0,", approved HC","")&amp;IF(AND($G118&lt;&gt;"",COUNTIF(CareerLevels,$G118)=0),", a career level that is not on the ladder",""),3,200))</f>
        <v>career level, nationality mandate, capacity direction</v>
      </c>
    </row>
    <row r="119" customFormat="false" ht="15" hidden="false" customHeight="false" outlineLevel="0" collapsed="false">
      <c r="A119" s="21" t="s">
        <v>391</v>
      </c>
      <c r="B119" s="21" t="s">
        <v>105</v>
      </c>
      <c r="C119" s="21" t="s">
        <v>135</v>
      </c>
      <c r="D119" s="21" t="s">
        <v>137</v>
      </c>
      <c r="E119" s="21" t="s">
        <v>139</v>
      </c>
      <c r="F119" s="21" t="s">
        <v>452</v>
      </c>
      <c r="G119" s="21"/>
      <c r="H119" s="21" t="s">
        <v>374</v>
      </c>
      <c r="I119" s="21"/>
      <c r="J119" s="22" t="n">
        <v>1</v>
      </c>
      <c r="K119" s="22" t="n">
        <v>0</v>
      </c>
      <c r="L119" s="22" t="n">
        <v>1</v>
      </c>
      <c r="M119" s="21" t="s">
        <v>363</v>
      </c>
      <c r="N119" s="21"/>
      <c r="O119" s="20" t="n">
        <f aca="false">IF($N119="Exit",N($J119),0)</f>
        <v>0</v>
      </c>
      <c r="P119" s="23" t="str">
        <f aca="false">IF($F119="","",MID(IF($G119="",", career level","")&amp;IF($I119="",", nationality mandate","")&amp;IF($N119="",", capacity direction","")&amp;IF(N($J119)&lt;=0,", approved HC","")&amp;IF(AND($G119&lt;&gt;"",COUNTIF(CareerLevels,$G119)=0),", a career level that is not on the ladder",""),3,200))</f>
        <v>career level, nationality mandate, capacity direction</v>
      </c>
    </row>
    <row r="120" customFormat="false" ht="15" hidden="false" customHeight="false" outlineLevel="0" collapsed="false">
      <c r="A120" s="21" t="s">
        <v>418</v>
      </c>
      <c r="B120" s="21" t="s">
        <v>105</v>
      </c>
      <c r="C120" s="21" t="s">
        <v>135</v>
      </c>
      <c r="D120" s="21" t="s">
        <v>137</v>
      </c>
      <c r="E120" s="21" t="s">
        <v>139</v>
      </c>
      <c r="F120" s="21" t="s">
        <v>453</v>
      </c>
      <c r="G120" s="21"/>
      <c r="H120" s="21" t="s">
        <v>374</v>
      </c>
      <c r="I120" s="21"/>
      <c r="J120" s="22" t="n">
        <v>1</v>
      </c>
      <c r="K120" s="22" t="n">
        <v>1</v>
      </c>
      <c r="L120" s="22" t="n">
        <v>0</v>
      </c>
      <c r="M120" s="21" t="s">
        <v>363</v>
      </c>
      <c r="N120" s="21"/>
      <c r="O120" s="20" t="n">
        <f aca="false">IF($N120="Exit",N($J120),0)</f>
        <v>0</v>
      </c>
      <c r="P120" s="23" t="str">
        <f aca="false">IF($F120="","",MID(IF($G120="",", career level","")&amp;IF($I120="",", nationality mandate","")&amp;IF($N120="",", capacity direction","")&amp;IF(N($J120)&lt;=0,", approved HC","")&amp;IF(AND($G120&lt;&gt;"",COUNTIF(CareerLevels,$G120)=0),", a career level that is not on the ladder",""),3,200))</f>
        <v>career level, nationality mandate, capacity direction</v>
      </c>
    </row>
    <row r="121" customFormat="false" ht="15" hidden="false" customHeight="false" outlineLevel="0" collapsed="false">
      <c r="A121" s="21" t="s">
        <v>437</v>
      </c>
      <c r="B121" s="21" t="s">
        <v>105</v>
      </c>
      <c r="C121" s="21" t="s">
        <v>135</v>
      </c>
      <c r="D121" s="21" t="s">
        <v>137</v>
      </c>
      <c r="E121" s="21" t="s">
        <v>139</v>
      </c>
      <c r="F121" s="21" t="s">
        <v>453</v>
      </c>
      <c r="G121" s="21"/>
      <c r="H121" s="21" t="s">
        <v>374</v>
      </c>
      <c r="I121" s="21"/>
      <c r="J121" s="22" t="n">
        <v>1</v>
      </c>
      <c r="K121" s="22" t="n">
        <v>1</v>
      </c>
      <c r="L121" s="22" t="n">
        <v>0</v>
      </c>
      <c r="M121" s="21" t="s">
        <v>363</v>
      </c>
      <c r="N121" s="21"/>
      <c r="O121" s="20" t="n">
        <f aca="false">IF($N121="Exit",N($J121),0)</f>
        <v>0</v>
      </c>
      <c r="P121" s="23" t="str">
        <f aca="false">IF($F121="","",MID(IF($G121="",", career level","")&amp;IF($I121="",", nationality mandate","")&amp;IF($N121="",", capacity direction","")&amp;IF(N($J121)&lt;=0,", approved HC","")&amp;IF(AND($G121&lt;&gt;"",COUNTIF(CareerLevels,$G121)=0),", a career level that is not on the ladder",""),3,200))</f>
        <v>career level, nationality mandate, capacity direction</v>
      </c>
    </row>
    <row r="122" customFormat="false" ht="15" hidden="false" customHeight="false" outlineLevel="0" collapsed="false">
      <c r="A122" s="21" t="s">
        <v>375</v>
      </c>
      <c r="B122" s="21" t="s">
        <v>105</v>
      </c>
      <c r="C122" s="21" t="s">
        <v>135</v>
      </c>
      <c r="D122" s="21" t="s">
        <v>137</v>
      </c>
      <c r="E122" s="21" t="s">
        <v>139</v>
      </c>
      <c r="F122" s="21" t="s">
        <v>453</v>
      </c>
      <c r="G122" s="21"/>
      <c r="H122" s="21" t="s">
        <v>374</v>
      </c>
      <c r="I122" s="21"/>
      <c r="J122" s="22" t="n">
        <v>1</v>
      </c>
      <c r="K122" s="22" t="n">
        <v>1</v>
      </c>
      <c r="L122" s="22" t="n">
        <v>0</v>
      </c>
      <c r="M122" s="21" t="s">
        <v>363</v>
      </c>
      <c r="N122" s="21"/>
      <c r="O122" s="20" t="n">
        <f aca="false">IF($N122="Exit",N($J122),0)</f>
        <v>0</v>
      </c>
      <c r="P122" s="23" t="str">
        <f aca="false">IF($F122="","",MID(IF($G122="",", career level","")&amp;IF($I122="",", nationality mandate","")&amp;IF($N122="",", capacity direction","")&amp;IF(N($J122)&lt;=0,", approved HC","")&amp;IF(AND($G122&lt;&gt;"",COUNTIF(CareerLevels,$G122)=0),", a career level that is not on the ladder",""),3,200))</f>
        <v>career level, nationality mandate, capacity direction</v>
      </c>
    </row>
    <row r="123" customFormat="false" ht="15" hidden="false" customHeight="false" outlineLevel="0" collapsed="false">
      <c r="A123" s="21" t="s">
        <v>424</v>
      </c>
      <c r="B123" s="21" t="s">
        <v>105</v>
      </c>
      <c r="C123" s="21" t="s">
        <v>135</v>
      </c>
      <c r="D123" s="21" t="s">
        <v>137</v>
      </c>
      <c r="E123" s="21" t="s">
        <v>139</v>
      </c>
      <c r="F123" s="21" t="s">
        <v>454</v>
      </c>
      <c r="G123" s="21"/>
      <c r="H123" s="21" t="s">
        <v>374</v>
      </c>
      <c r="I123" s="21"/>
      <c r="J123" s="22" t="n">
        <v>1</v>
      </c>
      <c r="K123" s="22" t="n">
        <v>1</v>
      </c>
      <c r="L123" s="22" t="n">
        <v>0</v>
      </c>
      <c r="M123" s="21" t="s">
        <v>363</v>
      </c>
      <c r="N123" s="21"/>
      <c r="O123" s="20" t="n">
        <f aca="false">IF($N123="Exit",N($J123),0)</f>
        <v>0</v>
      </c>
      <c r="P123" s="23" t="str">
        <f aca="false">IF($F123="","",MID(IF($G123="",", career level","")&amp;IF($I123="",", nationality mandate","")&amp;IF($N123="",", capacity direction","")&amp;IF(N($J123)&lt;=0,", approved HC","")&amp;IF(AND($G123&lt;&gt;"",COUNTIF(CareerLevels,$G123)=0),", a career level that is not on the ladder",""),3,200))</f>
        <v>career level, nationality mandate, capacity direction</v>
      </c>
    </row>
    <row r="124" customFormat="false" ht="15" hidden="false" customHeight="false" outlineLevel="0" collapsed="false">
      <c r="A124" s="21" t="s">
        <v>422</v>
      </c>
      <c r="B124" s="21" t="s">
        <v>105</v>
      </c>
      <c r="C124" s="21" t="s">
        <v>135</v>
      </c>
      <c r="D124" s="21" t="s">
        <v>137</v>
      </c>
      <c r="E124" s="21" t="s">
        <v>139</v>
      </c>
      <c r="F124" s="21" t="s">
        <v>454</v>
      </c>
      <c r="G124" s="21"/>
      <c r="H124" s="21" t="s">
        <v>374</v>
      </c>
      <c r="I124" s="21"/>
      <c r="J124" s="22" t="n">
        <v>1</v>
      </c>
      <c r="K124" s="22" t="n">
        <v>1</v>
      </c>
      <c r="L124" s="22" t="n">
        <v>0</v>
      </c>
      <c r="M124" s="21" t="s">
        <v>363</v>
      </c>
      <c r="N124" s="21"/>
      <c r="O124" s="20" t="n">
        <f aca="false">IF($N124="Exit",N($J124),0)</f>
        <v>0</v>
      </c>
      <c r="P124" s="23" t="str">
        <f aca="false">IF($F124="","",MID(IF($G124="",", career level","")&amp;IF($I124="",", nationality mandate","")&amp;IF($N124="",", capacity direction","")&amp;IF(N($J124)&lt;=0,", approved HC","")&amp;IF(AND($G124&lt;&gt;"",COUNTIF(CareerLevels,$G124)=0),", a career level that is not on the ladder",""),3,200))</f>
        <v>career level, nationality mandate, capacity direction</v>
      </c>
    </row>
    <row r="125" customFormat="false" ht="15" hidden="false" customHeight="false" outlineLevel="0" collapsed="false">
      <c r="A125" s="21" t="s">
        <v>425</v>
      </c>
      <c r="B125" s="21" t="s">
        <v>105</v>
      </c>
      <c r="C125" s="21" t="s">
        <v>135</v>
      </c>
      <c r="D125" s="21" t="s">
        <v>137</v>
      </c>
      <c r="E125" s="21" t="s">
        <v>139</v>
      </c>
      <c r="F125" s="21" t="s">
        <v>454</v>
      </c>
      <c r="G125" s="21"/>
      <c r="H125" s="21" t="s">
        <v>374</v>
      </c>
      <c r="I125" s="21"/>
      <c r="J125" s="22" t="n">
        <v>1</v>
      </c>
      <c r="K125" s="22" t="n">
        <v>1</v>
      </c>
      <c r="L125" s="22" t="n">
        <v>0</v>
      </c>
      <c r="M125" s="21" t="s">
        <v>363</v>
      </c>
      <c r="N125" s="21"/>
      <c r="O125" s="20" t="n">
        <f aca="false">IF($N125="Exit",N($J125),0)</f>
        <v>0</v>
      </c>
      <c r="P125" s="23" t="str">
        <f aca="false">IF($F125="","",MID(IF($G125="",", career level","")&amp;IF($I125="",", nationality mandate","")&amp;IF($N125="",", capacity direction","")&amp;IF(N($J125)&lt;=0,", approved HC","")&amp;IF(AND($G125&lt;&gt;"",COUNTIF(CareerLevels,$G125)=0),", a career level that is not on the ladder",""),3,200))</f>
        <v>career level, nationality mandate, capacity direction</v>
      </c>
    </row>
    <row r="126" customFormat="false" ht="15" hidden="false" customHeight="false" outlineLevel="0" collapsed="false">
      <c r="A126" s="21" t="s">
        <v>420</v>
      </c>
      <c r="B126" s="21" t="s">
        <v>105</v>
      </c>
      <c r="C126" s="21" t="s">
        <v>135</v>
      </c>
      <c r="D126" s="21" t="s">
        <v>137</v>
      </c>
      <c r="E126" s="21" t="s">
        <v>139</v>
      </c>
      <c r="F126" s="21" t="s">
        <v>455</v>
      </c>
      <c r="G126" s="21"/>
      <c r="H126" s="21" t="s">
        <v>371</v>
      </c>
      <c r="I126" s="21"/>
      <c r="J126" s="22" t="n">
        <v>1</v>
      </c>
      <c r="K126" s="22" t="n">
        <v>1</v>
      </c>
      <c r="L126" s="22" t="n">
        <v>0</v>
      </c>
      <c r="M126" s="21" t="s">
        <v>363</v>
      </c>
      <c r="N126" s="21"/>
      <c r="O126" s="20" t="n">
        <f aca="false">IF($N126="Exit",N($J126),0)</f>
        <v>0</v>
      </c>
      <c r="P126" s="23" t="str">
        <f aca="false">IF($F126="","",MID(IF($G126="",", career level","")&amp;IF($I126="",", nationality mandate","")&amp;IF($N126="",", capacity direction","")&amp;IF(N($J126)&lt;=0,", approved HC","")&amp;IF(AND($G126&lt;&gt;"",COUNTIF(CareerLevels,$G126)=0),", a career level that is not on the ladder",""),3,200))</f>
        <v>career level, nationality mandate, capacity direction</v>
      </c>
    </row>
    <row r="127" customFormat="false" ht="15" hidden="false" customHeight="false" outlineLevel="0" collapsed="false">
      <c r="A127" s="21" t="s">
        <v>422</v>
      </c>
      <c r="B127" s="21" t="s">
        <v>105</v>
      </c>
      <c r="C127" s="21" t="s">
        <v>135</v>
      </c>
      <c r="D127" s="21" t="s">
        <v>137</v>
      </c>
      <c r="E127" s="21" t="s">
        <v>145</v>
      </c>
      <c r="F127" s="21" t="s">
        <v>451</v>
      </c>
      <c r="G127" s="21"/>
      <c r="H127" s="21" t="s">
        <v>374</v>
      </c>
      <c r="I127" s="21"/>
      <c r="J127" s="22" t="n">
        <v>1</v>
      </c>
      <c r="K127" s="22" t="n">
        <v>1</v>
      </c>
      <c r="L127" s="22" t="n">
        <v>0</v>
      </c>
      <c r="M127" s="21" t="s">
        <v>363</v>
      </c>
      <c r="N127" s="21"/>
      <c r="O127" s="20" t="n">
        <f aca="false">IF($N127="Exit",N($J127),0)</f>
        <v>0</v>
      </c>
      <c r="P127" s="23" t="str">
        <f aca="false">IF($F127="","",MID(IF($G127="",", career level","")&amp;IF($I127="",", nationality mandate","")&amp;IF($N127="",", capacity direction","")&amp;IF(N($J127)&lt;=0,", approved HC","")&amp;IF(AND($G127&lt;&gt;"",COUNTIF(CareerLevels,$G127)=0),", a career level that is not on the ladder",""),3,200))</f>
        <v>career level, nationality mandate, capacity direction</v>
      </c>
    </row>
    <row r="128" customFormat="false" ht="15" hidden="false" customHeight="false" outlineLevel="0" collapsed="false">
      <c r="A128" s="21" t="s">
        <v>442</v>
      </c>
      <c r="B128" s="21" t="s">
        <v>105</v>
      </c>
      <c r="C128" s="21" t="s">
        <v>135</v>
      </c>
      <c r="D128" s="21" t="s">
        <v>137</v>
      </c>
      <c r="E128" s="21" t="s">
        <v>145</v>
      </c>
      <c r="F128" s="21" t="s">
        <v>451</v>
      </c>
      <c r="G128" s="21"/>
      <c r="H128" s="21" t="s">
        <v>374</v>
      </c>
      <c r="I128" s="21"/>
      <c r="J128" s="22" t="n">
        <v>1</v>
      </c>
      <c r="K128" s="22" t="n">
        <v>1</v>
      </c>
      <c r="L128" s="22" t="n">
        <v>0</v>
      </c>
      <c r="M128" s="21" t="s">
        <v>363</v>
      </c>
      <c r="N128" s="21"/>
      <c r="O128" s="20" t="n">
        <f aca="false">IF($N128="Exit",N($J128),0)</f>
        <v>0</v>
      </c>
      <c r="P128" s="23" t="str">
        <f aca="false">IF($F128="","",MID(IF($G128="",", career level","")&amp;IF($I128="",", nationality mandate","")&amp;IF($N128="",", capacity direction","")&amp;IF(N($J128)&lt;=0,", approved HC","")&amp;IF(AND($G128&lt;&gt;"",COUNTIF(CareerLevels,$G128)=0),", a career level that is not on the ladder",""),3,200))</f>
        <v>career level, nationality mandate, capacity direction</v>
      </c>
    </row>
    <row r="129" customFormat="false" ht="15" hidden="false" customHeight="false" outlineLevel="0" collapsed="false">
      <c r="A129" s="21" t="s">
        <v>404</v>
      </c>
      <c r="B129" s="21" t="s">
        <v>105</v>
      </c>
      <c r="C129" s="21" t="s">
        <v>135</v>
      </c>
      <c r="D129" s="21" t="s">
        <v>137</v>
      </c>
      <c r="E129" s="21" t="s">
        <v>145</v>
      </c>
      <c r="F129" s="21" t="s">
        <v>451</v>
      </c>
      <c r="G129" s="21"/>
      <c r="H129" s="21" t="s">
        <v>374</v>
      </c>
      <c r="I129" s="21"/>
      <c r="J129" s="22" t="n">
        <v>1</v>
      </c>
      <c r="K129" s="22" t="n">
        <v>1</v>
      </c>
      <c r="L129" s="22" t="n">
        <v>0</v>
      </c>
      <c r="M129" s="21" t="s">
        <v>363</v>
      </c>
      <c r="N129" s="21"/>
      <c r="O129" s="20" t="n">
        <f aca="false">IF($N129="Exit",N($J129),0)</f>
        <v>0</v>
      </c>
      <c r="P129" s="23" t="str">
        <f aca="false">IF($F129="","",MID(IF($G129="",", career level","")&amp;IF($I129="",", nationality mandate","")&amp;IF($N129="",", capacity direction","")&amp;IF(N($J129)&lt;=0,", approved HC","")&amp;IF(AND($G129&lt;&gt;"",COUNTIF(CareerLevels,$G129)=0),", a career level that is not on the ladder",""),3,200))</f>
        <v>career level, nationality mandate, capacity direction</v>
      </c>
    </row>
    <row r="130" customFormat="false" ht="15" hidden="false" customHeight="false" outlineLevel="0" collapsed="false">
      <c r="A130" s="21" t="s">
        <v>409</v>
      </c>
      <c r="B130" s="21" t="s">
        <v>105</v>
      </c>
      <c r="C130" s="21" t="s">
        <v>135</v>
      </c>
      <c r="D130" s="21" t="s">
        <v>137</v>
      </c>
      <c r="E130" s="21" t="s">
        <v>145</v>
      </c>
      <c r="F130" s="21" t="s">
        <v>451</v>
      </c>
      <c r="G130" s="21"/>
      <c r="H130" s="21" t="s">
        <v>374</v>
      </c>
      <c r="I130" s="21"/>
      <c r="J130" s="22" t="n">
        <v>1</v>
      </c>
      <c r="K130" s="22" t="n">
        <v>1</v>
      </c>
      <c r="L130" s="22" t="n">
        <v>0</v>
      </c>
      <c r="M130" s="21" t="s">
        <v>363</v>
      </c>
      <c r="N130" s="21"/>
      <c r="O130" s="20" t="n">
        <f aca="false">IF($N130="Exit",N($J130),0)</f>
        <v>0</v>
      </c>
      <c r="P130" s="23" t="str">
        <f aca="false">IF($F130="","",MID(IF($G130="",", career level","")&amp;IF($I130="",", nationality mandate","")&amp;IF($N130="",", capacity direction","")&amp;IF(N($J130)&lt;=0,", approved HC","")&amp;IF(AND($G130&lt;&gt;"",COUNTIF(CareerLevels,$G130)=0),", a career level that is not on the ladder",""),3,200))</f>
        <v>career level, nationality mandate, capacity direction</v>
      </c>
    </row>
    <row r="131" customFormat="false" ht="15" hidden="false" customHeight="false" outlineLevel="0" collapsed="false">
      <c r="A131" s="21" t="s">
        <v>394</v>
      </c>
      <c r="B131" s="21" t="s">
        <v>105</v>
      </c>
      <c r="C131" s="21" t="s">
        <v>135</v>
      </c>
      <c r="D131" s="21" t="s">
        <v>137</v>
      </c>
      <c r="E131" s="21" t="s">
        <v>145</v>
      </c>
      <c r="F131" s="21" t="s">
        <v>451</v>
      </c>
      <c r="G131" s="21"/>
      <c r="H131" s="21" t="s">
        <v>374</v>
      </c>
      <c r="I131" s="21"/>
      <c r="J131" s="22" t="n">
        <v>1</v>
      </c>
      <c r="K131" s="22" t="n">
        <v>1</v>
      </c>
      <c r="L131" s="22" t="n">
        <v>0</v>
      </c>
      <c r="M131" s="21" t="s">
        <v>363</v>
      </c>
      <c r="N131" s="21"/>
      <c r="O131" s="20" t="n">
        <f aca="false">IF($N131="Exit",N($J131),0)</f>
        <v>0</v>
      </c>
      <c r="P131" s="23" t="str">
        <f aca="false">IF($F131="","",MID(IF($G131="",", career level","")&amp;IF($I131="",", nationality mandate","")&amp;IF($N131="",", capacity direction","")&amp;IF(N($J131)&lt;=0,", approved HC","")&amp;IF(AND($G131&lt;&gt;"",COUNTIF(CareerLevels,$G131)=0),", a career level that is not on the ladder",""),3,200))</f>
        <v>career level, nationality mandate, capacity direction</v>
      </c>
    </row>
    <row r="132" customFormat="false" ht="15" hidden="false" customHeight="false" outlineLevel="0" collapsed="false">
      <c r="A132" s="21" t="s">
        <v>412</v>
      </c>
      <c r="B132" s="21" t="s">
        <v>105</v>
      </c>
      <c r="C132" s="21" t="s">
        <v>135</v>
      </c>
      <c r="D132" s="21" t="s">
        <v>137</v>
      </c>
      <c r="E132" s="21" t="s">
        <v>145</v>
      </c>
      <c r="F132" s="21" t="s">
        <v>456</v>
      </c>
      <c r="G132" s="21"/>
      <c r="H132" s="21" t="s">
        <v>374</v>
      </c>
      <c r="I132" s="21"/>
      <c r="J132" s="22" t="n">
        <v>1</v>
      </c>
      <c r="K132" s="22" t="n">
        <v>1</v>
      </c>
      <c r="L132" s="22" t="n">
        <v>0</v>
      </c>
      <c r="M132" s="21" t="s">
        <v>363</v>
      </c>
      <c r="N132" s="21"/>
      <c r="O132" s="20" t="n">
        <f aca="false">IF($N132="Exit",N($J132),0)</f>
        <v>0</v>
      </c>
      <c r="P132" s="23" t="str">
        <f aca="false">IF($F132="","",MID(IF($G132="",", career level","")&amp;IF($I132="",", nationality mandate","")&amp;IF($N132="",", capacity direction","")&amp;IF(N($J132)&lt;=0,", approved HC","")&amp;IF(AND($G132&lt;&gt;"",COUNTIF(CareerLevels,$G132)=0),", a career level that is not on the ladder",""),3,200))</f>
        <v>career level, nationality mandate, capacity direction</v>
      </c>
    </row>
    <row r="133" customFormat="false" ht="15" hidden="false" customHeight="false" outlineLevel="0" collapsed="false">
      <c r="A133" s="21" t="s">
        <v>438</v>
      </c>
      <c r="B133" s="21" t="s">
        <v>105</v>
      </c>
      <c r="C133" s="21" t="s">
        <v>135</v>
      </c>
      <c r="D133" s="21" t="s">
        <v>137</v>
      </c>
      <c r="E133" s="21" t="s">
        <v>145</v>
      </c>
      <c r="F133" s="21" t="s">
        <v>457</v>
      </c>
      <c r="G133" s="21"/>
      <c r="H133" s="21" t="s">
        <v>374</v>
      </c>
      <c r="I133" s="21"/>
      <c r="J133" s="22" t="n">
        <v>1</v>
      </c>
      <c r="K133" s="22" t="n">
        <v>1</v>
      </c>
      <c r="L133" s="22" t="n">
        <v>0</v>
      </c>
      <c r="M133" s="21" t="s">
        <v>363</v>
      </c>
      <c r="N133" s="21"/>
      <c r="O133" s="20" t="n">
        <f aca="false">IF($N133="Exit",N($J133),0)</f>
        <v>0</v>
      </c>
      <c r="P133" s="23" t="str">
        <f aca="false">IF($F133="","",MID(IF($G133="",", career level","")&amp;IF($I133="",", nationality mandate","")&amp;IF($N133="",", capacity direction","")&amp;IF(N($J133)&lt;=0,", approved HC","")&amp;IF(AND($G133&lt;&gt;"",COUNTIF(CareerLevels,$G133)=0),", a career level that is not on the ladder",""),3,200))</f>
        <v>career level, nationality mandate, capacity direction</v>
      </c>
    </row>
    <row r="134" customFormat="false" ht="15" hidden="false" customHeight="false" outlineLevel="0" collapsed="false">
      <c r="A134" s="21" t="s">
        <v>372</v>
      </c>
      <c r="B134" s="21" t="s">
        <v>105</v>
      </c>
      <c r="C134" s="21" t="s">
        <v>135</v>
      </c>
      <c r="D134" s="21" t="s">
        <v>137</v>
      </c>
      <c r="E134" s="21" t="s">
        <v>145</v>
      </c>
      <c r="F134" s="21" t="s">
        <v>453</v>
      </c>
      <c r="G134" s="21"/>
      <c r="H134" s="21" t="s">
        <v>374</v>
      </c>
      <c r="I134" s="21"/>
      <c r="J134" s="22" t="n">
        <v>1</v>
      </c>
      <c r="K134" s="22" t="n">
        <v>1</v>
      </c>
      <c r="L134" s="22" t="n">
        <v>0</v>
      </c>
      <c r="M134" s="21" t="s">
        <v>363</v>
      </c>
      <c r="N134" s="21"/>
      <c r="O134" s="20" t="n">
        <f aca="false">IF($N134="Exit",N($J134),0)</f>
        <v>0</v>
      </c>
      <c r="P134" s="23" t="str">
        <f aca="false">IF($F134="","",MID(IF($G134="",", career level","")&amp;IF($I134="",", nationality mandate","")&amp;IF($N134="",", capacity direction","")&amp;IF(N($J134)&lt;=0,", approved HC","")&amp;IF(AND($G134&lt;&gt;"",COUNTIF(CareerLevels,$G134)=0),", a career level that is not on the ladder",""),3,200))</f>
        <v>career level, nationality mandate, capacity direction</v>
      </c>
    </row>
    <row r="135" customFormat="false" ht="15" hidden="false" customHeight="false" outlineLevel="0" collapsed="false">
      <c r="A135" s="21" t="s">
        <v>400</v>
      </c>
      <c r="B135" s="21" t="s">
        <v>105</v>
      </c>
      <c r="C135" s="21" t="s">
        <v>135</v>
      </c>
      <c r="D135" s="21" t="s">
        <v>137</v>
      </c>
      <c r="E135" s="21" t="s">
        <v>145</v>
      </c>
      <c r="F135" s="21" t="s">
        <v>453</v>
      </c>
      <c r="G135" s="21"/>
      <c r="H135" s="21" t="s">
        <v>374</v>
      </c>
      <c r="I135" s="21"/>
      <c r="J135" s="22" t="n">
        <v>1</v>
      </c>
      <c r="K135" s="22" t="n">
        <v>1</v>
      </c>
      <c r="L135" s="22" t="n">
        <v>0</v>
      </c>
      <c r="M135" s="21" t="s">
        <v>363</v>
      </c>
      <c r="N135" s="21"/>
      <c r="O135" s="20" t="n">
        <f aca="false">IF($N135="Exit",N($J135),0)</f>
        <v>0</v>
      </c>
      <c r="P135" s="23" t="str">
        <f aca="false">IF($F135="","",MID(IF($G135="",", career level","")&amp;IF($I135="",", nationality mandate","")&amp;IF($N135="",", capacity direction","")&amp;IF(N($J135)&lt;=0,", approved HC","")&amp;IF(AND($G135&lt;&gt;"",COUNTIF(CareerLevels,$G135)=0),", a career level that is not on the ladder",""),3,200))</f>
        <v>career level, nationality mandate, capacity direction</v>
      </c>
    </row>
    <row r="136" customFormat="false" ht="15" hidden="false" customHeight="false" outlineLevel="0" collapsed="false">
      <c r="A136" s="21" t="s">
        <v>421</v>
      </c>
      <c r="B136" s="21" t="s">
        <v>105</v>
      </c>
      <c r="C136" s="21" t="s">
        <v>135</v>
      </c>
      <c r="D136" s="21" t="s">
        <v>137</v>
      </c>
      <c r="E136" s="21" t="s">
        <v>145</v>
      </c>
      <c r="F136" s="21" t="s">
        <v>455</v>
      </c>
      <c r="G136" s="21"/>
      <c r="H136" s="21" t="s">
        <v>371</v>
      </c>
      <c r="I136" s="21"/>
      <c r="J136" s="22" t="n">
        <v>1</v>
      </c>
      <c r="K136" s="22" t="n">
        <v>1</v>
      </c>
      <c r="L136" s="22" t="n">
        <v>0</v>
      </c>
      <c r="M136" s="21" t="s">
        <v>363</v>
      </c>
      <c r="N136" s="21"/>
      <c r="O136" s="20" t="n">
        <f aca="false">IF($N136="Exit",N($J136),0)</f>
        <v>0</v>
      </c>
      <c r="P136" s="23" t="str">
        <f aca="false">IF($F136="","",MID(IF($G136="",", career level","")&amp;IF($I136="",", nationality mandate","")&amp;IF($N136="",", capacity direction","")&amp;IF(N($J136)&lt;=0,", approved HC","")&amp;IF(AND($G136&lt;&gt;"",COUNTIF(CareerLevels,$G136)=0),", a career level that is not on the ladder",""),3,200))</f>
        <v>career level, nationality mandate, capacity direction</v>
      </c>
    </row>
    <row r="137" customFormat="false" ht="15" hidden="false" customHeight="false" outlineLevel="0" collapsed="false">
      <c r="A137" s="21" t="s">
        <v>417</v>
      </c>
      <c r="B137" s="21" t="s">
        <v>105</v>
      </c>
      <c r="C137" s="21" t="s">
        <v>135</v>
      </c>
      <c r="D137" s="21" t="s">
        <v>151</v>
      </c>
      <c r="E137" s="21"/>
      <c r="F137" s="21" t="s">
        <v>450</v>
      </c>
      <c r="G137" s="21"/>
      <c r="H137" s="21" t="s">
        <v>371</v>
      </c>
      <c r="I137" s="21"/>
      <c r="J137" s="22" t="n">
        <v>1</v>
      </c>
      <c r="K137" s="22" t="n">
        <v>1</v>
      </c>
      <c r="L137" s="22" t="n">
        <v>0</v>
      </c>
      <c r="M137" s="21" t="s">
        <v>363</v>
      </c>
      <c r="N137" s="21"/>
      <c r="O137" s="20" t="n">
        <f aca="false">IF($N137="Exit",N($J137),0)</f>
        <v>0</v>
      </c>
      <c r="P137" s="23" t="str">
        <f aca="false">IF($F137="","",MID(IF($G137="",", career level","")&amp;IF($I137="",", nationality mandate","")&amp;IF($N137="",", capacity direction","")&amp;IF(N($J137)&lt;=0,", approved HC","")&amp;IF(AND($G137&lt;&gt;"",COUNTIF(CareerLevels,$G137)=0),", a career level that is not on the ladder",""),3,200))</f>
        <v>career level, nationality mandate, capacity direction</v>
      </c>
    </row>
    <row r="138" customFormat="false" ht="15" hidden="false" customHeight="false" outlineLevel="0" collapsed="false">
      <c r="A138" s="21" t="s">
        <v>439</v>
      </c>
      <c r="B138" s="21" t="s">
        <v>105</v>
      </c>
      <c r="C138" s="21" t="s">
        <v>135</v>
      </c>
      <c r="D138" s="21" t="s">
        <v>151</v>
      </c>
      <c r="E138" s="21" t="s">
        <v>153</v>
      </c>
      <c r="F138" s="21" t="s">
        <v>451</v>
      </c>
      <c r="G138" s="21"/>
      <c r="H138" s="21" t="s">
        <v>374</v>
      </c>
      <c r="I138" s="21"/>
      <c r="J138" s="22" t="n">
        <v>1</v>
      </c>
      <c r="K138" s="22" t="n">
        <v>1</v>
      </c>
      <c r="L138" s="22" t="n">
        <v>0</v>
      </c>
      <c r="M138" s="21" t="s">
        <v>363</v>
      </c>
      <c r="N138" s="21"/>
      <c r="O138" s="20" t="n">
        <f aca="false">IF($N138="Exit",N($J138),0)</f>
        <v>0</v>
      </c>
      <c r="P138" s="23" t="str">
        <f aca="false">IF($F138="","",MID(IF($G138="",", career level","")&amp;IF($I138="",", nationality mandate","")&amp;IF($N138="",", capacity direction","")&amp;IF(N($J138)&lt;=0,", approved HC","")&amp;IF(AND($G138&lt;&gt;"",COUNTIF(CareerLevels,$G138)=0),", a career level that is not on the ladder",""),3,200))</f>
        <v>career level, nationality mandate, capacity direction</v>
      </c>
    </row>
    <row r="139" customFormat="false" ht="15" hidden="false" customHeight="false" outlineLevel="0" collapsed="false">
      <c r="A139" s="21" t="s">
        <v>394</v>
      </c>
      <c r="B139" s="21" t="s">
        <v>105</v>
      </c>
      <c r="C139" s="21" t="s">
        <v>135</v>
      </c>
      <c r="D139" s="21" t="s">
        <v>151</v>
      </c>
      <c r="E139" s="21" t="s">
        <v>153</v>
      </c>
      <c r="F139" s="21" t="s">
        <v>457</v>
      </c>
      <c r="G139" s="21"/>
      <c r="H139" s="21" t="s">
        <v>374</v>
      </c>
      <c r="I139" s="21"/>
      <c r="J139" s="22" t="n">
        <v>1</v>
      </c>
      <c r="K139" s="22" t="n">
        <v>1</v>
      </c>
      <c r="L139" s="22" t="n">
        <v>0</v>
      </c>
      <c r="M139" s="21" t="s">
        <v>363</v>
      </c>
      <c r="N139" s="21"/>
      <c r="O139" s="20" t="n">
        <f aca="false">IF($N139="Exit",N($J139),0)</f>
        <v>0</v>
      </c>
      <c r="P139" s="23" t="str">
        <f aca="false">IF($F139="","",MID(IF($G139="",", career level","")&amp;IF($I139="",", nationality mandate","")&amp;IF($N139="",", capacity direction","")&amp;IF(N($J139)&lt;=0,", approved HC","")&amp;IF(AND($G139&lt;&gt;"",COUNTIF(CareerLevels,$G139)=0),", a career level that is not on the ladder",""),3,200))</f>
        <v>career level, nationality mandate, capacity direction</v>
      </c>
    </row>
    <row r="140" customFormat="false" ht="15" hidden="false" customHeight="false" outlineLevel="0" collapsed="false">
      <c r="A140" s="21" t="s">
        <v>447</v>
      </c>
      <c r="B140" s="21" t="s">
        <v>105</v>
      </c>
      <c r="C140" s="21" t="s">
        <v>135</v>
      </c>
      <c r="D140" s="21" t="s">
        <v>151</v>
      </c>
      <c r="E140" s="21" t="s">
        <v>153</v>
      </c>
      <c r="F140" s="21" t="s">
        <v>457</v>
      </c>
      <c r="G140" s="21"/>
      <c r="H140" s="21" t="s">
        <v>374</v>
      </c>
      <c r="I140" s="21"/>
      <c r="J140" s="22" t="n">
        <v>1</v>
      </c>
      <c r="K140" s="22" t="n">
        <v>1</v>
      </c>
      <c r="L140" s="22" t="n">
        <v>0</v>
      </c>
      <c r="M140" s="21" t="s">
        <v>363</v>
      </c>
      <c r="N140" s="21"/>
      <c r="O140" s="20" t="n">
        <f aca="false">IF($N140="Exit",N($J140),0)</f>
        <v>0</v>
      </c>
      <c r="P140" s="23" t="str">
        <f aca="false">IF($F140="","",MID(IF($G140="",", career level","")&amp;IF($I140="",", nationality mandate","")&amp;IF($N140="",", capacity direction","")&amp;IF(N($J140)&lt;=0,", approved HC","")&amp;IF(AND($G140&lt;&gt;"",COUNTIF(CareerLevels,$G140)=0),", a career level that is not on the ladder",""),3,200))</f>
        <v>career level, nationality mandate, capacity direction</v>
      </c>
    </row>
    <row r="141" customFormat="false" ht="15" hidden="false" customHeight="false" outlineLevel="0" collapsed="false">
      <c r="A141" s="21" t="s">
        <v>458</v>
      </c>
      <c r="B141" s="21" t="s">
        <v>105</v>
      </c>
      <c r="C141" s="21" t="s">
        <v>135</v>
      </c>
      <c r="D141" s="21" t="s">
        <v>151</v>
      </c>
      <c r="E141" s="21" t="s">
        <v>153</v>
      </c>
      <c r="F141" s="21" t="s">
        <v>454</v>
      </c>
      <c r="G141" s="21"/>
      <c r="H141" s="21" t="s">
        <v>374</v>
      </c>
      <c r="I141" s="21"/>
      <c r="J141" s="22" t="n">
        <v>1</v>
      </c>
      <c r="K141" s="22" t="n">
        <v>1</v>
      </c>
      <c r="L141" s="22" t="n">
        <v>0</v>
      </c>
      <c r="M141" s="21" t="s">
        <v>363</v>
      </c>
      <c r="N141" s="21"/>
      <c r="O141" s="20" t="n">
        <f aca="false">IF($N141="Exit",N($J141),0)</f>
        <v>0</v>
      </c>
      <c r="P141" s="23" t="str">
        <f aca="false">IF($F141="","",MID(IF($G141="",", career level","")&amp;IF($I141="",", nationality mandate","")&amp;IF($N141="",", capacity direction","")&amp;IF(N($J141)&lt;=0,", approved HC","")&amp;IF(AND($G141&lt;&gt;"",COUNTIF(CareerLevels,$G141)=0),", a career level that is not on the ladder",""),3,200))</f>
        <v>career level, nationality mandate, capacity direction</v>
      </c>
    </row>
    <row r="142" customFormat="false" ht="15" hidden="false" customHeight="false" outlineLevel="0" collapsed="false">
      <c r="A142" s="21" t="s">
        <v>459</v>
      </c>
      <c r="B142" s="21" t="s">
        <v>105</v>
      </c>
      <c r="C142" s="21" t="s">
        <v>135</v>
      </c>
      <c r="D142" s="21" t="s">
        <v>151</v>
      </c>
      <c r="E142" s="21" t="s">
        <v>153</v>
      </c>
      <c r="F142" s="21" t="s">
        <v>454</v>
      </c>
      <c r="G142" s="21"/>
      <c r="H142" s="21" t="s">
        <v>374</v>
      </c>
      <c r="I142" s="21"/>
      <c r="J142" s="22" t="n">
        <v>1</v>
      </c>
      <c r="K142" s="22" t="n">
        <v>1</v>
      </c>
      <c r="L142" s="22" t="n">
        <v>0</v>
      </c>
      <c r="M142" s="21" t="s">
        <v>363</v>
      </c>
      <c r="N142" s="21"/>
      <c r="O142" s="20" t="n">
        <f aca="false">IF($N142="Exit",N($J142),0)</f>
        <v>0</v>
      </c>
      <c r="P142" s="23" t="str">
        <f aca="false">IF($F142="","",MID(IF($G142="",", career level","")&amp;IF($I142="",", nationality mandate","")&amp;IF($N142="",", capacity direction","")&amp;IF(N($J142)&lt;=0,", approved HC","")&amp;IF(AND($G142&lt;&gt;"",COUNTIF(CareerLevels,$G142)=0),", a career level that is not on the ladder",""),3,200))</f>
        <v>career level, nationality mandate, capacity direction</v>
      </c>
    </row>
    <row r="143" customFormat="false" ht="15" hidden="false" customHeight="false" outlineLevel="0" collapsed="false">
      <c r="A143" s="21" t="s">
        <v>369</v>
      </c>
      <c r="B143" s="21" t="s">
        <v>105</v>
      </c>
      <c r="C143" s="21" t="s">
        <v>135</v>
      </c>
      <c r="D143" s="21" t="s">
        <v>151</v>
      </c>
      <c r="E143" s="21" t="s">
        <v>153</v>
      </c>
      <c r="F143" s="21" t="s">
        <v>455</v>
      </c>
      <c r="G143" s="21"/>
      <c r="H143" s="21" t="s">
        <v>371</v>
      </c>
      <c r="I143" s="21"/>
      <c r="J143" s="22" t="n">
        <v>1</v>
      </c>
      <c r="K143" s="22" t="n">
        <v>1</v>
      </c>
      <c r="L143" s="22" t="n">
        <v>0</v>
      </c>
      <c r="M143" s="21" t="s">
        <v>363</v>
      </c>
      <c r="N143" s="21"/>
      <c r="O143" s="20" t="n">
        <f aca="false">IF($N143="Exit",N($J143),0)</f>
        <v>0</v>
      </c>
      <c r="P143" s="23" t="str">
        <f aca="false">IF($F143="","",MID(IF($G143="",", career level","")&amp;IF($I143="",", nationality mandate","")&amp;IF($N143="",", capacity direction","")&amp;IF(N($J143)&lt;=0,", approved HC","")&amp;IF(AND($G143&lt;&gt;"",COUNTIF(CareerLevels,$G143)=0),", a career level that is not on the ladder",""),3,200))</f>
        <v>career level, nationality mandate, capacity direction</v>
      </c>
    </row>
    <row r="144" customFormat="false" ht="15" hidden="false" customHeight="false" outlineLevel="0" collapsed="false">
      <c r="A144" s="21" t="s">
        <v>397</v>
      </c>
      <c r="B144" s="21" t="s">
        <v>105</v>
      </c>
      <c r="C144" s="21" t="s">
        <v>135</v>
      </c>
      <c r="D144" s="21" t="s">
        <v>151</v>
      </c>
      <c r="E144" s="21" t="s">
        <v>159</v>
      </c>
      <c r="F144" s="21" t="s">
        <v>451</v>
      </c>
      <c r="G144" s="21"/>
      <c r="H144" s="21" t="s">
        <v>374</v>
      </c>
      <c r="I144" s="21"/>
      <c r="J144" s="22" t="n">
        <v>1</v>
      </c>
      <c r="K144" s="22" t="n">
        <v>1</v>
      </c>
      <c r="L144" s="22" t="n">
        <v>0</v>
      </c>
      <c r="M144" s="21" t="s">
        <v>363</v>
      </c>
      <c r="N144" s="21"/>
      <c r="O144" s="20" t="n">
        <f aca="false">IF($N144="Exit",N($J144),0)</f>
        <v>0</v>
      </c>
      <c r="P144" s="23" t="str">
        <f aca="false">IF($F144="","",MID(IF($G144="",", career level","")&amp;IF($I144="",", nationality mandate","")&amp;IF($N144="",", capacity direction","")&amp;IF(N($J144)&lt;=0,", approved HC","")&amp;IF(AND($G144&lt;&gt;"",COUNTIF(CareerLevels,$G144)=0),", a career level that is not on the ladder",""),3,200))</f>
        <v>career level, nationality mandate, capacity direction</v>
      </c>
    </row>
    <row r="145" customFormat="false" ht="15" hidden="false" customHeight="false" outlineLevel="0" collapsed="false">
      <c r="A145" s="21" t="s">
        <v>418</v>
      </c>
      <c r="B145" s="21" t="s">
        <v>105</v>
      </c>
      <c r="C145" s="21" t="s">
        <v>135</v>
      </c>
      <c r="D145" s="21" t="s">
        <v>151</v>
      </c>
      <c r="E145" s="21" t="s">
        <v>159</v>
      </c>
      <c r="F145" s="21" t="s">
        <v>456</v>
      </c>
      <c r="G145" s="21"/>
      <c r="H145" s="21" t="s">
        <v>374</v>
      </c>
      <c r="I145" s="21"/>
      <c r="J145" s="22" t="n">
        <v>1</v>
      </c>
      <c r="K145" s="22" t="n">
        <v>1</v>
      </c>
      <c r="L145" s="22" t="n">
        <v>0</v>
      </c>
      <c r="M145" s="21" t="s">
        <v>363</v>
      </c>
      <c r="N145" s="21"/>
      <c r="O145" s="20" t="n">
        <f aca="false">IF($N145="Exit",N($J145),0)</f>
        <v>0</v>
      </c>
      <c r="P145" s="23" t="str">
        <f aca="false">IF($F145="","",MID(IF($G145="",", career level","")&amp;IF($I145="",", nationality mandate","")&amp;IF($N145="",", capacity direction","")&amp;IF(N($J145)&lt;=0,", approved HC","")&amp;IF(AND($G145&lt;&gt;"",COUNTIF(CareerLevels,$G145)=0),", a career level that is not on the ladder",""),3,200))</f>
        <v>career level, nationality mandate, capacity direction</v>
      </c>
    </row>
    <row r="146" customFormat="false" ht="15" hidden="false" customHeight="false" outlineLevel="0" collapsed="false">
      <c r="A146" s="21" t="s">
        <v>367</v>
      </c>
      <c r="B146" s="21" t="s">
        <v>105</v>
      </c>
      <c r="C146" s="21" t="s">
        <v>135</v>
      </c>
      <c r="D146" s="21" t="s">
        <v>151</v>
      </c>
      <c r="E146" s="21" t="s">
        <v>159</v>
      </c>
      <c r="F146" s="21" t="s">
        <v>456</v>
      </c>
      <c r="G146" s="21"/>
      <c r="H146" s="21" t="s">
        <v>374</v>
      </c>
      <c r="I146" s="21"/>
      <c r="J146" s="22" t="n">
        <v>1</v>
      </c>
      <c r="K146" s="22" t="n">
        <v>1</v>
      </c>
      <c r="L146" s="22" t="n">
        <v>0</v>
      </c>
      <c r="M146" s="21" t="s">
        <v>363</v>
      </c>
      <c r="N146" s="21"/>
      <c r="O146" s="20" t="n">
        <f aca="false">IF($N146="Exit",N($J146),0)</f>
        <v>0</v>
      </c>
      <c r="P146" s="23" t="str">
        <f aca="false">IF($F146="","",MID(IF($G146="",", career level","")&amp;IF($I146="",", nationality mandate","")&amp;IF($N146="",", capacity direction","")&amp;IF(N($J146)&lt;=0,", approved HC","")&amp;IF(AND($G146&lt;&gt;"",COUNTIF(CareerLevels,$G146)=0),", a career level that is not on the ladder",""),3,200))</f>
        <v>career level, nationality mandate, capacity direction</v>
      </c>
    </row>
    <row r="147" customFormat="false" ht="15" hidden="false" customHeight="false" outlineLevel="0" collapsed="false">
      <c r="A147" s="21" t="s">
        <v>382</v>
      </c>
      <c r="B147" s="21" t="s">
        <v>105</v>
      </c>
      <c r="C147" s="21" t="s">
        <v>135</v>
      </c>
      <c r="D147" s="21" t="s">
        <v>151</v>
      </c>
      <c r="E147" s="21" t="s">
        <v>159</v>
      </c>
      <c r="F147" s="21" t="s">
        <v>457</v>
      </c>
      <c r="G147" s="21"/>
      <c r="H147" s="21" t="s">
        <v>374</v>
      </c>
      <c r="I147" s="21"/>
      <c r="J147" s="22" t="n">
        <v>1</v>
      </c>
      <c r="K147" s="22" t="n">
        <v>1</v>
      </c>
      <c r="L147" s="22" t="n">
        <v>0</v>
      </c>
      <c r="M147" s="21" t="s">
        <v>363</v>
      </c>
      <c r="N147" s="21"/>
      <c r="O147" s="20" t="n">
        <f aca="false">IF($N147="Exit",N($J147),0)</f>
        <v>0</v>
      </c>
      <c r="P147" s="23" t="str">
        <f aca="false">IF($F147="","",MID(IF($G147="",", career level","")&amp;IF($I147="",", nationality mandate","")&amp;IF($N147="",", capacity direction","")&amp;IF(N($J147)&lt;=0,", approved HC","")&amp;IF(AND($G147&lt;&gt;"",COUNTIF(CareerLevels,$G147)=0),", a career level that is not on the ladder",""),3,200))</f>
        <v>career level, nationality mandate, capacity direction</v>
      </c>
    </row>
    <row r="148" customFormat="false" ht="15" hidden="false" customHeight="false" outlineLevel="0" collapsed="false">
      <c r="A148" s="21" t="s">
        <v>422</v>
      </c>
      <c r="B148" s="21" t="s">
        <v>105</v>
      </c>
      <c r="C148" s="21" t="s">
        <v>135</v>
      </c>
      <c r="D148" s="21" t="s">
        <v>151</v>
      </c>
      <c r="E148" s="21" t="s">
        <v>159</v>
      </c>
      <c r="F148" s="21" t="s">
        <v>457</v>
      </c>
      <c r="G148" s="21"/>
      <c r="H148" s="21" t="s">
        <v>374</v>
      </c>
      <c r="I148" s="21"/>
      <c r="J148" s="22" t="n">
        <v>1</v>
      </c>
      <c r="K148" s="22" t="n">
        <v>1</v>
      </c>
      <c r="L148" s="22" t="n">
        <v>0</v>
      </c>
      <c r="M148" s="21" t="s">
        <v>363</v>
      </c>
      <c r="N148" s="21"/>
      <c r="O148" s="20" t="n">
        <f aca="false">IF($N148="Exit",N($J148),0)</f>
        <v>0</v>
      </c>
      <c r="P148" s="23" t="str">
        <f aca="false">IF($F148="","",MID(IF($G148="",", career level","")&amp;IF($I148="",", nationality mandate","")&amp;IF($N148="",", capacity direction","")&amp;IF(N($J148)&lt;=0,", approved HC","")&amp;IF(AND($G148&lt;&gt;"",COUNTIF(CareerLevels,$G148)=0),", a career level that is not on the ladder",""),3,200))</f>
        <v>career level, nationality mandate, capacity direction</v>
      </c>
    </row>
    <row r="149" customFormat="false" ht="15" hidden="false" customHeight="false" outlineLevel="0" collapsed="false">
      <c r="A149" s="21" t="s">
        <v>383</v>
      </c>
      <c r="B149" s="21" t="s">
        <v>105</v>
      </c>
      <c r="C149" s="21" t="s">
        <v>135</v>
      </c>
      <c r="D149" s="21" t="s">
        <v>151</v>
      </c>
      <c r="E149" s="21" t="s">
        <v>159</v>
      </c>
      <c r="F149" s="21" t="s">
        <v>454</v>
      </c>
      <c r="G149" s="21"/>
      <c r="H149" s="21" t="s">
        <v>374</v>
      </c>
      <c r="I149" s="21"/>
      <c r="J149" s="22" t="n">
        <v>1</v>
      </c>
      <c r="K149" s="22" t="n">
        <v>1</v>
      </c>
      <c r="L149" s="22" t="n">
        <v>0</v>
      </c>
      <c r="M149" s="21" t="s">
        <v>363</v>
      </c>
      <c r="N149" s="21"/>
      <c r="O149" s="20" t="n">
        <f aca="false">IF($N149="Exit",N($J149),0)</f>
        <v>0</v>
      </c>
      <c r="P149" s="23" t="str">
        <f aca="false">IF($F149="","",MID(IF($G149="",", career level","")&amp;IF($I149="",", nationality mandate","")&amp;IF($N149="",", capacity direction","")&amp;IF(N($J149)&lt;=0,", approved HC","")&amp;IF(AND($G149&lt;&gt;"",COUNTIF(CareerLevels,$G149)=0),", a career level that is not on the ladder",""),3,200))</f>
        <v>career level, nationality mandate, capacity direction</v>
      </c>
    </row>
    <row r="150" customFormat="false" ht="15" hidden="false" customHeight="false" outlineLevel="0" collapsed="false">
      <c r="A150" s="21" t="s">
        <v>432</v>
      </c>
      <c r="B150" s="21" t="s">
        <v>105</v>
      </c>
      <c r="C150" s="21" t="s">
        <v>135</v>
      </c>
      <c r="D150" s="21" t="s">
        <v>151</v>
      </c>
      <c r="E150" s="21" t="s">
        <v>159</v>
      </c>
      <c r="F150" s="21" t="s">
        <v>455</v>
      </c>
      <c r="G150" s="21"/>
      <c r="H150" s="21" t="s">
        <v>371</v>
      </c>
      <c r="I150" s="21"/>
      <c r="J150" s="22" t="n">
        <v>1</v>
      </c>
      <c r="K150" s="22" t="n">
        <v>1</v>
      </c>
      <c r="L150" s="22" t="n">
        <v>0</v>
      </c>
      <c r="M150" s="21" t="s">
        <v>363</v>
      </c>
      <c r="N150" s="21"/>
      <c r="O150" s="20" t="n">
        <f aca="false">IF($N150="Exit",N($J150),0)</f>
        <v>0</v>
      </c>
      <c r="P150" s="23" t="str">
        <f aca="false">IF($F150="","",MID(IF($G150="",", career level","")&amp;IF($I150="",", nationality mandate","")&amp;IF($N150="",", capacity direction","")&amp;IF(N($J150)&lt;=0,", approved HC","")&amp;IF(AND($G150&lt;&gt;"",COUNTIF(CareerLevels,$G150)=0),", a career level that is not on the ladder",""),3,200))</f>
        <v>career level, nationality mandate, capacity direction</v>
      </c>
    </row>
    <row r="151" customFormat="false" ht="15" hidden="false" customHeight="false" outlineLevel="0" collapsed="false">
      <c r="A151" s="21" t="s">
        <v>392</v>
      </c>
      <c r="B151" s="21" t="s">
        <v>165</v>
      </c>
      <c r="C151" s="21"/>
      <c r="D151" s="21"/>
      <c r="E151" s="21"/>
      <c r="F151" s="21" t="s">
        <v>460</v>
      </c>
      <c r="G151" s="21"/>
      <c r="H151" s="21" t="s">
        <v>366</v>
      </c>
      <c r="I151" s="21"/>
      <c r="J151" s="22" t="n">
        <v>1</v>
      </c>
      <c r="K151" s="22" t="n">
        <v>1</v>
      </c>
      <c r="L151" s="22" t="n">
        <v>0</v>
      </c>
      <c r="M151" s="21" t="s">
        <v>363</v>
      </c>
      <c r="N151" s="21"/>
      <c r="O151" s="20" t="n">
        <f aca="false">IF($N151="Exit",N($J151),0)</f>
        <v>0</v>
      </c>
      <c r="P151" s="23" t="str">
        <f aca="false">IF($F151="","",MID(IF($G151="",", career level","")&amp;IF($I151="",", nationality mandate","")&amp;IF($N151="",", capacity direction","")&amp;IF(N($J151)&lt;=0,", approved HC","")&amp;IF(AND($G151&lt;&gt;"",COUNTIF(CareerLevels,$G151)=0),", a career level that is not on the ladder",""),3,200))</f>
        <v>career level, nationality mandate, capacity direction</v>
      </c>
    </row>
    <row r="152" customFormat="false" ht="15" hidden="false" customHeight="false" outlineLevel="0" collapsed="false">
      <c r="A152" s="21" t="s">
        <v>360</v>
      </c>
      <c r="B152" s="21" t="s">
        <v>165</v>
      </c>
      <c r="C152" s="21" t="s">
        <v>167</v>
      </c>
      <c r="D152" s="21"/>
      <c r="E152" s="21"/>
      <c r="F152" s="21" t="s">
        <v>461</v>
      </c>
      <c r="G152" s="21"/>
      <c r="H152" s="21" t="s">
        <v>366</v>
      </c>
      <c r="I152" s="21"/>
      <c r="J152" s="22" t="n">
        <v>1</v>
      </c>
      <c r="K152" s="22" t="n">
        <v>1</v>
      </c>
      <c r="L152" s="22" t="n">
        <v>0</v>
      </c>
      <c r="M152" s="21" t="s">
        <v>363</v>
      </c>
      <c r="N152" s="21"/>
      <c r="O152" s="20" t="n">
        <f aca="false">IF($N152="Exit",N($J152),0)</f>
        <v>0</v>
      </c>
      <c r="P152" s="23" t="str">
        <f aca="false">IF($F152="","",MID(IF($G152="",", career level","")&amp;IF($I152="",", nationality mandate","")&amp;IF($N152="",", capacity direction","")&amp;IF(N($J152)&lt;=0,", approved HC","")&amp;IF(AND($G152&lt;&gt;"",COUNTIF(CareerLevels,$G152)=0),", a career level that is not on the ladder",""),3,200))</f>
        <v>career level, nationality mandate, capacity direction</v>
      </c>
    </row>
    <row r="153" customFormat="false" ht="15" hidden="false" customHeight="false" outlineLevel="0" collapsed="false">
      <c r="A153" s="21" t="s">
        <v>392</v>
      </c>
      <c r="B153" s="21" t="s">
        <v>165</v>
      </c>
      <c r="C153" s="21" t="s">
        <v>167</v>
      </c>
      <c r="D153" s="21" t="s">
        <v>169</v>
      </c>
      <c r="E153" s="21"/>
      <c r="F153" s="21" t="s">
        <v>462</v>
      </c>
      <c r="G153" s="21"/>
      <c r="H153" s="21" t="s">
        <v>371</v>
      </c>
      <c r="I153" s="21"/>
      <c r="J153" s="22" t="n">
        <v>1</v>
      </c>
      <c r="K153" s="22" t="n">
        <v>1</v>
      </c>
      <c r="L153" s="22" t="n">
        <v>0</v>
      </c>
      <c r="M153" s="21" t="s">
        <v>363</v>
      </c>
      <c r="N153" s="21"/>
      <c r="O153" s="20" t="n">
        <f aca="false">IF($N153="Exit",N($J153),0)</f>
        <v>0</v>
      </c>
      <c r="P153" s="23" t="str">
        <f aca="false">IF($F153="","",MID(IF($G153="",", career level","")&amp;IF($I153="",", nationality mandate","")&amp;IF($N153="",", capacity direction","")&amp;IF(N($J153)&lt;=0,", approved HC","")&amp;IF(AND($G153&lt;&gt;"",COUNTIF(CareerLevels,$G153)=0),", a career level that is not on the ladder",""),3,200))</f>
        <v>career level, nationality mandate, capacity direction</v>
      </c>
    </row>
    <row r="154" customFormat="false" ht="15" hidden="false" customHeight="false" outlineLevel="0" collapsed="false">
      <c r="A154" s="21" t="s">
        <v>367</v>
      </c>
      <c r="B154" s="21" t="s">
        <v>165</v>
      </c>
      <c r="C154" s="21" t="s">
        <v>167</v>
      </c>
      <c r="D154" s="21" t="s">
        <v>169</v>
      </c>
      <c r="E154" s="21" t="s">
        <v>171</v>
      </c>
      <c r="F154" s="21" t="s">
        <v>463</v>
      </c>
      <c r="G154" s="21"/>
      <c r="H154" s="21" t="s">
        <v>374</v>
      </c>
      <c r="I154" s="21"/>
      <c r="J154" s="22" t="n">
        <v>1</v>
      </c>
      <c r="K154" s="22" t="n">
        <v>1</v>
      </c>
      <c r="L154" s="22" t="n">
        <v>0</v>
      </c>
      <c r="M154" s="21" t="s">
        <v>393</v>
      </c>
      <c r="N154" s="21"/>
      <c r="O154" s="20" t="n">
        <f aca="false">IF($N154="Exit",N($J154),0)</f>
        <v>0</v>
      </c>
      <c r="P154" s="23" t="str">
        <f aca="false">IF($F154="","",MID(IF($G154="",", career level","")&amp;IF($I154="",", nationality mandate","")&amp;IF($N154="",", capacity direction","")&amp;IF(N($J154)&lt;=0,", approved HC","")&amp;IF(AND($G154&lt;&gt;"",COUNTIF(CareerLevels,$G154)=0),", a career level that is not on the ladder",""),3,200))</f>
        <v>career level, nationality mandate, capacity direction</v>
      </c>
    </row>
    <row r="155" customFormat="false" ht="15" hidden="false" customHeight="false" outlineLevel="0" collapsed="false">
      <c r="A155" s="21" t="s">
        <v>389</v>
      </c>
      <c r="B155" s="21" t="s">
        <v>165</v>
      </c>
      <c r="C155" s="21" t="s">
        <v>167</v>
      </c>
      <c r="D155" s="21" t="s">
        <v>169</v>
      </c>
      <c r="E155" s="21" t="s">
        <v>171</v>
      </c>
      <c r="F155" s="21" t="s">
        <v>464</v>
      </c>
      <c r="G155" s="21"/>
      <c r="H155" s="21" t="s">
        <v>374</v>
      </c>
      <c r="I155" s="21"/>
      <c r="J155" s="22" t="n">
        <v>1</v>
      </c>
      <c r="K155" s="22" t="n">
        <v>0</v>
      </c>
      <c r="L155" s="22" t="n">
        <v>1</v>
      </c>
      <c r="M155" s="21" t="s">
        <v>363</v>
      </c>
      <c r="N155" s="21"/>
      <c r="O155" s="20" t="n">
        <f aca="false">IF($N155="Exit",N($J155),0)</f>
        <v>0</v>
      </c>
      <c r="P155" s="23" t="str">
        <f aca="false">IF($F155="","",MID(IF($G155="",", career level","")&amp;IF($I155="",", nationality mandate","")&amp;IF($N155="",", capacity direction","")&amp;IF(N($J155)&lt;=0,", approved HC","")&amp;IF(AND($G155&lt;&gt;"",COUNTIF(CareerLevels,$G155)=0),", a career level that is not on the ladder",""),3,200))</f>
        <v>career level, nationality mandate, capacity direction</v>
      </c>
    </row>
    <row r="156" customFormat="false" ht="15" hidden="false" customHeight="false" outlineLevel="0" collapsed="false">
      <c r="A156" s="21" t="s">
        <v>447</v>
      </c>
      <c r="B156" s="21" t="s">
        <v>165</v>
      </c>
      <c r="C156" s="21" t="s">
        <v>167</v>
      </c>
      <c r="D156" s="21" t="s">
        <v>169</v>
      </c>
      <c r="E156" s="21" t="s">
        <v>171</v>
      </c>
      <c r="F156" s="21" t="s">
        <v>464</v>
      </c>
      <c r="G156" s="21"/>
      <c r="H156" s="21" t="s">
        <v>374</v>
      </c>
      <c r="I156" s="21"/>
      <c r="J156" s="22" t="n">
        <v>1</v>
      </c>
      <c r="K156" s="22" t="n">
        <v>1</v>
      </c>
      <c r="L156" s="22" t="n">
        <v>0</v>
      </c>
      <c r="M156" s="21" t="s">
        <v>363</v>
      </c>
      <c r="N156" s="21"/>
      <c r="O156" s="20" t="n">
        <f aca="false">IF($N156="Exit",N($J156),0)</f>
        <v>0</v>
      </c>
      <c r="P156" s="23" t="str">
        <f aca="false">IF($F156="","",MID(IF($G156="",", career level","")&amp;IF($I156="",", nationality mandate","")&amp;IF($N156="",", capacity direction","")&amp;IF(N($J156)&lt;=0,", approved HC","")&amp;IF(AND($G156&lt;&gt;"",COUNTIF(CareerLevels,$G156)=0),", a career level that is not on the ladder",""),3,200))</f>
        <v>career level, nationality mandate, capacity direction</v>
      </c>
    </row>
    <row r="157" customFormat="false" ht="15" hidden="false" customHeight="false" outlineLevel="0" collapsed="false">
      <c r="A157" s="21" t="s">
        <v>391</v>
      </c>
      <c r="B157" s="21" t="s">
        <v>165</v>
      </c>
      <c r="C157" s="21" t="s">
        <v>167</v>
      </c>
      <c r="D157" s="21" t="s">
        <v>169</v>
      </c>
      <c r="E157" s="21" t="s">
        <v>171</v>
      </c>
      <c r="F157" s="21" t="s">
        <v>465</v>
      </c>
      <c r="G157" s="21"/>
      <c r="H157" s="21" t="s">
        <v>374</v>
      </c>
      <c r="I157" s="21"/>
      <c r="J157" s="22" t="n">
        <v>1</v>
      </c>
      <c r="K157" s="22" t="n">
        <v>1</v>
      </c>
      <c r="L157" s="22" t="n">
        <v>0</v>
      </c>
      <c r="M157" s="21" t="s">
        <v>393</v>
      </c>
      <c r="N157" s="21"/>
      <c r="O157" s="20" t="n">
        <f aca="false">IF($N157="Exit",N($J157),0)</f>
        <v>0</v>
      </c>
      <c r="P157" s="23" t="str">
        <f aca="false">IF($F157="","",MID(IF($G157="",", career level","")&amp;IF($I157="",", nationality mandate","")&amp;IF($N157="",", capacity direction","")&amp;IF(N($J157)&lt;=0,", approved HC","")&amp;IF(AND($G157&lt;&gt;"",COUNTIF(CareerLevels,$G157)=0),", a career level that is not on the ladder",""),3,200))</f>
        <v>career level, nationality mandate, capacity direction</v>
      </c>
    </row>
    <row r="158" customFormat="false" ht="15" hidden="false" customHeight="false" outlineLevel="0" collapsed="false">
      <c r="A158" s="21" t="s">
        <v>417</v>
      </c>
      <c r="B158" s="21" t="s">
        <v>165</v>
      </c>
      <c r="C158" s="21" t="s">
        <v>167</v>
      </c>
      <c r="D158" s="21" t="s">
        <v>169</v>
      </c>
      <c r="E158" s="21" t="s">
        <v>171</v>
      </c>
      <c r="F158" s="21" t="s">
        <v>465</v>
      </c>
      <c r="G158" s="21"/>
      <c r="H158" s="21" t="s">
        <v>374</v>
      </c>
      <c r="I158" s="21"/>
      <c r="J158" s="22" t="n">
        <v>1</v>
      </c>
      <c r="K158" s="22" t="n">
        <v>1</v>
      </c>
      <c r="L158" s="22" t="n">
        <v>0</v>
      </c>
      <c r="M158" s="21" t="s">
        <v>363</v>
      </c>
      <c r="N158" s="21"/>
      <c r="O158" s="20" t="n">
        <f aca="false">IF($N158="Exit",N($J158),0)</f>
        <v>0</v>
      </c>
      <c r="P158" s="23" t="str">
        <f aca="false">IF($F158="","",MID(IF($G158="",", career level","")&amp;IF($I158="",", nationality mandate","")&amp;IF($N158="",", capacity direction","")&amp;IF(N($J158)&lt;=0,", approved HC","")&amp;IF(AND($G158&lt;&gt;"",COUNTIF(CareerLevels,$G158)=0),", a career level that is not on the ladder",""),3,200))</f>
        <v>career level, nationality mandate, capacity direction</v>
      </c>
    </row>
    <row r="159" customFormat="false" ht="15" hidden="false" customHeight="false" outlineLevel="0" collapsed="false">
      <c r="A159" s="21" t="s">
        <v>382</v>
      </c>
      <c r="B159" s="21" t="s">
        <v>165</v>
      </c>
      <c r="C159" s="21" t="s">
        <v>167</v>
      </c>
      <c r="D159" s="21" t="s">
        <v>169</v>
      </c>
      <c r="E159" s="21" t="s">
        <v>171</v>
      </c>
      <c r="F159" s="21" t="s">
        <v>465</v>
      </c>
      <c r="G159" s="21"/>
      <c r="H159" s="21" t="s">
        <v>374</v>
      </c>
      <c r="I159" s="21"/>
      <c r="J159" s="22" t="n">
        <v>1</v>
      </c>
      <c r="K159" s="22" t="n">
        <v>1</v>
      </c>
      <c r="L159" s="22" t="n">
        <v>0</v>
      </c>
      <c r="M159" s="21" t="s">
        <v>363</v>
      </c>
      <c r="N159" s="21"/>
      <c r="O159" s="20" t="n">
        <f aca="false">IF($N159="Exit",N($J159),0)</f>
        <v>0</v>
      </c>
      <c r="P159" s="23" t="str">
        <f aca="false">IF($F159="","",MID(IF($G159="",", career level","")&amp;IF($I159="",", nationality mandate","")&amp;IF($N159="",", capacity direction","")&amp;IF(N($J159)&lt;=0,", approved HC","")&amp;IF(AND($G159&lt;&gt;"",COUNTIF(CareerLevels,$G159)=0),", a career level that is not on the ladder",""),3,200))</f>
        <v>career level, nationality mandate, capacity direction</v>
      </c>
    </row>
    <row r="160" customFormat="false" ht="15" hidden="false" customHeight="false" outlineLevel="0" collapsed="false">
      <c r="A160" s="21" t="s">
        <v>376</v>
      </c>
      <c r="B160" s="21" t="s">
        <v>165</v>
      </c>
      <c r="C160" s="21" t="s">
        <v>167</v>
      </c>
      <c r="D160" s="21" t="s">
        <v>169</v>
      </c>
      <c r="E160" s="21" t="s">
        <v>171</v>
      </c>
      <c r="F160" s="21" t="s">
        <v>466</v>
      </c>
      <c r="G160" s="21"/>
      <c r="H160" s="21" t="s">
        <v>374</v>
      </c>
      <c r="I160" s="21"/>
      <c r="J160" s="22" t="n">
        <v>1</v>
      </c>
      <c r="K160" s="22" t="n">
        <v>1</v>
      </c>
      <c r="L160" s="22" t="n">
        <v>0</v>
      </c>
      <c r="M160" s="21" t="s">
        <v>363</v>
      </c>
      <c r="N160" s="21"/>
      <c r="O160" s="20" t="n">
        <f aca="false">IF($N160="Exit",N($J160),0)</f>
        <v>0</v>
      </c>
      <c r="P160" s="23" t="str">
        <f aca="false">IF($F160="","",MID(IF($G160="",", career level","")&amp;IF($I160="",", nationality mandate","")&amp;IF($N160="",", capacity direction","")&amp;IF(N($J160)&lt;=0,", approved HC","")&amp;IF(AND($G160&lt;&gt;"",COUNTIF(CareerLevels,$G160)=0),", a career level that is not on the ladder",""),3,200))</f>
        <v>career level, nationality mandate, capacity direction</v>
      </c>
    </row>
    <row r="161" customFormat="false" ht="15" hidden="false" customHeight="false" outlineLevel="0" collapsed="false">
      <c r="A161" s="21" t="s">
        <v>383</v>
      </c>
      <c r="B161" s="21" t="s">
        <v>165</v>
      </c>
      <c r="C161" s="21" t="s">
        <v>167</v>
      </c>
      <c r="D161" s="21" t="s">
        <v>169</v>
      </c>
      <c r="E161" s="21" t="s">
        <v>171</v>
      </c>
      <c r="F161" s="21" t="s">
        <v>467</v>
      </c>
      <c r="G161" s="21"/>
      <c r="H161" s="21" t="s">
        <v>374</v>
      </c>
      <c r="I161" s="21"/>
      <c r="J161" s="22" t="n">
        <v>1</v>
      </c>
      <c r="K161" s="22" t="n">
        <v>1</v>
      </c>
      <c r="L161" s="22" t="n">
        <v>0</v>
      </c>
      <c r="M161" s="21" t="s">
        <v>363</v>
      </c>
      <c r="N161" s="21"/>
      <c r="O161" s="20" t="n">
        <f aca="false">IF($N161="Exit",N($J161),0)</f>
        <v>0</v>
      </c>
      <c r="P161" s="23" t="str">
        <f aca="false">IF($F161="","",MID(IF($G161="",", career level","")&amp;IF($I161="",", nationality mandate","")&amp;IF($N161="",", capacity direction","")&amp;IF(N($J161)&lt;=0,", approved HC","")&amp;IF(AND($G161&lt;&gt;"",COUNTIF(CareerLevels,$G161)=0),", a career level that is not on the ladder",""),3,200))</f>
        <v>career level, nationality mandate, capacity direction</v>
      </c>
    </row>
    <row r="162" customFormat="false" ht="15" hidden="false" customHeight="false" outlineLevel="0" collapsed="false">
      <c r="A162" s="21" t="s">
        <v>360</v>
      </c>
      <c r="B162" s="21" t="s">
        <v>165</v>
      </c>
      <c r="C162" s="21" t="s">
        <v>167</v>
      </c>
      <c r="D162" s="21" t="s">
        <v>169</v>
      </c>
      <c r="E162" s="21" t="s">
        <v>171</v>
      </c>
      <c r="F162" s="21" t="s">
        <v>467</v>
      </c>
      <c r="G162" s="21"/>
      <c r="H162" s="21" t="s">
        <v>374</v>
      </c>
      <c r="I162" s="21"/>
      <c r="J162" s="22" t="n">
        <v>1</v>
      </c>
      <c r="K162" s="22" t="n">
        <v>1</v>
      </c>
      <c r="L162" s="22" t="n">
        <v>0</v>
      </c>
      <c r="M162" s="21" t="s">
        <v>363</v>
      </c>
      <c r="N162" s="21"/>
      <c r="O162" s="20" t="n">
        <f aca="false">IF($N162="Exit",N($J162),0)</f>
        <v>0</v>
      </c>
      <c r="P162" s="23" t="str">
        <f aca="false">IF($F162="","",MID(IF($G162="",", career level","")&amp;IF($I162="",", nationality mandate","")&amp;IF($N162="",", capacity direction","")&amp;IF(N($J162)&lt;=0,", approved HC","")&amp;IF(AND($G162&lt;&gt;"",COUNTIF(CareerLevels,$G162)=0),", a career level that is not on the ladder",""),3,200))</f>
        <v>career level, nationality mandate, capacity direction</v>
      </c>
    </row>
    <row r="163" customFormat="false" ht="15" hidden="false" customHeight="false" outlineLevel="0" collapsed="false">
      <c r="A163" s="21" t="s">
        <v>432</v>
      </c>
      <c r="B163" s="21" t="s">
        <v>165</v>
      </c>
      <c r="C163" s="21" t="s">
        <v>167</v>
      </c>
      <c r="D163" s="21" t="s">
        <v>169</v>
      </c>
      <c r="E163" s="21" t="s">
        <v>171</v>
      </c>
      <c r="F163" s="21" t="s">
        <v>468</v>
      </c>
      <c r="G163" s="21"/>
      <c r="H163" s="21" t="s">
        <v>371</v>
      </c>
      <c r="I163" s="21"/>
      <c r="J163" s="22" t="n">
        <v>1</v>
      </c>
      <c r="K163" s="22" t="n">
        <v>1</v>
      </c>
      <c r="L163" s="22" t="n">
        <v>0</v>
      </c>
      <c r="M163" s="21" t="s">
        <v>363</v>
      </c>
      <c r="N163" s="21"/>
      <c r="O163" s="20" t="n">
        <f aca="false">IF($N163="Exit",N($J163),0)</f>
        <v>0</v>
      </c>
      <c r="P163" s="23" t="str">
        <f aca="false">IF($F163="","",MID(IF($G163="",", career level","")&amp;IF($I163="",", nationality mandate","")&amp;IF($N163="",", capacity direction","")&amp;IF(N($J163)&lt;=0,", approved HC","")&amp;IF(AND($G163&lt;&gt;"",COUNTIF(CareerLevels,$G163)=0),", a career level that is not on the ladder",""),3,200))</f>
        <v>career level, nationality mandate, capacity direction</v>
      </c>
    </row>
    <row r="164" customFormat="false" ht="15" hidden="false" customHeight="false" outlineLevel="0" collapsed="false">
      <c r="A164" s="21" t="s">
        <v>376</v>
      </c>
      <c r="B164" s="21" t="s">
        <v>165</v>
      </c>
      <c r="C164" s="21" t="s">
        <v>167</v>
      </c>
      <c r="D164" s="21" t="s">
        <v>169</v>
      </c>
      <c r="E164" s="21" t="s">
        <v>177</v>
      </c>
      <c r="F164" s="21" t="s">
        <v>465</v>
      </c>
      <c r="G164" s="21"/>
      <c r="H164" s="21" t="s">
        <v>374</v>
      </c>
      <c r="I164" s="21"/>
      <c r="J164" s="22" t="n">
        <v>1</v>
      </c>
      <c r="K164" s="22" t="n">
        <v>1</v>
      </c>
      <c r="L164" s="22" t="n">
        <v>0</v>
      </c>
      <c r="M164" s="21" t="s">
        <v>363</v>
      </c>
      <c r="N164" s="21"/>
      <c r="O164" s="20" t="n">
        <f aca="false">IF($N164="Exit",N($J164),0)</f>
        <v>0</v>
      </c>
      <c r="P164" s="23" t="str">
        <f aca="false">IF($F164="","",MID(IF($G164="",", career level","")&amp;IF($I164="",", nationality mandate","")&amp;IF($N164="",", capacity direction","")&amp;IF(N($J164)&lt;=0,", approved HC","")&amp;IF(AND($G164&lt;&gt;"",COUNTIF(CareerLevels,$G164)=0),", a career level that is not on the ladder",""),3,200))</f>
        <v>career level, nationality mandate, capacity direction</v>
      </c>
    </row>
    <row r="165" customFormat="false" ht="15" hidden="false" customHeight="false" outlineLevel="0" collapsed="false">
      <c r="A165" s="21" t="s">
        <v>440</v>
      </c>
      <c r="B165" s="21" t="s">
        <v>165</v>
      </c>
      <c r="C165" s="21" t="s">
        <v>167</v>
      </c>
      <c r="D165" s="21" t="s">
        <v>169</v>
      </c>
      <c r="E165" s="21" t="s">
        <v>177</v>
      </c>
      <c r="F165" s="21" t="s">
        <v>465</v>
      </c>
      <c r="G165" s="21"/>
      <c r="H165" s="21" t="s">
        <v>374</v>
      </c>
      <c r="I165" s="21"/>
      <c r="J165" s="22" t="n">
        <v>1</v>
      </c>
      <c r="K165" s="22" t="n">
        <v>1</v>
      </c>
      <c r="L165" s="22" t="n">
        <v>0</v>
      </c>
      <c r="M165" s="21" t="s">
        <v>363</v>
      </c>
      <c r="N165" s="21"/>
      <c r="O165" s="20" t="n">
        <f aca="false">IF($N165="Exit",N($J165),0)</f>
        <v>0</v>
      </c>
      <c r="P165" s="23" t="str">
        <f aca="false">IF($F165="","",MID(IF($G165="",", career level","")&amp;IF($I165="",", nationality mandate","")&amp;IF($N165="",", capacity direction","")&amp;IF(N($J165)&lt;=0,", approved HC","")&amp;IF(AND($G165&lt;&gt;"",COUNTIF(CareerLevels,$G165)=0),", a career level that is not on the ladder",""),3,200))</f>
        <v>career level, nationality mandate, capacity direction</v>
      </c>
    </row>
    <row r="166" customFormat="false" ht="15" hidden="false" customHeight="false" outlineLevel="0" collapsed="false">
      <c r="A166" s="21" t="s">
        <v>412</v>
      </c>
      <c r="B166" s="21" t="s">
        <v>165</v>
      </c>
      <c r="C166" s="21" t="s">
        <v>167</v>
      </c>
      <c r="D166" s="21" t="s">
        <v>169</v>
      </c>
      <c r="E166" s="21" t="s">
        <v>177</v>
      </c>
      <c r="F166" s="21" t="s">
        <v>467</v>
      </c>
      <c r="G166" s="21"/>
      <c r="H166" s="21" t="s">
        <v>374</v>
      </c>
      <c r="I166" s="21"/>
      <c r="J166" s="22" t="n">
        <v>1</v>
      </c>
      <c r="K166" s="22" t="n">
        <v>1</v>
      </c>
      <c r="L166" s="22" t="n">
        <v>0</v>
      </c>
      <c r="M166" s="21" t="s">
        <v>363</v>
      </c>
      <c r="N166" s="21"/>
      <c r="O166" s="20" t="n">
        <f aca="false">IF($N166="Exit",N($J166),0)</f>
        <v>0</v>
      </c>
      <c r="P166" s="23" t="str">
        <f aca="false">IF($F166="","",MID(IF($G166="",", career level","")&amp;IF($I166="",", nationality mandate","")&amp;IF($N166="",", capacity direction","")&amp;IF(N($J166)&lt;=0,", approved HC","")&amp;IF(AND($G166&lt;&gt;"",COUNTIF(CareerLevels,$G166)=0),", a career level that is not on the ladder",""),3,200))</f>
        <v>career level, nationality mandate, capacity direction</v>
      </c>
    </row>
    <row r="167" customFormat="false" ht="15" hidden="false" customHeight="false" outlineLevel="0" collapsed="false">
      <c r="A167" s="21" t="s">
        <v>384</v>
      </c>
      <c r="B167" s="21" t="s">
        <v>165</v>
      </c>
      <c r="C167" s="21" t="s">
        <v>167</v>
      </c>
      <c r="D167" s="21" t="s">
        <v>169</v>
      </c>
      <c r="E167" s="21" t="s">
        <v>177</v>
      </c>
      <c r="F167" s="21" t="s">
        <v>467</v>
      </c>
      <c r="G167" s="21"/>
      <c r="H167" s="21" t="s">
        <v>374</v>
      </c>
      <c r="I167" s="21"/>
      <c r="J167" s="22" t="n">
        <v>1</v>
      </c>
      <c r="K167" s="22" t="n">
        <v>1</v>
      </c>
      <c r="L167" s="22" t="n">
        <v>0</v>
      </c>
      <c r="M167" s="21" t="s">
        <v>363</v>
      </c>
      <c r="N167" s="21"/>
      <c r="O167" s="20" t="n">
        <f aca="false">IF($N167="Exit",N($J167),0)</f>
        <v>0</v>
      </c>
      <c r="P167" s="23" t="str">
        <f aca="false">IF($F167="","",MID(IF($G167="",", career level","")&amp;IF($I167="",", nationality mandate","")&amp;IF($N167="",", capacity direction","")&amp;IF(N($J167)&lt;=0,", approved HC","")&amp;IF(AND($G167&lt;&gt;"",COUNTIF(CareerLevels,$G167)=0),", a career level that is not on the ladder",""),3,200))</f>
        <v>career level, nationality mandate, capacity direction</v>
      </c>
    </row>
    <row r="168" customFormat="false" ht="15" hidden="false" customHeight="false" outlineLevel="0" collapsed="false">
      <c r="A168" s="21" t="s">
        <v>404</v>
      </c>
      <c r="B168" s="21" t="s">
        <v>165</v>
      </c>
      <c r="C168" s="21" t="s">
        <v>167</v>
      </c>
      <c r="D168" s="21" t="s">
        <v>169</v>
      </c>
      <c r="E168" s="21" t="s">
        <v>177</v>
      </c>
      <c r="F168" s="21" t="s">
        <v>467</v>
      </c>
      <c r="G168" s="21"/>
      <c r="H168" s="21" t="s">
        <v>374</v>
      </c>
      <c r="I168" s="21"/>
      <c r="J168" s="22" t="n">
        <v>1</v>
      </c>
      <c r="K168" s="22" t="n">
        <v>0</v>
      </c>
      <c r="L168" s="22" t="n">
        <v>1</v>
      </c>
      <c r="M168" s="21" t="s">
        <v>363</v>
      </c>
      <c r="N168" s="21"/>
      <c r="O168" s="20" t="n">
        <f aca="false">IF($N168="Exit",N($J168),0)</f>
        <v>0</v>
      </c>
      <c r="P168" s="23" t="str">
        <f aca="false">IF($F168="","",MID(IF($G168="",", career level","")&amp;IF($I168="",", nationality mandate","")&amp;IF($N168="",", capacity direction","")&amp;IF(N($J168)&lt;=0,", approved HC","")&amp;IF(AND($G168&lt;&gt;"",COUNTIF(CareerLevels,$G168)=0),", a career level that is not on the ladder",""),3,200))</f>
        <v>career level, nationality mandate, capacity direction</v>
      </c>
    </row>
    <row r="169" customFormat="false" ht="15" hidden="false" customHeight="false" outlineLevel="0" collapsed="false">
      <c r="A169" s="21" t="s">
        <v>428</v>
      </c>
      <c r="B169" s="21" t="s">
        <v>165</v>
      </c>
      <c r="C169" s="21" t="s">
        <v>167</v>
      </c>
      <c r="D169" s="21" t="s">
        <v>169</v>
      </c>
      <c r="E169" s="21" t="s">
        <v>177</v>
      </c>
      <c r="F169" s="21" t="s">
        <v>469</v>
      </c>
      <c r="G169" s="21"/>
      <c r="H169" s="21" t="s">
        <v>374</v>
      </c>
      <c r="I169" s="21"/>
      <c r="J169" s="22" t="n">
        <v>1</v>
      </c>
      <c r="K169" s="22" t="n">
        <v>1</v>
      </c>
      <c r="L169" s="22" t="n">
        <v>0</v>
      </c>
      <c r="M169" s="21" t="s">
        <v>363</v>
      </c>
      <c r="N169" s="21"/>
      <c r="O169" s="20" t="n">
        <f aca="false">IF($N169="Exit",N($J169),0)</f>
        <v>0</v>
      </c>
      <c r="P169" s="23" t="str">
        <f aca="false">IF($F169="","",MID(IF($G169="",", career level","")&amp;IF($I169="",", nationality mandate","")&amp;IF($N169="",", capacity direction","")&amp;IF(N($J169)&lt;=0,", approved HC","")&amp;IF(AND($G169&lt;&gt;"",COUNTIF(CareerLevels,$G169)=0),", a career level that is not on the ladder",""),3,200))</f>
        <v>career level, nationality mandate, capacity direction</v>
      </c>
    </row>
    <row r="170" customFormat="false" ht="15" hidden="false" customHeight="false" outlineLevel="0" collapsed="false">
      <c r="A170" s="21" t="s">
        <v>394</v>
      </c>
      <c r="B170" s="21" t="s">
        <v>165</v>
      </c>
      <c r="C170" s="21" t="s">
        <v>167</v>
      </c>
      <c r="D170" s="21" t="s">
        <v>169</v>
      </c>
      <c r="E170" s="21" t="s">
        <v>177</v>
      </c>
      <c r="F170" s="21" t="s">
        <v>468</v>
      </c>
      <c r="G170" s="21"/>
      <c r="H170" s="21" t="s">
        <v>371</v>
      </c>
      <c r="I170" s="21"/>
      <c r="J170" s="22" t="n">
        <v>1</v>
      </c>
      <c r="K170" s="22" t="n">
        <v>1</v>
      </c>
      <c r="L170" s="22" t="n">
        <v>0</v>
      </c>
      <c r="M170" s="21" t="s">
        <v>363</v>
      </c>
      <c r="N170" s="21"/>
      <c r="O170" s="20" t="n">
        <f aca="false">IF($N170="Exit",N($J170),0)</f>
        <v>0</v>
      </c>
      <c r="P170" s="23" t="str">
        <f aca="false">IF($F170="","",MID(IF($G170="",", career level","")&amp;IF($I170="",", nationality mandate","")&amp;IF($N170="",", capacity direction","")&amp;IF(N($J170)&lt;=0,", approved HC","")&amp;IF(AND($G170&lt;&gt;"",COUNTIF(CareerLevels,$G170)=0),", a career level that is not on the ladder",""),3,200))</f>
        <v>career level, nationality mandate, capacity direction</v>
      </c>
    </row>
    <row r="171" customFormat="false" ht="15" hidden="false" customHeight="false" outlineLevel="0" collapsed="false">
      <c r="A171" s="21" t="s">
        <v>414</v>
      </c>
      <c r="B171" s="21" t="s">
        <v>165</v>
      </c>
      <c r="C171" s="21" t="s">
        <v>167</v>
      </c>
      <c r="D171" s="21" t="s">
        <v>183</v>
      </c>
      <c r="E171" s="21"/>
      <c r="F171" s="21" t="s">
        <v>462</v>
      </c>
      <c r="G171" s="21"/>
      <c r="H171" s="21" t="s">
        <v>371</v>
      </c>
      <c r="I171" s="21"/>
      <c r="J171" s="22" t="n">
        <v>1</v>
      </c>
      <c r="K171" s="22" t="n">
        <v>1</v>
      </c>
      <c r="L171" s="22" t="n">
        <v>0</v>
      </c>
      <c r="M171" s="21" t="s">
        <v>363</v>
      </c>
      <c r="N171" s="21"/>
      <c r="O171" s="20" t="n">
        <f aca="false">IF($N171="Exit",N($J171),0)</f>
        <v>0</v>
      </c>
      <c r="P171" s="23" t="str">
        <f aca="false">IF($F171="","",MID(IF($G171="",", career level","")&amp;IF($I171="",", nationality mandate","")&amp;IF($N171="",", capacity direction","")&amp;IF(N($J171)&lt;=0,", approved HC","")&amp;IF(AND($G171&lt;&gt;"",COUNTIF(CareerLevels,$G171)=0),", a career level that is not on the ladder",""),3,200))</f>
        <v>career level, nationality mandate, capacity direction</v>
      </c>
    </row>
    <row r="172" customFormat="false" ht="15" hidden="false" customHeight="false" outlineLevel="0" collapsed="false">
      <c r="A172" s="21" t="s">
        <v>389</v>
      </c>
      <c r="B172" s="21" t="s">
        <v>165</v>
      </c>
      <c r="C172" s="21" t="s">
        <v>167</v>
      </c>
      <c r="D172" s="21" t="s">
        <v>183</v>
      </c>
      <c r="E172" s="21" t="s">
        <v>185</v>
      </c>
      <c r="F172" s="21" t="s">
        <v>463</v>
      </c>
      <c r="G172" s="21"/>
      <c r="H172" s="21" t="s">
        <v>374</v>
      </c>
      <c r="I172" s="21"/>
      <c r="J172" s="22" t="n">
        <v>1</v>
      </c>
      <c r="K172" s="22" t="n">
        <v>1</v>
      </c>
      <c r="L172" s="22" t="n">
        <v>0</v>
      </c>
      <c r="M172" s="21" t="s">
        <v>363</v>
      </c>
      <c r="N172" s="21"/>
      <c r="O172" s="20" t="n">
        <f aca="false">IF($N172="Exit",N($J172),0)</f>
        <v>0</v>
      </c>
      <c r="P172" s="23" t="str">
        <f aca="false">IF($F172="","",MID(IF($G172="",", career level","")&amp;IF($I172="",", nationality mandate","")&amp;IF($N172="",", capacity direction","")&amp;IF(N($J172)&lt;=0,", approved HC","")&amp;IF(AND($G172&lt;&gt;"",COUNTIF(CareerLevels,$G172)=0),", a career level that is not on the ladder",""),3,200))</f>
        <v>career level, nationality mandate, capacity direction</v>
      </c>
    </row>
    <row r="173" customFormat="false" ht="15" hidden="false" customHeight="false" outlineLevel="0" collapsed="false">
      <c r="A173" s="21" t="s">
        <v>443</v>
      </c>
      <c r="B173" s="21" t="s">
        <v>165</v>
      </c>
      <c r="C173" s="21" t="s">
        <v>167</v>
      </c>
      <c r="D173" s="21" t="s">
        <v>183</v>
      </c>
      <c r="E173" s="21" t="s">
        <v>185</v>
      </c>
      <c r="F173" s="21" t="s">
        <v>464</v>
      </c>
      <c r="G173" s="21"/>
      <c r="H173" s="21" t="s">
        <v>374</v>
      </c>
      <c r="I173" s="21"/>
      <c r="J173" s="22" t="n">
        <v>1</v>
      </c>
      <c r="K173" s="22" t="n">
        <v>1</v>
      </c>
      <c r="L173" s="22" t="n">
        <v>0</v>
      </c>
      <c r="M173" s="21" t="s">
        <v>393</v>
      </c>
      <c r="N173" s="21"/>
      <c r="O173" s="20" t="n">
        <f aca="false">IF($N173="Exit",N($J173),0)</f>
        <v>0</v>
      </c>
      <c r="P173" s="23" t="str">
        <f aca="false">IF($F173="","",MID(IF($G173="",", career level","")&amp;IF($I173="",", nationality mandate","")&amp;IF($N173="",", capacity direction","")&amp;IF(N($J173)&lt;=0,", approved HC","")&amp;IF(AND($G173&lt;&gt;"",COUNTIF(CareerLevels,$G173)=0),", a career level that is not on the ladder",""),3,200))</f>
        <v>career level, nationality mandate, capacity direction</v>
      </c>
    </row>
    <row r="174" customFormat="false" ht="15" hidden="false" customHeight="false" outlineLevel="0" collapsed="false">
      <c r="A174" s="21" t="s">
        <v>375</v>
      </c>
      <c r="B174" s="21" t="s">
        <v>165</v>
      </c>
      <c r="C174" s="21" t="s">
        <v>167</v>
      </c>
      <c r="D174" s="21" t="s">
        <v>183</v>
      </c>
      <c r="E174" s="21" t="s">
        <v>185</v>
      </c>
      <c r="F174" s="21" t="s">
        <v>464</v>
      </c>
      <c r="G174" s="21"/>
      <c r="H174" s="21" t="s">
        <v>374</v>
      </c>
      <c r="I174" s="21"/>
      <c r="J174" s="22" t="n">
        <v>1</v>
      </c>
      <c r="K174" s="22" t="n">
        <v>1</v>
      </c>
      <c r="L174" s="22" t="n">
        <v>0</v>
      </c>
      <c r="M174" s="21" t="s">
        <v>363</v>
      </c>
      <c r="N174" s="21"/>
      <c r="O174" s="20" t="n">
        <f aca="false">IF($N174="Exit",N($J174),0)</f>
        <v>0</v>
      </c>
      <c r="P174" s="23" t="str">
        <f aca="false">IF($F174="","",MID(IF($G174="",", career level","")&amp;IF($I174="",", nationality mandate","")&amp;IF($N174="",", capacity direction","")&amp;IF(N($J174)&lt;=0,", approved HC","")&amp;IF(AND($G174&lt;&gt;"",COUNTIF(CareerLevels,$G174)=0),", a career level that is not on the ladder",""),3,200))</f>
        <v>career level, nationality mandate, capacity direction</v>
      </c>
    </row>
    <row r="175" customFormat="false" ht="15" hidden="false" customHeight="false" outlineLevel="0" collapsed="false">
      <c r="A175" s="21" t="s">
        <v>424</v>
      </c>
      <c r="B175" s="21" t="s">
        <v>165</v>
      </c>
      <c r="C175" s="21" t="s">
        <v>167</v>
      </c>
      <c r="D175" s="21" t="s">
        <v>183</v>
      </c>
      <c r="E175" s="21" t="s">
        <v>185</v>
      </c>
      <c r="F175" s="21" t="s">
        <v>465</v>
      </c>
      <c r="G175" s="21"/>
      <c r="H175" s="21" t="s">
        <v>374</v>
      </c>
      <c r="I175" s="21"/>
      <c r="J175" s="22" t="n">
        <v>1</v>
      </c>
      <c r="K175" s="22" t="n">
        <v>1</v>
      </c>
      <c r="L175" s="22" t="n">
        <v>0</v>
      </c>
      <c r="M175" s="21" t="s">
        <v>363</v>
      </c>
      <c r="N175" s="21"/>
      <c r="O175" s="20" t="n">
        <f aca="false">IF($N175="Exit",N($J175),0)</f>
        <v>0</v>
      </c>
      <c r="P175" s="23" t="str">
        <f aca="false">IF($F175="","",MID(IF($G175="",", career level","")&amp;IF($I175="",", nationality mandate","")&amp;IF($N175="",", capacity direction","")&amp;IF(N($J175)&lt;=0,", approved HC","")&amp;IF(AND($G175&lt;&gt;"",COUNTIF(CareerLevels,$G175)=0),", a career level that is not on the ladder",""),3,200))</f>
        <v>career level, nationality mandate, capacity direction</v>
      </c>
    </row>
    <row r="176" customFormat="false" ht="15" hidden="false" customHeight="false" outlineLevel="0" collapsed="false">
      <c r="A176" s="21" t="s">
        <v>449</v>
      </c>
      <c r="B176" s="21" t="s">
        <v>165</v>
      </c>
      <c r="C176" s="21" t="s">
        <v>167</v>
      </c>
      <c r="D176" s="21" t="s">
        <v>183</v>
      </c>
      <c r="E176" s="21" t="s">
        <v>185</v>
      </c>
      <c r="F176" s="21" t="s">
        <v>469</v>
      </c>
      <c r="G176" s="21"/>
      <c r="H176" s="21" t="s">
        <v>374</v>
      </c>
      <c r="I176" s="21"/>
      <c r="J176" s="22" t="n">
        <v>1</v>
      </c>
      <c r="K176" s="22" t="n">
        <v>1</v>
      </c>
      <c r="L176" s="22" t="n">
        <v>0</v>
      </c>
      <c r="M176" s="21" t="s">
        <v>393</v>
      </c>
      <c r="N176" s="21"/>
      <c r="O176" s="20" t="n">
        <f aca="false">IF($N176="Exit",N($J176),0)</f>
        <v>0</v>
      </c>
      <c r="P176" s="23" t="str">
        <f aca="false">IF($F176="","",MID(IF($G176="",", career level","")&amp;IF($I176="",", nationality mandate","")&amp;IF($N176="",", capacity direction","")&amp;IF(N($J176)&lt;=0,", approved HC","")&amp;IF(AND($G176&lt;&gt;"",COUNTIF(CareerLevels,$G176)=0),", a career level that is not on the ladder",""),3,200))</f>
        <v>career level, nationality mandate, capacity direction</v>
      </c>
    </row>
    <row r="177" customFormat="false" ht="15" hidden="false" customHeight="false" outlineLevel="0" collapsed="false">
      <c r="A177" s="21" t="s">
        <v>421</v>
      </c>
      <c r="B177" s="21" t="s">
        <v>165</v>
      </c>
      <c r="C177" s="21" t="s">
        <v>167</v>
      </c>
      <c r="D177" s="21" t="s">
        <v>183</v>
      </c>
      <c r="E177" s="21" t="s">
        <v>185</v>
      </c>
      <c r="F177" s="21" t="s">
        <v>468</v>
      </c>
      <c r="G177" s="21"/>
      <c r="H177" s="21" t="s">
        <v>371</v>
      </c>
      <c r="I177" s="21"/>
      <c r="J177" s="22" t="n">
        <v>1</v>
      </c>
      <c r="K177" s="22" t="n">
        <v>1</v>
      </c>
      <c r="L177" s="22" t="n">
        <v>0</v>
      </c>
      <c r="M177" s="21" t="s">
        <v>363</v>
      </c>
      <c r="N177" s="21"/>
      <c r="O177" s="20" t="n">
        <f aca="false">IF($N177="Exit",N($J177),0)</f>
        <v>0</v>
      </c>
      <c r="P177" s="23" t="str">
        <f aca="false">IF($F177="","",MID(IF($G177="",", career level","")&amp;IF($I177="",", nationality mandate","")&amp;IF($N177="",", capacity direction","")&amp;IF(N($J177)&lt;=0,", approved HC","")&amp;IF(AND($G177&lt;&gt;"",COUNTIF(CareerLevels,$G177)=0),", a career level that is not on the ladder",""),3,200))</f>
        <v>career level, nationality mandate, capacity direction</v>
      </c>
    </row>
    <row r="178" customFormat="false" ht="15" hidden="false" customHeight="false" outlineLevel="0" collapsed="false">
      <c r="A178" s="21" t="s">
        <v>401</v>
      </c>
      <c r="B178" s="21" t="s">
        <v>165</v>
      </c>
      <c r="C178" s="21" t="s">
        <v>167</v>
      </c>
      <c r="D178" s="21" t="s">
        <v>183</v>
      </c>
      <c r="E178" s="21" t="s">
        <v>189</v>
      </c>
      <c r="F178" s="21" t="s">
        <v>463</v>
      </c>
      <c r="G178" s="21"/>
      <c r="H178" s="21" t="s">
        <v>374</v>
      </c>
      <c r="I178" s="21"/>
      <c r="J178" s="22" t="n">
        <v>1</v>
      </c>
      <c r="K178" s="22" t="n">
        <v>1</v>
      </c>
      <c r="L178" s="22" t="n">
        <v>0</v>
      </c>
      <c r="M178" s="21" t="s">
        <v>363</v>
      </c>
      <c r="N178" s="21"/>
      <c r="O178" s="20" t="n">
        <f aca="false">IF($N178="Exit",N($J178),0)</f>
        <v>0</v>
      </c>
      <c r="P178" s="23" t="str">
        <f aca="false">IF($F178="","",MID(IF($G178="",", career level","")&amp;IF($I178="",", nationality mandate","")&amp;IF($N178="",", capacity direction","")&amp;IF(N($J178)&lt;=0,", approved HC","")&amp;IF(AND($G178&lt;&gt;"",COUNTIF(CareerLevels,$G178)=0),", a career level that is not on the ladder",""),3,200))</f>
        <v>career level, nationality mandate, capacity direction</v>
      </c>
    </row>
    <row r="179" customFormat="false" ht="15" hidden="false" customHeight="false" outlineLevel="0" collapsed="false">
      <c r="A179" s="21" t="s">
        <v>449</v>
      </c>
      <c r="B179" s="21" t="s">
        <v>165</v>
      </c>
      <c r="C179" s="21" t="s">
        <v>167</v>
      </c>
      <c r="D179" s="21" t="s">
        <v>183</v>
      </c>
      <c r="E179" s="21" t="s">
        <v>189</v>
      </c>
      <c r="F179" s="21" t="s">
        <v>463</v>
      </c>
      <c r="G179" s="21"/>
      <c r="H179" s="21" t="s">
        <v>374</v>
      </c>
      <c r="I179" s="21"/>
      <c r="J179" s="22" t="n">
        <v>1</v>
      </c>
      <c r="K179" s="22" t="n">
        <v>1</v>
      </c>
      <c r="L179" s="22" t="n">
        <v>0</v>
      </c>
      <c r="M179" s="21" t="s">
        <v>363</v>
      </c>
      <c r="N179" s="21"/>
      <c r="O179" s="20" t="n">
        <f aca="false">IF($N179="Exit",N($J179),0)</f>
        <v>0</v>
      </c>
      <c r="P179" s="23" t="str">
        <f aca="false">IF($F179="","",MID(IF($G179="",", career level","")&amp;IF($I179="",", nationality mandate","")&amp;IF($N179="",", capacity direction","")&amp;IF(N($J179)&lt;=0,", approved HC","")&amp;IF(AND($G179&lt;&gt;"",COUNTIF(CareerLevels,$G179)=0),", a career level that is not on the ladder",""),3,200))</f>
        <v>career level, nationality mandate, capacity direction</v>
      </c>
    </row>
    <row r="180" customFormat="false" ht="15" hidden="false" customHeight="false" outlineLevel="0" collapsed="false">
      <c r="A180" s="21" t="s">
        <v>377</v>
      </c>
      <c r="B180" s="21" t="s">
        <v>165</v>
      </c>
      <c r="C180" s="21" t="s">
        <v>167</v>
      </c>
      <c r="D180" s="21" t="s">
        <v>183</v>
      </c>
      <c r="E180" s="21" t="s">
        <v>189</v>
      </c>
      <c r="F180" s="21" t="s">
        <v>464</v>
      </c>
      <c r="G180" s="21"/>
      <c r="H180" s="21" t="s">
        <v>374</v>
      </c>
      <c r="I180" s="21"/>
      <c r="J180" s="22" t="n">
        <v>1</v>
      </c>
      <c r="K180" s="22" t="n">
        <v>0</v>
      </c>
      <c r="L180" s="22" t="n">
        <v>1</v>
      </c>
      <c r="M180" s="21" t="s">
        <v>363</v>
      </c>
      <c r="N180" s="21"/>
      <c r="O180" s="20" t="n">
        <f aca="false">IF($N180="Exit",N($J180),0)</f>
        <v>0</v>
      </c>
      <c r="P180" s="23" t="str">
        <f aca="false">IF($F180="","",MID(IF($G180="",", career level","")&amp;IF($I180="",", nationality mandate","")&amp;IF($N180="",", capacity direction","")&amp;IF(N($J180)&lt;=0,", approved HC","")&amp;IF(AND($G180&lt;&gt;"",COUNTIF(CareerLevels,$G180)=0),", a career level that is not on the ladder",""),3,200))</f>
        <v>career level, nationality mandate, capacity direction</v>
      </c>
    </row>
    <row r="181" customFormat="false" ht="15" hidden="false" customHeight="false" outlineLevel="0" collapsed="false">
      <c r="A181" s="21" t="s">
        <v>379</v>
      </c>
      <c r="B181" s="21" t="s">
        <v>165</v>
      </c>
      <c r="C181" s="21" t="s">
        <v>167</v>
      </c>
      <c r="D181" s="21" t="s">
        <v>183</v>
      </c>
      <c r="E181" s="21" t="s">
        <v>189</v>
      </c>
      <c r="F181" s="21" t="s">
        <v>465</v>
      </c>
      <c r="G181" s="21"/>
      <c r="H181" s="21" t="s">
        <v>374</v>
      </c>
      <c r="I181" s="21"/>
      <c r="J181" s="22" t="n">
        <v>1</v>
      </c>
      <c r="K181" s="22" t="n">
        <v>0</v>
      </c>
      <c r="L181" s="22" t="n">
        <v>1</v>
      </c>
      <c r="M181" s="21" t="s">
        <v>393</v>
      </c>
      <c r="N181" s="21"/>
      <c r="O181" s="20" t="n">
        <f aca="false">IF($N181="Exit",N($J181),0)</f>
        <v>0</v>
      </c>
      <c r="P181" s="23" t="str">
        <f aca="false">IF($F181="","",MID(IF($G181="",", career level","")&amp;IF($I181="",", nationality mandate","")&amp;IF($N181="",", capacity direction","")&amp;IF(N($J181)&lt;=0,", approved HC","")&amp;IF(AND($G181&lt;&gt;"",COUNTIF(CareerLevels,$G181)=0),", a career level that is not on the ladder",""),3,200))</f>
        <v>career level, nationality mandate, capacity direction</v>
      </c>
    </row>
    <row r="182" customFormat="false" ht="15" hidden="false" customHeight="false" outlineLevel="0" collapsed="false">
      <c r="A182" s="21" t="s">
        <v>425</v>
      </c>
      <c r="B182" s="21" t="s">
        <v>165</v>
      </c>
      <c r="C182" s="21" t="s">
        <v>167</v>
      </c>
      <c r="D182" s="21" t="s">
        <v>183</v>
      </c>
      <c r="E182" s="21" t="s">
        <v>189</v>
      </c>
      <c r="F182" s="21" t="s">
        <v>465</v>
      </c>
      <c r="G182" s="21"/>
      <c r="H182" s="21" t="s">
        <v>374</v>
      </c>
      <c r="I182" s="21"/>
      <c r="J182" s="22" t="n">
        <v>1</v>
      </c>
      <c r="K182" s="22" t="n">
        <v>1</v>
      </c>
      <c r="L182" s="22" t="n">
        <v>0</v>
      </c>
      <c r="M182" s="21" t="s">
        <v>393</v>
      </c>
      <c r="N182" s="21"/>
      <c r="O182" s="20" t="n">
        <f aca="false">IF($N182="Exit",N($J182),0)</f>
        <v>0</v>
      </c>
      <c r="P182" s="23" t="str">
        <f aca="false">IF($F182="","",MID(IF($G182="",", career level","")&amp;IF($I182="",", nationality mandate","")&amp;IF($N182="",", capacity direction","")&amp;IF(N($J182)&lt;=0,", approved HC","")&amp;IF(AND($G182&lt;&gt;"",COUNTIF(CareerLevels,$G182)=0),", a career level that is not on the ladder",""),3,200))</f>
        <v>career level, nationality mandate, capacity direction</v>
      </c>
    </row>
    <row r="183" customFormat="false" ht="15" hidden="false" customHeight="false" outlineLevel="0" collapsed="false">
      <c r="A183" s="21" t="s">
        <v>420</v>
      </c>
      <c r="B183" s="21" t="s">
        <v>165</v>
      </c>
      <c r="C183" s="21" t="s">
        <v>167</v>
      </c>
      <c r="D183" s="21" t="s">
        <v>183</v>
      </c>
      <c r="E183" s="21" t="s">
        <v>189</v>
      </c>
      <c r="F183" s="21" t="s">
        <v>465</v>
      </c>
      <c r="G183" s="21"/>
      <c r="H183" s="21" t="s">
        <v>374</v>
      </c>
      <c r="I183" s="21"/>
      <c r="J183" s="22" t="n">
        <v>1</v>
      </c>
      <c r="K183" s="22" t="n">
        <v>1</v>
      </c>
      <c r="L183" s="22" t="n">
        <v>0</v>
      </c>
      <c r="M183" s="21" t="s">
        <v>363</v>
      </c>
      <c r="N183" s="21"/>
      <c r="O183" s="20" t="n">
        <f aca="false">IF($N183="Exit",N($J183),0)</f>
        <v>0</v>
      </c>
      <c r="P183" s="23" t="str">
        <f aca="false">IF($F183="","",MID(IF($G183="",", career level","")&amp;IF($I183="",", nationality mandate","")&amp;IF($N183="",", capacity direction","")&amp;IF(N($J183)&lt;=0,", approved HC","")&amp;IF(AND($G183&lt;&gt;"",COUNTIF(CareerLevels,$G183)=0),", a career level that is not on the ladder",""),3,200))</f>
        <v>career level, nationality mandate, capacity direction</v>
      </c>
    </row>
    <row r="184" customFormat="false" ht="15" hidden="false" customHeight="false" outlineLevel="0" collapsed="false">
      <c r="A184" s="21" t="s">
        <v>444</v>
      </c>
      <c r="B184" s="21" t="s">
        <v>165</v>
      </c>
      <c r="C184" s="21" t="s">
        <v>167</v>
      </c>
      <c r="D184" s="21" t="s">
        <v>183</v>
      </c>
      <c r="E184" s="21" t="s">
        <v>189</v>
      </c>
      <c r="F184" s="21" t="s">
        <v>466</v>
      </c>
      <c r="G184" s="21"/>
      <c r="H184" s="21" t="s">
        <v>374</v>
      </c>
      <c r="I184" s="21"/>
      <c r="J184" s="22" t="n">
        <v>1</v>
      </c>
      <c r="K184" s="22" t="n">
        <v>1</v>
      </c>
      <c r="L184" s="22" t="n">
        <v>0</v>
      </c>
      <c r="M184" s="21" t="s">
        <v>363</v>
      </c>
      <c r="N184" s="21"/>
      <c r="O184" s="20" t="n">
        <f aca="false">IF($N184="Exit",N($J184),0)</f>
        <v>0</v>
      </c>
      <c r="P184" s="23" t="str">
        <f aca="false">IF($F184="","",MID(IF($G184="",", career level","")&amp;IF($I184="",", nationality mandate","")&amp;IF($N184="",", capacity direction","")&amp;IF(N($J184)&lt;=0,", approved HC","")&amp;IF(AND($G184&lt;&gt;"",COUNTIF(CareerLevels,$G184)=0),", a career level that is not on the ladder",""),3,200))</f>
        <v>career level, nationality mandate, capacity direction</v>
      </c>
    </row>
    <row r="185" customFormat="false" ht="15" hidden="false" customHeight="false" outlineLevel="0" collapsed="false">
      <c r="A185" s="21" t="s">
        <v>443</v>
      </c>
      <c r="B185" s="21" t="s">
        <v>165</v>
      </c>
      <c r="C185" s="21" t="s">
        <v>167</v>
      </c>
      <c r="D185" s="21" t="s">
        <v>183</v>
      </c>
      <c r="E185" s="21" t="s">
        <v>189</v>
      </c>
      <c r="F185" s="21" t="s">
        <v>467</v>
      </c>
      <c r="G185" s="21"/>
      <c r="H185" s="21" t="s">
        <v>374</v>
      </c>
      <c r="I185" s="21"/>
      <c r="J185" s="22" t="n">
        <v>1</v>
      </c>
      <c r="K185" s="22" t="n">
        <v>0</v>
      </c>
      <c r="L185" s="22" t="n">
        <v>1</v>
      </c>
      <c r="M185" s="21" t="s">
        <v>363</v>
      </c>
      <c r="N185" s="21"/>
      <c r="O185" s="20" t="n">
        <f aca="false">IF($N185="Exit",N($J185),0)</f>
        <v>0</v>
      </c>
      <c r="P185" s="23" t="str">
        <f aca="false">IF($F185="","",MID(IF($G185="",", career level","")&amp;IF($I185="",", nationality mandate","")&amp;IF($N185="",", capacity direction","")&amp;IF(N($J185)&lt;=0,", approved HC","")&amp;IF(AND($G185&lt;&gt;"",COUNTIF(CareerLevels,$G185)=0),", a career level that is not on the ladder",""),3,200))</f>
        <v>career level, nationality mandate, capacity direction</v>
      </c>
    </row>
    <row r="186" customFormat="false" ht="15" hidden="false" customHeight="false" outlineLevel="0" collapsed="false">
      <c r="A186" s="21" t="s">
        <v>384</v>
      </c>
      <c r="B186" s="21" t="s">
        <v>165</v>
      </c>
      <c r="C186" s="21" t="s">
        <v>167</v>
      </c>
      <c r="D186" s="21" t="s">
        <v>183</v>
      </c>
      <c r="E186" s="21" t="s">
        <v>189</v>
      </c>
      <c r="F186" s="21" t="s">
        <v>469</v>
      </c>
      <c r="G186" s="21"/>
      <c r="H186" s="21" t="s">
        <v>374</v>
      </c>
      <c r="I186" s="21"/>
      <c r="J186" s="22" t="n">
        <v>1</v>
      </c>
      <c r="K186" s="22" t="n">
        <v>0</v>
      </c>
      <c r="L186" s="22" t="n">
        <v>1</v>
      </c>
      <c r="M186" s="21" t="s">
        <v>393</v>
      </c>
      <c r="N186" s="21"/>
      <c r="O186" s="20" t="n">
        <f aca="false">IF($N186="Exit",N($J186),0)</f>
        <v>0</v>
      </c>
      <c r="P186" s="23" t="str">
        <f aca="false">IF($F186="","",MID(IF($G186="",", career level","")&amp;IF($I186="",", nationality mandate","")&amp;IF($N186="",", capacity direction","")&amp;IF(N($J186)&lt;=0,", approved HC","")&amp;IF(AND($G186&lt;&gt;"",COUNTIF(CareerLevels,$G186)=0),", a career level that is not on the ladder",""),3,200))</f>
        <v>career level, nationality mandate, capacity direction</v>
      </c>
    </row>
    <row r="187" customFormat="false" ht="15" hidden="false" customHeight="false" outlineLevel="0" collapsed="false">
      <c r="A187" s="21" t="s">
        <v>375</v>
      </c>
      <c r="B187" s="21" t="s">
        <v>165</v>
      </c>
      <c r="C187" s="21" t="s">
        <v>167</v>
      </c>
      <c r="D187" s="21" t="s">
        <v>183</v>
      </c>
      <c r="E187" s="21" t="s">
        <v>189</v>
      </c>
      <c r="F187" s="21" t="s">
        <v>468</v>
      </c>
      <c r="G187" s="21"/>
      <c r="H187" s="21" t="s">
        <v>371</v>
      </c>
      <c r="I187" s="21"/>
      <c r="J187" s="22" t="n">
        <v>1</v>
      </c>
      <c r="K187" s="22" t="n">
        <v>1</v>
      </c>
      <c r="L187" s="22" t="n">
        <v>0</v>
      </c>
      <c r="M187" s="21" t="s">
        <v>363</v>
      </c>
      <c r="N187" s="21"/>
      <c r="O187" s="20" t="n">
        <f aca="false">IF($N187="Exit",N($J187),0)</f>
        <v>0</v>
      </c>
      <c r="P187" s="23" t="str">
        <f aca="false">IF($F187="","",MID(IF($G187="",", career level","")&amp;IF($I187="",", nationality mandate","")&amp;IF($N187="",", capacity direction","")&amp;IF(N($J187)&lt;=0,", approved HC","")&amp;IF(AND($G187&lt;&gt;"",COUNTIF(CareerLevels,$G187)=0),", a career level that is not on the ladder",""),3,200))</f>
        <v>career level, nationality mandate, capacity direction</v>
      </c>
    </row>
    <row r="188" customFormat="false" ht="15" hidden="false" customHeight="false" outlineLevel="0" collapsed="false">
      <c r="A188" s="21" t="s">
        <v>414</v>
      </c>
      <c r="B188" s="21" t="s">
        <v>165</v>
      </c>
      <c r="C188" s="21" t="s">
        <v>193</v>
      </c>
      <c r="D188" s="21"/>
      <c r="E188" s="21"/>
      <c r="F188" s="21" t="s">
        <v>470</v>
      </c>
      <c r="G188" s="21"/>
      <c r="H188" s="21" t="s">
        <v>366</v>
      </c>
      <c r="I188" s="21"/>
      <c r="J188" s="22" t="n">
        <v>1</v>
      </c>
      <c r="K188" s="22" t="n">
        <v>1</v>
      </c>
      <c r="L188" s="22" t="n">
        <v>0</v>
      </c>
      <c r="M188" s="21" t="s">
        <v>363</v>
      </c>
      <c r="N188" s="21"/>
      <c r="O188" s="20" t="n">
        <f aca="false">IF($N188="Exit",N($J188),0)</f>
        <v>0</v>
      </c>
      <c r="P188" s="23" t="str">
        <f aca="false">IF($F188="","",MID(IF($G188="",", career level","")&amp;IF($I188="",", nationality mandate","")&amp;IF($N188="",", capacity direction","")&amp;IF(N($J188)&lt;=0,", approved HC","")&amp;IF(AND($G188&lt;&gt;"",COUNTIF(CareerLevels,$G188)=0),", a career level that is not on the ladder",""),3,200))</f>
        <v>career level, nationality mandate, capacity direction</v>
      </c>
    </row>
    <row r="189" customFormat="false" ht="15" hidden="false" customHeight="false" outlineLevel="0" collapsed="false">
      <c r="A189" s="21" t="s">
        <v>391</v>
      </c>
      <c r="B189" s="21" t="s">
        <v>165</v>
      </c>
      <c r="C189" s="21" t="s">
        <v>193</v>
      </c>
      <c r="D189" s="21" t="s">
        <v>195</v>
      </c>
      <c r="E189" s="21"/>
      <c r="F189" s="21" t="s">
        <v>471</v>
      </c>
      <c r="G189" s="21"/>
      <c r="H189" s="21" t="s">
        <v>371</v>
      </c>
      <c r="I189" s="21"/>
      <c r="J189" s="22" t="n">
        <v>1</v>
      </c>
      <c r="K189" s="22" t="n">
        <v>1</v>
      </c>
      <c r="L189" s="22" t="n">
        <v>0</v>
      </c>
      <c r="M189" s="21" t="s">
        <v>363</v>
      </c>
      <c r="N189" s="21"/>
      <c r="O189" s="20" t="n">
        <f aca="false">IF($N189="Exit",N($J189),0)</f>
        <v>0</v>
      </c>
      <c r="P189" s="23" t="str">
        <f aca="false">IF($F189="","",MID(IF($G189="",", career level","")&amp;IF($I189="",", nationality mandate","")&amp;IF($N189="",", capacity direction","")&amp;IF(N($J189)&lt;=0,", approved HC","")&amp;IF(AND($G189&lt;&gt;"",COUNTIF(CareerLevels,$G189)=0),", a career level that is not on the ladder",""),3,200))</f>
        <v>career level, nationality mandate, capacity direction</v>
      </c>
    </row>
    <row r="190" customFormat="false" ht="15" hidden="false" customHeight="false" outlineLevel="0" collapsed="false">
      <c r="A190" s="21" t="s">
        <v>398</v>
      </c>
      <c r="B190" s="21" t="s">
        <v>165</v>
      </c>
      <c r="C190" s="21" t="s">
        <v>193</v>
      </c>
      <c r="D190" s="21" t="s">
        <v>195</v>
      </c>
      <c r="E190" s="21" t="s">
        <v>197</v>
      </c>
      <c r="F190" s="21" t="s">
        <v>472</v>
      </c>
      <c r="G190" s="21"/>
      <c r="H190" s="21" t="s">
        <v>374</v>
      </c>
      <c r="I190" s="21"/>
      <c r="J190" s="22" t="n">
        <v>1</v>
      </c>
      <c r="K190" s="22" t="n">
        <v>1</v>
      </c>
      <c r="L190" s="22" t="n">
        <v>0</v>
      </c>
      <c r="M190" s="21" t="s">
        <v>363</v>
      </c>
      <c r="N190" s="21"/>
      <c r="O190" s="20" t="n">
        <f aca="false">IF($N190="Exit",N($J190),0)</f>
        <v>0</v>
      </c>
      <c r="P190" s="23" t="str">
        <f aca="false">IF($F190="","",MID(IF($G190="",", career level","")&amp;IF($I190="",", nationality mandate","")&amp;IF($N190="",", capacity direction","")&amp;IF(N($J190)&lt;=0,", approved HC","")&amp;IF(AND($G190&lt;&gt;"",COUNTIF(CareerLevels,$G190)=0),", a career level that is not on the ladder",""),3,200))</f>
        <v>career level, nationality mandate, capacity direction</v>
      </c>
    </row>
    <row r="191" customFormat="false" ht="15" hidden="false" customHeight="false" outlineLevel="0" collapsed="false">
      <c r="A191" s="21" t="s">
        <v>437</v>
      </c>
      <c r="B191" s="21" t="s">
        <v>165</v>
      </c>
      <c r="C191" s="21" t="s">
        <v>193</v>
      </c>
      <c r="D191" s="21" t="s">
        <v>195</v>
      </c>
      <c r="E191" s="21" t="s">
        <v>197</v>
      </c>
      <c r="F191" s="21" t="s">
        <v>473</v>
      </c>
      <c r="G191" s="21"/>
      <c r="H191" s="21" t="s">
        <v>374</v>
      </c>
      <c r="I191" s="21"/>
      <c r="J191" s="22" t="n">
        <v>1</v>
      </c>
      <c r="K191" s="22" t="n">
        <v>1</v>
      </c>
      <c r="L191" s="22" t="n">
        <v>0</v>
      </c>
      <c r="M191" s="21" t="s">
        <v>363</v>
      </c>
      <c r="N191" s="21"/>
      <c r="O191" s="20" t="n">
        <f aca="false">IF($N191="Exit",N($J191),0)</f>
        <v>0</v>
      </c>
      <c r="P191" s="23" t="str">
        <f aca="false">IF($F191="","",MID(IF($G191="",", career level","")&amp;IF($I191="",", nationality mandate","")&amp;IF($N191="",", capacity direction","")&amp;IF(N($J191)&lt;=0,", approved HC","")&amp;IF(AND($G191&lt;&gt;"",COUNTIF(CareerLevels,$G191)=0),", a career level that is not on the ladder",""),3,200))</f>
        <v>career level, nationality mandate, capacity direction</v>
      </c>
    </row>
    <row r="192" customFormat="false" ht="15" hidden="false" customHeight="false" outlineLevel="0" collapsed="false">
      <c r="A192" s="21" t="s">
        <v>396</v>
      </c>
      <c r="B192" s="21" t="s">
        <v>165</v>
      </c>
      <c r="C192" s="21" t="s">
        <v>193</v>
      </c>
      <c r="D192" s="21" t="s">
        <v>195</v>
      </c>
      <c r="E192" s="21" t="s">
        <v>197</v>
      </c>
      <c r="F192" s="21" t="s">
        <v>473</v>
      </c>
      <c r="G192" s="21"/>
      <c r="H192" s="21" t="s">
        <v>374</v>
      </c>
      <c r="I192" s="21"/>
      <c r="J192" s="22" t="n">
        <v>1</v>
      </c>
      <c r="K192" s="22" t="n">
        <v>1</v>
      </c>
      <c r="L192" s="22" t="n">
        <v>0</v>
      </c>
      <c r="M192" s="21" t="s">
        <v>363</v>
      </c>
      <c r="N192" s="21"/>
      <c r="O192" s="20" t="n">
        <f aca="false">IF($N192="Exit",N($J192),0)</f>
        <v>0</v>
      </c>
      <c r="P192" s="23" t="str">
        <f aca="false">IF($F192="","",MID(IF($G192="",", career level","")&amp;IF($I192="",", nationality mandate","")&amp;IF($N192="",", capacity direction","")&amp;IF(N($J192)&lt;=0,", approved HC","")&amp;IF(AND($G192&lt;&gt;"",COUNTIF(CareerLevels,$G192)=0),", a career level that is not on the ladder",""),3,200))</f>
        <v>career level, nationality mandate, capacity direction</v>
      </c>
    </row>
    <row r="193" customFormat="false" ht="15" hidden="false" customHeight="false" outlineLevel="0" collapsed="false">
      <c r="A193" s="21" t="s">
        <v>446</v>
      </c>
      <c r="B193" s="21" t="s">
        <v>165</v>
      </c>
      <c r="C193" s="21" t="s">
        <v>193</v>
      </c>
      <c r="D193" s="21" t="s">
        <v>195</v>
      </c>
      <c r="E193" s="21" t="s">
        <v>197</v>
      </c>
      <c r="F193" s="21" t="s">
        <v>474</v>
      </c>
      <c r="G193" s="21"/>
      <c r="H193" s="21" t="s">
        <v>374</v>
      </c>
      <c r="I193" s="21"/>
      <c r="J193" s="22" t="n">
        <v>1</v>
      </c>
      <c r="K193" s="22" t="n">
        <v>1</v>
      </c>
      <c r="L193" s="22" t="n">
        <v>0</v>
      </c>
      <c r="M193" s="21" t="s">
        <v>363</v>
      </c>
      <c r="N193" s="21"/>
      <c r="O193" s="20" t="n">
        <f aca="false">IF($N193="Exit",N($J193),0)</f>
        <v>0</v>
      </c>
      <c r="P193" s="23" t="str">
        <f aca="false">IF($F193="","",MID(IF($G193="",", career level","")&amp;IF($I193="",", nationality mandate","")&amp;IF($N193="",", capacity direction","")&amp;IF(N($J193)&lt;=0,", approved HC","")&amp;IF(AND($G193&lt;&gt;"",COUNTIF(CareerLevels,$G193)=0),", a career level that is not on the ladder",""),3,200))</f>
        <v>career level, nationality mandate, capacity direction</v>
      </c>
    </row>
    <row r="194" customFormat="false" ht="15" hidden="false" customHeight="false" outlineLevel="0" collapsed="false">
      <c r="A194" s="21" t="s">
        <v>447</v>
      </c>
      <c r="B194" s="21" t="s">
        <v>165</v>
      </c>
      <c r="C194" s="21" t="s">
        <v>193</v>
      </c>
      <c r="D194" s="21" t="s">
        <v>195</v>
      </c>
      <c r="E194" s="21" t="s">
        <v>197</v>
      </c>
      <c r="F194" s="21" t="s">
        <v>474</v>
      </c>
      <c r="G194" s="21"/>
      <c r="H194" s="21" t="s">
        <v>374</v>
      </c>
      <c r="I194" s="21"/>
      <c r="J194" s="22" t="n">
        <v>1</v>
      </c>
      <c r="K194" s="22" t="n">
        <v>1</v>
      </c>
      <c r="L194" s="22" t="n">
        <v>0</v>
      </c>
      <c r="M194" s="21" t="s">
        <v>363</v>
      </c>
      <c r="N194" s="21"/>
      <c r="O194" s="20" t="n">
        <f aca="false">IF($N194="Exit",N($J194),0)</f>
        <v>0</v>
      </c>
      <c r="P194" s="23" t="str">
        <f aca="false">IF($F194="","",MID(IF($G194="",", career level","")&amp;IF($I194="",", nationality mandate","")&amp;IF($N194="",", capacity direction","")&amp;IF(N($J194)&lt;=0,", approved HC","")&amp;IF(AND($G194&lt;&gt;"",COUNTIF(CareerLevels,$G194)=0),", a career level that is not on the ladder",""),3,200))</f>
        <v>career level, nationality mandate, capacity direction</v>
      </c>
    </row>
    <row r="195" customFormat="false" ht="15" hidden="false" customHeight="false" outlineLevel="0" collapsed="false">
      <c r="A195" s="21" t="s">
        <v>475</v>
      </c>
      <c r="B195" s="21" t="s">
        <v>165</v>
      </c>
      <c r="C195" s="21" t="s">
        <v>193</v>
      </c>
      <c r="D195" s="21" t="s">
        <v>195</v>
      </c>
      <c r="E195" s="21" t="s">
        <v>197</v>
      </c>
      <c r="F195" s="21" t="s">
        <v>476</v>
      </c>
      <c r="G195" s="21"/>
      <c r="H195" s="21" t="s">
        <v>374</v>
      </c>
      <c r="I195" s="21"/>
      <c r="J195" s="22" t="n">
        <v>1</v>
      </c>
      <c r="K195" s="22" t="n">
        <v>0</v>
      </c>
      <c r="L195" s="22" t="n">
        <v>1</v>
      </c>
      <c r="M195" s="21" t="s">
        <v>363</v>
      </c>
      <c r="N195" s="21"/>
      <c r="O195" s="20" t="n">
        <f aca="false">IF($N195="Exit",N($J195),0)</f>
        <v>0</v>
      </c>
      <c r="P195" s="23" t="str">
        <f aca="false">IF($F195="","",MID(IF($G195="",", career level","")&amp;IF($I195="",", nationality mandate","")&amp;IF($N195="",", capacity direction","")&amp;IF(N($J195)&lt;=0,", approved HC","")&amp;IF(AND($G195&lt;&gt;"",COUNTIF(CareerLevels,$G195)=0),", a career level that is not on the ladder",""),3,200))</f>
        <v>career level, nationality mandate, capacity direction</v>
      </c>
    </row>
    <row r="196" customFormat="false" ht="15" hidden="false" customHeight="false" outlineLevel="0" collapsed="false">
      <c r="A196" s="21" t="s">
        <v>408</v>
      </c>
      <c r="B196" s="21" t="s">
        <v>165</v>
      </c>
      <c r="C196" s="21" t="s">
        <v>193</v>
      </c>
      <c r="D196" s="21" t="s">
        <v>195</v>
      </c>
      <c r="E196" s="21" t="s">
        <v>197</v>
      </c>
      <c r="F196" s="21" t="s">
        <v>477</v>
      </c>
      <c r="G196" s="21"/>
      <c r="H196" s="21" t="s">
        <v>374</v>
      </c>
      <c r="I196" s="21"/>
      <c r="J196" s="22" t="n">
        <v>1</v>
      </c>
      <c r="K196" s="22" t="n">
        <v>1</v>
      </c>
      <c r="L196" s="22" t="n">
        <v>0</v>
      </c>
      <c r="M196" s="21" t="s">
        <v>363</v>
      </c>
      <c r="N196" s="21"/>
      <c r="O196" s="20" t="n">
        <f aca="false">IF($N196="Exit",N($J196),0)</f>
        <v>0</v>
      </c>
      <c r="P196" s="23" t="str">
        <f aca="false">IF($F196="","",MID(IF($G196="",", career level","")&amp;IF($I196="",", nationality mandate","")&amp;IF($N196="",", capacity direction","")&amp;IF(N($J196)&lt;=0,", approved HC","")&amp;IF(AND($G196&lt;&gt;"",COUNTIF(CareerLevels,$G196)=0),", a career level that is not on the ladder",""),3,200))</f>
        <v>career level, nationality mandate, capacity direction</v>
      </c>
    </row>
    <row r="197" customFormat="false" ht="15" hidden="false" customHeight="false" outlineLevel="0" collapsed="false">
      <c r="A197" s="21" t="s">
        <v>422</v>
      </c>
      <c r="B197" s="21" t="s">
        <v>165</v>
      </c>
      <c r="C197" s="21" t="s">
        <v>193</v>
      </c>
      <c r="D197" s="21" t="s">
        <v>195</v>
      </c>
      <c r="E197" s="21" t="s">
        <v>197</v>
      </c>
      <c r="F197" s="21" t="s">
        <v>477</v>
      </c>
      <c r="G197" s="21"/>
      <c r="H197" s="21" t="s">
        <v>374</v>
      </c>
      <c r="I197" s="21"/>
      <c r="J197" s="22" t="n">
        <v>1</v>
      </c>
      <c r="K197" s="22" t="n">
        <v>1</v>
      </c>
      <c r="L197" s="22" t="n">
        <v>0</v>
      </c>
      <c r="M197" s="21" t="s">
        <v>363</v>
      </c>
      <c r="N197" s="21"/>
      <c r="O197" s="20" t="n">
        <f aca="false">IF($N197="Exit",N($J197),0)</f>
        <v>0</v>
      </c>
      <c r="P197" s="23" t="str">
        <f aca="false">IF($F197="","",MID(IF($G197="",", career level","")&amp;IF($I197="",", nationality mandate","")&amp;IF($N197="",", capacity direction","")&amp;IF(N($J197)&lt;=0,", approved HC","")&amp;IF(AND($G197&lt;&gt;"",COUNTIF(CareerLevels,$G197)=0),", a career level that is not on the ladder",""),3,200))</f>
        <v>career level, nationality mandate, capacity direction</v>
      </c>
    </row>
    <row r="198" customFormat="false" ht="15" hidden="false" customHeight="false" outlineLevel="0" collapsed="false">
      <c r="A198" s="21" t="s">
        <v>478</v>
      </c>
      <c r="B198" s="21" t="s">
        <v>165</v>
      </c>
      <c r="C198" s="21" t="s">
        <v>193</v>
      </c>
      <c r="D198" s="21" t="s">
        <v>195</v>
      </c>
      <c r="E198" s="21" t="s">
        <v>197</v>
      </c>
      <c r="F198" s="21" t="s">
        <v>479</v>
      </c>
      <c r="G198" s="21"/>
      <c r="H198" s="21" t="s">
        <v>371</v>
      </c>
      <c r="I198" s="21"/>
      <c r="J198" s="22" t="n">
        <v>1</v>
      </c>
      <c r="K198" s="22" t="n">
        <v>1</v>
      </c>
      <c r="L198" s="22" t="n">
        <v>0</v>
      </c>
      <c r="M198" s="21" t="s">
        <v>363</v>
      </c>
      <c r="N198" s="21"/>
      <c r="O198" s="20" t="n">
        <f aca="false">IF($N198="Exit",N($J198),0)</f>
        <v>0</v>
      </c>
      <c r="P198" s="23" t="str">
        <f aca="false">IF($F198="","",MID(IF($G198="",", career level","")&amp;IF($I198="",", nationality mandate","")&amp;IF($N198="",", capacity direction","")&amp;IF(N($J198)&lt;=0,", approved HC","")&amp;IF(AND($G198&lt;&gt;"",COUNTIF(CareerLevels,$G198)=0),", a career level that is not on the ladder",""),3,200))</f>
        <v>career level, nationality mandate, capacity direction</v>
      </c>
    </row>
    <row r="199" customFormat="false" ht="15" hidden="false" customHeight="false" outlineLevel="0" collapsed="false">
      <c r="A199" s="21" t="s">
        <v>404</v>
      </c>
      <c r="B199" s="21" t="s">
        <v>165</v>
      </c>
      <c r="C199" s="21" t="s">
        <v>193</v>
      </c>
      <c r="D199" s="21" t="s">
        <v>195</v>
      </c>
      <c r="E199" s="21" t="s">
        <v>203</v>
      </c>
      <c r="F199" s="21" t="s">
        <v>480</v>
      </c>
      <c r="G199" s="21"/>
      <c r="H199" s="21" t="s">
        <v>374</v>
      </c>
      <c r="I199" s="21"/>
      <c r="J199" s="22" t="n">
        <v>1</v>
      </c>
      <c r="K199" s="22" t="n">
        <v>1</v>
      </c>
      <c r="L199" s="22" t="n">
        <v>0</v>
      </c>
      <c r="M199" s="21" t="s">
        <v>393</v>
      </c>
      <c r="N199" s="21"/>
      <c r="O199" s="20" t="n">
        <f aca="false">IF($N199="Exit",N($J199),0)</f>
        <v>0</v>
      </c>
      <c r="P199" s="23" t="str">
        <f aca="false">IF($F199="","",MID(IF($G199="",", career level","")&amp;IF($I199="",", nationality mandate","")&amp;IF($N199="",", capacity direction","")&amp;IF(N($J199)&lt;=0,", approved HC","")&amp;IF(AND($G199&lt;&gt;"",COUNTIF(CareerLevels,$G199)=0),", a career level that is not on the ladder",""),3,200))</f>
        <v>career level, nationality mandate, capacity direction</v>
      </c>
    </row>
    <row r="200" customFormat="false" ht="15" hidden="false" customHeight="false" outlineLevel="0" collapsed="false">
      <c r="A200" s="21" t="s">
        <v>392</v>
      </c>
      <c r="B200" s="21" t="s">
        <v>165</v>
      </c>
      <c r="C200" s="21" t="s">
        <v>193</v>
      </c>
      <c r="D200" s="21" t="s">
        <v>195</v>
      </c>
      <c r="E200" s="21" t="s">
        <v>203</v>
      </c>
      <c r="F200" s="21" t="s">
        <v>480</v>
      </c>
      <c r="G200" s="21"/>
      <c r="H200" s="21" t="s">
        <v>374</v>
      </c>
      <c r="I200" s="21"/>
      <c r="J200" s="22" t="n">
        <v>1</v>
      </c>
      <c r="K200" s="22" t="n">
        <v>1</v>
      </c>
      <c r="L200" s="22" t="n">
        <v>0</v>
      </c>
      <c r="M200" s="21" t="s">
        <v>363</v>
      </c>
      <c r="N200" s="21"/>
      <c r="O200" s="20" t="n">
        <f aca="false">IF($N200="Exit",N($J200),0)</f>
        <v>0</v>
      </c>
      <c r="P200" s="23" t="str">
        <f aca="false">IF($F200="","",MID(IF($G200="",", career level","")&amp;IF($I200="",", nationality mandate","")&amp;IF($N200="",", capacity direction","")&amp;IF(N($J200)&lt;=0,", approved HC","")&amp;IF(AND($G200&lt;&gt;"",COUNTIF(CareerLevels,$G200)=0),", a career level that is not on the ladder",""),3,200))</f>
        <v>career level, nationality mandate, capacity direction</v>
      </c>
    </row>
    <row r="201" customFormat="false" ht="15" hidden="false" customHeight="false" outlineLevel="0" collapsed="false">
      <c r="A201" s="21" t="s">
        <v>360</v>
      </c>
      <c r="B201" s="21" t="s">
        <v>165</v>
      </c>
      <c r="C201" s="21" t="s">
        <v>193</v>
      </c>
      <c r="D201" s="21" t="s">
        <v>195</v>
      </c>
      <c r="E201" s="21" t="s">
        <v>203</v>
      </c>
      <c r="F201" s="21" t="s">
        <v>472</v>
      </c>
      <c r="G201" s="21"/>
      <c r="H201" s="21" t="s">
        <v>374</v>
      </c>
      <c r="I201" s="21"/>
      <c r="J201" s="22" t="n">
        <v>1</v>
      </c>
      <c r="K201" s="22" t="n">
        <v>1</v>
      </c>
      <c r="L201" s="22" t="n">
        <v>0</v>
      </c>
      <c r="M201" s="21" t="s">
        <v>363</v>
      </c>
      <c r="N201" s="21"/>
      <c r="O201" s="20" t="n">
        <f aca="false">IF($N201="Exit",N($J201),0)</f>
        <v>0</v>
      </c>
      <c r="P201" s="23" t="str">
        <f aca="false">IF($F201="","",MID(IF($G201="",", career level","")&amp;IF($I201="",", nationality mandate","")&amp;IF($N201="",", capacity direction","")&amp;IF(N($J201)&lt;=0,", approved HC","")&amp;IF(AND($G201&lt;&gt;"",COUNTIF(CareerLevels,$G201)=0),", a career level that is not on the ladder",""),3,200))</f>
        <v>career level, nationality mandate, capacity direction</v>
      </c>
    </row>
    <row r="202" customFormat="false" ht="15" hidden="false" customHeight="false" outlineLevel="0" collapsed="false">
      <c r="A202" s="21" t="s">
        <v>383</v>
      </c>
      <c r="B202" s="21" t="s">
        <v>165</v>
      </c>
      <c r="C202" s="21" t="s">
        <v>193</v>
      </c>
      <c r="D202" s="21" t="s">
        <v>195</v>
      </c>
      <c r="E202" s="21" t="s">
        <v>203</v>
      </c>
      <c r="F202" s="21" t="s">
        <v>472</v>
      </c>
      <c r="G202" s="21"/>
      <c r="H202" s="21" t="s">
        <v>374</v>
      </c>
      <c r="I202" s="21"/>
      <c r="J202" s="22" t="n">
        <v>1</v>
      </c>
      <c r="K202" s="22" t="n">
        <v>0</v>
      </c>
      <c r="L202" s="22" t="n">
        <v>1</v>
      </c>
      <c r="M202" s="21" t="s">
        <v>363</v>
      </c>
      <c r="N202" s="21"/>
      <c r="O202" s="20" t="n">
        <f aca="false">IF($N202="Exit",N($J202),0)</f>
        <v>0</v>
      </c>
      <c r="P202" s="23" t="str">
        <f aca="false">IF($F202="","",MID(IF($G202="",", career level","")&amp;IF($I202="",", nationality mandate","")&amp;IF($N202="",", capacity direction","")&amp;IF(N($J202)&lt;=0,", approved HC","")&amp;IF(AND($G202&lt;&gt;"",COUNTIF(CareerLevels,$G202)=0),", a career level that is not on the ladder",""),3,200))</f>
        <v>career level, nationality mandate, capacity direction</v>
      </c>
    </row>
    <row r="203" customFormat="false" ht="15" hidden="false" customHeight="false" outlineLevel="0" collapsed="false">
      <c r="A203" s="21" t="s">
        <v>424</v>
      </c>
      <c r="B203" s="21" t="s">
        <v>165</v>
      </c>
      <c r="C203" s="21" t="s">
        <v>193</v>
      </c>
      <c r="D203" s="21" t="s">
        <v>195</v>
      </c>
      <c r="E203" s="21" t="s">
        <v>203</v>
      </c>
      <c r="F203" s="21" t="s">
        <v>473</v>
      </c>
      <c r="G203" s="21"/>
      <c r="H203" s="21" t="s">
        <v>374</v>
      </c>
      <c r="I203" s="21"/>
      <c r="J203" s="22" t="n">
        <v>1</v>
      </c>
      <c r="K203" s="22" t="n">
        <v>0</v>
      </c>
      <c r="L203" s="22" t="n">
        <v>1</v>
      </c>
      <c r="M203" s="21" t="s">
        <v>363</v>
      </c>
      <c r="N203" s="21"/>
      <c r="O203" s="20" t="n">
        <f aca="false">IF($N203="Exit",N($J203),0)</f>
        <v>0</v>
      </c>
      <c r="P203" s="23" t="str">
        <f aca="false">IF($F203="","",MID(IF($G203="",", career level","")&amp;IF($I203="",", nationality mandate","")&amp;IF($N203="",", capacity direction","")&amp;IF(N($J203)&lt;=0,", approved HC","")&amp;IF(AND($G203&lt;&gt;"",COUNTIF(CareerLevels,$G203)=0),", a career level that is not on the ladder",""),3,200))</f>
        <v>career level, nationality mandate, capacity direction</v>
      </c>
    </row>
    <row r="204" customFormat="false" ht="15" hidden="false" customHeight="false" outlineLevel="0" collapsed="false">
      <c r="A204" s="21" t="s">
        <v>481</v>
      </c>
      <c r="B204" s="21" t="s">
        <v>165</v>
      </c>
      <c r="C204" s="21" t="s">
        <v>193</v>
      </c>
      <c r="D204" s="21" t="s">
        <v>195</v>
      </c>
      <c r="E204" s="21" t="s">
        <v>203</v>
      </c>
      <c r="F204" s="21" t="s">
        <v>476</v>
      </c>
      <c r="G204" s="21"/>
      <c r="H204" s="21" t="s">
        <v>374</v>
      </c>
      <c r="I204" s="21"/>
      <c r="J204" s="22" t="n">
        <v>1</v>
      </c>
      <c r="K204" s="22" t="n">
        <v>1</v>
      </c>
      <c r="L204" s="22" t="n">
        <v>0</v>
      </c>
      <c r="M204" s="21" t="s">
        <v>363</v>
      </c>
      <c r="N204" s="21"/>
      <c r="O204" s="20" t="n">
        <f aca="false">IF($N204="Exit",N($J204),0)</f>
        <v>0</v>
      </c>
      <c r="P204" s="23" t="str">
        <f aca="false">IF($F204="","",MID(IF($G204="",", career level","")&amp;IF($I204="",", nationality mandate","")&amp;IF($N204="",", capacity direction","")&amp;IF(N($J204)&lt;=0,", approved HC","")&amp;IF(AND($G204&lt;&gt;"",COUNTIF(CareerLevels,$G204)=0),", a career level that is not on the ladder",""),3,200))</f>
        <v>career level, nationality mandate, capacity direction</v>
      </c>
    </row>
    <row r="205" customFormat="false" ht="15" hidden="false" customHeight="false" outlineLevel="0" collapsed="false">
      <c r="A205" s="21" t="s">
        <v>445</v>
      </c>
      <c r="B205" s="21" t="s">
        <v>165</v>
      </c>
      <c r="C205" s="21" t="s">
        <v>193</v>
      </c>
      <c r="D205" s="21" t="s">
        <v>195</v>
      </c>
      <c r="E205" s="21" t="s">
        <v>203</v>
      </c>
      <c r="F205" s="21" t="s">
        <v>477</v>
      </c>
      <c r="G205" s="21"/>
      <c r="H205" s="21" t="s">
        <v>374</v>
      </c>
      <c r="I205" s="21"/>
      <c r="J205" s="22" t="n">
        <v>1</v>
      </c>
      <c r="K205" s="22" t="n">
        <v>1</v>
      </c>
      <c r="L205" s="22" t="n">
        <v>0</v>
      </c>
      <c r="M205" s="21" t="s">
        <v>363</v>
      </c>
      <c r="N205" s="21"/>
      <c r="O205" s="20" t="n">
        <f aca="false">IF($N205="Exit",N($J205),0)</f>
        <v>0</v>
      </c>
      <c r="P205" s="23" t="str">
        <f aca="false">IF($F205="","",MID(IF($G205="",", career level","")&amp;IF($I205="",", nationality mandate","")&amp;IF($N205="",", capacity direction","")&amp;IF(N($J205)&lt;=0,", approved HC","")&amp;IF(AND($G205&lt;&gt;"",COUNTIF(CareerLevels,$G205)=0),", a career level that is not on the ladder",""),3,200))</f>
        <v>career level, nationality mandate, capacity direction</v>
      </c>
    </row>
    <row r="206" customFormat="false" ht="15" hidden="false" customHeight="false" outlineLevel="0" collapsed="false">
      <c r="A206" s="21" t="s">
        <v>447</v>
      </c>
      <c r="B206" s="21" t="s">
        <v>165</v>
      </c>
      <c r="C206" s="21" t="s">
        <v>193</v>
      </c>
      <c r="D206" s="21" t="s">
        <v>195</v>
      </c>
      <c r="E206" s="21" t="s">
        <v>203</v>
      </c>
      <c r="F206" s="21" t="s">
        <v>479</v>
      </c>
      <c r="G206" s="21"/>
      <c r="H206" s="21" t="s">
        <v>371</v>
      </c>
      <c r="I206" s="21"/>
      <c r="J206" s="22" t="n">
        <v>1</v>
      </c>
      <c r="K206" s="22" t="n">
        <v>1</v>
      </c>
      <c r="L206" s="22" t="n">
        <v>0</v>
      </c>
      <c r="M206" s="21" t="s">
        <v>363</v>
      </c>
      <c r="N206" s="21"/>
      <c r="O206" s="20" t="n">
        <f aca="false">IF($N206="Exit",N($J206),0)</f>
        <v>0</v>
      </c>
      <c r="P206" s="23" t="str">
        <f aca="false">IF($F206="","",MID(IF($G206="",", career level","")&amp;IF($I206="",", nationality mandate","")&amp;IF($N206="",", capacity direction","")&amp;IF(N($J206)&lt;=0,", approved HC","")&amp;IF(AND($G206&lt;&gt;"",COUNTIF(CareerLevels,$G206)=0),", a career level that is not on the ladder",""),3,200))</f>
        <v>career level, nationality mandate, capacity direction</v>
      </c>
    </row>
    <row r="207" customFormat="false" ht="15" hidden="false" customHeight="false" outlineLevel="0" collapsed="false">
      <c r="A207" s="21" t="s">
        <v>367</v>
      </c>
      <c r="B207" s="21" t="s">
        <v>165</v>
      </c>
      <c r="C207" s="21" t="s">
        <v>193</v>
      </c>
      <c r="D207" s="21" t="s">
        <v>209</v>
      </c>
      <c r="E207" s="21"/>
      <c r="F207" s="21" t="s">
        <v>471</v>
      </c>
      <c r="G207" s="21"/>
      <c r="H207" s="21" t="s">
        <v>371</v>
      </c>
      <c r="I207" s="21"/>
      <c r="J207" s="22" t="n">
        <v>1</v>
      </c>
      <c r="K207" s="22" t="n">
        <v>1</v>
      </c>
      <c r="L207" s="22" t="n">
        <v>0</v>
      </c>
      <c r="M207" s="21" t="s">
        <v>363</v>
      </c>
      <c r="N207" s="21"/>
      <c r="O207" s="20" t="n">
        <f aca="false">IF($N207="Exit",N($J207),0)</f>
        <v>0</v>
      </c>
      <c r="P207" s="23" t="str">
        <f aca="false">IF($F207="","",MID(IF($G207="",", career level","")&amp;IF($I207="",", nationality mandate","")&amp;IF($N207="",", capacity direction","")&amp;IF(N($J207)&lt;=0,", approved HC","")&amp;IF(AND($G207&lt;&gt;"",COUNTIF(CareerLevels,$G207)=0),", a career level that is not on the ladder",""),3,200))</f>
        <v>career level, nationality mandate, capacity direction</v>
      </c>
    </row>
    <row r="208" customFormat="false" ht="15" hidden="false" customHeight="false" outlineLevel="0" collapsed="false">
      <c r="A208" s="21" t="s">
        <v>404</v>
      </c>
      <c r="B208" s="21" t="s">
        <v>165</v>
      </c>
      <c r="C208" s="21" t="s">
        <v>193</v>
      </c>
      <c r="D208" s="21" t="s">
        <v>209</v>
      </c>
      <c r="E208" s="21" t="s">
        <v>211</v>
      </c>
      <c r="F208" s="21" t="s">
        <v>480</v>
      </c>
      <c r="G208" s="21"/>
      <c r="H208" s="21" t="s">
        <v>374</v>
      </c>
      <c r="I208" s="21"/>
      <c r="J208" s="22" t="n">
        <v>1</v>
      </c>
      <c r="K208" s="22" t="n">
        <v>1</v>
      </c>
      <c r="L208" s="22" t="n">
        <v>0</v>
      </c>
      <c r="M208" s="21" t="s">
        <v>363</v>
      </c>
      <c r="N208" s="21"/>
      <c r="O208" s="20" t="n">
        <f aca="false">IF($N208="Exit",N($J208),0)</f>
        <v>0</v>
      </c>
      <c r="P208" s="23" t="str">
        <f aca="false">IF($F208="","",MID(IF($G208="",", career level","")&amp;IF($I208="",", nationality mandate","")&amp;IF($N208="",", capacity direction","")&amp;IF(N($J208)&lt;=0,", approved HC","")&amp;IF(AND($G208&lt;&gt;"",COUNTIF(CareerLevels,$G208)=0),", a career level that is not on the ladder",""),3,200))</f>
        <v>career level, nationality mandate, capacity direction</v>
      </c>
    </row>
    <row r="209" customFormat="false" ht="15" hidden="false" customHeight="false" outlineLevel="0" collapsed="false">
      <c r="A209" s="21" t="s">
        <v>417</v>
      </c>
      <c r="B209" s="21" t="s">
        <v>165</v>
      </c>
      <c r="C209" s="21" t="s">
        <v>193</v>
      </c>
      <c r="D209" s="21" t="s">
        <v>209</v>
      </c>
      <c r="E209" s="21" t="s">
        <v>211</v>
      </c>
      <c r="F209" s="21" t="s">
        <v>480</v>
      </c>
      <c r="G209" s="21"/>
      <c r="H209" s="21" t="s">
        <v>374</v>
      </c>
      <c r="I209" s="21"/>
      <c r="J209" s="22" t="n">
        <v>1</v>
      </c>
      <c r="K209" s="22" t="n">
        <v>0</v>
      </c>
      <c r="L209" s="22" t="n">
        <v>1</v>
      </c>
      <c r="M209" s="21" t="s">
        <v>363</v>
      </c>
      <c r="N209" s="21"/>
      <c r="O209" s="20" t="n">
        <f aca="false">IF($N209="Exit",N($J209),0)</f>
        <v>0</v>
      </c>
      <c r="P209" s="23" t="str">
        <f aca="false">IF($F209="","",MID(IF($G209="",", career level","")&amp;IF($I209="",", nationality mandate","")&amp;IF($N209="",", capacity direction","")&amp;IF(N($J209)&lt;=0,", approved HC","")&amp;IF(AND($G209&lt;&gt;"",COUNTIF(CareerLevels,$G209)=0),", a career level that is not on the ladder",""),3,200))</f>
        <v>career level, nationality mandate, capacity direction</v>
      </c>
    </row>
    <row r="210" customFormat="false" ht="15" hidden="false" customHeight="false" outlineLevel="0" collapsed="false">
      <c r="A210" s="21" t="s">
        <v>364</v>
      </c>
      <c r="B210" s="21" t="s">
        <v>165</v>
      </c>
      <c r="C210" s="21" t="s">
        <v>193</v>
      </c>
      <c r="D210" s="21" t="s">
        <v>209</v>
      </c>
      <c r="E210" s="21" t="s">
        <v>211</v>
      </c>
      <c r="F210" s="21" t="s">
        <v>480</v>
      </c>
      <c r="G210" s="21"/>
      <c r="H210" s="21" t="s">
        <v>374</v>
      </c>
      <c r="I210" s="21"/>
      <c r="J210" s="22" t="n">
        <v>1</v>
      </c>
      <c r="K210" s="22" t="n">
        <v>1</v>
      </c>
      <c r="L210" s="22" t="n">
        <v>0</v>
      </c>
      <c r="M210" s="21" t="s">
        <v>363</v>
      </c>
      <c r="N210" s="21"/>
      <c r="O210" s="20" t="n">
        <f aca="false">IF($N210="Exit",N($J210),0)</f>
        <v>0</v>
      </c>
      <c r="P210" s="23" t="str">
        <f aca="false">IF($F210="","",MID(IF($G210="",", career level","")&amp;IF($I210="",", nationality mandate","")&amp;IF($N210="",", capacity direction","")&amp;IF(N($J210)&lt;=0,", approved HC","")&amp;IF(AND($G210&lt;&gt;"",COUNTIF(CareerLevels,$G210)=0),", a career level that is not on the ladder",""),3,200))</f>
        <v>career level, nationality mandate, capacity direction</v>
      </c>
    </row>
    <row r="211" customFormat="false" ht="15" hidden="false" customHeight="false" outlineLevel="0" collapsed="false">
      <c r="A211" s="21" t="s">
        <v>380</v>
      </c>
      <c r="B211" s="21" t="s">
        <v>165</v>
      </c>
      <c r="C211" s="21" t="s">
        <v>193</v>
      </c>
      <c r="D211" s="21" t="s">
        <v>209</v>
      </c>
      <c r="E211" s="21" t="s">
        <v>211</v>
      </c>
      <c r="F211" s="21" t="s">
        <v>472</v>
      </c>
      <c r="G211" s="21"/>
      <c r="H211" s="21" t="s">
        <v>374</v>
      </c>
      <c r="I211" s="21"/>
      <c r="J211" s="22" t="n">
        <v>1</v>
      </c>
      <c r="K211" s="22" t="n">
        <v>1</v>
      </c>
      <c r="L211" s="22" t="n">
        <v>0</v>
      </c>
      <c r="M211" s="21" t="s">
        <v>363</v>
      </c>
      <c r="N211" s="21"/>
      <c r="O211" s="20" t="n">
        <f aca="false">IF($N211="Exit",N($J211),0)</f>
        <v>0</v>
      </c>
      <c r="P211" s="23" t="str">
        <f aca="false">IF($F211="","",MID(IF($G211="",", career level","")&amp;IF($I211="",", nationality mandate","")&amp;IF($N211="",", capacity direction","")&amp;IF(N($J211)&lt;=0,", approved HC","")&amp;IF(AND($G211&lt;&gt;"",COUNTIF(CareerLevels,$G211)=0),", a career level that is not on the ladder",""),3,200))</f>
        <v>career level, nationality mandate, capacity direction</v>
      </c>
    </row>
    <row r="212" customFormat="false" ht="15" hidden="false" customHeight="false" outlineLevel="0" collapsed="false">
      <c r="A212" s="21" t="s">
        <v>482</v>
      </c>
      <c r="B212" s="21" t="s">
        <v>165</v>
      </c>
      <c r="C212" s="21" t="s">
        <v>193</v>
      </c>
      <c r="D212" s="21" t="s">
        <v>209</v>
      </c>
      <c r="E212" s="21" t="s">
        <v>211</v>
      </c>
      <c r="F212" s="21" t="s">
        <v>476</v>
      </c>
      <c r="G212" s="21"/>
      <c r="H212" s="21" t="s">
        <v>374</v>
      </c>
      <c r="I212" s="21"/>
      <c r="J212" s="22" t="n">
        <v>1</v>
      </c>
      <c r="K212" s="22" t="n">
        <v>1</v>
      </c>
      <c r="L212" s="22" t="n">
        <v>0</v>
      </c>
      <c r="M212" s="21" t="s">
        <v>363</v>
      </c>
      <c r="N212" s="21"/>
      <c r="O212" s="20" t="n">
        <f aca="false">IF($N212="Exit",N($J212),0)</f>
        <v>0</v>
      </c>
      <c r="P212" s="23" t="str">
        <f aca="false">IF($F212="","",MID(IF($G212="",", career level","")&amp;IF($I212="",", nationality mandate","")&amp;IF($N212="",", capacity direction","")&amp;IF(N($J212)&lt;=0,", approved HC","")&amp;IF(AND($G212&lt;&gt;"",COUNTIF(CareerLevels,$G212)=0),", a career level that is not on the ladder",""),3,200))</f>
        <v>career level, nationality mandate, capacity direction</v>
      </c>
    </row>
    <row r="213" customFormat="false" ht="15" hidden="false" customHeight="false" outlineLevel="0" collapsed="false">
      <c r="A213" s="21" t="s">
        <v>445</v>
      </c>
      <c r="B213" s="21" t="s">
        <v>165</v>
      </c>
      <c r="C213" s="21" t="s">
        <v>193</v>
      </c>
      <c r="D213" s="21" t="s">
        <v>209</v>
      </c>
      <c r="E213" s="21" t="s">
        <v>211</v>
      </c>
      <c r="F213" s="21" t="s">
        <v>477</v>
      </c>
      <c r="G213" s="21"/>
      <c r="H213" s="21" t="s">
        <v>374</v>
      </c>
      <c r="I213" s="21"/>
      <c r="J213" s="22" t="n">
        <v>1</v>
      </c>
      <c r="K213" s="22" t="n">
        <v>1</v>
      </c>
      <c r="L213" s="22" t="n">
        <v>0</v>
      </c>
      <c r="M213" s="21" t="s">
        <v>363</v>
      </c>
      <c r="N213" s="21"/>
      <c r="O213" s="20" t="n">
        <f aca="false">IF($N213="Exit",N($J213),0)</f>
        <v>0</v>
      </c>
      <c r="P213" s="23" t="str">
        <f aca="false">IF($F213="","",MID(IF($G213="",", career level","")&amp;IF($I213="",", nationality mandate","")&amp;IF($N213="",", capacity direction","")&amp;IF(N($J213)&lt;=0,", approved HC","")&amp;IF(AND($G213&lt;&gt;"",COUNTIF(CareerLevels,$G213)=0),", a career level that is not on the ladder",""),3,200))</f>
        <v>career level, nationality mandate, capacity direction</v>
      </c>
    </row>
    <row r="214" customFormat="false" ht="15" hidden="false" customHeight="false" outlineLevel="0" collapsed="false">
      <c r="A214" s="21" t="s">
        <v>482</v>
      </c>
      <c r="B214" s="21" t="s">
        <v>165</v>
      </c>
      <c r="C214" s="21" t="s">
        <v>193</v>
      </c>
      <c r="D214" s="21" t="s">
        <v>209</v>
      </c>
      <c r="E214" s="21" t="s">
        <v>211</v>
      </c>
      <c r="F214" s="21" t="s">
        <v>477</v>
      </c>
      <c r="G214" s="21"/>
      <c r="H214" s="21" t="s">
        <v>374</v>
      </c>
      <c r="I214" s="21"/>
      <c r="J214" s="22" t="n">
        <v>1</v>
      </c>
      <c r="K214" s="22" t="n">
        <v>1</v>
      </c>
      <c r="L214" s="22" t="n">
        <v>0</v>
      </c>
      <c r="M214" s="21" t="s">
        <v>393</v>
      </c>
      <c r="N214" s="21"/>
      <c r="O214" s="20" t="n">
        <f aca="false">IF($N214="Exit",N($J214),0)</f>
        <v>0</v>
      </c>
      <c r="P214" s="23" t="str">
        <f aca="false">IF($F214="","",MID(IF($G214="",", career level","")&amp;IF($I214="",", nationality mandate","")&amp;IF($N214="",", capacity direction","")&amp;IF(N($J214)&lt;=0,", approved HC","")&amp;IF(AND($G214&lt;&gt;"",COUNTIF(CareerLevels,$G214)=0),", a career level that is not on the ladder",""),3,200))</f>
        <v>career level, nationality mandate, capacity direction</v>
      </c>
    </row>
    <row r="215" customFormat="false" ht="15" hidden="false" customHeight="false" outlineLevel="0" collapsed="false">
      <c r="A215" s="21" t="s">
        <v>412</v>
      </c>
      <c r="B215" s="21" t="s">
        <v>165</v>
      </c>
      <c r="C215" s="21" t="s">
        <v>193</v>
      </c>
      <c r="D215" s="21" t="s">
        <v>209</v>
      </c>
      <c r="E215" s="21" t="s">
        <v>211</v>
      </c>
      <c r="F215" s="21" t="s">
        <v>479</v>
      </c>
      <c r="G215" s="21"/>
      <c r="H215" s="21" t="s">
        <v>371</v>
      </c>
      <c r="I215" s="21"/>
      <c r="J215" s="22" t="n">
        <v>1</v>
      </c>
      <c r="K215" s="22" t="n">
        <v>1</v>
      </c>
      <c r="L215" s="22" t="n">
        <v>0</v>
      </c>
      <c r="M215" s="21" t="s">
        <v>363</v>
      </c>
      <c r="N215" s="21"/>
      <c r="O215" s="20" t="n">
        <f aca="false">IF($N215="Exit",N($J215),0)</f>
        <v>0</v>
      </c>
      <c r="P215" s="23" t="str">
        <f aca="false">IF($F215="","",MID(IF($G215="",", career level","")&amp;IF($I215="",", nationality mandate","")&amp;IF($N215="",", capacity direction","")&amp;IF(N($J215)&lt;=0,", approved HC","")&amp;IF(AND($G215&lt;&gt;"",COUNTIF(CareerLevels,$G215)=0),", a career level that is not on the ladder",""),3,200))</f>
        <v>career level, nationality mandate, capacity direction</v>
      </c>
    </row>
    <row r="216" customFormat="false" ht="15" hidden="false" customHeight="false" outlineLevel="0" collapsed="false">
      <c r="A216" s="21" t="s">
        <v>428</v>
      </c>
      <c r="B216" s="21" t="s">
        <v>165</v>
      </c>
      <c r="C216" s="21" t="s">
        <v>193</v>
      </c>
      <c r="D216" s="21" t="s">
        <v>209</v>
      </c>
      <c r="E216" s="21" t="s">
        <v>217</v>
      </c>
      <c r="F216" s="21" t="s">
        <v>480</v>
      </c>
      <c r="G216" s="21"/>
      <c r="H216" s="21" t="s">
        <v>374</v>
      </c>
      <c r="I216" s="21"/>
      <c r="J216" s="22" t="n">
        <v>1</v>
      </c>
      <c r="K216" s="22" t="n">
        <v>1</v>
      </c>
      <c r="L216" s="22" t="n">
        <v>0</v>
      </c>
      <c r="M216" s="21" t="s">
        <v>363</v>
      </c>
      <c r="N216" s="21"/>
      <c r="O216" s="20" t="n">
        <f aca="false">IF($N216="Exit",N($J216),0)</f>
        <v>0</v>
      </c>
      <c r="P216" s="23" t="str">
        <f aca="false">IF($F216="","",MID(IF($G216="",", career level","")&amp;IF($I216="",", nationality mandate","")&amp;IF($N216="",", capacity direction","")&amp;IF(N($J216)&lt;=0,", approved HC","")&amp;IF(AND($G216&lt;&gt;"",COUNTIF(CareerLevels,$G216)=0),", a career level that is not on the ladder",""),3,200))</f>
        <v>career level, nationality mandate, capacity direction</v>
      </c>
    </row>
    <row r="217" customFormat="false" ht="15" hidden="false" customHeight="false" outlineLevel="0" collapsed="false">
      <c r="A217" s="21" t="s">
        <v>396</v>
      </c>
      <c r="B217" s="21" t="s">
        <v>165</v>
      </c>
      <c r="C217" s="21" t="s">
        <v>193</v>
      </c>
      <c r="D217" s="21" t="s">
        <v>209</v>
      </c>
      <c r="E217" s="21" t="s">
        <v>217</v>
      </c>
      <c r="F217" s="21" t="s">
        <v>472</v>
      </c>
      <c r="G217" s="21"/>
      <c r="H217" s="21" t="s">
        <v>374</v>
      </c>
      <c r="I217" s="21"/>
      <c r="J217" s="22" t="n">
        <v>1</v>
      </c>
      <c r="K217" s="22" t="n">
        <v>1</v>
      </c>
      <c r="L217" s="22" t="n">
        <v>0</v>
      </c>
      <c r="M217" s="21" t="s">
        <v>363</v>
      </c>
      <c r="N217" s="21"/>
      <c r="O217" s="20" t="n">
        <f aca="false">IF($N217="Exit",N($J217),0)</f>
        <v>0</v>
      </c>
      <c r="P217" s="23" t="str">
        <f aca="false">IF($F217="","",MID(IF($G217="",", career level","")&amp;IF($I217="",", nationality mandate","")&amp;IF($N217="",", capacity direction","")&amp;IF(N($J217)&lt;=0,", approved HC","")&amp;IF(AND($G217&lt;&gt;"",COUNTIF(CareerLevels,$G217)=0),", a career level that is not on the ladder",""),3,200))</f>
        <v>career level, nationality mandate, capacity direction</v>
      </c>
    </row>
    <row r="218" customFormat="false" ht="15" hidden="false" customHeight="false" outlineLevel="0" collapsed="false">
      <c r="A218" s="21" t="s">
        <v>482</v>
      </c>
      <c r="B218" s="21" t="s">
        <v>165</v>
      </c>
      <c r="C218" s="21" t="s">
        <v>193</v>
      </c>
      <c r="D218" s="21" t="s">
        <v>209</v>
      </c>
      <c r="E218" s="21" t="s">
        <v>217</v>
      </c>
      <c r="F218" s="21" t="s">
        <v>472</v>
      </c>
      <c r="G218" s="21"/>
      <c r="H218" s="21" t="s">
        <v>374</v>
      </c>
      <c r="I218" s="21"/>
      <c r="J218" s="22" t="n">
        <v>1</v>
      </c>
      <c r="K218" s="22" t="n">
        <v>1</v>
      </c>
      <c r="L218" s="22" t="n">
        <v>0</v>
      </c>
      <c r="M218" s="21" t="s">
        <v>363</v>
      </c>
      <c r="N218" s="21"/>
      <c r="O218" s="20" t="n">
        <f aca="false">IF($N218="Exit",N($J218),0)</f>
        <v>0</v>
      </c>
      <c r="P218" s="23" t="str">
        <f aca="false">IF($F218="","",MID(IF($G218="",", career level","")&amp;IF($I218="",", nationality mandate","")&amp;IF($N218="",", capacity direction","")&amp;IF(N($J218)&lt;=0,", approved HC","")&amp;IF(AND($G218&lt;&gt;"",COUNTIF(CareerLevels,$G218)=0),", a career level that is not on the ladder",""),3,200))</f>
        <v>career level, nationality mandate, capacity direction</v>
      </c>
    </row>
    <row r="219" customFormat="false" ht="15" hidden="false" customHeight="false" outlineLevel="0" collapsed="false">
      <c r="A219" s="21" t="s">
        <v>483</v>
      </c>
      <c r="B219" s="21" t="s">
        <v>165</v>
      </c>
      <c r="C219" s="21" t="s">
        <v>193</v>
      </c>
      <c r="D219" s="21" t="s">
        <v>209</v>
      </c>
      <c r="E219" s="21" t="s">
        <v>217</v>
      </c>
      <c r="F219" s="21" t="s">
        <v>472</v>
      </c>
      <c r="G219" s="21"/>
      <c r="H219" s="21" t="s">
        <v>374</v>
      </c>
      <c r="I219" s="21"/>
      <c r="J219" s="22" t="n">
        <v>1</v>
      </c>
      <c r="K219" s="22" t="n">
        <v>1</v>
      </c>
      <c r="L219" s="22" t="n">
        <v>0</v>
      </c>
      <c r="M219" s="21" t="s">
        <v>363</v>
      </c>
      <c r="N219" s="21"/>
      <c r="O219" s="20" t="n">
        <f aca="false">IF($N219="Exit",N($J219),0)</f>
        <v>0</v>
      </c>
      <c r="P219" s="23" t="str">
        <f aca="false">IF($F219="","",MID(IF($G219="",", career level","")&amp;IF($I219="",", nationality mandate","")&amp;IF($N219="",", capacity direction","")&amp;IF(N($J219)&lt;=0,", approved HC","")&amp;IF(AND($G219&lt;&gt;"",COUNTIF(CareerLevels,$G219)=0),", a career level that is not on the ladder",""),3,200))</f>
        <v>career level, nationality mandate, capacity direction</v>
      </c>
    </row>
    <row r="220" customFormat="false" ht="15" hidden="false" customHeight="false" outlineLevel="0" collapsed="false">
      <c r="A220" s="21" t="s">
        <v>475</v>
      </c>
      <c r="B220" s="21" t="s">
        <v>165</v>
      </c>
      <c r="C220" s="21" t="s">
        <v>193</v>
      </c>
      <c r="D220" s="21" t="s">
        <v>209</v>
      </c>
      <c r="E220" s="21" t="s">
        <v>217</v>
      </c>
      <c r="F220" s="21" t="s">
        <v>472</v>
      </c>
      <c r="G220" s="21"/>
      <c r="H220" s="21" t="s">
        <v>374</v>
      </c>
      <c r="I220" s="21"/>
      <c r="J220" s="22" t="n">
        <v>1</v>
      </c>
      <c r="K220" s="22" t="n">
        <v>1</v>
      </c>
      <c r="L220" s="22" t="n">
        <v>0</v>
      </c>
      <c r="M220" s="21" t="s">
        <v>363</v>
      </c>
      <c r="N220" s="21"/>
      <c r="O220" s="20" t="n">
        <f aca="false">IF($N220="Exit",N($J220),0)</f>
        <v>0</v>
      </c>
      <c r="P220" s="23" t="str">
        <f aca="false">IF($F220="","",MID(IF($G220="",", career level","")&amp;IF($I220="",", nationality mandate","")&amp;IF($N220="",", capacity direction","")&amp;IF(N($J220)&lt;=0,", approved HC","")&amp;IF(AND($G220&lt;&gt;"",COUNTIF(CareerLevels,$G220)=0),", a career level that is not on the ladder",""),3,200))</f>
        <v>career level, nationality mandate, capacity direction</v>
      </c>
    </row>
    <row r="221" customFormat="false" ht="15" hidden="false" customHeight="false" outlineLevel="0" collapsed="false">
      <c r="A221" s="21" t="s">
        <v>440</v>
      </c>
      <c r="B221" s="21" t="s">
        <v>165</v>
      </c>
      <c r="C221" s="21" t="s">
        <v>193</v>
      </c>
      <c r="D221" s="21" t="s">
        <v>209</v>
      </c>
      <c r="E221" s="21" t="s">
        <v>217</v>
      </c>
      <c r="F221" s="21" t="s">
        <v>473</v>
      </c>
      <c r="G221" s="21"/>
      <c r="H221" s="21" t="s">
        <v>374</v>
      </c>
      <c r="I221" s="21"/>
      <c r="J221" s="22" t="n">
        <v>1</v>
      </c>
      <c r="K221" s="22" t="n">
        <v>1</v>
      </c>
      <c r="L221" s="22" t="n">
        <v>0</v>
      </c>
      <c r="M221" s="21" t="s">
        <v>363</v>
      </c>
      <c r="N221" s="21"/>
      <c r="O221" s="20" t="n">
        <f aca="false">IF($N221="Exit",N($J221),0)</f>
        <v>0</v>
      </c>
      <c r="P221" s="23" t="str">
        <f aca="false">IF($F221="","",MID(IF($G221="",", career level","")&amp;IF($I221="",", nationality mandate","")&amp;IF($N221="",", capacity direction","")&amp;IF(N($J221)&lt;=0,", approved HC","")&amp;IF(AND($G221&lt;&gt;"",COUNTIF(CareerLevels,$G221)=0),", a career level that is not on the ladder",""),3,200))</f>
        <v>career level, nationality mandate, capacity direction</v>
      </c>
    </row>
    <row r="222" customFormat="false" ht="15" hidden="false" customHeight="false" outlineLevel="0" collapsed="false">
      <c r="A222" s="21" t="s">
        <v>459</v>
      </c>
      <c r="B222" s="21" t="s">
        <v>165</v>
      </c>
      <c r="C222" s="21" t="s">
        <v>193</v>
      </c>
      <c r="D222" s="21" t="s">
        <v>209</v>
      </c>
      <c r="E222" s="21" t="s">
        <v>217</v>
      </c>
      <c r="F222" s="21" t="s">
        <v>474</v>
      </c>
      <c r="G222" s="21"/>
      <c r="H222" s="21" t="s">
        <v>374</v>
      </c>
      <c r="I222" s="21"/>
      <c r="J222" s="22" t="n">
        <v>1</v>
      </c>
      <c r="K222" s="22" t="n">
        <v>1</v>
      </c>
      <c r="L222" s="22" t="n">
        <v>0</v>
      </c>
      <c r="M222" s="21" t="s">
        <v>363</v>
      </c>
      <c r="N222" s="21"/>
      <c r="O222" s="20" t="n">
        <f aca="false">IF($N222="Exit",N($J222),0)</f>
        <v>0</v>
      </c>
      <c r="P222" s="23" t="str">
        <f aca="false">IF($F222="","",MID(IF($G222="",", career level","")&amp;IF($I222="",", nationality mandate","")&amp;IF($N222="",", capacity direction","")&amp;IF(N($J222)&lt;=0,", approved HC","")&amp;IF(AND($G222&lt;&gt;"",COUNTIF(CareerLevels,$G222)=0),", a career level that is not on the ladder",""),3,200))</f>
        <v>career level, nationality mandate, capacity direction</v>
      </c>
    </row>
    <row r="223" customFormat="false" ht="15" hidden="false" customHeight="false" outlineLevel="0" collapsed="false">
      <c r="A223" s="21" t="s">
        <v>384</v>
      </c>
      <c r="B223" s="21" t="s">
        <v>165</v>
      </c>
      <c r="C223" s="21" t="s">
        <v>193</v>
      </c>
      <c r="D223" s="21" t="s">
        <v>209</v>
      </c>
      <c r="E223" s="21" t="s">
        <v>217</v>
      </c>
      <c r="F223" s="21" t="s">
        <v>476</v>
      </c>
      <c r="G223" s="21"/>
      <c r="H223" s="21" t="s">
        <v>374</v>
      </c>
      <c r="I223" s="21"/>
      <c r="J223" s="22" t="n">
        <v>1</v>
      </c>
      <c r="K223" s="22" t="n">
        <v>1</v>
      </c>
      <c r="L223" s="22" t="n">
        <v>0</v>
      </c>
      <c r="M223" s="21" t="s">
        <v>363</v>
      </c>
      <c r="N223" s="21"/>
      <c r="O223" s="20" t="n">
        <f aca="false">IF($N223="Exit",N($J223),0)</f>
        <v>0</v>
      </c>
      <c r="P223" s="23" t="str">
        <f aca="false">IF($F223="","",MID(IF($G223="",", career level","")&amp;IF($I223="",", nationality mandate","")&amp;IF($N223="",", capacity direction","")&amp;IF(N($J223)&lt;=0,", approved HC","")&amp;IF(AND($G223&lt;&gt;"",COUNTIF(CareerLevels,$G223)=0),", a career level that is not on the ladder",""),3,200))</f>
        <v>career level, nationality mandate, capacity direction</v>
      </c>
    </row>
    <row r="224" customFormat="false" ht="15" hidden="false" customHeight="false" outlineLevel="0" collapsed="false">
      <c r="A224" s="21" t="s">
        <v>396</v>
      </c>
      <c r="B224" s="21" t="s">
        <v>165</v>
      </c>
      <c r="C224" s="21" t="s">
        <v>193</v>
      </c>
      <c r="D224" s="21" t="s">
        <v>209</v>
      </c>
      <c r="E224" s="21" t="s">
        <v>217</v>
      </c>
      <c r="F224" s="21" t="s">
        <v>479</v>
      </c>
      <c r="G224" s="21"/>
      <c r="H224" s="21" t="s">
        <v>371</v>
      </c>
      <c r="I224" s="21"/>
      <c r="J224" s="22" t="n">
        <v>1</v>
      </c>
      <c r="K224" s="22" t="n">
        <v>1</v>
      </c>
      <c r="L224" s="22" t="n">
        <v>0</v>
      </c>
      <c r="M224" s="21" t="s">
        <v>363</v>
      </c>
      <c r="N224" s="21"/>
      <c r="O224" s="20" t="n">
        <f aca="false">IF($N224="Exit",N($J224),0)</f>
        <v>0</v>
      </c>
      <c r="P224" s="23" t="str">
        <f aca="false">IF($F224="","",MID(IF($G224="",", career level","")&amp;IF($I224="",", nationality mandate","")&amp;IF($N224="",", capacity direction","")&amp;IF(N($J224)&lt;=0,", approved HC","")&amp;IF(AND($G224&lt;&gt;"",COUNTIF(CareerLevels,$G224)=0),", a career level that is not on the ladder",""),3,200))</f>
        <v>career level, nationality mandate, capacity direction</v>
      </c>
    </row>
    <row r="225" customFormat="false" ht="15" hidden="false" customHeight="false" outlineLevel="0" collapsed="false">
      <c r="A225" s="21" t="s">
        <v>440</v>
      </c>
      <c r="B225" s="21" t="s">
        <v>223</v>
      </c>
      <c r="C225" s="21"/>
      <c r="D225" s="21"/>
      <c r="E225" s="21"/>
      <c r="F225" s="21" t="s">
        <v>484</v>
      </c>
      <c r="G225" s="21"/>
      <c r="H225" s="21" t="s">
        <v>366</v>
      </c>
      <c r="I225" s="21"/>
      <c r="J225" s="22" t="n">
        <v>1</v>
      </c>
      <c r="K225" s="22" t="n">
        <v>1</v>
      </c>
      <c r="L225" s="22" t="n">
        <v>0</v>
      </c>
      <c r="M225" s="21" t="s">
        <v>363</v>
      </c>
      <c r="N225" s="21"/>
      <c r="O225" s="20" t="n">
        <f aca="false">IF($N225="Exit",N($J225),0)</f>
        <v>0</v>
      </c>
      <c r="P225" s="23" t="str">
        <f aca="false">IF($F225="","",MID(IF($G225="",", career level","")&amp;IF($I225="",", nationality mandate","")&amp;IF($N225="",", capacity direction","")&amp;IF(N($J225)&lt;=0,", approved HC","")&amp;IF(AND($G225&lt;&gt;"",COUNTIF(CareerLevels,$G225)=0),", a career level that is not on the ladder",""),3,200))</f>
        <v>career level, nationality mandate, capacity direction</v>
      </c>
    </row>
    <row r="226" customFormat="false" ht="15" hidden="false" customHeight="false" outlineLevel="0" collapsed="false">
      <c r="A226" s="21" t="s">
        <v>401</v>
      </c>
      <c r="B226" s="21" t="s">
        <v>223</v>
      </c>
      <c r="C226" s="21" t="s">
        <v>225</v>
      </c>
      <c r="D226" s="21"/>
      <c r="E226" s="21"/>
      <c r="F226" s="21" t="s">
        <v>485</v>
      </c>
      <c r="G226" s="21"/>
      <c r="H226" s="21" t="s">
        <v>366</v>
      </c>
      <c r="I226" s="21"/>
      <c r="J226" s="22" t="n">
        <v>1</v>
      </c>
      <c r="K226" s="22" t="n">
        <v>1</v>
      </c>
      <c r="L226" s="22" t="n">
        <v>0</v>
      </c>
      <c r="M226" s="21" t="s">
        <v>363</v>
      </c>
      <c r="N226" s="21"/>
      <c r="O226" s="20" t="n">
        <f aca="false">IF($N226="Exit",N($J226),0)</f>
        <v>0</v>
      </c>
      <c r="P226" s="23" t="str">
        <f aca="false">IF($F226="","",MID(IF($G226="",", career level","")&amp;IF($I226="",", nationality mandate","")&amp;IF($N226="",", capacity direction","")&amp;IF(N($J226)&lt;=0,", approved HC","")&amp;IF(AND($G226&lt;&gt;"",COUNTIF(CareerLevels,$G226)=0),", a career level that is not on the ladder",""),3,200))</f>
        <v>career level, nationality mandate, capacity direction</v>
      </c>
    </row>
    <row r="227" customFormat="false" ht="15" hidden="false" customHeight="false" outlineLevel="0" collapsed="false">
      <c r="A227" s="21" t="s">
        <v>394</v>
      </c>
      <c r="B227" s="21" t="s">
        <v>223</v>
      </c>
      <c r="C227" s="21" t="s">
        <v>225</v>
      </c>
      <c r="D227" s="21" t="s">
        <v>227</v>
      </c>
      <c r="E227" s="21"/>
      <c r="F227" s="21" t="s">
        <v>486</v>
      </c>
      <c r="G227" s="21"/>
      <c r="H227" s="21" t="s">
        <v>371</v>
      </c>
      <c r="I227" s="21"/>
      <c r="J227" s="22" t="n">
        <v>1</v>
      </c>
      <c r="K227" s="22" t="n">
        <v>1</v>
      </c>
      <c r="L227" s="22" t="n">
        <v>0</v>
      </c>
      <c r="M227" s="21" t="s">
        <v>363</v>
      </c>
      <c r="N227" s="21"/>
      <c r="O227" s="20" t="n">
        <f aca="false">IF($N227="Exit",N($J227),0)</f>
        <v>0</v>
      </c>
      <c r="P227" s="23" t="str">
        <f aca="false">IF($F227="","",MID(IF($G227="",", career level","")&amp;IF($I227="",", nationality mandate","")&amp;IF($N227="",", capacity direction","")&amp;IF(N($J227)&lt;=0,", approved HC","")&amp;IF(AND($G227&lt;&gt;"",COUNTIF(CareerLevels,$G227)=0),", a career level that is not on the ladder",""),3,200))</f>
        <v>career level, nationality mandate, capacity direction</v>
      </c>
    </row>
    <row r="228" customFormat="false" ht="15" hidden="false" customHeight="false" outlineLevel="0" collapsed="false">
      <c r="A228" s="21" t="s">
        <v>475</v>
      </c>
      <c r="B228" s="21" t="s">
        <v>223</v>
      </c>
      <c r="C228" s="21" t="s">
        <v>225</v>
      </c>
      <c r="D228" s="21" t="s">
        <v>227</v>
      </c>
      <c r="E228" s="21" t="s">
        <v>229</v>
      </c>
      <c r="F228" s="21" t="s">
        <v>487</v>
      </c>
      <c r="G228" s="21"/>
      <c r="H228" s="21" t="s">
        <v>374</v>
      </c>
      <c r="I228" s="21"/>
      <c r="J228" s="22" t="n">
        <v>1</v>
      </c>
      <c r="K228" s="22" t="n">
        <v>0</v>
      </c>
      <c r="L228" s="22" t="n">
        <v>1</v>
      </c>
      <c r="M228" s="21" t="s">
        <v>363</v>
      </c>
      <c r="N228" s="21"/>
      <c r="O228" s="20" t="n">
        <f aca="false">IF($N228="Exit",N($J228),0)</f>
        <v>0</v>
      </c>
      <c r="P228" s="23" t="str">
        <f aca="false">IF($F228="","",MID(IF($G228="",", career level","")&amp;IF($I228="",", nationality mandate","")&amp;IF($N228="",", capacity direction","")&amp;IF(N($J228)&lt;=0,", approved HC","")&amp;IF(AND($G228&lt;&gt;"",COUNTIF(CareerLevels,$G228)=0),", a career level that is not on the ladder",""),3,200))</f>
        <v>career level, nationality mandate, capacity direction</v>
      </c>
    </row>
    <row r="229" customFormat="false" ht="15" hidden="false" customHeight="false" outlineLevel="0" collapsed="false">
      <c r="A229" s="21" t="s">
        <v>364</v>
      </c>
      <c r="B229" s="21" t="s">
        <v>223</v>
      </c>
      <c r="C229" s="21" t="s">
        <v>225</v>
      </c>
      <c r="D229" s="21" t="s">
        <v>227</v>
      </c>
      <c r="E229" s="21" t="s">
        <v>229</v>
      </c>
      <c r="F229" s="21" t="s">
        <v>487</v>
      </c>
      <c r="G229" s="21"/>
      <c r="H229" s="21" t="s">
        <v>374</v>
      </c>
      <c r="I229" s="21"/>
      <c r="J229" s="22" t="n">
        <v>1</v>
      </c>
      <c r="K229" s="22" t="n">
        <v>1</v>
      </c>
      <c r="L229" s="22" t="n">
        <v>0</v>
      </c>
      <c r="M229" s="21" t="s">
        <v>363</v>
      </c>
      <c r="N229" s="21"/>
      <c r="O229" s="20" t="n">
        <f aca="false">IF($N229="Exit",N($J229),0)</f>
        <v>0</v>
      </c>
      <c r="P229" s="23" t="str">
        <f aca="false">IF($F229="","",MID(IF($G229="",", career level","")&amp;IF($I229="",", nationality mandate","")&amp;IF($N229="",", capacity direction","")&amp;IF(N($J229)&lt;=0,", approved HC","")&amp;IF(AND($G229&lt;&gt;"",COUNTIF(CareerLevels,$G229)=0),", a career level that is not on the ladder",""),3,200))</f>
        <v>career level, nationality mandate, capacity direction</v>
      </c>
    </row>
    <row r="230" customFormat="false" ht="15" hidden="false" customHeight="false" outlineLevel="0" collapsed="false">
      <c r="A230" s="21" t="s">
        <v>420</v>
      </c>
      <c r="B230" s="21" t="s">
        <v>223</v>
      </c>
      <c r="C230" s="21" t="s">
        <v>225</v>
      </c>
      <c r="D230" s="21" t="s">
        <v>227</v>
      </c>
      <c r="E230" s="21" t="s">
        <v>229</v>
      </c>
      <c r="F230" s="21" t="s">
        <v>488</v>
      </c>
      <c r="G230" s="21"/>
      <c r="H230" s="21" t="s">
        <v>374</v>
      </c>
      <c r="I230" s="21"/>
      <c r="J230" s="22" t="n">
        <v>1</v>
      </c>
      <c r="K230" s="22" t="n">
        <v>1</v>
      </c>
      <c r="L230" s="22" t="n">
        <v>0</v>
      </c>
      <c r="M230" s="21" t="s">
        <v>363</v>
      </c>
      <c r="N230" s="21"/>
      <c r="O230" s="20" t="n">
        <f aca="false">IF($N230="Exit",N($J230),0)</f>
        <v>0</v>
      </c>
      <c r="P230" s="23" t="str">
        <f aca="false">IF($F230="","",MID(IF($G230="",", career level","")&amp;IF($I230="",", nationality mandate","")&amp;IF($N230="",", capacity direction","")&amp;IF(N($J230)&lt;=0,", approved HC","")&amp;IF(AND($G230&lt;&gt;"",COUNTIF(CareerLevels,$G230)=0),", a career level that is not on the ladder",""),3,200))</f>
        <v>career level, nationality mandate, capacity direction</v>
      </c>
    </row>
    <row r="231" customFormat="false" ht="15" hidden="false" customHeight="false" outlineLevel="0" collapsed="false">
      <c r="A231" s="21" t="s">
        <v>384</v>
      </c>
      <c r="B231" s="21" t="s">
        <v>223</v>
      </c>
      <c r="C231" s="21" t="s">
        <v>225</v>
      </c>
      <c r="D231" s="21" t="s">
        <v>227</v>
      </c>
      <c r="E231" s="21" t="s">
        <v>229</v>
      </c>
      <c r="F231" s="21" t="s">
        <v>488</v>
      </c>
      <c r="G231" s="21"/>
      <c r="H231" s="21" t="s">
        <v>374</v>
      </c>
      <c r="I231" s="21"/>
      <c r="J231" s="22" t="n">
        <v>1</v>
      </c>
      <c r="K231" s="22" t="n">
        <v>1</v>
      </c>
      <c r="L231" s="22" t="n">
        <v>0</v>
      </c>
      <c r="M231" s="21" t="s">
        <v>363</v>
      </c>
      <c r="N231" s="21"/>
      <c r="O231" s="20" t="n">
        <f aca="false">IF($N231="Exit",N($J231),0)</f>
        <v>0</v>
      </c>
      <c r="P231" s="23" t="str">
        <f aca="false">IF($F231="","",MID(IF($G231="",", career level","")&amp;IF($I231="",", nationality mandate","")&amp;IF($N231="",", capacity direction","")&amp;IF(N($J231)&lt;=0,", approved HC","")&amp;IF(AND($G231&lt;&gt;"",COUNTIF(CareerLevels,$G231)=0),", a career level that is not on the ladder",""),3,200))</f>
        <v>career level, nationality mandate, capacity direction</v>
      </c>
    </row>
    <row r="232" customFormat="false" ht="15" hidden="false" customHeight="false" outlineLevel="0" collapsed="false">
      <c r="A232" s="21" t="s">
        <v>444</v>
      </c>
      <c r="B232" s="21" t="s">
        <v>223</v>
      </c>
      <c r="C232" s="21" t="s">
        <v>225</v>
      </c>
      <c r="D232" s="21" t="s">
        <v>227</v>
      </c>
      <c r="E232" s="21" t="s">
        <v>229</v>
      </c>
      <c r="F232" s="21" t="s">
        <v>488</v>
      </c>
      <c r="G232" s="21"/>
      <c r="H232" s="21" t="s">
        <v>374</v>
      </c>
      <c r="I232" s="21"/>
      <c r="J232" s="22" t="n">
        <v>1</v>
      </c>
      <c r="K232" s="22" t="n">
        <v>1</v>
      </c>
      <c r="L232" s="22" t="n">
        <v>0</v>
      </c>
      <c r="M232" s="21" t="s">
        <v>363</v>
      </c>
      <c r="N232" s="21"/>
      <c r="O232" s="20" t="n">
        <f aca="false">IF($N232="Exit",N($J232),0)</f>
        <v>0</v>
      </c>
      <c r="P232" s="23" t="str">
        <f aca="false">IF($F232="","",MID(IF($G232="",", career level","")&amp;IF($I232="",", nationality mandate","")&amp;IF($N232="",", capacity direction","")&amp;IF(N($J232)&lt;=0,", approved HC","")&amp;IF(AND($G232&lt;&gt;"",COUNTIF(CareerLevels,$G232)=0),", a career level that is not on the ladder",""),3,200))</f>
        <v>career level, nationality mandate, capacity direction</v>
      </c>
    </row>
    <row r="233" customFormat="false" ht="15" hidden="false" customHeight="false" outlineLevel="0" collapsed="false">
      <c r="A233" s="21" t="s">
        <v>412</v>
      </c>
      <c r="B233" s="21" t="s">
        <v>223</v>
      </c>
      <c r="C233" s="21" t="s">
        <v>225</v>
      </c>
      <c r="D233" s="21" t="s">
        <v>227</v>
      </c>
      <c r="E233" s="21" t="s">
        <v>229</v>
      </c>
      <c r="F233" s="21" t="s">
        <v>489</v>
      </c>
      <c r="G233" s="21"/>
      <c r="H233" s="21" t="s">
        <v>374</v>
      </c>
      <c r="I233" s="21"/>
      <c r="J233" s="22" t="n">
        <v>1</v>
      </c>
      <c r="K233" s="22" t="n">
        <v>1</v>
      </c>
      <c r="L233" s="22" t="n">
        <v>0</v>
      </c>
      <c r="M233" s="21" t="s">
        <v>363</v>
      </c>
      <c r="N233" s="21"/>
      <c r="O233" s="20" t="n">
        <f aca="false">IF($N233="Exit",N($J233),0)</f>
        <v>0</v>
      </c>
      <c r="P233" s="23" t="str">
        <f aca="false">IF($F233="","",MID(IF($G233="",", career level","")&amp;IF($I233="",", nationality mandate","")&amp;IF($N233="",", capacity direction","")&amp;IF(N($J233)&lt;=0,", approved HC","")&amp;IF(AND($G233&lt;&gt;"",COUNTIF(CareerLevels,$G233)=0),", a career level that is not on the ladder",""),3,200))</f>
        <v>career level, nationality mandate, capacity direction</v>
      </c>
    </row>
    <row r="234" customFormat="false" ht="15" hidden="false" customHeight="false" outlineLevel="0" collapsed="false">
      <c r="A234" s="21" t="s">
        <v>360</v>
      </c>
      <c r="B234" s="21" t="s">
        <v>223</v>
      </c>
      <c r="C234" s="21" t="s">
        <v>225</v>
      </c>
      <c r="D234" s="21" t="s">
        <v>227</v>
      </c>
      <c r="E234" s="21" t="s">
        <v>229</v>
      </c>
      <c r="F234" s="21" t="s">
        <v>489</v>
      </c>
      <c r="G234" s="21"/>
      <c r="H234" s="21" t="s">
        <v>374</v>
      </c>
      <c r="I234" s="21"/>
      <c r="J234" s="22" t="n">
        <v>1</v>
      </c>
      <c r="K234" s="22" t="n">
        <v>1</v>
      </c>
      <c r="L234" s="22" t="n">
        <v>0</v>
      </c>
      <c r="M234" s="21" t="s">
        <v>363</v>
      </c>
      <c r="N234" s="21"/>
      <c r="O234" s="20" t="n">
        <f aca="false">IF($N234="Exit",N($J234),0)</f>
        <v>0</v>
      </c>
      <c r="P234" s="23" t="str">
        <f aca="false">IF($F234="","",MID(IF($G234="",", career level","")&amp;IF($I234="",", nationality mandate","")&amp;IF($N234="",", capacity direction","")&amp;IF(N($J234)&lt;=0,", approved HC","")&amp;IF(AND($G234&lt;&gt;"",COUNTIF(CareerLevels,$G234)=0),", a career level that is not on the ladder",""),3,200))</f>
        <v>career level, nationality mandate, capacity direction</v>
      </c>
    </row>
    <row r="235" customFormat="false" ht="15" hidden="false" customHeight="false" outlineLevel="0" collapsed="false">
      <c r="A235" s="21" t="s">
        <v>428</v>
      </c>
      <c r="B235" s="21" t="s">
        <v>223</v>
      </c>
      <c r="C235" s="21" t="s">
        <v>225</v>
      </c>
      <c r="D235" s="21" t="s">
        <v>227</v>
      </c>
      <c r="E235" s="21" t="s">
        <v>229</v>
      </c>
      <c r="F235" s="21" t="s">
        <v>490</v>
      </c>
      <c r="G235" s="21"/>
      <c r="H235" s="21" t="s">
        <v>371</v>
      </c>
      <c r="I235" s="21"/>
      <c r="J235" s="22" t="n">
        <v>1</v>
      </c>
      <c r="K235" s="22" t="n">
        <v>1</v>
      </c>
      <c r="L235" s="22" t="n">
        <v>0</v>
      </c>
      <c r="M235" s="21" t="s">
        <v>363</v>
      </c>
      <c r="N235" s="21"/>
      <c r="O235" s="20" t="n">
        <f aca="false">IF($N235="Exit",N($J235),0)</f>
        <v>0</v>
      </c>
      <c r="P235" s="23" t="str">
        <f aca="false">IF($F235="","",MID(IF($G235="",", career level","")&amp;IF($I235="",", nationality mandate","")&amp;IF($N235="",", capacity direction","")&amp;IF(N($J235)&lt;=0,", approved HC","")&amp;IF(AND($G235&lt;&gt;"",COUNTIF(CareerLevels,$G235)=0),", a career level that is not on the ladder",""),3,200))</f>
        <v>career level, nationality mandate, capacity direction</v>
      </c>
    </row>
    <row r="236" customFormat="false" ht="15" hidden="false" customHeight="false" outlineLevel="0" collapsed="false">
      <c r="A236" s="21" t="s">
        <v>375</v>
      </c>
      <c r="B236" s="21" t="s">
        <v>223</v>
      </c>
      <c r="C236" s="21" t="s">
        <v>225</v>
      </c>
      <c r="D236" s="21" t="s">
        <v>227</v>
      </c>
      <c r="E236" s="21" t="s">
        <v>235</v>
      </c>
      <c r="F236" s="21" t="s">
        <v>487</v>
      </c>
      <c r="G236" s="21"/>
      <c r="H236" s="21" t="s">
        <v>374</v>
      </c>
      <c r="I236" s="21"/>
      <c r="J236" s="22" t="n">
        <v>1</v>
      </c>
      <c r="K236" s="22" t="n">
        <v>1</v>
      </c>
      <c r="L236" s="22" t="n">
        <v>0</v>
      </c>
      <c r="M236" s="21" t="s">
        <v>363</v>
      </c>
      <c r="N236" s="21"/>
      <c r="O236" s="20" t="n">
        <f aca="false">IF($N236="Exit",N($J236),0)</f>
        <v>0</v>
      </c>
      <c r="P236" s="23" t="str">
        <f aca="false">IF($F236="","",MID(IF($G236="",", career level","")&amp;IF($I236="",", nationality mandate","")&amp;IF($N236="",", capacity direction","")&amp;IF(N($J236)&lt;=0,", approved HC","")&amp;IF(AND($G236&lt;&gt;"",COUNTIF(CareerLevels,$G236)=0),", a career level that is not on the ladder",""),3,200))</f>
        <v>career level, nationality mandate, capacity direction</v>
      </c>
    </row>
    <row r="237" customFormat="false" ht="15" hidden="false" customHeight="false" outlineLevel="0" collapsed="false">
      <c r="A237" s="21" t="s">
        <v>446</v>
      </c>
      <c r="B237" s="21" t="s">
        <v>223</v>
      </c>
      <c r="C237" s="21" t="s">
        <v>225</v>
      </c>
      <c r="D237" s="21" t="s">
        <v>227</v>
      </c>
      <c r="E237" s="21" t="s">
        <v>235</v>
      </c>
      <c r="F237" s="21" t="s">
        <v>488</v>
      </c>
      <c r="G237" s="21"/>
      <c r="H237" s="21" t="s">
        <v>374</v>
      </c>
      <c r="I237" s="21"/>
      <c r="J237" s="22" t="n">
        <v>1</v>
      </c>
      <c r="K237" s="22" t="n">
        <v>1</v>
      </c>
      <c r="L237" s="22" t="n">
        <v>0</v>
      </c>
      <c r="M237" s="21" t="s">
        <v>363</v>
      </c>
      <c r="N237" s="21"/>
      <c r="O237" s="20" t="n">
        <f aca="false">IF($N237="Exit",N($J237),0)</f>
        <v>0</v>
      </c>
      <c r="P237" s="23" t="str">
        <f aca="false">IF($F237="","",MID(IF($G237="",", career level","")&amp;IF($I237="",", nationality mandate","")&amp;IF($N237="",", capacity direction","")&amp;IF(N($J237)&lt;=0,", approved HC","")&amp;IF(AND($G237&lt;&gt;"",COUNTIF(CareerLevels,$G237)=0),", a career level that is not on the ladder",""),3,200))</f>
        <v>career level, nationality mandate, capacity direction</v>
      </c>
    </row>
    <row r="238" customFormat="false" ht="15" hidden="false" customHeight="false" outlineLevel="0" collapsed="false">
      <c r="A238" s="21" t="s">
        <v>384</v>
      </c>
      <c r="B238" s="21" t="s">
        <v>223</v>
      </c>
      <c r="C238" s="21" t="s">
        <v>225</v>
      </c>
      <c r="D238" s="21" t="s">
        <v>227</v>
      </c>
      <c r="E238" s="21" t="s">
        <v>235</v>
      </c>
      <c r="F238" s="21" t="s">
        <v>491</v>
      </c>
      <c r="G238" s="21"/>
      <c r="H238" s="21" t="s">
        <v>374</v>
      </c>
      <c r="I238" s="21"/>
      <c r="J238" s="22" t="n">
        <v>1</v>
      </c>
      <c r="K238" s="22" t="n">
        <v>1</v>
      </c>
      <c r="L238" s="22" t="n">
        <v>0</v>
      </c>
      <c r="M238" s="21" t="s">
        <v>363</v>
      </c>
      <c r="N238" s="21"/>
      <c r="O238" s="20" t="n">
        <f aca="false">IF($N238="Exit",N($J238),0)</f>
        <v>0</v>
      </c>
      <c r="P238" s="23" t="str">
        <f aca="false">IF($F238="","",MID(IF($G238="",", career level","")&amp;IF($I238="",", nationality mandate","")&amp;IF($N238="",", capacity direction","")&amp;IF(N($J238)&lt;=0,", approved HC","")&amp;IF(AND($G238&lt;&gt;"",COUNTIF(CareerLevels,$G238)=0),", a career level that is not on the ladder",""),3,200))</f>
        <v>career level, nationality mandate, capacity direction</v>
      </c>
    </row>
    <row r="239" customFormat="false" ht="15" hidden="false" customHeight="false" outlineLevel="0" collapsed="false">
      <c r="A239" s="21" t="s">
        <v>478</v>
      </c>
      <c r="B239" s="21" t="s">
        <v>223</v>
      </c>
      <c r="C239" s="21" t="s">
        <v>225</v>
      </c>
      <c r="D239" s="21" t="s">
        <v>227</v>
      </c>
      <c r="E239" s="21" t="s">
        <v>235</v>
      </c>
      <c r="F239" s="21" t="s">
        <v>491</v>
      </c>
      <c r="G239" s="21"/>
      <c r="H239" s="21" t="s">
        <v>374</v>
      </c>
      <c r="I239" s="21"/>
      <c r="J239" s="22" t="n">
        <v>1</v>
      </c>
      <c r="K239" s="22" t="n">
        <v>1</v>
      </c>
      <c r="L239" s="22" t="n">
        <v>0</v>
      </c>
      <c r="M239" s="21" t="s">
        <v>363</v>
      </c>
      <c r="N239" s="21"/>
      <c r="O239" s="20" t="n">
        <f aca="false">IF($N239="Exit",N($J239),0)</f>
        <v>0</v>
      </c>
      <c r="P239" s="23" t="str">
        <f aca="false">IF($F239="","",MID(IF($G239="",", career level","")&amp;IF($I239="",", nationality mandate","")&amp;IF($N239="",", capacity direction","")&amp;IF(N($J239)&lt;=0,", approved HC","")&amp;IF(AND($G239&lt;&gt;"",COUNTIF(CareerLevels,$G239)=0),", a career level that is not on the ladder",""),3,200))</f>
        <v>career level, nationality mandate, capacity direction</v>
      </c>
    </row>
    <row r="240" customFormat="false" ht="15" hidden="false" customHeight="false" outlineLevel="0" collapsed="false">
      <c r="A240" s="21" t="s">
        <v>400</v>
      </c>
      <c r="B240" s="21" t="s">
        <v>223</v>
      </c>
      <c r="C240" s="21" t="s">
        <v>225</v>
      </c>
      <c r="D240" s="21" t="s">
        <v>227</v>
      </c>
      <c r="E240" s="21" t="s">
        <v>235</v>
      </c>
      <c r="F240" s="21" t="s">
        <v>489</v>
      </c>
      <c r="G240" s="21"/>
      <c r="H240" s="21" t="s">
        <v>374</v>
      </c>
      <c r="I240" s="21"/>
      <c r="J240" s="22" t="n">
        <v>1</v>
      </c>
      <c r="K240" s="22" t="n">
        <v>0</v>
      </c>
      <c r="L240" s="22" t="n">
        <v>1</v>
      </c>
      <c r="M240" s="21" t="s">
        <v>363</v>
      </c>
      <c r="N240" s="21"/>
      <c r="O240" s="20" t="n">
        <f aca="false">IF($N240="Exit",N($J240),0)</f>
        <v>0</v>
      </c>
      <c r="P240" s="23" t="str">
        <f aca="false">IF($F240="","",MID(IF($G240="",", career level","")&amp;IF($I240="",", nationality mandate","")&amp;IF($N240="",", capacity direction","")&amp;IF(N($J240)&lt;=0,", approved HC","")&amp;IF(AND($G240&lt;&gt;"",COUNTIF(CareerLevels,$G240)=0),", a career level that is not on the ladder",""),3,200))</f>
        <v>career level, nationality mandate, capacity direction</v>
      </c>
    </row>
    <row r="241" customFormat="false" ht="15" hidden="false" customHeight="false" outlineLevel="0" collapsed="false">
      <c r="A241" s="21" t="s">
        <v>424</v>
      </c>
      <c r="B241" s="21" t="s">
        <v>223</v>
      </c>
      <c r="C241" s="21" t="s">
        <v>225</v>
      </c>
      <c r="D241" s="21" t="s">
        <v>227</v>
      </c>
      <c r="E241" s="21" t="s">
        <v>235</v>
      </c>
      <c r="F241" s="21" t="s">
        <v>490</v>
      </c>
      <c r="G241" s="21"/>
      <c r="H241" s="21" t="s">
        <v>371</v>
      </c>
      <c r="I241" s="21"/>
      <c r="J241" s="22" t="n">
        <v>1</v>
      </c>
      <c r="K241" s="22" t="n">
        <v>0</v>
      </c>
      <c r="L241" s="22" t="n">
        <v>1</v>
      </c>
      <c r="M241" s="21" t="s">
        <v>393</v>
      </c>
      <c r="N241" s="21"/>
      <c r="O241" s="20" t="n">
        <f aca="false">IF($N241="Exit",N($J241),0)</f>
        <v>0</v>
      </c>
      <c r="P241" s="23" t="str">
        <f aca="false">IF($F241="","",MID(IF($G241="",", career level","")&amp;IF($I241="",", nationality mandate","")&amp;IF($N241="",", capacity direction","")&amp;IF(N($J241)&lt;=0,", approved HC","")&amp;IF(AND($G241&lt;&gt;"",COUNTIF(CareerLevels,$G241)=0),", a career level that is not on the ladder",""),3,200))</f>
        <v>career level, nationality mandate, capacity direction</v>
      </c>
    </row>
    <row r="242" customFormat="false" ht="15" hidden="false" customHeight="false" outlineLevel="0" collapsed="false">
      <c r="A242" s="21" t="s">
        <v>389</v>
      </c>
      <c r="B242" s="21" t="s">
        <v>223</v>
      </c>
      <c r="C242" s="21" t="s">
        <v>225</v>
      </c>
      <c r="D242" s="21" t="s">
        <v>241</v>
      </c>
      <c r="E242" s="21"/>
      <c r="F242" s="21" t="s">
        <v>486</v>
      </c>
      <c r="G242" s="21"/>
      <c r="H242" s="21" t="s">
        <v>371</v>
      </c>
      <c r="I242" s="21"/>
      <c r="J242" s="22" t="n">
        <v>1</v>
      </c>
      <c r="K242" s="22" t="n">
        <v>1</v>
      </c>
      <c r="L242" s="22" t="n">
        <v>0</v>
      </c>
      <c r="M242" s="21" t="s">
        <v>363</v>
      </c>
      <c r="N242" s="21"/>
      <c r="O242" s="20" t="n">
        <f aca="false">IF($N242="Exit",N($J242),0)</f>
        <v>0</v>
      </c>
      <c r="P242" s="23" t="str">
        <f aca="false">IF($F242="","",MID(IF($G242="",", career level","")&amp;IF($I242="",", nationality mandate","")&amp;IF($N242="",", capacity direction","")&amp;IF(N($J242)&lt;=0,", approved HC","")&amp;IF(AND($G242&lt;&gt;"",COUNTIF(CareerLevels,$G242)=0),", a career level that is not on the ladder",""),3,200))</f>
        <v>career level, nationality mandate, capacity direction</v>
      </c>
    </row>
    <row r="243" customFormat="false" ht="15" hidden="false" customHeight="false" outlineLevel="0" collapsed="false">
      <c r="A243" s="21" t="s">
        <v>417</v>
      </c>
      <c r="B243" s="21" t="s">
        <v>223</v>
      </c>
      <c r="C243" s="21" t="s">
        <v>225</v>
      </c>
      <c r="D243" s="21" t="s">
        <v>241</v>
      </c>
      <c r="E243" s="21" t="s">
        <v>243</v>
      </c>
      <c r="F243" s="21" t="s">
        <v>492</v>
      </c>
      <c r="G243" s="21"/>
      <c r="H243" s="21" t="s">
        <v>374</v>
      </c>
      <c r="I243" s="21"/>
      <c r="J243" s="22" t="n">
        <v>1</v>
      </c>
      <c r="K243" s="22" t="n">
        <v>1</v>
      </c>
      <c r="L243" s="22" t="n">
        <v>0</v>
      </c>
      <c r="M243" s="21" t="s">
        <v>363</v>
      </c>
      <c r="N243" s="21"/>
      <c r="O243" s="20" t="n">
        <f aca="false">IF($N243="Exit",N($J243),0)</f>
        <v>0</v>
      </c>
      <c r="P243" s="23" t="str">
        <f aca="false">IF($F243="","",MID(IF($G243="",", career level","")&amp;IF($I243="",", nationality mandate","")&amp;IF($N243="",", capacity direction","")&amp;IF(N($J243)&lt;=0,", approved HC","")&amp;IF(AND($G243&lt;&gt;"",COUNTIF(CareerLevels,$G243)=0),", a career level that is not on the ladder",""),3,200))</f>
        <v>career level, nationality mandate, capacity direction</v>
      </c>
    </row>
    <row r="244" customFormat="false" ht="15" hidden="false" customHeight="false" outlineLevel="0" collapsed="false">
      <c r="A244" s="21" t="s">
        <v>409</v>
      </c>
      <c r="B244" s="21" t="s">
        <v>223</v>
      </c>
      <c r="C244" s="21" t="s">
        <v>225</v>
      </c>
      <c r="D244" s="21" t="s">
        <v>241</v>
      </c>
      <c r="E244" s="21" t="s">
        <v>243</v>
      </c>
      <c r="F244" s="21" t="s">
        <v>492</v>
      </c>
      <c r="G244" s="21"/>
      <c r="H244" s="21" t="s">
        <v>374</v>
      </c>
      <c r="I244" s="21"/>
      <c r="J244" s="22" t="n">
        <v>1</v>
      </c>
      <c r="K244" s="22" t="n">
        <v>1</v>
      </c>
      <c r="L244" s="22" t="n">
        <v>0</v>
      </c>
      <c r="M244" s="21" t="s">
        <v>363</v>
      </c>
      <c r="N244" s="21"/>
      <c r="O244" s="20" t="n">
        <f aca="false">IF($N244="Exit",N($J244),0)</f>
        <v>0</v>
      </c>
      <c r="P244" s="23" t="str">
        <f aca="false">IF($F244="","",MID(IF($G244="",", career level","")&amp;IF($I244="",", nationality mandate","")&amp;IF($N244="",", capacity direction","")&amp;IF(N($J244)&lt;=0,", approved HC","")&amp;IF(AND($G244&lt;&gt;"",COUNTIF(CareerLevels,$G244)=0),", a career level that is not on the ladder",""),3,200))</f>
        <v>career level, nationality mandate, capacity direction</v>
      </c>
    </row>
    <row r="245" customFormat="false" ht="15" hidden="false" customHeight="false" outlineLevel="0" collapsed="false">
      <c r="A245" s="21" t="s">
        <v>438</v>
      </c>
      <c r="B245" s="21" t="s">
        <v>223</v>
      </c>
      <c r="C245" s="21" t="s">
        <v>225</v>
      </c>
      <c r="D245" s="21" t="s">
        <v>241</v>
      </c>
      <c r="E245" s="21" t="s">
        <v>243</v>
      </c>
      <c r="F245" s="21" t="s">
        <v>492</v>
      </c>
      <c r="G245" s="21"/>
      <c r="H245" s="21" t="s">
        <v>374</v>
      </c>
      <c r="I245" s="21"/>
      <c r="J245" s="22" t="n">
        <v>1</v>
      </c>
      <c r="K245" s="22" t="n">
        <v>1</v>
      </c>
      <c r="L245" s="22" t="n">
        <v>0</v>
      </c>
      <c r="M245" s="21" t="s">
        <v>363</v>
      </c>
      <c r="N245" s="21"/>
      <c r="O245" s="20" t="n">
        <f aca="false">IF($N245="Exit",N($J245),0)</f>
        <v>0</v>
      </c>
      <c r="P245" s="23" t="str">
        <f aca="false">IF($F245="","",MID(IF($G245="",", career level","")&amp;IF($I245="",", nationality mandate","")&amp;IF($N245="",", capacity direction","")&amp;IF(N($J245)&lt;=0,", approved HC","")&amp;IF(AND($G245&lt;&gt;"",COUNTIF(CareerLevels,$G245)=0),", a career level that is not on the ladder",""),3,200))</f>
        <v>career level, nationality mandate, capacity direction</v>
      </c>
    </row>
    <row r="246" customFormat="false" ht="15" hidden="false" customHeight="false" outlineLevel="0" collapsed="false">
      <c r="A246" s="21" t="s">
        <v>401</v>
      </c>
      <c r="B246" s="21" t="s">
        <v>223</v>
      </c>
      <c r="C246" s="21" t="s">
        <v>225</v>
      </c>
      <c r="D246" s="21" t="s">
        <v>241</v>
      </c>
      <c r="E246" s="21" t="s">
        <v>243</v>
      </c>
      <c r="F246" s="21" t="s">
        <v>487</v>
      </c>
      <c r="G246" s="21"/>
      <c r="H246" s="21" t="s">
        <v>374</v>
      </c>
      <c r="I246" s="21"/>
      <c r="J246" s="22" t="n">
        <v>1</v>
      </c>
      <c r="K246" s="22" t="n">
        <v>1</v>
      </c>
      <c r="L246" s="22" t="n">
        <v>0</v>
      </c>
      <c r="M246" s="21" t="s">
        <v>363</v>
      </c>
      <c r="N246" s="21"/>
      <c r="O246" s="20" t="n">
        <f aca="false">IF($N246="Exit",N($J246),0)</f>
        <v>0</v>
      </c>
      <c r="P246" s="23" t="str">
        <f aca="false">IF($F246="","",MID(IF($G246="",", career level","")&amp;IF($I246="",", nationality mandate","")&amp;IF($N246="",", capacity direction","")&amp;IF(N($J246)&lt;=0,", approved HC","")&amp;IF(AND($G246&lt;&gt;"",COUNTIF(CareerLevels,$G246)=0),", a career level that is not on the ladder",""),3,200))</f>
        <v>career level, nationality mandate, capacity direction</v>
      </c>
    </row>
    <row r="247" customFormat="false" ht="15" hidden="false" customHeight="false" outlineLevel="0" collapsed="false">
      <c r="A247" s="21" t="s">
        <v>383</v>
      </c>
      <c r="B247" s="21" t="s">
        <v>223</v>
      </c>
      <c r="C247" s="21" t="s">
        <v>225</v>
      </c>
      <c r="D247" s="21" t="s">
        <v>241</v>
      </c>
      <c r="E247" s="21" t="s">
        <v>243</v>
      </c>
      <c r="F247" s="21" t="s">
        <v>487</v>
      </c>
      <c r="G247" s="21"/>
      <c r="H247" s="21" t="s">
        <v>374</v>
      </c>
      <c r="I247" s="21"/>
      <c r="J247" s="22" t="n">
        <v>1</v>
      </c>
      <c r="K247" s="22" t="n">
        <v>1</v>
      </c>
      <c r="L247" s="22" t="n">
        <v>0</v>
      </c>
      <c r="M247" s="21" t="s">
        <v>363</v>
      </c>
      <c r="N247" s="21"/>
      <c r="O247" s="20" t="n">
        <f aca="false">IF($N247="Exit",N($J247),0)</f>
        <v>0</v>
      </c>
      <c r="P247" s="23" t="str">
        <f aca="false">IF($F247="","",MID(IF($G247="",", career level","")&amp;IF($I247="",", nationality mandate","")&amp;IF($N247="",", capacity direction","")&amp;IF(N($J247)&lt;=0,", approved HC","")&amp;IF(AND($G247&lt;&gt;"",COUNTIF(CareerLevels,$G247)=0),", a career level that is not on the ladder",""),3,200))</f>
        <v>career level, nationality mandate, capacity direction</v>
      </c>
    </row>
    <row r="248" customFormat="false" ht="15" hidden="false" customHeight="false" outlineLevel="0" collapsed="false">
      <c r="A248" s="21" t="s">
        <v>400</v>
      </c>
      <c r="B248" s="21" t="s">
        <v>223</v>
      </c>
      <c r="C248" s="21" t="s">
        <v>225</v>
      </c>
      <c r="D248" s="21" t="s">
        <v>241</v>
      </c>
      <c r="E248" s="21" t="s">
        <v>243</v>
      </c>
      <c r="F248" s="21" t="s">
        <v>488</v>
      </c>
      <c r="G248" s="21"/>
      <c r="H248" s="21" t="s">
        <v>374</v>
      </c>
      <c r="I248" s="21"/>
      <c r="J248" s="22" t="n">
        <v>1</v>
      </c>
      <c r="K248" s="22" t="n">
        <v>1</v>
      </c>
      <c r="L248" s="22" t="n">
        <v>0</v>
      </c>
      <c r="M248" s="21" t="s">
        <v>363</v>
      </c>
      <c r="N248" s="21"/>
      <c r="O248" s="20" t="n">
        <f aca="false">IF($N248="Exit",N($J248),0)</f>
        <v>0</v>
      </c>
      <c r="P248" s="23" t="str">
        <f aca="false">IF($F248="","",MID(IF($G248="",", career level","")&amp;IF($I248="",", nationality mandate","")&amp;IF($N248="",", capacity direction","")&amp;IF(N($J248)&lt;=0,", approved HC","")&amp;IF(AND($G248&lt;&gt;"",COUNTIF(CareerLevels,$G248)=0),", a career level that is not on the ladder",""),3,200))</f>
        <v>career level, nationality mandate, capacity direction</v>
      </c>
    </row>
    <row r="249" customFormat="false" ht="15" hidden="false" customHeight="false" outlineLevel="0" collapsed="false">
      <c r="A249" s="21" t="s">
        <v>481</v>
      </c>
      <c r="B249" s="21" t="s">
        <v>223</v>
      </c>
      <c r="C249" s="21" t="s">
        <v>225</v>
      </c>
      <c r="D249" s="21" t="s">
        <v>241</v>
      </c>
      <c r="E249" s="21" t="s">
        <v>243</v>
      </c>
      <c r="F249" s="21" t="s">
        <v>491</v>
      </c>
      <c r="G249" s="21"/>
      <c r="H249" s="21" t="s">
        <v>374</v>
      </c>
      <c r="I249" s="21"/>
      <c r="J249" s="22" t="n">
        <v>1</v>
      </c>
      <c r="K249" s="22" t="n">
        <v>1</v>
      </c>
      <c r="L249" s="22" t="n">
        <v>0</v>
      </c>
      <c r="M249" s="21" t="s">
        <v>363</v>
      </c>
      <c r="N249" s="21"/>
      <c r="O249" s="20" t="n">
        <f aca="false">IF($N249="Exit",N($J249),0)</f>
        <v>0</v>
      </c>
      <c r="P249" s="23" t="str">
        <f aca="false">IF($F249="","",MID(IF($G249="",", career level","")&amp;IF($I249="",", nationality mandate","")&amp;IF($N249="",", capacity direction","")&amp;IF(N($J249)&lt;=0,", approved HC","")&amp;IF(AND($G249&lt;&gt;"",COUNTIF(CareerLevels,$G249)=0),", a career level that is not on the ladder",""),3,200))</f>
        <v>career level, nationality mandate, capacity direction</v>
      </c>
    </row>
    <row r="250" customFormat="false" ht="15" hidden="false" customHeight="false" outlineLevel="0" collapsed="false">
      <c r="A250" s="21" t="s">
        <v>424</v>
      </c>
      <c r="B250" s="21" t="s">
        <v>223</v>
      </c>
      <c r="C250" s="21" t="s">
        <v>225</v>
      </c>
      <c r="D250" s="21" t="s">
        <v>241</v>
      </c>
      <c r="E250" s="21" t="s">
        <v>243</v>
      </c>
      <c r="F250" s="21" t="s">
        <v>491</v>
      </c>
      <c r="G250" s="21"/>
      <c r="H250" s="21" t="s">
        <v>374</v>
      </c>
      <c r="I250" s="21"/>
      <c r="J250" s="22" t="n">
        <v>1</v>
      </c>
      <c r="K250" s="22" t="n">
        <v>1</v>
      </c>
      <c r="L250" s="22" t="n">
        <v>0</v>
      </c>
      <c r="M250" s="21" t="s">
        <v>363</v>
      </c>
      <c r="N250" s="21"/>
      <c r="O250" s="20" t="n">
        <f aca="false">IF($N250="Exit",N($J250),0)</f>
        <v>0</v>
      </c>
      <c r="P250" s="23" t="str">
        <f aca="false">IF($F250="","",MID(IF($G250="",", career level","")&amp;IF($I250="",", nationality mandate","")&amp;IF($N250="",", capacity direction","")&amp;IF(N($J250)&lt;=0,", approved HC","")&amp;IF(AND($G250&lt;&gt;"",COUNTIF(CareerLevels,$G250)=0),", a career level that is not on the ladder",""),3,200))</f>
        <v>career level, nationality mandate, capacity direction</v>
      </c>
    </row>
    <row r="251" customFormat="false" ht="15" hidden="false" customHeight="false" outlineLevel="0" collapsed="false">
      <c r="A251" s="21" t="s">
        <v>417</v>
      </c>
      <c r="B251" s="21" t="s">
        <v>223</v>
      </c>
      <c r="C251" s="21" t="s">
        <v>225</v>
      </c>
      <c r="D251" s="21" t="s">
        <v>241</v>
      </c>
      <c r="E251" s="21" t="s">
        <v>243</v>
      </c>
      <c r="F251" s="21" t="s">
        <v>490</v>
      </c>
      <c r="G251" s="21"/>
      <c r="H251" s="21" t="s">
        <v>371</v>
      </c>
      <c r="I251" s="21"/>
      <c r="J251" s="22" t="n">
        <v>1</v>
      </c>
      <c r="K251" s="22" t="n">
        <v>1</v>
      </c>
      <c r="L251" s="22" t="n">
        <v>0</v>
      </c>
      <c r="M251" s="21" t="s">
        <v>363</v>
      </c>
      <c r="N251" s="21"/>
      <c r="O251" s="20" t="n">
        <f aca="false">IF($N251="Exit",N($J251),0)</f>
        <v>0</v>
      </c>
      <c r="P251" s="23" t="str">
        <f aca="false">IF($F251="","",MID(IF($G251="",", career level","")&amp;IF($I251="",", nationality mandate","")&amp;IF($N251="",", capacity direction","")&amp;IF(N($J251)&lt;=0,", approved HC","")&amp;IF(AND($G251&lt;&gt;"",COUNTIF(CareerLevels,$G251)=0),", a career level that is not on the ladder",""),3,200))</f>
        <v>career level, nationality mandate, capacity direction</v>
      </c>
    </row>
    <row r="252" customFormat="false" ht="15" hidden="false" customHeight="false" outlineLevel="0" collapsed="false">
      <c r="A252" s="21" t="s">
        <v>458</v>
      </c>
      <c r="B252" s="21" t="s">
        <v>223</v>
      </c>
      <c r="C252" s="21" t="s">
        <v>225</v>
      </c>
      <c r="D252" s="21" t="s">
        <v>241</v>
      </c>
      <c r="E252" s="21" t="s">
        <v>249</v>
      </c>
      <c r="F252" s="21" t="s">
        <v>492</v>
      </c>
      <c r="G252" s="21"/>
      <c r="H252" s="21" t="s">
        <v>374</v>
      </c>
      <c r="I252" s="21"/>
      <c r="J252" s="22" t="n">
        <v>1</v>
      </c>
      <c r="K252" s="22" t="n">
        <v>1</v>
      </c>
      <c r="L252" s="22" t="n">
        <v>0</v>
      </c>
      <c r="M252" s="21" t="s">
        <v>363</v>
      </c>
      <c r="N252" s="21"/>
      <c r="O252" s="20" t="n">
        <f aca="false">IF($N252="Exit",N($J252),0)</f>
        <v>0</v>
      </c>
      <c r="P252" s="23" t="str">
        <f aca="false">IF($F252="","",MID(IF($G252="",", career level","")&amp;IF($I252="",", nationality mandate","")&amp;IF($N252="",", capacity direction","")&amp;IF(N($J252)&lt;=0,", approved HC","")&amp;IF(AND($G252&lt;&gt;"",COUNTIF(CareerLevels,$G252)=0),", a career level that is not on the ladder",""),3,200))</f>
        <v>career level, nationality mandate, capacity direction</v>
      </c>
    </row>
    <row r="253" customFormat="false" ht="15" hidden="false" customHeight="false" outlineLevel="0" collapsed="false">
      <c r="A253" s="21" t="s">
        <v>404</v>
      </c>
      <c r="B253" s="21" t="s">
        <v>223</v>
      </c>
      <c r="C253" s="21" t="s">
        <v>225</v>
      </c>
      <c r="D253" s="21" t="s">
        <v>241</v>
      </c>
      <c r="E253" s="21" t="s">
        <v>249</v>
      </c>
      <c r="F253" s="21" t="s">
        <v>492</v>
      </c>
      <c r="G253" s="21"/>
      <c r="H253" s="21" t="s">
        <v>374</v>
      </c>
      <c r="I253" s="21"/>
      <c r="J253" s="22" t="n">
        <v>1</v>
      </c>
      <c r="K253" s="22" t="n">
        <v>1</v>
      </c>
      <c r="L253" s="22" t="n">
        <v>0</v>
      </c>
      <c r="M253" s="21" t="s">
        <v>363</v>
      </c>
      <c r="N253" s="21"/>
      <c r="O253" s="20" t="n">
        <f aca="false">IF($N253="Exit",N($J253),0)</f>
        <v>0</v>
      </c>
      <c r="P253" s="23" t="str">
        <f aca="false">IF($F253="","",MID(IF($G253="",", career level","")&amp;IF($I253="",", nationality mandate","")&amp;IF($N253="",", capacity direction","")&amp;IF(N($J253)&lt;=0,", approved HC","")&amp;IF(AND($G253&lt;&gt;"",COUNTIF(CareerLevels,$G253)=0),", a career level that is not on the ladder",""),3,200))</f>
        <v>career level, nationality mandate, capacity direction</v>
      </c>
    </row>
    <row r="254" customFormat="false" ht="15" hidden="false" customHeight="false" outlineLevel="0" collapsed="false">
      <c r="A254" s="21" t="s">
        <v>360</v>
      </c>
      <c r="B254" s="21" t="s">
        <v>223</v>
      </c>
      <c r="C254" s="21" t="s">
        <v>225</v>
      </c>
      <c r="D254" s="21" t="s">
        <v>241</v>
      </c>
      <c r="E254" s="21" t="s">
        <v>249</v>
      </c>
      <c r="F254" s="21" t="s">
        <v>492</v>
      </c>
      <c r="G254" s="21"/>
      <c r="H254" s="21" t="s">
        <v>374</v>
      </c>
      <c r="I254" s="21"/>
      <c r="J254" s="22" t="n">
        <v>1</v>
      </c>
      <c r="K254" s="22" t="n">
        <v>1</v>
      </c>
      <c r="L254" s="22" t="n">
        <v>0</v>
      </c>
      <c r="M254" s="21" t="s">
        <v>363</v>
      </c>
      <c r="N254" s="21"/>
      <c r="O254" s="20" t="n">
        <f aca="false">IF($N254="Exit",N($J254),0)</f>
        <v>0</v>
      </c>
      <c r="P254" s="23" t="str">
        <f aca="false">IF($F254="","",MID(IF($G254="",", career level","")&amp;IF($I254="",", nationality mandate","")&amp;IF($N254="",", capacity direction","")&amp;IF(N($J254)&lt;=0,", approved HC","")&amp;IF(AND($G254&lt;&gt;"",COUNTIF(CareerLevels,$G254)=0),", a career level that is not on the ladder",""),3,200))</f>
        <v>career level, nationality mandate, capacity direction</v>
      </c>
    </row>
    <row r="255" customFormat="false" ht="15" hidden="false" customHeight="false" outlineLevel="0" collapsed="false">
      <c r="A255" s="21" t="s">
        <v>440</v>
      </c>
      <c r="B255" s="21" t="s">
        <v>223</v>
      </c>
      <c r="C255" s="21" t="s">
        <v>225</v>
      </c>
      <c r="D255" s="21" t="s">
        <v>241</v>
      </c>
      <c r="E255" s="21" t="s">
        <v>249</v>
      </c>
      <c r="F255" s="21" t="s">
        <v>487</v>
      </c>
      <c r="G255" s="21"/>
      <c r="H255" s="21" t="s">
        <v>374</v>
      </c>
      <c r="I255" s="21"/>
      <c r="J255" s="22" t="n">
        <v>1</v>
      </c>
      <c r="K255" s="22" t="n">
        <v>1</v>
      </c>
      <c r="L255" s="22" t="n">
        <v>0</v>
      </c>
      <c r="M255" s="21" t="s">
        <v>363</v>
      </c>
      <c r="N255" s="21"/>
      <c r="O255" s="20" t="n">
        <f aca="false">IF($N255="Exit",N($J255),0)</f>
        <v>0</v>
      </c>
      <c r="P255" s="23" t="str">
        <f aca="false">IF($F255="","",MID(IF($G255="",", career level","")&amp;IF($I255="",", nationality mandate","")&amp;IF($N255="",", capacity direction","")&amp;IF(N($J255)&lt;=0,", approved HC","")&amp;IF(AND($G255&lt;&gt;"",COUNTIF(CareerLevels,$G255)=0),", a career level that is not on the ladder",""),3,200))</f>
        <v>career level, nationality mandate, capacity direction</v>
      </c>
    </row>
    <row r="256" customFormat="false" ht="15" hidden="false" customHeight="false" outlineLevel="0" collapsed="false">
      <c r="A256" s="21" t="s">
        <v>404</v>
      </c>
      <c r="B256" s="21" t="s">
        <v>223</v>
      </c>
      <c r="C256" s="21" t="s">
        <v>225</v>
      </c>
      <c r="D256" s="21" t="s">
        <v>241</v>
      </c>
      <c r="E256" s="21" t="s">
        <v>249</v>
      </c>
      <c r="F256" s="21" t="s">
        <v>488</v>
      </c>
      <c r="G256" s="21"/>
      <c r="H256" s="21" t="s">
        <v>374</v>
      </c>
      <c r="I256" s="21"/>
      <c r="J256" s="22" t="n">
        <v>1</v>
      </c>
      <c r="K256" s="22" t="n">
        <v>1</v>
      </c>
      <c r="L256" s="22" t="n">
        <v>0</v>
      </c>
      <c r="M256" s="21" t="s">
        <v>363</v>
      </c>
      <c r="N256" s="21"/>
      <c r="O256" s="20" t="n">
        <f aca="false">IF($N256="Exit",N($J256),0)</f>
        <v>0</v>
      </c>
      <c r="P256" s="23" t="str">
        <f aca="false">IF($F256="","",MID(IF($G256="",", career level","")&amp;IF($I256="",", nationality mandate","")&amp;IF($N256="",", capacity direction","")&amp;IF(N($J256)&lt;=0,", approved HC","")&amp;IF(AND($G256&lt;&gt;"",COUNTIF(CareerLevels,$G256)=0),", a career level that is not on the ladder",""),3,200))</f>
        <v>career level, nationality mandate, capacity direction</v>
      </c>
    </row>
    <row r="257" customFormat="false" ht="15" hidden="false" customHeight="false" outlineLevel="0" collapsed="false">
      <c r="A257" s="21" t="s">
        <v>438</v>
      </c>
      <c r="B257" s="21" t="s">
        <v>223</v>
      </c>
      <c r="C257" s="21" t="s">
        <v>225</v>
      </c>
      <c r="D257" s="21" t="s">
        <v>241</v>
      </c>
      <c r="E257" s="21" t="s">
        <v>249</v>
      </c>
      <c r="F257" s="21" t="s">
        <v>493</v>
      </c>
      <c r="G257" s="21"/>
      <c r="H257" s="21" t="s">
        <v>374</v>
      </c>
      <c r="I257" s="21"/>
      <c r="J257" s="22" t="n">
        <v>1</v>
      </c>
      <c r="K257" s="22" t="n">
        <v>1</v>
      </c>
      <c r="L257" s="22" t="n">
        <v>0</v>
      </c>
      <c r="M257" s="21" t="s">
        <v>363</v>
      </c>
      <c r="N257" s="21"/>
      <c r="O257" s="20" t="n">
        <f aca="false">IF($N257="Exit",N($J257),0)</f>
        <v>0</v>
      </c>
      <c r="P257" s="23" t="str">
        <f aca="false">IF($F257="","",MID(IF($G257="",", career level","")&amp;IF($I257="",", nationality mandate","")&amp;IF($N257="",", capacity direction","")&amp;IF(N($J257)&lt;=0,", approved HC","")&amp;IF(AND($G257&lt;&gt;"",COUNTIF(CareerLevels,$G257)=0),", a career level that is not on the ladder",""),3,200))</f>
        <v>career level, nationality mandate, capacity direction</v>
      </c>
    </row>
    <row r="258" customFormat="false" ht="15" hidden="false" customHeight="false" outlineLevel="0" collapsed="false">
      <c r="A258" s="21" t="s">
        <v>401</v>
      </c>
      <c r="B258" s="21" t="s">
        <v>223</v>
      </c>
      <c r="C258" s="21" t="s">
        <v>225</v>
      </c>
      <c r="D258" s="21" t="s">
        <v>241</v>
      </c>
      <c r="E258" s="21" t="s">
        <v>249</v>
      </c>
      <c r="F258" s="21" t="s">
        <v>491</v>
      </c>
      <c r="G258" s="21"/>
      <c r="H258" s="21" t="s">
        <v>374</v>
      </c>
      <c r="I258" s="21"/>
      <c r="J258" s="22" t="n">
        <v>1</v>
      </c>
      <c r="K258" s="22" t="n">
        <v>1</v>
      </c>
      <c r="L258" s="22" t="n">
        <v>0</v>
      </c>
      <c r="M258" s="21" t="s">
        <v>363</v>
      </c>
      <c r="N258" s="21"/>
      <c r="O258" s="20" t="n">
        <f aca="false">IF($N258="Exit",N($J258),0)</f>
        <v>0</v>
      </c>
      <c r="P258" s="23" t="str">
        <f aca="false">IF($F258="","",MID(IF($G258="",", career level","")&amp;IF($I258="",", nationality mandate","")&amp;IF($N258="",", capacity direction","")&amp;IF(N($J258)&lt;=0,", approved HC","")&amp;IF(AND($G258&lt;&gt;"",COUNTIF(CareerLevels,$G258)=0),", a career level that is not on the ladder",""),3,200))</f>
        <v>career level, nationality mandate, capacity direction</v>
      </c>
    </row>
    <row r="259" customFormat="false" ht="15" hidden="false" customHeight="false" outlineLevel="0" collapsed="false">
      <c r="A259" s="21" t="s">
        <v>440</v>
      </c>
      <c r="B259" s="21" t="s">
        <v>223</v>
      </c>
      <c r="C259" s="21" t="s">
        <v>225</v>
      </c>
      <c r="D259" s="21" t="s">
        <v>241</v>
      </c>
      <c r="E259" s="21" t="s">
        <v>249</v>
      </c>
      <c r="F259" s="21" t="s">
        <v>489</v>
      </c>
      <c r="G259" s="21"/>
      <c r="H259" s="21" t="s">
        <v>374</v>
      </c>
      <c r="I259" s="21"/>
      <c r="J259" s="22" t="n">
        <v>1</v>
      </c>
      <c r="K259" s="22" t="n">
        <v>0</v>
      </c>
      <c r="L259" s="22" t="n">
        <v>1</v>
      </c>
      <c r="M259" s="21" t="s">
        <v>363</v>
      </c>
      <c r="N259" s="21"/>
      <c r="O259" s="20" t="n">
        <f aca="false">IF($N259="Exit",N($J259),0)</f>
        <v>0</v>
      </c>
      <c r="P259" s="23" t="str">
        <f aca="false">IF($F259="","",MID(IF($G259="",", career level","")&amp;IF($I259="",", nationality mandate","")&amp;IF($N259="",", capacity direction","")&amp;IF(N($J259)&lt;=0,", approved HC","")&amp;IF(AND($G259&lt;&gt;"",COUNTIF(CareerLevels,$G259)=0),", a career level that is not on the ladder",""),3,200))</f>
        <v>career level, nationality mandate, capacity direction</v>
      </c>
    </row>
    <row r="260" customFormat="false" ht="15" hidden="false" customHeight="false" outlineLevel="0" collapsed="false">
      <c r="A260" s="21" t="s">
        <v>459</v>
      </c>
      <c r="B260" s="21" t="s">
        <v>223</v>
      </c>
      <c r="C260" s="21" t="s">
        <v>225</v>
      </c>
      <c r="D260" s="21" t="s">
        <v>241</v>
      </c>
      <c r="E260" s="21" t="s">
        <v>249</v>
      </c>
      <c r="F260" s="21" t="s">
        <v>489</v>
      </c>
      <c r="G260" s="21"/>
      <c r="H260" s="21" t="s">
        <v>374</v>
      </c>
      <c r="I260" s="21"/>
      <c r="J260" s="22" t="n">
        <v>1</v>
      </c>
      <c r="K260" s="22" t="n">
        <v>1</v>
      </c>
      <c r="L260" s="22" t="n">
        <v>0</v>
      </c>
      <c r="M260" s="21" t="s">
        <v>363</v>
      </c>
      <c r="N260" s="21"/>
      <c r="O260" s="20" t="n">
        <f aca="false">IF($N260="Exit",N($J260),0)</f>
        <v>0</v>
      </c>
      <c r="P260" s="23" t="str">
        <f aca="false">IF($F260="","",MID(IF($G260="",", career level","")&amp;IF($I260="",", nationality mandate","")&amp;IF($N260="",", capacity direction","")&amp;IF(N($J260)&lt;=0,", approved HC","")&amp;IF(AND($G260&lt;&gt;"",COUNTIF(CareerLevels,$G260)=0),", a career level that is not on the ladder",""),3,200))</f>
        <v>career level, nationality mandate, capacity direction</v>
      </c>
    </row>
    <row r="261" customFormat="false" ht="15" hidden="false" customHeight="false" outlineLevel="0" collapsed="false">
      <c r="A261" s="21" t="s">
        <v>397</v>
      </c>
      <c r="B261" s="21" t="s">
        <v>223</v>
      </c>
      <c r="C261" s="21" t="s">
        <v>225</v>
      </c>
      <c r="D261" s="21" t="s">
        <v>241</v>
      </c>
      <c r="E261" s="21" t="s">
        <v>249</v>
      </c>
      <c r="F261" s="21" t="s">
        <v>490</v>
      </c>
      <c r="G261" s="21"/>
      <c r="H261" s="21" t="s">
        <v>371</v>
      </c>
      <c r="I261" s="21"/>
      <c r="J261" s="22" t="n">
        <v>1</v>
      </c>
      <c r="K261" s="22" t="n">
        <v>1</v>
      </c>
      <c r="L261" s="22" t="n">
        <v>0</v>
      </c>
      <c r="M261" s="21" t="s">
        <v>393</v>
      </c>
      <c r="N261" s="21"/>
      <c r="O261" s="20" t="n">
        <f aca="false">IF($N261="Exit",N($J261),0)</f>
        <v>0</v>
      </c>
      <c r="P261" s="23" t="str">
        <f aca="false">IF($F261="","",MID(IF($G261="",", career level","")&amp;IF($I261="",", nationality mandate","")&amp;IF($N261="",", capacity direction","")&amp;IF(N($J261)&lt;=0,", approved HC","")&amp;IF(AND($G261&lt;&gt;"",COUNTIF(CareerLevels,$G261)=0),", a career level that is not on the ladder",""),3,200))</f>
        <v>career level, nationality mandate, capacity direction</v>
      </c>
    </row>
    <row r="262" customFormat="false" ht="15" hidden="false" customHeight="false" outlineLevel="0" collapsed="false">
      <c r="A262" s="21" t="s">
        <v>422</v>
      </c>
      <c r="B262" s="21" t="s">
        <v>223</v>
      </c>
      <c r="C262" s="21" t="s">
        <v>255</v>
      </c>
      <c r="D262" s="21"/>
      <c r="E262" s="21"/>
      <c r="F262" s="21" t="s">
        <v>494</v>
      </c>
      <c r="G262" s="21"/>
      <c r="H262" s="21" t="s">
        <v>366</v>
      </c>
      <c r="I262" s="21"/>
      <c r="J262" s="22" t="n">
        <v>1</v>
      </c>
      <c r="K262" s="22" t="n">
        <v>1</v>
      </c>
      <c r="L262" s="22" t="n">
        <v>0</v>
      </c>
      <c r="M262" s="21" t="s">
        <v>363</v>
      </c>
      <c r="N262" s="21"/>
      <c r="O262" s="20" t="n">
        <f aca="false">IF($N262="Exit",N($J262),0)</f>
        <v>0</v>
      </c>
      <c r="P262" s="23" t="str">
        <f aca="false">IF($F262="","",MID(IF($G262="",", career level","")&amp;IF($I262="",", nationality mandate","")&amp;IF($N262="",", capacity direction","")&amp;IF(N($J262)&lt;=0,", approved HC","")&amp;IF(AND($G262&lt;&gt;"",COUNTIF(CareerLevels,$G262)=0),", a career level that is not on the ladder",""),3,200))</f>
        <v>career level, nationality mandate, capacity direction</v>
      </c>
    </row>
    <row r="263" customFormat="false" ht="15" hidden="false" customHeight="false" outlineLevel="0" collapsed="false">
      <c r="A263" s="21" t="s">
        <v>438</v>
      </c>
      <c r="B263" s="21" t="s">
        <v>223</v>
      </c>
      <c r="C263" s="21" t="s">
        <v>255</v>
      </c>
      <c r="D263" s="21" t="s">
        <v>257</v>
      </c>
      <c r="E263" s="21"/>
      <c r="F263" s="21" t="s">
        <v>495</v>
      </c>
      <c r="G263" s="21"/>
      <c r="H263" s="21" t="s">
        <v>371</v>
      </c>
      <c r="I263" s="21"/>
      <c r="J263" s="22" t="n">
        <v>1</v>
      </c>
      <c r="K263" s="22" t="n">
        <v>1</v>
      </c>
      <c r="L263" s="22" t="n">
        <v>0</v>
      </c>
      <c r="M263" s="21" t="s">
        <v>363</v>
      </c>
      <c r="N263" s="21"/>
      <c r="O263" s="20" t="n">
        <f aca="false">IF($N263="Exit",N($J263),0)</f>
        <v>0</v>
      </c>
      <c r="P263" s="23" t="str">
        <f aca="false">IF($F263="","",MID(IF($G263="",", career level","")&amp;IF($I263="",", nationality mandate","")&amp;IF($N263="",", capacity direction","")&amp;IF(N($J263)&lt;=0,", approved HC","")&amp;IF(AND($G263&lt;&gt;"",COUNTIF(CareerLevels,$G263)=0),", a career level that is not on the ladder",""),3,200))</f>
        <v>career level, nationality mandate, capacity direction</v>
      </c>
    </row>
    <row r="264" customFormat="false" ht="15" hidden="false" customHeight="false" outlineLevel="0" collapsed="false">
      <c r="A264" s="21" t="s">
        <v>360</v>
      </c>
      <c r="B264" s="21" t="s">
        <v>223</v>
      </c>
      <c r="C264" s="21" t="s">
        <v>255</v>
      </c>
      <c r="D264" s="21" t="s">
        <v>257</v>
      </c>
      <c r="E264" s="21" t="s">
        <v>259</v>
      </c>
      <c r="F264" s="21" t="s">
        <v>496</v>
      </c>
      <c r="G264" s="21"/>
      <c r="H264" s="21" t="s">
        <v>374</v>
      </c>
      <c r="I264" s="21"/>
      <c r="J264" s="22" t="n">
        <v>1</v>
      </c>
      <c r="K264" s="22" t="n">
        <v>1</v>
      </c>
      <c r="L264" s="22" t="n">
        <v>0</v>
      </c>
      <c r="M264" s="21" t="s">
        <v>363</v>
      </c>
      <c r="N264" s="21"/>
      <c r="O264" s="20" t="n">
        <f aca="false">IF($N264="Exit",N($J264),0)</f>
        <v>0</v>
      </c>
      <c r="P264" s="23" t="str">
        <f aca="false">IF($F264="","",MID(IF($G264="",", career level","")&amp;IF($I264="",", nationality mandate","")&amp;IF($N264="",", capacity direction","")&amp;IF(N($J264)&lt;=0,", approved HC","")&amp;IF(AND($G264&lt;&gt;"",COUNTIF(CareerLevels,$G264)=0),", a career level that is not on the ladder",""),3,200))</f>
        <v>career level, nationality mandate, capacity direction</v>
      </c>
    </row>
    <row r="265" customFormat="false" ht="15" hidden="false" customHeight="false" outlineLevel="0" collapsed="false">
      <c r="A265" s="21" t="s">
        <v>417</v>
      </c>
      <c r="B265" s="21" t="s">
        <v>223</v>
      </c>
      <c r="C265" s="21" t="s">
        <v>255</v>
      </c>
      <c r="D265" s="21" t="s">
        <v>257</v>
      </c>
      <c r="E265" s="21" t="s">
        <v>259</v>
      </c>
      <c r="F265" s="21" t="s">
        <v>496</v>
      </c>
      <c r="G265" s="21"/>
      <c r="H265" s="21" t="s">
        <v>374</v>
      </c>
      <c r="I265" s="21"/>
      <c r="J265" s="22" t="n">
        <v>1</v>
      </c>
      <c r="K265" s="22" t="n">
        <v>1</v>
      </c>
      <c r="L265" s="22" t="n">
        <v>0</v>
      </c>
      <c r="M265" s="21" t="s">
        <v>363</v>
      </c>
      <c r="N265" s="21"/>
      <c r="O265" s="20" t="n">
        <f aca="false">IF($N265="Exit",N($J265),0)</f>
        <v>0</v>
      </c>
      <c r="P265" s="23" t="str">
        <f aca="false">IF($F265="","",MID(IF($G265="",", career level","")&amp;IF($I265="",", nationality mandate","")&amp;IF($N265="",", capacity direction","")&amp;IF(N($J265)&lt;=0,", approved HC","")&amp;IF(AND($G265&lt;&gt;"",COUNTIF(CareerLevels,$G265)=0),", a career level that is not on the ladder",""),3,200))</f>
        <v>career level, nationality mandate, capacity direction</v>
      </c>
    </row>
    <row r="266" customFormat="false" ht="15" hidden="false" customHeight="false" outlineLevel="0" collapsed="false">
      <c r="A266" s="21" t="s">
        <v>439</v>
      </c>
      <c r="B266" s="21" t="s">
        <v>223</v>
      </c>
      <c r="C266" s="21" t="s">
        <v>255</v>
      </c>
      <c r="D266" s="21" t="s">
        <v>257</v>
      </c>
      <c r="E266" s="21" t="s">
        <v>259</v>
      </c>
      <c r="F266" s="21" t="s">
        <v>497</v>
      </c>
      <c r="G266" s="21"/>
      <c r="H266" s="21" t="s">
        <v>374</v>
      </c>
      <c r="I266" s="21"/>
      <c r="J266" s="22" t="n">
        <v>1</v>
      </c>
      <c r="K266" s="22" t="n">
        <v>1</v>
      </c>
      <c r="L266" s="22" t="n">
        <v>0</v>
      </c>
      <c r="M266" s="21" t="s">
        <v>363</v>
      </c>
      <c r="N266" s="21"/>
      <c r="O266" s="20" t="n">
        <f aca="false">IF($N266="Exit",N($J266),0)</f>
        <v>0</v>
      </c>
      <c r="P266" s="23" t="str">
        <f aca="false">IF($F266="","",MID(IF($G266="",", career level","")&amp;IF($I266="",", nationality mandate","")&amp;IF($N266="",", capacity direction","")&amp;IF(N($J266)&lt;=0,", approved HC","")&amp;IF(AND($G266&lt;&gt;"",COUNTIF(CareerLevels,$G266)=0),", a career level that is not on the ladder",""),3,200))</f>
        <v>career level, nationality mandate, capacity direction</v>
      </c>
    </row>
    <row r="267" customFormat="false" ht="15" hidden="false" customHeight="false" outlineLevel="0" collapsed="false">
      <c r="A267" s="21" t="s">
        <v>420</v>
      </c>
      <c r="B267" s="21" t="s">
        <v>223</v>
      </c>
      <c r="C267" s="21" t="s">
        <v>255</v>
      </c>
      <c r="D267" s="21" t="s">
        <v>257</v>
      </c>
      <c r="E267" s="21" t="s">
        <v>259</v>
      </c>
      <c r="F267" s="21" t="s">
        <v>497</v>
      </c>
      <c r="G267" s="21"/>
      <c r="H267" s="21" t="s">
        <v>374</v>
      </c>
      <c r="I267" s="21"/>
      <c r="J267" s="22" t="n">
        <v>1</v>
      </c>
      <c r="K267" s="22" t="n">
        <v>0</v>
      </c>
      <c r="L267" s="22" t="n">
        <v>1</v>
      </c>
      <c r="M267" s="21" t="s">
        <v>363</v>
      </c>
      <c r="N267" s="21"/>
      <c r="O267" s="20" t="n">
        <f aca="false">IF($N267="Exit",N($J267),0)</f>
        <v>0</v>
      </c>
      <c r="P267" s="23" t="str">
        <f aca="false">IF($F267="","",MID(IF($G267="",", career level","")&amp;IF($I267="",", nationality mandate","")&amp;IF($N267="",", capacity direction","")&amp;IF(N($J267)&lt;=0,", approved HC","")&amp;IF(AND($G267&lt;&gt;"",COUNTIF(CareerLevels,$G267)=0),", a career level that is not on the ladder",""),3,200))</f>
        <v>career level, nationality mandate, capacity direction</v>
      </c>
    </row>
    <row r="268" customFormat="false" ht="15" hidden="false" customHeight="false" outlineLevel="0" collapsed="false">
      <c r="A268" s="21" t="s">
        <v>360</v>
      </c>
      <c r="B268" s="21" t="s">
        <v>223</v>
      </c>
      <c r="C268" s="21" t="s">
        <v>255</v>
      </c>
      <c r="D268" s="21" t="s">
        <v>257</v>
      </c>
      <c r="E268" s="21" t="s">
        <v>259</v>
      </c>
      <c r="F268" s="21" t="s">
        <v>497</v>
      </c>
      <c r="G268" s="21"/>
      <c r="H268" s="21" t="s">
        <v>374</v>
      </c>
      <c r="I268" s="21"/>
      <c r="J268" s="22" t="n">
        <v>1</v>
      </c>
      <c r="K268" s="22" t="n">
        <v>1</v>
      </c>
      <c r="L268" s="22" t="n">
        <v>0</v>
      </c>
      <c r="M268" s="21" t="s">
        <v>363</v>
      </c>
      <c r="N268" s="21"/>
      <c r="O268" s="20" t="n">
        <f aca="false">IF($N268="Exit",N($J268),0)</f>
        <v>0</v>
      </c>
      <c r="P268" s="23" t="str">
        <f aca="false">IF($F268="","",MID(IF($G268="",", career level","")&amp;IF($I268="",", nationality mandate","")&amp;IF($N268="",", capacity direction","")&amp;IF(N($J268)&lt;=0,", approved HC","")&amp;IF(AND($G268&lt;&gt;"",COUNTIF(CareerLevels,$G268)=0),", a career level that is not on the ladder",""),3,200))</f>
        <v>career level, nationality mandate, capacity direction</v>
      </c>
    </row>
    <row r="269" customFormat="false" ht="15" hidden="false" customHeight="false" outlineLevel="0" collapsed="false">
      <c r="A269" s="21" t="s">
        <v>417</v>
      </c>
      <c r="B269" s="21" t="s">
        <v>223</v>
      </c>
      <c r="C269" s="21" t="s">
        <v>255</v>
      </c>
      <c r="D269" s="21" t="s">
        <v>257</v>
      </c>
      <c r="E269" s="21" t="s">
        <v>259</v>
      </c>
      <c r="F269" s="21" t="s">
        <v>498</v>
      </c>
      <c r="G269" s="21"/>
      <c r="H269" s="21" t="s">
        <v>374</v>
      </c>
      <c r="I269" s="21"/>
      <c r="J269" s="22" t="n">
        <v>1</v>
      </c>
      <c r="K269" s="22" t="n">
        <v>0</v>
      </c>
      <c r="L269" s="22" t="n">
        <v>1</v>
      </c>
      <c r="M269" s="21" t="s">
        <v>363</v>
      </c>
      <c r="N269" s="21"/>
      <c r="O269" s="20" t="n">
        <f aca="false">IF($N269="Exit",N($J269),0)</f>
        <v>0</v>
      </c>
      <c r="P269" s="23" t="str">
        <f aca="false">IF($F269="","",MID(IF($G269="",", career level","")&amp;IF($I269="",", nationality mandate","")&amp;IF($N269="",", capacity direction","")&amp;IF(N($J269)&lt;=0,", approved HC","")&amp;IF(AND($G269&lt;&gt;"",COUNTIF(CareerLevels,$G269)=0),", a career level that is not on the ladder",""),3,200))</f>
        <v>career level, nationality mandate, capacity direction</v>
      </c>
    </row>
    <row r="270" customFormat="false" ht="15" hidden="false" customHeight="false" outlineLevel="0" collapsed="false">
      <c r="A270" s="21" t="s">
        <v>421</v>
      </c>
      <c r="B270" s="21" t="s">
        <v>223</v>
      </c>
      <c r="C270" s="21" t="s">
        <v>255</v>
      </c>
      <c r="D270" s="21" t="s">
        <v>257</v>
      </c>
      <c r="E270" s="21" t="s">
        <v>259</v>
      </c>
      <c r="F270" s="21" t="s">
        <v>499</v>
      </c>
      <c r="G270" s="21"/>
      <c r="H270" s="21" t="s">
        <v>374</v>
      </c>
      <c r="I270" s="21"/>
      <c r="J270" s="22" t="n">
        <v>1</v>
      </c>
      <c r="K270" s="22" t="n">
        <v>1</v>
      </c>
      <c r="L270" s="22" t="n">
        <v>0</v>
      </c>
      <c r="M270" s="21" t="s">
        <v>363</v>
      </c>
      <c r="N270" s="21"/>
      <c r="O270" s="20" t="n">
        <f aca="false">IF($N270="Exit",N($J270),0)</f>
        <v>0</v>
      </c>
      <c r="P270" s="23" t="str">
        <f aca="false">IF($F270="","",MID(IF($G270="",", career level","")&amp;IF($I270="",", nationality mandate","")&amp;IF($N270="",", capacity direction","")&amp;IF(N($J270)&lt;=0,", approved HC","")&amp;IF(AND($G270&lt;&gt;"",COUNTIF(CareerLevels,$G270)=0),", a career level that is not on the ladder",""),3,200))</f>
        <v>career level, nationality mandate, capacity direction</v>
      </c>
    </row>
    <row r="271" customFormat="false" ht="15" hidden="false" customHeight="false" outlineLevel="0" collapsed="false">
      <c r="A271" s="21" t="s">
        <v>396</v>
      </c>
      <c r="B271" s="21" t="s">
        <v>223</v>
      </c>
      <c r="C271" s="21" t="s">
        <v>255</v>
      </c>
      <c r="D271" s="21" t="s">
        <v>257</v>
      </c>
      <c r="E271" s="21" t="s">
        <v>259</v>
      </c>
      <c r="F271" s="21" t="s">
        <v>500</v>
      </c>
      <c r="G271" s="21"/>
      <c r="H271" s="21" t="s">
        <v>371</v>
      </c>
      <c r="I271" s="21"/>
      <c r="J271" s="22" t="n">
        <v>1</v>
      </c>
      <c r="K271" s="22" t="n">
        <v>1</v>
      </c>
      <c r="L271" s="22" t="n">
        <v>0</v>
      </c>
      <c r="M271" s="21" t="s">
        <v>363</v>
      </c>
      <c r="N271" s="21"/>
      <c r="O271" s="20" t="n">
        <f aca="false">IF($N271="Exit",N($J271),0)</f>
        <v>0</v>
      </c>
      <c r="P271" s="23" t="str">
        <f aca="false">IF($F271="","",MID(IF($G271="",", career level","")&amp;IF($I271="",", nationality mandate","")&amp;IF($N271="",", capacity direction","")&amp;IF(N($J271)&lt;=0,", approved HC","")&amp;IF(AND($G271&lt;&gt;"",COUNTIF(CareerLevels,$G271)=0),", a career level that is not on the ladder",""),3,200))</f>
        <v>career level, nationality mandate, capacity direction</v>
      </c>
    </row>
    <row r="272" customFormat="false" ht="15" hidden="false" customHeight="false" outlineLevel="0" collapsed="false">
      <c r="A272" s="21" t="s">
        <v>369</v>
      </c>
      <c r="B272" s="21" t="s">
        <v>223</v>
      </c>
      <c r="C272" s="21" t="s">
        <v>255</v>
      </c>
      <c r="D272" s="21" t="s">
        <v>257</v>
      </c>
      <c r="E272" s="21" t="s">
        <v>265</v>
      </c>
      <c r="F272" s="21" t="s">
        <v>501</v>
      </c>
      <c r="G272" s="21"/>
      <c r="H272" s="21" t="s">
        <v>374</v>
      </c>
      <c r="I272" s="21"/>
      <c r="J272" s="22" t="n">
        <v>1</v>
      </c>
      <c r="K272" s="22" t="n">
        <v>1</v>
      </c>
      <c r="L272" s="22" t="n">
        <v>0</v>
      </c>
      <c r="M272" s="21" t="s">
        <v>363</v>
      </c>
      <c r="N272" s="21"/>
      <c r="O272" s="20" t="n">
        <f aca="false">IF($N272="Exit",N($J272),0)</f>
        <v>0</v>
      </c>
      <c r="P272" s="23" t="str">
        <f aca="false">IF($F272="","",MID(IF($G272="",", career level","")&amp;IF($I272="",", nationality mandate","")&amp;IF($N272="",", capacity direction","")&amp;IF(N($J272)&lt;=0,", approved HC","")&amp;IF(AND($G272&lt;&gt;"",COUNTIF(CareerLevels,$G272)=0),", a career level that is not on the ladder",""),3,200))</f>
        <v>career level, nationality mandate, capacity direction</v>
      </c>
    </row>
    <row r="273" customFormat="false" ht="15" hidden="false" customHeight="false" outlineLevel="0" collapsed="false">
      <c r="A273" s="21" t="s">
        <v>445</v>
      </c>
      <c r="B273" s="21" t="s">
        <v>223</v>
      </c>
      <c r="C273" s="21" t="s">
        <v>255</v>
      </c>
      <c r="D273" s="21" t="s">
        <v>257</v>
      </c>
      <c r="E273" s="21" t="s">
        <v>265</v>
      </c>
      <c r="F273" s="21" t="s">
        <v>501</v>
      </c>
      <c r="G273" s="21"/>
      <c r="H273" s="21" t="s">
        <v>374</v>
      </c>
      <c r="I273" s="21"/>
      <c r="J273" s="22" t="n">
        <v>1</v>
      </c>
      <c r="K273" s="22" t="n">
        <v>1</v>
      </c>
      <c r="L273" s="22" t="n">
        <v>0</v>
      </c>
      <c r="M273" s="21" t="s">
        <v>363</v>
      </c>
      <c r="N273" s="21"/>
      <c r="O273" s="20" t="n">
        <f aca="false">IF($N273="Exit",N($J273),0)</f>
        <v>0</v>
      </c>
      <c r="P273" s="23" t="str">
        <f aca="false">IF($F273="","",MID(IF($G273="",", career level","")&amp;IF($I273="",", nationality mandate","")&amp;IF($N273="",", capacity direction","")&amp;IF(N($J273)&lt;=0,", approved HC","")&amp;IF(AND($G273&lt;&gt;"",COUNTIF(CareerLevels,$G273)=0),", a career level that is not on the ladder",""),3,200))</f>
        <v>career level, nationality mandate, capacity direction</v>
      </c>
    </row>
    <row r="274" customFormat="false" ht="15" hidden="false" customHeight="false" outlineLevel="0" collapsed="false">
      <c r="A274" s="21" t="s">
        <v>432</v>
      </c>
      <c r="B274" s="21" t="s">
        <v>223</v>
      </c>
      <c r="C274" s="21" t="s">
        <v>255</v>
      </c>
      <c r="D274" s="21" t="s">
        <v>257</v>
      </c>
      <c r="E274" s="21" t="s">
        <v>265</v>
      </c>
      <c r="F274" s="21" t="s">
        <v>496</v>
      </c>
      <c r="G274" s="21"/>
      <c r="H274" s="21" t="s">
        <v>374</v>
      </c>
      <c r="I274" s="21"/>
      <c r="J274" s="22" t="n">
        <v>1</v>
      </c>
      <c r="K274" s="22" t="n">
        <v>1</v>
      </c>
      <c r="L274" s="22" t="n">
        <v>0</v>
      </c>
      <c r="M274" s="21" t="s">
        <v>363</v>
      </c>
      <c r="N274" s="21"/>
      <c r="O274" s="20" t="n">
        <f aca="false">IF($N274="Exit",N($J274),0)</f>
        <v>0</v>
      </c>
      <c r="P274" s="23" t="str">
        <f aca="false">IF($F274="","",MID(IF($G274="",", career level","")&amp;IF($I274="",", nationality mandate","")&amp;IF($N274="",", capacity direction","")&amp;IF(N($J274)&lt;=0,", approved HC","")&amp;IF(AND($G274&lt;&gt;"",COUNTIF(CareerLevels,$G274)=0),", a career level that is not on the ladder",""),3,200))</f>
        <v>career level, nationality mandate, capacity direction</v>
      </c>
    </row>
    <row r="275" customFormat="false" ht="15" hidden="false" customHeight="false" outlineLevel="0" collapsed="false">
      <c r="A275" s="21" t="s">
        <v>481</v>
      </c>
      <c r="B275" s="21" t="s">
        <v>223</v>
      </c>
      <c r="C275" s="21" t="s">
        <v>255</v>
      </c>
      <c r="D275" s="21" t="s">
        <v>257</v>
      </c>
      <c r="E275" s="21" t="s">
        <v>265</v>
      </c>
      <c r="F275" s="21" t="s">
        <v>502</v>
      </c>
      <c r="G275" s="21"/>
      <c r="H275" s="21" t="s">
        <v>374</v>
      </c>
      <c r="I275" s="21"/>
      <c r="J275" s="22" t="n">
        <v>1</v>
      </c>
      <c r="K275" s="22" t="n">
        <v>1</v>
      </c>
      <c r="L275" s="22" t="n">
        <v>0</v>
      </c>
      <c r="M275" s="21" t="s">
        <v>363</v>
      </c>
      <c r="N275" s="21"/>
      <c r="O275" s="20" t="n">
        <f aca="false">IF($N275="Exit",N($J275),0)</f>
        <v>0</v>
      </c>
      <c r="P275" s="23" t="str">
        <f aca="false">IF($F275="","",MID(IF($G275="",", career level","")&amp;IF($I275="",", nationality mandate","")&amp;IF($N275="",", capacity direction","")&amp;IF(N($J275)&lt;=0,", approved HC","")&amp;IF(AND($G275&lt;&gt;"",COUNTIF(CareerLevels,$G275)=0),", a career level that is not on the ladder",""),3,200))</f>
        <v>career level, nationality mandate, capacity direction</v>
      </c>
    </row>
    <row r="276" customFormat="false" ht="15" hidden="false" customHeight="false" outlineLevel="0" collapsed="false">
      <c r="A276" s="21" t="s">
        <v>408</v>
      </c>
      <c r="B276" s="21" t="s">
        <v>223</v>
      </c>
      <c r="C276" s="21" t="s">
        <v>255</v>
      </c>
      <c r="D276" s="21" t="s">
        <v>257</v>
      </c>
      <c r="E276" s="21" t="s">
        <v>265</v>
      </c>
      <c r="F276" s="21" t="s">
        <v>497</v>
      </c>
      <c r="G276" s="21"/>
      <c r="H276" s="21" t="s">
        <v>374</v>
      </c>
      <c r="I276" s="21"/>
      <c r="J276" s="22" t="n">
        <v>1</v>
      </c>
      <c r="K276" s="22" t="n">
        <v>1</v>
      </c>
      <c r="L276" s="22" t="n">
        <v>0</v>
      </c>
      <c r="M276" s="21" t="s">
        <v>363</v>
      </c>
      <c r="N276" s="21"/>
      <c r="O276" s="20" t="n">
        <f aca="false">IF($N276="Exit",N($J276),0)</f>
        <v>0</v>
      </c>
      <c r="P276" s="23" t="str">
        <f aca="false">IF($F276="","",MID(IF($G276="",", career level","")&amp;IF($I276="",", nationality mandate","")&amp;IF($N276="",", capacity direction","")&amp;IF(N($J276)&lt;=0,", approved HC","")&amp;IF(AND($G276&lt;&gt;"",COUNTIF(CareerLevels,$G276)=0),", a career level that is not on the ladder",""),3,200))</f>
        <v>career level, nationality mandate, capacity direction</v>
      </c>
    </row>
    <row r="277" customFormat="false" ht="15" hidden="false" customHeight="false" outlineLevel="0" collapsed="false">
      <c r="A277" s="21" t="s">
        <v>369</v>
      </c>
      <c r="B277" s="21" t="s">
        <v>223</v>
      </c>
      <c r="C277" s="21" t="s">
        <v>255</v>
      </c>
      <c r="D277" s="21" t="s">
        <v>257</v>
      </c>
      <c r="E277" s="21" t="s">
        <v>265</v>
      </c>
      <c r="F277" s="21" t="s">
        <v>498</v>
      </c>
      <c r="G277" s="21"/>
      <c r="H277" s="21" t="s">
        <v>374</v>
      </c>
      <c r="I277" s="21"/>
      <c r="J277" s="22" t="n">
        <v>1</v>
      </c>
      <c r="K277" s="22" t="n">
        <v>1</v>
      </c>
      <c r="L277" s="22" t="n">
        <v>0</v>
      </c>
      <c r="M277" s="21" t="s">
        <v>363</v>
      </c>
      <c r="N277" s="21"/>
      <c r="O277" s="20" t="n">
        <f aca="false">IF($N277="Exit",N($J277),0)</f>
        <v>0</v>
      </c>
      <c r="P277" s="23" t="str">
        <f aca="false">IF($F277="","",MID(IF($G277="",", career level","")&amp;IF($I277="",", nationality mandate","")&amp;IF($N277="",", capacity direction","")&amp;IF(N($J277)&lt;=0,", approved HC","")&amp;IF(AND($G277&lt;&gt;"",COUNTIF(CareerLevels,$G277)=0),", a career level that is not on the ladder",""),3,200))</f>
        <v>career level, nationality mandate, capacity direction</v>
      </c>
    </row>
    <row r="278" customFormat="false" ht="15" hidden="false" customHeight="false" outlineLevel="0" collapsed="false">
      <c r="A278" s="21" t="s">
        <v>367</v>
      </c>
      <c r="B278" s="21" t="s">
        <v>223</v>
      </c>
      <c r="C278" s="21" t="s">
        <v>255</v>
      </c>
      <c r="D278" s="21" t="s">
        <v>257</v>
      </c>
      <c r="E278" s="21" t="s">
        <v>265</v>
      </c>
      <c r="F278" s="21" t="s">
        <v>499</v>
      </c>
      <c r="G278" s="21"/>
      <c r="H278" s="21" t="s">
        <v>374</v>
      </c>
      <c r="I278" s="21"/>
      <c r="J278" s="22" t="n">
        <v>1</v>
      </c>
      <c r="K278" s="22" t="n">
        <v>1</v>
      </c>
      <c r="L278" s="22" t="n">
        <v>0</v>
      </c>
      <c r="M278" s="21" t="s">
        <v>363</v>
      </c>
      <c r="N278" s="21"/>
      <c r="O278" s="20" t="n">
        <f aca="false">IF($N278="Exit",N($J278),0)</f>
        <v>0</v>
      </c>
      <c r="P278" s="23" t="str">
        <f aca="false">IF($F278="","",MID(IF($G278="",", career level","")&amp;IF($I278="",", nationality mandate","")&amp;IF($N278="",", capacity direction","")&amp;IF(N($J278)&lt;=0,", approved HC","")&amp;IF(AND($G278&lt;&gt;"",COUNTIF(CareerLevels,$G278)=0),", a career level that is not on the ladder",""),3,200))</f>
        <v>career level, nationality mandate, capacity direction</v>
      </c>
    </row>
    <row r="279" customFormat="false" ht="15" hidden="false" customHeight="false" outlineLevel="0" collapsed="false">
      <c r="A279" s="21" t="s">
        <v>424</v>
      </c>
      <c r="B279" s="21" t="s">
        <v>223</v>
      </c>
      <c r="C279" s="21" t="s">
        <v>255</v>
      </c>
      <c r="D279" s="21" t="s">
        <v>257</v>
      </c>
      <c r="E279" s="21" t="s">
        <v>265</v>
      </c>
      <c r="F279" s="21" t="s">
        <v>500</v>
      </c>
      <c r="G279" s="21"/>
      <c r="H279" s="21" t="s">
        <v>371</v>
      </c>
      <c r="I279" s="21"/>
      <c r="J279" s="22" t="n">
        <v>1</v>
      </c>
      <c r="K279" s="22" t="n">
        <v>0</v>
      </c>
      <c r="L279" s="22" t="n">
        <v>1</v>
      </c>
      <c r="M279" s="21" t="s">
        <v>363</v>
      </c>
      <c r="N279" s="21"/>
      <c r="O279" s="20" t="n">
        <f aca="false">IF($N279="Exit",N($J279),0)</f>
        <v>0</v>
      </c>
      <c r="P279" s="23" t="str">
        <f aca="false">IF($F279="","",MID(IF($G279="",", career level","")&amp;IF($I279="",", nationality mandate","")&amp;IF($N279="",", capacity direction","")&amp;IF(N($J279)&lt;=0,", approved HC","")&amp;IF(AND($G279&lt;&gt;"",COUNTIF(CareerLevels,$G279)=0),", a career level that is not on the ladder",""),3,200))</f>
        <v>career level, nationality mandate, capacity direction</v>
      </c>
    </row>
    <row r="280" customFormat="false" ht="15" hidden="false" customHeight="false" outlineLevel="0" collapsed="false">
      <c r="A280" s="21" t="s">
        <v>443</v>
      </c>
      <c r="B280" s="21" t="s">
        <v>223</v>
      </c>
      <c r="C280" s="21" t="s">
        <v>255</v>
      </c>
      <c r="D280" s="21" t="s">
        <v>271</v>
      </c>
      <c r="E280" s="21"/>
      <c r="F280" s="21" t="s">
        <v>495</v>
      </c>
      <c r="G280" s="21"/>
      <c r="H280" s="21" t="s">
        <v>371</v>
      </c>
      <c r="I280" s="21"/>
      <c r="J280" s="22" t="n">
        <v>1</v>
      </c>
      <c r="K280" s="22" t="n">
        <v>1</v>
      </c>
      <c r="L280" s="22" t="n">
        <v>0</v>
      </c>
      <c r="M280" s="21" t="s">
        <v>393</v>
      </c>
      <c r="N280" s="21"/>
      <c r="O280" s="20" t="n">
        <f aca="false">IF($N280="Exit",N($J280),0)</f>
        <v>0</v>
      </c>
      <c r="P280" s="23" t="str">
        <f aca="false">IF($F280="","",MID(IF($G280="",", career level","")&amp;IF($I280="",", nationality mandate","")&amp;IF($N280="",", capacity direction","")&amp;IF(N($J280)&lt;=0,", approved HC","")&amp;IF(AND($G280&lt;&gt;"",COUNTIF(CareerLevels,$G280)=0),", a career level that is not on the ladder",""),3,200))</f>
        <v>career level, nationality mandate, capacity direction</v>
      </c>
    </row>
    <row r="281" customFormat="false" ht="15" hidden="false" customHeight="false" outlineLevel="0" collapsed="false">
      <c r="A281" s="21" t="s">
        <v>388</v>
      </c>
      <c r="B281" s="21" t="s">
        <v>223</v>
      </c>
      <c r="C281" s="21" t="s">
        <v>255</v>
      </c>
      <c r="D281" s="21" t="s">
        <v>271</v>
      </c>
      <c r="E281" s="21" t="s">
        <v>273</v>
      </c>
      <c r="F281" s="21" t="s">
        <v>502</v>
      </c>
      <c r="G281" s="21"/>
      <c r="H281" s="21" t="s">
        <v>374</v>
      </c>
      <c r="I281" s="21"/>
      <c r="J281" s="22" t="n">
        <v>1</v>
      </c>
      <c r="K281" s="22" t="n">
        <v>1</v>
      </c>
      <c r="L281" s="22" t="n">
        <v>0</v>
      </c>
      <c r="M281" s="21" t="s">
        <v>363</v>
      </c>
      <c r="N281" s="21"/>
      <c r="O281" s="20" t="n">
        <f aca="false">IF($N281="Exit",N($J281),0)</f>
        <v>0</v>
      </c>
      <c r="P281" s="23" t="str">
        <f aca="false">IF($F281="","",MID(IF($G281="",", career level","")&amp;IF($I281="",", nationality mandate","")&amp;IF($N281="",", capacity direction","")&amp;IF(N($J281)&lt;=0,", approved HC","")&amp;IF(AND($G281&lt;&gt;"",COUNTIF(CareerLevels,$G281)=0),", a career level that is not on the ladder",""),3,200))</f>
        <v>career level, nationality mandate, capacity direction</v>
      </c>
    </row>
    <row r="282" customFormat="false" ht="15" hidden="false" customHeight="false" outlineLevel="0" collapsed="false">
      <c r="A282" s="21" t="s">
        <v>379</v>
      </c>
      <c r="B282" s="21" t="s">
        <v>223</v>
      </c>
      <c r="C282" s="21" t="s">
        <v>255</v>
      </c>
      <c r="D282" s="21" t="s">
        <v>271</v>
      </c>
      <c r="E282" s="21" t="s">
        <v>273</v>
      </c>
      <c r="F282" s="21" t="s">
        <v>502</v>
      </c>
      <c r="G282" s="21"/>
      <c r="H282" s="21" t="s">
        <v>374</v>
      </c>
      <c r="I282" s="21"/>
      <c r="J282" s="22" t="n">
        <v>1</v>
      </c>
      <c r="K282" s="22" t="n">
        <v>1</v>
      </c>
      <c r="L282" s="22" t="n">
        <v>0</v>
      </c>
      <c r="M282" s="21" t="s">
        <v>363</v>
      </c>
      <c r="N282" s="21"/>
      <c r="O282" s="20" t="n">
        <f aca="false">IF($N282="Exit",N($J282),0)</f>
        <v>0</v>
      </c>
      <c r="P282" s="23" t="str">
        <f aca="false">IF($F282="","",MID(IF($G282="",", career level","")&amp;IF($I282="",", nationality mandate","")&amp;IF($N282="",", capacity direction","")&amp;IF(N($J282)&lt;=0,", approved HC","")&amp;IF(AND($G282&lt;&gt;"",COUNTIF(CareerLevels,$G282)=0),", a career level that is not on the ladder",""),3,200))</f>
        <v>career level, nationality mandate, capacity direction</v>
      </c>
    </row>
    <row r="283" customFormat="false" ht="15" hidden="false" customHeight="false" outlineLevel="0" collapsed="false">
      <c r="A283" s="21" t="s">
        <v>409</v>
      </c>
      <c r="B283" s="21" t="s">
        <v>223</v>
      </c>
      <c r="C283" s="21" t="s">
        <v>255</v>
      </c>
      <c r="D283" s="21" t="s">
        <v>271</v>
      </c>
      <c r="E283" s="21" t="s">
        <v>273</v>
      </c>
      <c r="F283" s="21" t="s">
        <v>502</v>
      </c>
      <c r="G283" s="21"/>
      <c r="H283" s="21" t="s">
        <v>374</v>
      </c>
      <c r="I283" s="21"/>
      <c r="J283" s="22" t="n">
        <v>1</v>
      </c>
      <c r="K283" s="22" t="n">
        <v>1</v>
      </c>
      <c r="L283" s="22" t="n">
        <v>0</v>
      </c>
      <c r="M283" s="21" t="s">
        <v>363</v>
      </c>
      <c r="N283" s="21"/>
      <c r="O283" s="20" t="n">
        <f aca="false">IF($N283="Exit",N($J283),0)</f>
        <v>0</v>
      </c>
      <c r="P283" s="23" t="str">
        <f aca="false">IF($F283="","",MID(IF($G283="",", career level","")&amp;IF($I283="",", nationality mandate","")&amp;IF($N283="",", capacity direction","")&amp;IF(N($J283)&lt;=0,", approved HC","")&amp;IF(AND($G283&lt;&gt;"",COUNTIF(CareerLevels,$G283)=0),", a career level that is not on the ladder",""),3,200))</f>
        <v>career level, nationality mandate, capacity direction</v>
      </c>
    </row>
    <row r="284" customFormat="false" ht="15" hidden="false" customHeight="false" outlineLevel="0" collapsed="false">
      <c r="A284" s="21" t="s">
        <v>399</v>
      </c>
      <c r="B284" s="21" t="s">
        <v>223</v>
      </c>
      <c r="C284" s="21" t="s">
        <v>255</v>
      </c>
      <c r="D284" s="21" t="s">
        <v>271</v>
      </c>
      <c r="E284" s="21" t="s">
        <v>273</v>
      </c>
      <c r="F284" s="21" t="s">
        <v>497</v>
      </c>
      <c r="G284" s="21"/>
      <c r="H284" s="21" t="s">
        <v>374</v>
      </c>
      <c r="I284" s="21"/>
      <c r="J284" s="22" t="n">
        <v>1</v>
      </c>
      <c r="K284" s="22" t="n">
        <v>1</v>
      </c>
      <c r="L284" s="22" t="n">
        <v>0</v>
      </c>
      <c r="M284" s="21" t="s">
        <v>363</v>
      </c>
      <c r="N284" s="21"/>
      <c r="O284" s="20" t="n">
        <f aca="false">IF($N284="Exit",N($J284),0)</f>
        <v>0</v>
      </c>
      <c r="P284" s="23" t="str">
        <f aca="false">IF($F284="","",MID(IF($G284="",", career level","")&amp;IF($I284="",", nationality mandate","")&amp;IF($N284="",", capacity direction","")&amp;IF(N($J284)&lt;=0,", approved HC","")&amp;IF(AND($G284&lt;&gt;"",COUNTIF(CareerLevels,$G284)=0),", a career level that is not on the ladder",""),3,200))</f>
        <v>career level, nationality mandate, capacity direction</v>
      </c>
    </row>
    <row r="285" customFormat="false" ht="15" hidden="false" customHeight="false" outlineLevel="0" collapsed="false">
      <c r="A285" s="21" t="s">
        <v>391</v>
      </c>
      <c r="B285" s="21" t="s">
        <v>223</v>
      </c>
      <c r="C285" s="21" t="s">
        <v>255</v>
      </c>
      <c r="D285" s="21" t="s">
        <v>271</v>
      </c>
      <c r="E285" s="21" t="s">
        <v>273</v>
      </c>
      <c r="F285" s="21" t="s">
        <v>499</v>
      </c>
      <c r="G285" s="21"/>
      <c r="H285" s="21" t="s">
        <v>374</v>
      </c>
      <c r="I285" s="21"/>
      <c r="J285" s="22" t="n">
        <v>1</v>
      </c>
      <c r="K285" s="22" t="n">
        <v>1</v>
      </c>
      <c r="L285" s="22" t="n">
        <v>0</v>
      </c>
      <c r="M285" s="21" t="s">
        <v>363</v>
      </c>
      <c r="N285" s="21"/>
      <c r="O285" s="20" t="n">
        <f aca="false">IF($N285="Exit",N($J285),0)</f>
        <v>0</v>
      </c>
      <c r="P285" s="23" t="str">
        <f aca="false">IF($F285="","",MID(IF($G285="",", career level","")&amp;IF($I285="",", nationality mandate","")&amp;IF($N285="",", capacity direction","")&amp;IF(N($J285)&lt;=0,", approved HC","")&amp;IF(AND($G285&lt;&gt;"",COUNTIF(CareerLevels,$G285)=0),", a career level that is not on the ladder",""),3,200))</f>
        <v>career level, nationality mandate, capacity direction</v>
      </c>
    </row>
    <row r="286" customFormat="false" ht="15" hidden="false" customHeight="false" outlineLevel="0" collapsed="false">
      <c r="A286" s="21" t="s">
        <v>394</v>
      </c>
      <c r="B286" s="21" t="s">
        <v>223</v>
      </c>
      <c r="C286" s="21" t="s">
        <v>255</v>
      </c>
      <c r="D286" s="21" t="s">
        <v>271</v>
      </c>
      <c r="E286" s="21" t="s">
        <v>273</v>
      </c>
      <c r="F286" s="21" t="s">
        <v>499</v>
      </c>
      <c r="G286" s="21"/>
      <c r="H286" s="21" t="s">
        <v>374</v>
      </c>
      <c r="I286" s="21"/>
      <c r="J286" s="22" t="n">
        <v>1</v>
      </c>
      <c r="K286" s="22" t="n">
        <v>0</v>
      </c>
      <c r="L286" s="22" t="n">
        <v>1</v>
      </c>
      <c r="M286" s="21" t="s">
        <v>363</v>
      </c>
      <c r="N286" s="21"/>
      <c r="O286" s="20" t="n">
        <f aca="false">IF($N286="Exit",N($J286),0)</f>
        <v>0</v>
      </c>
      <c r="P286" s="23" t="str">
        <f aca="false">IF($F286="","",MID(IF($G286="",", career level","")&amp;IF($I286="",", nationality mandate","")&amp;IF($N286="",", capacity direction","")&amp;IF(N($J286)&lt;=0,", approved HC","")&amp;IF(AND($G286&lt;&gt;"",COUNTIF(CareerLevels,$G286)=0),", a career level that is not on the ladder",""),3,200))</f>
        <v>career level, nationality mandate, capacity direction</v>
      </c>
    </row>
    <row r="287" customFormat="false" ht="15" hidden="false" customHeight="false" outlineLevel="0" collapsed="false">
      <c r="A287" s="21" t="s">
        <v>438</v>
      </c>
      <c r="B287" s="21" t="s">
        <v>223</v>
      </c>
      <c r="C287" s="21" t="s">
        <v>255</v>
      </c>
      <c r="D287" s="21" t="s">
        <v>271</v>
      </c>
      <c r="E287" s="21" t="s">
        <v>273</v>
      </c>
      <c r="F287" s="21" t="s">
        <v>500</v>
      </c>
      <c r="G287" s="21"/>
      <c r="H287" s="21" t="s">
        <v>371</v>
      </c>
      <c r="I287" s="21"/>
      <c r="J287" s="22" t="n">
        <v>1</v>
      </c>
      <c r="K287" s="22" t="n">
        <v>1</v>
      </c>
      <c r="L287" s="22" t="n">
        <v>0</v>
      </c>
      <c r="M287" s="21" t="s">
        <v>363</v>
      </c>
      <c r="N287" s="21"/>
      <c r="O287" s="20" t="n">
        <f aca="false">IF($N287="Exit",N($J287),0)</f>
        <v>0</v>
      </c>
      <c r="P287" s="23" t="str">
        <f aca="false">IF($F287="","",MID(IF($G287="",", career level","")&amp;IF($I287="",", nationality mandate","")&amp;IF($N287="",", capacity direction","")&amp;IF(N($J287)&lt;=0,", approved HC","")&amp;IF(AND($G287&lt;&gt;"",COUNTIF(CareerLevels,$G287)=0),", a career level that is not on the ladder",""),3,200))</f>
        <v>career level, nationality mandate, capacity direction</v>
      </c>
    </row>
    <row r="288" customFormat="false" ht="15" hidden="false" customHeight="false" outlineLevel="0" collapsed="false">
      <c r="A288" s="21" t="s">
        <v>408</v>
      </c>
      <c r="B288" s="21" t="s">
        <v>223</v>
      </c>
      <c r="C288" s="21" t="s">
        <v>255</v>
      </c>
      <c r="D288" s="21" t="s">
        <v>271</v>
      </c>
      <c r="E288" s="21" t="s">
        <v>279</v>
      </c>
      <c r="F288" s="21" t="s">
        <v>501</v>
      </c>
      <c r="G288" s="21"/>
      <c r="H288" s="21" t="s">
        <v>374</v>
      </c>
      <c r="I288" s="21"/>
      <c r="J288" s="22" t="n">
        <v>1</v>
      </c>
      <c r="K288" s="22" t="n">
        <v>1</v>
      </c>
      <c r="L288" s="22" t="n">
        <v>0</v>
      </c>
      <c r="M288" s="21" t="s">
        <v>363</v>
      </c>
      <c r="N288" s="21"/>
      <c r="O288" s="20" t="n">
        <f aca="false">IF($N288="Exit",N($J288),0)</f>
        <v>0</v>
      </c>
      <c r="P288" s="23" t="str">
        <f aca="false">IF($F288="","",MID(IF($G288="",", career level","")&amp;IF($I288="",", nationality mandate","")&amp;IF($N288="",", capacity direction","")&amp;IF(N($J288)&lt;=0,", approved HC","")&amp;IF(AND($G288&lt;&gt;"",COUNTIF(CareerLevels,$G288)=0),", a career level that is not on the ladder",""),3,200))</f>
        <v>career level, nationality mandate, capacity direction</v>
      </c>
    </row>
    <row r="289" customFormat="false" ht="15" hidden="false" customHeight="false" outlineLevel="0" collapsed="false">
      <c r="A289" s="21" t="s">
        <v>409</v>
      </c>
      <c r="B289" s="21" t="s">
        <v>223</v>
      </c>
      <c r="C289" s="21" t="s">
        <v>255</v>
      </c>
      <c r="D289" s="21" t="s">
        <v>271</v>
      </c>
      <c r="E289" s="21" t="s">
        <v>279</v>
      </c>
      <c r="F289" s="21" t="s">
        <v>501</v>
      </c>
      <c r="G289" s="21"/>
      <c r="H289" s="21" t="s">
        <v>374</v>
      </c>
      <c r="I289" s="21"/>
      <c r="J289" s="22" t="n">
        <v>1</v>
      </c>
      <c r="K289" s="22" t="n">
        <v>1</v>
      </c>
      <c r="L289" s="22" t="n">
        <v>0</v>
      </c>
      <c r="M289" s="21" t="s">
        <v>363</v>
      </c>
      <c r="N289" s="21"/>
      <c r="O289" s="20" t="n">
        <f aca="false">IF($N289="Exit",N($J289),0)</f>
        <v>0</v>
      </c>
      <c r="P289" s="23" t="str">
        <f aca="false">IF($F289="","",MID(IF($G289="",", career level","")&amp;IF($I289="",", nationality mandate","")&amp;IF($N289="",", capacity direction","")&amp;IF(N($J289)&lt;=0,", approved HC","")&amp;IF(AND($G289&lt;&gt;"",COUNTIF(CareerLevels,$G289)=0),", a career level that is not on the ladder",""),3,200))</f>
        <v>career level, nationality mandate, capacity direction</v>
      </c>
    </row>
    <row r="290" customFormat="false" ht="15" hidden="false" customHeight="false" outlineLevel="0" collapsed="false">
      <c r="A290" s="21" t="s">
        <v>364</v>
      </c>
      <c r="B290" s="21" t="s">
        <v>223</v>
      </c>
      <c r="C290" s="21" t="s">
        <v>255</v>
      </c>
      <c r="D290" s="21" t="s">
        <v>271</v>
      </c>
      <c r="E290" s="21" t="s">
        <v>279</v>
      </c>
      <c r="F290" s="21" t="s">
        <v>496</v>
      </c>
      <c r="G290" s="21"/>
      <c r="H290" s="21" t="s">
        <v>374</v>
      </c>
      <c r="I290" s="21"/>
      <c r="J290" s="22" t="n">
        <v>1</v>
      </c>
      <c r="K290" s="22" t="n">
        <v>1</v>
      </c>
      <c r="L290" s="22" t="n">
        <v>0</v>
      </c>
      <c r="M290" s="21" t="s">
        <v>363</v>
      </c>
      <c r="N290" s="21"/>
      <c r="O290" s="20" t="n">
        <f aca="false">IF($N290="Exit",N($J290),0)</f>
        <v>0</v>
      </c>
      <c r="P290" s="23" t="str">
        <f aca="false">IF($F290="","",MID(IF($G290="",", career level","")&amp;IF($I290="",", nationality mandate","")&amp;IF($N290="",", capacity direction","")&amp;IF(N($J290)&lt;=0,", approved HC","")&amp;IF(AND($G290&lt;&gt;"",COUNTIF(CareerLevels,$G290)=0),", a career level that is not on the ladder",""),3,200))</f>
        <v>career level, nationality mandate, capacity direction</v>
      </c>
    </row>
    <row r="291" customFormat="false" ht="15" hidden="false" customHeight="false" outlineLevel="0" collapsed="false">
      <c r="A291" s="21" t="s">
        <v>398</v>
      </c>
      <c r="B291" s="21" t="s">
        <v>223</v>
      </c>
      <c r="C291" s="21" t="s">
        <v>255</v>
      </c>
      <c r="D291" s="21" t="s">
        <v>271</v>
      </c>
      <c r="E291" s="21" t="s">
        <v>279</v>
      </c>
      <c r="F291" s="21" t="s">
        <v>502</v>
      </c>
      <c r="G291" s="21"/>
      <c r="H291" s="21" t="s">
        <v>374</v>
      </c>
      <c r="I291" s="21"/>
      <c r="J291" s="22" t="n">
        <v>1</v>
      </c>
      <c r="K291" s="22" t="n">
        <v>1</v>
      </c>
      <c r="L291" s="22" t="n">
        <v>0</v>
      </c>
      <c r="M291" s="21" t="s">
        <v>363</v>
      </c>
      <c r="N291" s="21"/>
      <c r="O291" s="20" t="n">
        <f aca="false">IF($N291="Exit",N($J291),0)</f>
        <v>0</v>
      </c>
      <c r="P291" s="23" t="str">
        <f aca="false">IF($F291="","",MID(IF($G291="",", career level","")&amp;IF($I291="",", nationality mandate","")&amp;IF($N291="",", capacity direction","")&amp;IF(N($J291)&lt;=0,", approved HC","")&amp;IF(AND($G291&lt;&gt;"",COUNTIF(CareerLevels,$G291)=0),", a career level that is not on the ladder",""),3,200))</f>
        <v>career level, nationality mandate, capacity direction</v>
      </c>
    </row>
    <row r="292" customFormat="false" ht="15" hidden="false" customHeight="false" outlineLevel="0" collapsed="false">
      <c r="A292" s="21" t="s">
        <v>483</v>
      </c>
      <c r="B292" s="21" t="s">
        <v>223</v>
      </c>
      <c r="C292" s="21" t="s">
        <v>255</v>
      </c>
      <c r="D292" s="21" t="s">
        <v>271</v>
      </c>
      <c r="E292" s="21" t="s">
        <v>279</v>
      </c>
      <c r="F292" s="21" t="s">
        <v>497</v>
      </c>
      <c r="G292" s="21"/>
      <c r="H292" s="21" t="s">
        <v>374</v>
      </c>
      <c r="I292" s="21"/>
      <c r="J292" s="22" t="n">
        <v>1</v>
      </c>
      <c r="K292" s="22" t="n">
        <v>1</v>
      </c>
      <c r="L292" s="22" t="n">
        <v>0</v>
      </c>
      <c r="M292" s="21" t="s">
        <v>363</v>
      </c>
      <c r="N292" s="21"/>
      <c r="O292" s="20" t="n">
        <f aca="false">IF($N292="Exit",N($J292),0)</f>
        <v>0</v>
      </c>
      <c r="P292" s="23" t="str">
        <f aca="false">IF($F292="","",MID(IF($G292="",", career level","")&amp;IF($I292="",", nationality mandate","")&amp;IF($N292="",", capacity direction","")&amp;IF(N($J292)&lt;=0,", approved HC","")&amp;IF(AND($G292&lt;&gt;"",COUNTIF(CareerLevels,$G292)=0),", a career level that is not on the ladder",""),3,200))</f>
        <v>career level, nationality mandate, capacity direction</v>
      </c>
    </row>
    <row r="293" customFormat="false" ht="15" hidden="false" customHeight="false" outlineLevel="0" collapsed="false">
      <c r="A293" s="21" t="s">
        <v>364</v>
      </c>
      <c r="B293" s="21" t="s">
        <v>223</v>
      </c>
      <c r="C293" s="21" t="s">
        <v>255</v>
      </c>
      <c r="D293" s="21" t="s">
        <v>271</v>
      </c>
      <c r="E293" s="21" t="s">
        <v>279</v>
      </c>
      <c r="F293" s="21" t="s">
        <v>498</v>
      </c>
      <c r="G293" s="21"/>
      <c r="H293" s="21" t="s">
        <v>374</v>
      </c>
      <c r="I293" s="21"/>
      <c r="J293" s="22" t="n">
        <v>1</v>
      </c>
      <c r="K293" s="22" t="n">
        <v>1</v>
      </c>
      <c r="L293" s="22" t="n">
        <v>0</v>
      </c>
      <c r="M293" s="21" t="s">
        <v>363</v>
      </c>
      <c r="N293" s="21"/>
      <c r="O293" s="20" t="n">
        <f aca="false">IF($N293="Exit",N($J293),0)</f>
        <v>0</v>
      </c>
      <c r="P293" s="23" t="str">
        <f aca="false">IF($F293="","",MID(IF($G293="",", career level","")&amp;IF($I293="",", nationality mandate","")&amp;IF($N293="",", capacity direction","")&amp;IF(N($J293)&lt;=0,", approved HC","")&amp;IF(AND($G293&lt;&gt;"",COUNTIF(CareerLevels,$G293)=0),", a career level that is not on the ladder",""),3,200))</f>
        <v>career level, nationality mandate, capacity direction</v>
      </c>
    </row>
    <row r="294" customFormat="false" ht="15" hidden="false" customHeight="false" outlineLevel="0" collapsed="false">
      <c r="A294" s="21" t="s">
        <v>401</v>
      </c>
      <c r="B294" s="21" t="s">
        <v>223</v>
      </c>
      <c r="C294" s="21" t="s">
        <v>255</v>
      </c>
      <c r="D294" s="21" t="s">
        <v>271</v>
      </c>
      <c r="E294" s="21" t="s">
        <v>279</v>
      </c>
      <c r="F294" s="21" t="s">
        <v>498</v>
      </c>
      <c r="G294" s="21"/>
      <c r="H294" s="21" t="s">
        <v>374</v>
      </c>
      <c r="I294" s="21"/>
      <c r="J294" s="22" t="n">
        <v>1</v>
      </c>
      <c r="K294" s="22" t="n">
        <v>1</v>
      </c>
      <c r="L294" s="22" t="n">
        <v>0</v>
      </c>
      <c r="M294" s="21" t="s">
        <v>393</v>
      </c>
      <c r="N294" s="21"/>
      <c r="O294" s="20" t="n">
        <f aca="false">IF($N294="Exit",N($J294),0)</f>
        <v>0</v>
      </c>
      <c r="P294" s="23" t="str">
        <f aca="false">IF($F294="","",MID(IF($G294="",", career level","")&amp;IF($I294="",", nationality mandate","")&amp;IF($N294="",", capacity direction","")&amp;IF(N($J294)&lt;=0,", approved HC","")&amp;IF(AND($G294&lt;&gt;"",COUNTIF(CareerLevels,$G294)=0),", a career level that is not on the ladder",""),3,200))</f>
        <v>career level, nationality mandate, capacity direction</v>
      </c>
    </row>
    <row r="295" customFormat="false" ht="15" hidden="false" customHeight="false" outlineLevel="0" collapsed="false">
      <c r="A295" s="21" t="s">
        <v>418</v>
      </c>
      <c r="B295" s="21" t="s">
        <v>223</v>
      </c>
      <c r="C295" s="21" t="s">
        <v>255</v>
      </c>
      <c r="D295" s="21" t="s">
        <v>271</v>
      </c>
      <c r="E295" s="21" t="s">
        <v>279</v>
      </c>
      <c r="F295" s="21" t="s">
        <v>498</v>
      </c>
      <c r="G295" s="21"/>
      <c r="H295" s="21" t="s">
        <v>374</v>
      </c>
      <c r="I295" s="21"/>
      <c r="J295" s="22" t="n">
        <v>1</v>
      </c>
      <c r="K295" s="22" t="n">
        <v>1</v>
      </c>
      <c r="L295" s="22" t="n">
        <v>0</v>
      </c>
      <c r="M295" s="21" t="s">
        <v>363</v>
      </c>
      <c r="N295" s="21"/>
      <c r="O295" s="20" t="n">
        <f aca="false">IF($N295="Exit",N($J295),0)</f>
        <v>0</v>
      </c>
      <c r="P295" s="23" t="str">
        <f aca="false">IF($F295="","",MID(IF($G295="",", career level","")&amp;IF($I295="",", nationality mandate","")&amp;IF($N295="",", capacity direction","")&amp;IF(N($J295)&lt;=0,", approved HC","")&amp;IF(AND($G295&lt;&gt;"",COUNTIF(CareerLevels,$G295)=0),", a career level that is not on the ladder",""),3,200))</f>
        <v>career level, nationality mandate, capacity direction</v>
      </c>
    </row>
    <row r="296" customFormat="false" ht="15" hidden="false" customHeight="false" outlineLevel="0" collapsed="false">
      <c r="A296" s="21" t="s">
        <v>428</v>
      </c>
      <c r="B296" s="21" t="s">
        <v>223</v>
      </c>
      <c r="C296" s="21" t="s">
        <v>255</v>
      </c>
      <c r="D296" s="21" t="s">
        <v>271</v>
      </c>
      <c r="E296" s="21" t="s">
        <v>279</v>
      </c>
      <c r="F296" s="21" t="s">
        <v>500</v>
      </c>
      <c r="G296" s="21"/>
      <c r="H296" s="21" t="s">
        <v>371</v>
      </c>
      <c r="I296" s="21"/>
      <c r="J296" s="22" t="n">
        <v>1</v>
      </c>
      <c r="K296" s="22" t="n">
        <v>1</v>
      </c>
      <c r="L296" s="22" t="n">
        <v>0</v>
      </c>
      <c r="M296" s="21" t="s">
        <v>363</v>
      </c>
      <c r="N296" s="21"/>
      <c r="O296" s="20" t="n">
        <f aca="false">IF($N296="Exit",N($J296),0)</f>
        <v>0</v>
      </c>
      <c r="P296" s="23" t="str">
        <f aca="false">IF($F296="","",MID(IF($G296="",", career level","")&amp;IF($I296="",", nationality mandate","")&amp;IF($N296="",", capacity direction","")&amp;IF(N($J296)&lt;=0,", approved HC","")&amp;IF(AND($G296&lt;&gt;"",COUNTIF(CareerLevels,$G296)=0),", a career level that is not on the ladder",""),3,200))</f>
        <v>career level, nationality mandate, capacity direction</v>
      </c>
    </row>
    <row r="297" customFormat="false" ht="15" hidden="false" customHeight="false" outlineLevel="0" collapsed="false">
      <c r="A297" s="21" t="s">
        <v>437</v>
      </c>
      <c r="B297" s="21" t="s">
        <v>285</v>
      </c>
      <c r="C297" s="21"/>
      <c r="D297" s="21"/>
      <c r="E297" s="21"/>
      <c r="F297" s="21" t="s">
        <v>503</v>
      </c>
      <c r="G297" s="21"/>
      <c r="H297" s="21" t="s">
        <v>366</v>
      </c>
      <c r="I297" s="21"/>
      <c r="J297" s="22" t="n">
        <v>1</v>
      </c>
      <c r="K297" s="22" t="n">
        <v>1</v>
      </c>
      <c r="L297" s="22" t="n">
        <v>0</v>
      </c>
      <c r="M297" s="21" t="s">
        <v>363</v>
      </c>
      <c r="N297" s="21"/>
      <c r="O297" s="20" t="n">
        <f aca="false">IF($N297="Exit",N($J297),0)</f>
        <v>0</v>
      </c>
      <c r="P297" s="23" t="str">
        <f aca="false">IF($F297="","",MID(IF($G297="",", career level","")&amp;IF($I297="",", nationality mandate","")&amp;IF($N297="",", capacity direction","")&amp;IF(N($J297)&lt;=0,", approved HC","")&amp;IF(AND($G297&lt;&gt;"",COUNTIF(CareerLevels,$G297)=0),", a career level that is not on the ladder",""),3,200))</f>
        <v>career level, nationality mandate, capacity direction</v>
      </c>
    </row>
    <row r="298" customFormat="false" ht="15" hidden="false" customHeight="false" outlineLevel="0" collapsed="false">
      <c r="A298" s="21" t="s">
        <v>412</v>
      </c>
      <c r="B298" s="21" t="s">
        <v>285</v>
      </c>
      <c r="C298" s="21" t="s">
        <v>287</v>
      </c>
      <c r="D298" s="21"/>
      <c r="E298" s="21"/>
      <c r="F298" s="21" t="s">
        <v>504</v>
      </c>
      <c r="G298" s="21"/>
      <c r="H298" s="21" t="s">
        <v>366</v>
      </c>
      <c r="I298" s="21"/>
      <c r="J298" s="22" t="n">
        <v>1</v>
      </c>
      <c r="K298" s="22" t="n">
        <v>1</v>
      </c>
      <c r="L298" s="22" t="n">
        <v>0</v>
      </c>
      <c r="M298" s="21" t="s">
        <v>363</v>
      </c>
      <c r="N298" s="21"/>
      <c r="O298" s="20" t="n">
        <f aca="false">IF($N298="Exit",N($J298),0)</f>
        <v>0</v>
      </c>
      <c r="P298" s="23" t="str">
        <f aca="false">IF($F298="","",MID(IF($G298="",", career level","")&amp;IF($I298="",", nationality mandate","")&amp;IF($N298="",", capacity direction","")&amp;IF(N($J298)&lt;=0,", approved HC","")&amp;IF(AND($G298&lt;&gt;"",COUNTIF(CareerLevels,$G298)=0),", a career level that is not on the ladder",""),3,200))</f>
        <v>career level, nationality mandate, capacity direction</v>
      </c>
    </row>
    <row r="299" customFormat="false" ht="15" hidden="false" customHeight="false" outlineLevel="0" collapsed="false">
      <c r="A299" s="21" t="s">
        <v>392</v>
      </c>
      <c r="B299" s="21" t="s">
        <v>285</v>
      </c>
      <c r="C299" s="21" t="s">
        <v>287</v>
      </c>
      <c r="D299" s="21" t="s">
        <v>289</v>
      </c>
      <c r="E299" s="21"/>
      <c r="F299" s="21" t="s">
        <v>505</v>
      </c>
      <c r="G299" s="21"/>
      <c r="H299" s="21" t="s">
        <v>371</v>
      </c>
      <c r="I299" s="21"/>
      <c r="J299" s="22" t="n">
        <v>1</v>
      </c>
      <c r="K299" s="22" t="n">
        <v>1</v>
      </c>
      <c r="L299" s="22" t="n">
        <v>0</v>
      </c>
      <c r="M299" s="21" t="s">
        <v>363</v>
      </c>
      <c r="N299" s="21"/>
      <c r="O299" s="20" t="n">
        <f aca="false">IF($N299="Exit",N($J299),0)</f>
        <v>0</v>
      </c>
      <c r="P299" s="23" t="str">
        <f aca="false">IF($F299="","",MID(IF($G299="",", career level","")&amp;IF($I299="",", nationality mandate","")&amp;IF($N299="",", capacity direction","")&amp;IF(N($J299)&lt;=0,", approved HC","")&amp;IF(AND($G299&lt;&gt;"",COUNTIF(CareerLevels,$G299)=0),", a career level that is not on the ladder",""),3,200))</f>
        <v>career level, nationality mandate, capacity direction</v>
      </c>
    </row>
    <row r="300" customFormat="false" ht="15" hidden="false" customHeight="false" outlineLevel="0" collapsed="false">
      <c r="A300" s="21" t="s">
        <v>421</v>
      </c>
      <c r="B300" s="21" t="s">
        <v>285</v>
      </c>
      <c r="C300" s="21" t="s">
        <v>287</v>
      </c>
      <c r="D300" s="21" t="s">
        <v>289</v>
      </c>
      <c r="E300" s="21" t="s">
        <v>291</v>
      </c>
      <c r="F300" s="21" t="s">
        <v>506</v>
      </c>
      <c r="G300" s="21"/>
      <c r="H300" s="21" t="s">
        <v>374</v>
      </c>
      <c r="I300" s="21"/>
      <c r="J300" s="22" t="n">
        <v>1</v>
      </c>
      <c r="K300" s="22" t="n">
        <v>1</v>
      </c>
      <c r="L300" s="22" t="n">
        <v>0</v>
      </c>
      <c r="M300" s="21" t="s">
        <v>363</v>
      </c>
      <c r="N300" s="21"/>
      <c r="O300" s="20" t="n">
        <f aca="false">IF($N300="Exit",N($J300),0)</f>
        <v>0</v>
      </c>
      <c r="P300" s="23" t="str">
        <f aca="false">IF($F300="","",MID(IF($G300="",", career level","")&amp;IF($I300="",", nationality mandate","")&amp;IF($N300="",", capacity direction","")&amp;IF(N($J300)&lt;=0,", approved HC","")&amp;IF(AND($G300&lt;&gt;"",COUNTIF(CareerLevels,$G300)=0),", a career level that is not on the ladder",""),3,200))</f>
        <v>career level, nationality mandate, capacity direction</v>
      </c>
    </row>
    <row r="301" customFormat="false" ht="15" hidden="false" customHeight="false" outlineLevel="0" collapsed="false">
      <c r="A301" s="21" t="s">
        <v>414</v>
      </c>
      <c r="B301" s="21" t="s">
        <v>285</v>
      </c>
      <c r="C301" s="21" t="s">
        <v>287</v>
      </c>
      <c r="D301" s="21" t="s">
        <v>289</v>
      </c>
      <c r="E301" s="21" t="s">
        <v>291</v>
      </c>
      <c r="F301" s="21" t="s">
        <v>506</v>
      </c>
      <c r="G301" s="21"/>
      <c r="H301" s="21" t="s">
        <v>374</v>
      </c>
      <c r="I301" s="21"/>
      <c r="J301" s="22" t="n">
        <v>1</v>
      </c>
      <c r="K301" s="22" t="n">
        <v>1</v>
      </c>
      <c r="L301" s="22" t="n">
        <v>0</v>
      </c>
      <c r="M301" s="21" t="s">
        <v>363</v>
      </c>
      <c r="N301" s="21"/>
      <c r="O301" s="20" t="n">
        <f aca="false">IF($N301="Exit",N($J301),0)</f>
        <v>0</v>
      </c>
      <c r="P301" s="23" t="str">
        <f aca="false">IF($F301="","",MID(IF($G301="",", career level","")&amp;IF($I301="",", nationality mandate","")&amp;IF($N301="",", capacity direction","")&amp;IF(N($J301)&lt;=0,", approved HC","")&amp;IF(AND($G301&lt;&gt;"",COUNTIF(CareerLevels,$G301)=0),", a career level that is not on the ladder",""),3,200))</f>
        <v>career level, nationality mandate, capacity direction</v>
      </c>
    </row>
    <row r="302" customFormat="false" ht="15" hidden="false" customHeight="false" outlineLevel="0" collapsed="false">
      <c r="A302" s="21" t="s">
        <v>459</v>
      </c>
      <c r="B302" s="21" t="s">
        <v>285</v>
      </c>
      <c r="C302" s="21" t="s">
        <v>287</v>
      </c>
      <c r="D302" s="21" t="s">
        <v>289</v>
      </c>
      <c r="E302" s="21" t="s">
        <v>291</v>
      </c>
      <c r="F302" s="21" t="s">
        <v>507</v>
      </c>
      <c r="G302" s="21"/>
      <c r="H302" s="21" t="s">
        <v>374</v>
      </c>
      <c r="I302" s="21"/>
      <c r="J302" s="22" t="n">
        <v>1</v>
      </c>
      <c r="K302" s="22" t="n">
        <v>1</v>
      </c>
      <c r="L302" s="22" t="n">
        <v>0</v>
      </c>
      <c r="M302" s="21" t="s">
        <v>363</v>
      </c>
      <c r="N302" s="21"/>
      <c r="O302" s="20" t="n">
        <f aca="false">IF($N302="Exit",N($J302),0)</f>
        <v>0</v>
      </c>
      <c r="P302" s="23" t="str">
        <f aca="false">IF($F302="","",MID(IF($G302="",", career level","")&amp;IF($I302="",", nationality mandate","")&amp;IF($N302="",", capacity direction","")&amp;IF(N($J302)&lt;=0,", approved HC","")&amp;IF(AND($G302&lt;&gt;"",COUNTIF(CareerLevels,$G302)=0),", a career level that is not on the ladder",""),3,200))</f>
        <v>career level, nationality mandate, capacity direction</v>
      </c>
    </row>
    <row r="303" customFormat="false" ht="15" hidden="false" customHeight="false" outlineLevel="0" collapsed="false">
      <c r="A303" s="21" t="s">
        <v>483</v>
      </c>
      <c r="B303" s="21" t="s">
        <v>285</v>
      </c>
      <c r="C303" s="21" t="s">
        <v>287</v>
      </c>
      <c r="D303" s="21" t="s">
        <v>289</v>
      </c>
      <c r="E303" s="21" t="s">
        <v>291</v>
      </c>
      <c r="F303" s="21" t="s">
        <v>508</v>
      </c>
      <c r="G303" s="21"/>
      <c r="H303" s="21" t="s">
        <v>374</v>
      </c>
      <c r="I303" s="21"/>
      <c r="J303" s="22" t="n">
        <v>1</v>
      </c>
      <c r="K303" s="22" t="n">
        <v>1</v>
      </c>
      <c r="L303" s="22" t="n">
        <v>0</v>
      </c>
      <c r="M303" s="21" t="s">
        <v>363</v>
      </c>
      <c r="N303" s="21"/>
      <c r="O303" s="20" t="n">
        <f aca="false">IF($N303="Exit",N($J303),0)</f>
        <v>0</v>
      </c>
      <c r="P303" s="23" t="str">
        <f aca="false">IF($F303="","",MID(IF($G303="",", career level","")&amp;IF($I303="",", nationality mandate","")&amp;IF($N303="",", capacity direction","")&amp;IF(N($J303)&lt;=0,", approved HC","")&amp;IF(AND($G303&lt;&gt;"",COUNTIF(CareerLevels,$G303)=0),", a career level that is not on the ladder",""),3,200))</f>
        <v>career level, nationality mandate, capacity direction</v>
      </c>
    </row>
    <row r="304" customFormat="false" ht="15" hidden="false" customHeight="false" outlineLevel="0" collapsed="false">
      <c r="A304" s="21" t="s">
        <v>446</v>
      </c>
      <c r="B304" s="21" t="s">
        <v>285</v>
      </c>
      <c r="C304" s="21" t="s">
        <v>287</v>
      </c>
      <c r="D304" s="21" t="s">
        <v>289</v>
      </c>
      <c r="E304" s="21" t="s">
        <v>291</v>
      </c>
      <c r="F304" s="21" t="s">
        <v>508</v>
      </c>
      <c r="G304" s="21"/>
      <c r="H304" s="21" t="s">
        <v>374</v>
      </c>
      <c r="I304" s="21"/>
      <c r="J304" s="22" t="n">
        <v>1</v>
      </c>
      <c r="K304" s="22" t="n">
        <v>1</v>
      </c>
      <c r="L304" s="22" t="n">
        <v>0</v>
      </c>
      <c r="M304" s="21" t="s">
        <v>363</v>
      </c>
      <c r="N304" s="21"/>
      <c r="O304" s="20" t="n">
        <f aca="false">IF($N304="Exit",N($J304),0)</f>
        <v>0</v>
      </c>
      <c r="P304" s="23" t="str">
        <f aca="false">IF($F304="","",MID(IF($G304="",", career level","")&amp;IF($I304="",", nationality mandate","")&amp;IF($N304="",", capacity direction","")&amp;IF(N($J304)&lt;=0,", approved HC","")&amp;IF(AND($G304&lt;&gt;"",COUNTIF(CareerLevels,$G304)=0),", a career level that is not on the ladder",""),3,200))</f>
        <v>career level, nationality mandate, capacity direction</v>
      </c>
    </row>
    <row r="305" customFormat="false" ht="15" hidden="false" customHeight="false" outlineLevel="0" collapsed="false">
      <c r="A305" s="21" t="s">
        <v>372</v>
      </c>
      <c r="B305" s="21" t="s">
        <v>285</v>
      </c>
      <c r="C305" s="21" t="s">
        <v>287</v>
      </c>
      <c r="D305" s="21" t="s">
        <v>289</v>
      </c>
      <c r="E305" s="21" t="s">
        <v>291</v>
      </c>
      <c r="F305" s="21" t="s">
        <v>509</v>
      </c>
      <c r="G305" s="21"/>
      <c r="H305" s="21" t="s">
        <v>374</v>
      </c>
      <c r="I305" s="21"/>
      <c r="J305" s="22" t="n">
        <v>1</v>
      </c>
      <c r="K305" s="22" t="n">
        <v>1</v>
      </c>
      <c r="L305" s="22" t="n">
        <v>0</v>
      </c>
      <c r="M305" s="21" t="s">
        <v>363</v>
      </c>
      <c r="N305" s="21"/>
      <c r="O305" s="20" t="n">
        <f aca="false">IF($N305="Exit",N($J305),0)</f>
        <v>0</v>
      </c>
      <c r="P305" s="23" t="str">
        <f aca="false">IF($F305="","",MID(IF($G305="",", career level","")&amp;IF($I305="",", nationality mandate","")&amp;IF($N305="",", capacity direction","")&amp;IF(N($J305)&lt;=0,", approved HC","")&amp;IF(AND($G305&lt;&gt;"",COUNTIF(CareerLevels,$G305)=0),", a career level that is not on the ladder",""),3,200))</f>
        <v>career level, nationality mandate, capacity direction</v>
      </c>
    </row>
    <row r="306" customFormat="false" ht="15" hidden="false" customHeight="false" outlineLevel="0" collapsed="false">
      <c r="A306" s="21" t="s">
        <v>439</v>
      </c>
      <c r="B306" s="21" t="s">
        <v>285</v>
      </c>
      <c r="C306" s="21" t="s">
        <v>287</v>
      </c>
      <c r="D306" s="21" t="s">
        <v>289</v>
      </c>
      <c r="E306" s="21" t="s">
        <v>291</v>
      </c>
      <c r="F306" s="21" t="s">
        <v>509</v>
      </c>
      <c r="G306" s="21"/>
      <c r="H306" s="21" t="s">
        <v>374</v>
      </c>
      <c r="I306" s="21"/>
      <c r="J306" s="22" t="n">
        <v>1</v>
      </c>
      <c r="K306" s="22" t="n">
        <v>1</v>
      </c>
      <c r="L306" s="22" t="n">
        <v>0</v>
      </c>
      <c r="M306" s="21" t="s">
        <v>363</v>
      </c>
      <c r="N306" s="21"/>
      <c r="O306" s="20" t="n">
        <f aca="false">IF($N306="Exit",N($J306),0)</f>
        <v>0</v>
      </c>
      <c r="P306" s="23" t="str">
        <f aca="false">IF($F306="","",MID(IF($G306="",", career level","")&amp;IF($I306="",", nationality mandate","")&amp;IF($N306="",", capacity direction","")&amp;IF(N($J306)&lt;=0,", approved HC","")&amp;IF(AND($G306&lt;&gt;"",COUNTIF(CareerLevels,$G306)=0),", a career level that is not on the ladder",""),3,200))</f>
        <v>career level, nationality mandate, capacity direction</v>
      </c>
    </row>
    <row r="307" customFormat="false" ht="15" hidden="false" customHeight="false" outlineLevel="0" collapsed="false">
      <c r="A307" s="21" t="s">
        <v>406</v>
      </c>
      <c r="B307" s="21" t="s">
        <v>285</v>
      </c>
      <c r="C307" s="21" t="s">
        <v>287</v>
      </c>
      <c r="D307" s="21" t="s">
        <v>289</v>
      </c>
      <c r="E307" s="21" t="s">
        <v>291</v>
      </c>
      <c r="F307" s="21" t="s">
        <v>510</v>
      </c>
      <c r="G307" s="21"/>
      <c r="H307" s="21" t="s">
        <v>371</v>
      </c>
      <c r="I307" s="21"/>
      <c r="J307" s="22" t="n">
        <v>1</v>
      </c>
      <c r="K307" s="22" t="n">
        <v>1</v>
      </c>
      <c r="L307" s="22" t="n">
        <v>0</v>
      </c>
      <c r="M307" s="21" t="s">
        <v>363</v>
      </c>
      <c r="N307" s="21"/>
      <c r="O307" s="20" t="n">
        <f aca="false">IF($N307="Exit",N($J307),0)</f>
        <v>0</v>
      </c>
      <c r="P307" s="23" t="str">
        <f aca="false">IF($F307="","",MID(IF($G307="",", career level","")&amp;IF($I307="",", nationality mandate","")&amp;IF($N307="",", capacity direction","")&amp;IF(N($J307)&lt;=0,", approved HC","")&amp;IF(AND($G307&lt;&gt;"",COUNTIF(CareerLevels,$G307)=0),", a career level that is not on the ladder",""),3,200))</f>
        <v>career level, nationality mandate, capacity direction</v>
      </c>
    </row>
    <row r="308" customFormat="false" ht="15" hidden="false" customHeight="false" outlineLevel="0" collapsed="false">
      <c r="A308" s="21" t="s">
        <v>440</v>
      </c>
      <c r="B308" s="21" t="s">
        <v>285</v>
      </c>
      <c r="C308" s="21" t="s">
        <v>287</v>
      </c>
      <c r="D308" s="21" t="s">
        <v>289</v>
      </c>
      <c r="E308" s="21" t="s">
        <v>297</v>
      </c>
      <c r="F308" s="21" t="s">
        <v>506</v>
      </c>
      <c r="G308" s="21"/>
      <c r="H308" s="21" t="s">
        <v>374</v>
      </c>
      <c r="I308" s="21"/>
      <c r="J308" s="22" t="n">
        <v>1</v>
      </c>
      <c r="K308" s="22" t="n">
        <v>1</v>
      </c>
      <c r="L308" s="22" t="n">
        <v>0</v>
      </c>
      <c r="M308" s="21" t="s">
        <v>363</v>
      </c>
      <c r="N308" s="21"/>
      <c r="O308" s="20" t="n">
        <f aca="false">IF($N308="Exit",N($J308),0)</f>
        <v>0</v>
      </c>
      <c r="P308" s="23" t="str">
        <f aca="false">IF($F308="","",MID(IF($G308="",", career level","")&amp;IF($I308="",", nationality mandate","")&amp;IF($N308="",", capacity direction","")&amp;IF(N($J308)&lt;=0,", approved HC","")&amp;IF(AND($G308&lt;&gt;"",COUNTIF(CareerLevels,$G308)=0),", a career level that is not on the ladder",""),3,200))</f>
        <v>career level, nationality mandate, capacity direction</v>
      </c>
    </row>
    <row r="309" customFormat="false" ht="15" hidden="false" customHeight="false" outlineLevel="0" collapsed="false">
      <c r="A309" s="21" t="s">
        <v>400</v>
      </c>
      <c r="B309" s="21" t="s">
        <v>285</v>
      </c>
      <c r="C309" s="21" t="s">
        <v>287</v>
      </c>
      <c r="D309" s="21" t="s">
        <v>289</v>
      </c>
      <c r="E309" s="21" t="s">
        <v>297</v>
      </c>
      <c r="F309" s="21" t="s">
        <v>506</v>
      </c>
      <c r="G309" s="21"/>
      <c r="H309" s="21" t="s">
        <v>374</v>
      </c>
      <c r="I309" s="21"/>
      <c r="J309" s="22" t="n">
        <v>1</v>
      </c>
      <c r="K309" s="22" t="n">
        <v>1</v>
      </c>
      <c r="L309" s="22" t="n">
        <v>0</v>
      </c>
      <c r="M309" s="21" t="s">
        <v>363</v>
      </c>
      <c r="N309" s="21"/>
      <c r="O309" s="20" t="n">
        <f aca="false">IF($N309="Exit",N($J309),0)</f>
        <v>0</v>
      </c>
      <c r="P309" s="23" t="str">
        <f aca="false">IF($F309="","",MID(IF($G309="",", career level","")&amp;IF($I309="",", nationality mandate","")&amp;IF($N309="",", capacity direction","")&amp;IF(N($J309)&lt;=0,", approved HC","")&amp;IF(AND($G309&lt;&gt;"",COUNTIF(CareerLevels,$G309)=0),", a career level that is not on the ladder",""),3,200))</f>
        <v>career level, nationality mandate, capacity direction</v>
      </c>
    </row>
    <row r="310" customFormat="false" ht="15" hidden="false" customHeight="false" outlineLevel="0" collapsed="false">
      <c r="A310" s="21" t="s">
        <v>400</v>
      </c>
      <c r="B310" s="21" t="s">
        <v>285</v>
      </c>
      <c r="C310" s="21" t="s">
        <v>287</v>
      </c>
      <c r="D310" s="21" t="s">
        <v>289</v>
      </c>
      <c r="E310" s="21" t="s">
        <v>297</v>
      </c>
      <c r="F310" s="21" t="s">
        <v>507</v>
      </c>
      <c r="G310" s="21"/>
      <c r="H310" s="21" t="s">
        <v>374</v>
      </c>
      <c r="I310" s="21"/>
      <c r="J310" s="22" t="n">
        <v>1</v>
      </c>
      <c r="K310" s="22" t="n">
        <v>1</v>
      </c>
      <c r="L310" s="22" t="n">
        <v>0</v>
      </c>
      <c r="M310" s="21" t="s">
        <v>363</v>
      </c>
      <c r="N310" s="21"/>
      <c r="O310" s="20" t="n">
        <f aca="false">IF($N310="Exit",N($J310),0)</f>
        <v>0</v>
      </c>
      <c r="P310" s="23" t="str">
        <f aca="false">IF($F310="","",MID(IF($G310="",", career level","")&amp;IF($I310="",", nationality mandate","")&amp;IF($N310="",", capacity direction","")&amp;IF(N($J310)&lt;=0,", approved HC","")&amp;IF(AND($G310&lt;&gt;"",COUNTIF(CareerLevels,$G310)=0),", a career level that is not on the ladder",""),3,200))</f>
        <v>career level, nationality mandate, capacity direction</v>
      </c>
    </row>
    <row r="311" customFormat="false" ht="15" hidden="false" customHeight="false" outlineLevel="0" collapsed="false">
      <c r="A311" s="21" t="s">
        <v>380</v>
      </c>
      <c r="B311" s="21" t="s">
        <v>285</v>
      </c>
      <c r="C311" s="21" t="s">
        <v>287</v>
      </c>
      <c r="D311" s="21" t="s">
        <v>289</v>
      </c>
      <c r="E311" s="21" t="s">
        <v>297</v>
      </c>
      <c r="F311" s="21" t="s">
        <v>508</v>
      </c>
      <c r="G311" s="21"/>
      <c r="H311" s="21" t="s">
        <v>374</v>
      </c>
      <c r="I311" s="21"/>
      <c r="J311" s="22" t="n">
        <v>1</v>
      </c>
      <c r="K311" s="22" t="n">
        <v>1</v>
      </c>
      <c r="L311" s="22" t="n">
        <v>0</v>
      </c>
      <c r="M311" s="21" t="s">
        <v>363</v>
      </c>
      <c r="N311" s="21"/>
      <c r="O311" s="20" t="n">
        <f aca="false">IF($N311="Exit",N($J311),0)</f>
        <v>0</v>
      </c>
      <c r="P311" s="23" t="str">
        <f aca="false">IF($F311="","",MID(IF($G311="",", career level","")&amp;IF($I311="",", nationality mandate","")&amp;IF($N311="",", capacity direction","")&amp;IF(N($J311)&lt;=0,", approved HC","")&amp;IF(AND($G311&lt;&gt;"",COUNTIF(CareerLevels,$G311)=0),", a career level that is not on the ladder",""),3,200))</f>
        <v>career level, nationality mandate, capacity direction</v>
      </c>
    </row>
    <row r="312" customFormat="false" ht="15" hidden="false" customHeight="false" outlineLevel="0" collapsed="false">
      <c r="A312" s="21" t="s">
        <v>446</v>
      </c>
      <c r="B312" s="21" t="s">
        <v>285</v>
      </c>
      <c r="C312" s="21" t="s">
        <v>287</v>
      </c>
      <c r="D312" s="21" t="s">
        <v>289</v>
      </c>
      <c r="E312" s="21" t="s">
        <v>297</v>
      </c>
      <c r="F312" s="21" t="s">
        <v>511</v>
      </c>
      <c r="G312" s="21"/>
      <c r="H312" s="21" t="s">
        <v>374</v>
      </c>
      <c r="I312" s="21"/>
      <c r="J312" s="22" t="n">
        <v>1</v>
      </c>
      <c r="K312" s="22" t="n">
        <v>1</v>
      </c>
      <c r="L312" s="22" t="n">
        <v>0</v>
      </c>
      <c r="M312" s="21" t="s">
        <v>393</v>
      </c>
      <c r="N312" s="21"/>
      <c r="O312" s="20" t="n">
        <f aca="false">IF($N312="Exit",N($J312),0)</f>
        <v>0</v>
      </c>
      <c r="P312" s="23" t="str">
        <f aca="false">IF($F312="","",MID(IF($G312="",", career level","")&amp;IF($I312="",", nationality mandate","")&amp;IF($N312="",", capacity direction","")&amp;IF(N($J312)&lt;=0,", approved HC","")&amp;IF(AND($G312&lt;&gt;"",COUNTIF(CareerLevels,$G312)=0),", a career level that is not on the ladder",""),3,200))</f>
        <v>career level, nationality mandate, capacity direction</v>
      </c>
    </row>
    <row r="313" customFormat="false" ht="15" hidden="false" customHeight="false" outlineLevel="0" collapsed="false">
      <c r="A313" s="21" t="s">
        <v>422</v>
      </c>
      <c r="B313" s="21" t="s">
        <v>285</v>
      </c>
      <c r="C313" s="21" t="s">
        <v>287</v>
      </c>
      <c r="D313" s="21" t="s">
        <v>289</v>
      </c>
      <c r="E313" s="21" t="s">
        <v>297</v>
      </c>
      <c r="F313" s="21" t="s">
        <v>511</v>
      </c>
      <c r="G313" s="21"/>
      <c r="H313" s="21" t="s">
        <v>374</v>
      </c>
      <c r="I313" s="21"/>
      <c r="J313" s="22" t="n">
        <v>1</v>
      </c>
      <c r="K313" s="22" t="n">
        <v>0</v>
      </c>
      <c r="L313" s="22" t="n">
        <v>1</v>
      </c>
      <c r="M313" s="21" t="s">
        <v>363</v>
      </c>
      <c r="N313" s="21"/>
      <c r="O313" s="20" t="n">
        <f aca="false">IF($N313="Exit",N($J313),0)</f>
        <v>0</v>
      </c>
      <c r="P313" s="23" t="str">
        <f aca="false">IF($F313="","",MID(IF($G313="",", career level","")&amp;IF($I313="",", nationality mandate","")&amp;IF($N313="",", capacity direction","")&amp;IF(N($J313)&lt;=0,", approved HC","")&amp;IF(AND($G313&lt;&gt;"",COUNTIF(CareerLevels,$G313)=0),", a career level that is not on the ladder",""),3,200))</f>
        <v>career level, nationality mandate, capacity direction</v>
      </c>
    </row>
    <row r="314" customFormat="false" ht="15" hidden="false" customHeight="false" outlineLevel="0" collapsed="false">
      <c r="A314" s="21" t="s">
        <v>438</v>
      </c>
      <c r="B314" s="21" t="s">
        <v>285</v>
      </c>
      <c r="C314" s="21" t="s">
        <v>287</v>
      </c>
      <c r="D314" s="21" t="s">
        <v>289</v>
      </c>
      <c r="E314" s="21" t="s">
        <v>297</v>
      </c>
      <c r="F314" s="21" t="s">
        <v>509</v>
      </c>
      <c r="G314" s="21"/>
      <c r="H314" s="21" t="s">
        <v>374</v>
      </c>
      <c r="I314" s="21"/>
      <c r="J314" s="22" t="n">
        <v>1</v>
      </c>
      <c r="K314" s="22" t="n">
        <v>1</v>
      </c>
      <c r="L314" s="22" t="n">
        <v>0</v>
      </c>
      <c r="M314" s="21" t="s">
        <v>363</v>
      </c>
      <c r="N314" s="21"/>
      <c r="O314" s="20" t="n">
        <f aca="false">IF($N314="Exit",N($J314),0)</f>
        <v>0</v>
      </c>
      <c r="P314" s="23" t="str">
        <f aca="false">IF($F314="","",MID(IF($G314="",", career level","")&amp;IF($I314="",", nationality mandate","")&amp;IF($N314="",", capacity direction","")&amp;IF(N($J314)&lt;=0,", approved HC","")&amp;IF(AND($G314&lt;&gt;"",COUNTIF(CareerLevels,$G314)=0),", a career level that is not on the ladder",""),3,200))</f>
        <v>career level, nationality mandate, capacity direction</v>
      </c>
    </row>
    <row r="315" customFormat="false" ht="15" hidden="false" customHeight="false" outlineLevel="0" collapsed="false">
      <c r="A315" s="21" t="s">
        <v>418</v>
      </c>
      <c r="B315" s="21" t="s">
        <v>285</v>
      </c>
      <c r="C315" s="21" t="s">
        <v>287</v>
      </c>
      <c r="D315" s="21" t="s">
        <v>289</v>
      </c>
      <c r="E315" s="21" t="s">
        <v>297</v>
      </c>
      <c r="F315" s="21" t="s">
        <v>510</v>
      </c>
      <c r="G315" s="21"/>
      <c r="H315" s="21" t="s">
        <v>371</v>
      </c>
      <c r="I315" s="21"/>
      <c r="J315" s="22" t="n">
        <v>1</v>
      </c>
      <c r="K315" s="22" t="n">
        <v>1</v>
      </c>
      <c r="L315" s="22" t="n">
        <v>0</v>
      </c>
      <c r="M315" s="21" t="s">
        <v>363</v>
      </c>
      <c r="N315" s="21"/>
      <c r="O315" s="20" t="n">
        <f aca="false">IF($N315="Exit",N($J315),0)</f>
        <v>0</v>
      </c>
      <c r="P315" s="23" t="str">
        <f aca="false">IF($F315="","",MID(IF($G315="",", career level","")&amp;IF($I315="",", nationality mandate","")&amp;IF($N315="",", capacity direction","")&amp;IF(N($J315)&lt;=0,", approved HC","")&amp;IF(AND($G315&lt;&gt;"",COUNTIF(CareerLevels,$G315)=0),", a career level that is not on the ladder",""),3,200))</f>
        <v>career level, nationality mandate, capacity direction</v>
      </c>
    </row>
    <row r="316" customFormat="false" ht="15" hidden="false" customHeight="false" outlineLevel="0" collapsed="false">
      <c r="A316" s="21" t="s">
        <v>437</v>
      </c>
      <c r="B316" s="21" t="s">
        <v>285</v>
      </c>
      <c r="C316" s="21" t="s">
        <v>287</v>
      </c>
      <c r="D316" s="21" t="s">
        <v>303</v>
      </c>
      <c r="E316" s="21"/>
      <c r="F316" s="21" t="s">
        <v>505</v>
      </c>
      <c r="G316" s="21"/>
      <c r="H316" s="21" t="s">
        <v>371</v>
      </c>
      <c r="I316" s="21"/>
      <c r="J316" s="22" t="n">
        <v>1</v>
      </c>
      <c r="K316" s="22" t="n">
        <v>1</v>
      </c>
      <c r="L316" s="22" t="n">
        <v>0</v>
      </c>
      <c r="M316" s="21" t="s">
        <v>363</v>
      </c>
      <c r="N316" s="21"/>
      <c r="O316" s="20" t="n">
        <f aca="false">IF($N316="Exit",N($J316),0)</f>
        <v>0</v>
      </c>
      <c r="P316" s="23" t="str">
        <f aca="false">IF($F316="","",MID(IF($G316="",", career level","")&amp;IF($I316="",", nationality mandate","")&amp;IF($N316="",", capacity direction","")&amp;IF(N($J316)&lt;=0,", approved HC","")&amp;IF(AND($G316&lt;&gt;"",COUNTIF(CareerLevels,$G316)=0),", a career level that is not on the ladder",""),3,200))</f>
        <v>career level, nationality mandate, capacity direction</v>
      </c>
    </row>
    <row r="317" customFormat="false" ht="15" hidden="false" customHeight="false" outlineLevel="0" collapsed="false">
      <c r="A317" s="21" t="s">
        <v>458</v>
      </c>
      <c r="B317" s="21" t="s">
        <v>285</v>
      </c>
      <c r="C317" s="21" t="s">
        <v>287</v>
      </c>
      <c r="D317" s="21" t="s">
        <v>303</v>
      </c>
      <c r="E317" s="21" t="s">
        <v>305</v>
      </c>
      <c r="F317" s="21" t="s">
        <v>506</v>
      </c>
      <c r="G317" s="21"/>
      <c r="H317" s="21" t="s">
        <v>374</v>
      </c>
      <c r="I317" s="21"/>
      <c r="J317" s="22" t="n">
        <v>1</v>
      </c>
      <c r="K317" s="22" t="n">
        <v>1</v>
      </c>
      <c r="L317" s="22" t="n">
        <v>0</v>
      </c>
      <c r="M317" s="21" t="s">
        <v>363</v>
      </c>
      <c r="N317" s="21"/>
      <c r="O317" s="20" t="n">
        <f aca="false">IF($N317="Exit",N($J317),0)</f>
        <v>0</v>
      </c>
      <c r="P317" s="23" t="str">
        <f aca="false">IF($F317="","",MID(IF($G317="",", career level","")&amp;IF($I317="",", nationality mandate","")&amp;IF($N317="",", capacity direction","")&amp;IF(N($J317)&lt;=0,", approved HC","")&amp;IF(AND($G317&lt;&gt;"",COUNTIF(CareerLevels,$G317)=0),", a career level that is not on the ladder",""),3,200))</f>
        <v>career level, nationality mandate, capacity direction</v>
      </c>
    </row>
    <row r="318" customFormat="false" ht="15" hidden="false" customHeight="false" outlineLevel="0" collapsed="false">
      <c r="A318" s="21" t="s">
        <v>386</v>
      </c>
      <c r="B318" s="21" t="s">
        <v>285</v>
      </c>
      <c r="C318" s="21" t="s">
        <v>287</v>
      </c>
      <c r="D318" s="21" t="s">
        <v>303</v>
      </c>
      <c r="E318" s="21" t="s">
        <v>305</v>
      </c>
      <c r="F318" s="21" t="s">
        <v>506</v>
      </c>
      <c r="G318" s="21"/>
      <c r="H318" s="21" t="s">
        <v>374</v>
      </c>
      <c r="I318" s="21"/>
      <c r="J318" s="22" t="n">
        <v>1</v>
      </c>
      <c r="K318" s="22" t="n">
        <v>1</v>
      </c>
      <c r="L318" s="22" t="n">
        <v>0</v>
      </c>
      <c r="M318" s="21" t="s">
        <v>363</v>
      </c>
      <c r="N318" s="21"/>
      <c r="O318" s="20" t="n">
        <f aca="false">IF($N318="Exit",N($J318),0)</f>
        <v>0</v>
      </c>
      <c r="P318" s="23" t="str">
        <f aca="false">IF($F318="","",MID(IF($G318="",", career level","")&amp;IF($I318="",", nationality mandate","")&amp;IF($N318="",", capacity direction","")&amp;IF(N($J318)&lt;=0,", approved HC","")&amp;IF(AND($G318&lt;&gt;"",COUNTIF(CareerLevels,$G318)=0),", a career level that is not on the ladder",""),3,200))</f>
        <v>career level, nationality mandate, capacity direction</v>
      </c>
    </row>
    <row r="319" customFormat="false" ht="15" hidden="false" customHeight="false" outlineLevel="0" collapsed="false">
      <c r="A319" s="21" t="s">
        <v>360</v>
      </c>
      <c r="B319" s="21" t="s">
        <v>285</v>
      </c>
      <c r="C319" s="21" t="s">
        <v>287</v>
      </c>
      <c r="D319" s="21" t="s">
        <v>303</v>
      </c>
      <c r="E319" s="21" t="s">
        <v>305</v>
      </c>
      <c r="F319" s="21" t="s">
        <v>506</v>
      </c>
      <c r="G319" s="21"/>
      <c r="H319" s="21" t="s">
        <v>374</v>
      </c>
      <c r="I319" s="21"/>
      <c r="J319" s="22" t="n">
        <v>1</v>
      </c>
      <c r="K319" s="22" t="n">
        <v>1</v>
      </c>
      <c r="L319" s="22" t="n">
        <v>0</v>
      </c>
      <c r="M319" s="21" t="s">
        <v>363</v>
      </c>
      <c r="N319" s="21"/>
      <c r="O319" s="20" t="n">
        <f aca="false">IF($N319="Exit",N($J319),0)</f>
        <v>0</v>
      </c>
      <c r="P319" s="23" t="str">
        <f aca="false">IF($F319="","",MID(IF($G319="",", career level","")&amp;IF($I319="",", nationality mandate","")&amp;IF($N319="",", capacity direction","")&amp;IF(N($J319)&lt;=0,", approved HC","")&amp;IF(AND($G319&lt;&gt;"",COUNTIF(CareerLevels,$G319)=0),", a career level that is not on the ladder",""),3,200))</f>
        <v>career level, nationality mandate, capacity direction</v>
      </c>
    </row>
    <row r="320" customFormat="false" ht="15" hidden="false" customHeight="false" outlineLevel="0" collapsed="false">
      <c r="A320" s="21" t="s">
        <v>424</v>
      </c>
      <c r="B320" s="21" t="s">
        <v>285</v>
      </c>
      <c r="C320" s="21" t="s">
        <v>287</v>
      </c>
      <c r="D320" s="21" t="s">
        <v>303</v>
      </c>
      <c r="E320" s="21" t="s">
        <v>305</v>
      </c>
      <c r="F320" s="21" t="s">
        <v>507</v>
      </c>
      <c r="G320" s="21"/>
      <c r="H320" s="21" t="s">
        <v>374</v>
      </c>
      <c r="I320" s="21"/>
      <c r="J320" s="22" t="n">
        <v>1</v>
      </c>
      <c r="K320" s="22" t="n">
        <v>1</v>
      </c>
      <c r="L320" s="22" t="n">
        <v>0</v>
      </c>
      <c r="M320" s="21" t="s">
        <v>363</v>
      </c>
      <c r="N320" s="21"/>
      <c r="O320" s="20" t="n">
        <f aca="false">IF($N320="Exit",N($J320),0)</f>
        <v>0</v>
      </c>
      <c r="P320" s="23" t="str">
        <f aca="false">IF($F320="","",MID(IF($G320="",", career level","")&amp;IF($I320="",", nationality mandate","")&amp;IF($N320="",", capacity direction","")&amp;IF(N($J320)&lt;=0,", approved HC","")&amp;IF(AND($G320&lt;&gt;"",COUNTIF(CareerLevels,$G320)=0),", a career level that is not on the ladder",""),3,200))</f>
        <v>career level, nationality mandate, capacity direction</v>
      </c>
    </row>
    <row r="321" customFormat="false" ht="15" hidden="false" customHeight="false" outlineLevel="0" collapsed="false">
      <c r="A321" s="21" t="s">
        <v>421</v>
      </c>
      <c r="B321" s="21" t="s">
        <v>285</v>
      </c>
      <c r="C321" s="21" t="s">
        <v>287</v>
      </c>
      <c r="D321" s="21" t="s">
        <v>303</v>
      </c>
      <c r="E321" s="21" t="s">
        <v>305</v>
      </c>
      <c r="F321" s="21" t="s">
        <v>511</v>
      </c>
      <c r="G321" s="21"/>
      <c r="H321" s="21" t="s">
        <v>374</v>
      </c>
      <c r="I321" s="21"/>
      <c r="J321" s="22" t="n">
        <v>1</v>
      </c>
      <c r="K321" s="22" t="n">
        <v>0</v>
      </c>
      <c r="L321" s="22" t="n">
        <v>1</v>
      </c>
      <c r="M321" s="21" t="s">
        <v>363</v>
      </c>
      <c r="N321" s="21"/>
      <c r="O321" s="20" t="n">
        <f aca="false">IF($N321="Exit",N($J321),0)</f>
        <v>0</v>
      </c>
      <c r="P321" s="23" t="str">
        <f aca="false">IF($F321="","",MID(IF($G321="",", career level","")&amp;IF($I321="",", nationality mandate","")&amp;IF($N321="",", capacity direction","")&amp;IF(N($J321)&lt;=0,", approved HC","")&amp;IF(AND($G321&lt;&gt;"",COUNTIF(CareerLevels,$G321)=0),", a career level that is not on the ladder",""),3,200))</f>
        <v>career level, nationality mandate, capacity direction</v>
      </c>
    </row>
    <row r="322" customFormat="false" ht="15" hidden="false" customHeight="false" outlineLevel="0" collapsed="false">
      <c r="A322" s="21" t="s">
        <v>425</v>
      </c>
      <c r="B322" s="21" t="s">
        <v>285</v>
      </c>
      <c r="C322" s="21" t="s">
        <v>287</v>
      </c>
      <c r="D322" s="21" t="s">
        <v>303</v>
      </c>
      <c r="E322" s="21" t="s">
        <v>305</v>
      </c>
      <c r="F322" s="21" t="s">
        <v>512</v>
      </c>
      <c r="G322" s="21"/>
      <c r="H322" s="21" t="s">
        <v>374</v>
      </c>
      <c r="I322" s="21"/>
      <c r="J322" s="22" t="n">
        <v>1</v>
      </c>
      <c r="K322" s="22" t="n">
        <v>1</v>
      </c>
      <c r="L322" s="22" t="n">
        <v>0</v>
      </c>
      <c r="M322" s="21" t="s">
        <v>363</v>
      </c>
      <c r="N322" s="21"/>
      <c r="O322" s="20" t="n">
        <f aca="false">IF($N322="Exit",N($J322),0)</f>
        <v>0</v>
      </c>
      <c r="P322" s="23" t="str">
        <f aca="false">IF($F322="","",MID(IF($G322="",", career level","")&amp;IF($I322="",", nationality mandate","")&amp;IF($N322="",", capacity direction","")&amp;IF(N($J322)&lt;=0,", approved HC","")&amp;IF(AND($G322&lt;&gt;"",COUNTIF(CareerLevels,$G322)=0),", a career level that is not on the ladder",""),3,200))</f>
        <v>career level, nationality mandate, capacity direction</v>
      </c>
    </row>
    <row r="323" customFormat="false" ht="15" hidden="false" customHeight="false" outlineLevel="0" collapsed="false">
      <c r="A323" s="21" t="s">
        <v>399</v>
      </c>
      <c r="B323" s="21" t="s">
        <v>285</v>
      </c>
      <c r="C323" s="21" t="s">
        <v>287</v>
      </c>
      <c r="D323" s="21" t="s">
        <v>303</v>
      </c>
      <c r="E323" s="21" t="s">
        <v>305</v>
      </c>
      <c r="F323" s="21" t="s">
        <v>512</v>
      </c>
      <c r="G323" s="21"/>
      <c r="H323" s="21" t="s">
        <v>374</v>
      </c>
      <c r="I323" s="21"/>
      <c r="J323" s="22" t="n">
        <v>1</v>
      </c>
      <c r="K323" s="22" t="n">
        <v>1</v>
      </c>
      <c r="L323" s="22" t="n">
        <v>0</v>
      </c>
      <c r="M323" s="21" t="s">
        <v>363</v>
      </c>
      <c r="N323" s="21"/>
      <c r="O323" s="20" t="n">
        <f aca="false">IF($N323="Exit",N($J323),0)</f>
        <v>0</v>
      </c>
      <c r="P323" s="23" t="str">
        <f aca="false">IF($F323="","",MID(IF($G323="",", career level","")&amp;IF($I323="",", nationality mandate","")&amp;IF($N323="",", capacity direction","")&amp;IF(N($J323)&lt;=0,", approved HC","")&amp;IF(AND($G323&lt;&gt;"",COUNTIF(CareerLevels,$G323)=0),", a career level that is not on the ladder",""),3,200))</f>
        <v>career level, nationality mandate, capacity direction</v>
      </c>
    </row>
    <row r="324" customFormat="false" ht="15" hidden="false" customHeight="false" outlineLevel="0" collapsed="false">
      <c r="A324" s="21" t="s">
        <v>399</v>
      </c>
      <c r="B324" s="21" t="s">
        <v>285</v>
      </c>
      <c r="C324" s="21" t="s">
        <v>287</v>
      </c>
      <c r="D324" s="21" t="s">
        <v>303</v>
      </c>
      <c r="E324" s="21" t="s">
        <v>305</v>
      </c>
      <c r="F324" s="21" t="s">
        <v>510</v>
      </c>
      <c r="G324" s="21"/>
      <c r="H324" s="21" t="s">
        <v>371</v>
      </c>
      <c r="I324" s="21"/>
      <c r="J324" s="22" t="n">
        <v>1</v>
      </c>
      <c r="K324" s="22" t="n">
        <v>1</v>
      </c>
      <c r="L324" s="22" t="n">
        <v>0</v>
      </c>
      <c r="M324" s="21" t="s">
        <v>393</v>
      </c>
      <c r="N324" s="21"/>
      <c r="O324" s="20" t="n">
        <f aca="false">IF($N324="Exit",N($J324),0)</f>
        <v>0</v>
      </c>
      <c r="P324" s="23" t="str">
        <f aca="false">IF($F324="","",MID(IF($G324="",", career level","")&amp;IF($I324="",", nationality mandate","")&amp;IF($N324="",", capacity direction","")&amp;IF(N($J324)&lt;=0,", approved HC","")&amp;IF(AND($G324&lt;&gt;"",COUNTIF(CareerLevels,$G324)=0),", a career level that is not on the ladder",""),3,200))</f>
        <v>career level, nationality mandate, capacity direction</v>
      </c>
    </row>
    <row r="325" customFormat="false" ht="15" hidden="false" customHeight="false" outlineLevel="0" collapsed="false">
      <c r="A325" s="21" t="s">
        <v>446</v>
      </c>
      <c r="B325" s="21" t="s">
        <v>285</v>
      </c>
      <c r="C325" s="21" t="s">
        <v>287</v>
      </c>
      <c r="D325" s="21" t="s">
        <v>303</v>
      </c>
      <c r="E325" s="21" t="s">
        <v>311</v>
      </c>
      <c r="F325" s="21" t="s">
        <v>507</v>
      </c>
      <c r="G325" s="21"/>
      <c r="H325" s="21" t="s">
        <v>374</v>
      </c>
      <c r="I325" s="21"/>
      <c r="J325" s="22" t="n">
        <v>1</v>
      </c>
      <c r="K325" s="22" t="n">
        <v>1</v>
      </c>
      <c r="L325" s="22" t="n">
        <v>0</v>
      </c>
      <c r="M325" s="21" t="s">
        <v>363</v>
      </c>
      <c r="N325" s="21"/>
      <c r="O325" s="20" t="n">
        <f aca="false">IF($N325="Exit",N($J325),0)</f>
        <v>0</v>
      </c>
      <c r="P325" s="23" t="str">
        <f aca="false">IF($F325="","",MID(IF($G325="",", career level","")&amp;IF($I325="",", nationality mandate","")&amp;IF($N325="",", capacity direction","")&amp;IF(N($J325)&lt;=0,", approved HC","")&amp;IF(AND($G325&lt;&gt;"",COUNTIF(CareerLevels,$G325)=0),", a career level that is not on the ladder",""),3,200))</f>
        <v>career level, nationality mandate, capacity direction</v>
      </c>
    </row>
    <row r="326" customFormat="false" ht="15" hidden="false" customHeight="false" outlineLevel="0" collapsed="false">
      <c r="A326" s="21" t="s">
        <v>443</v>
      </c>
      <c r="B326" s="21" t="s">
        <v>285</v>
      </c>
      <c r="C326" s="21" t="s">
        <v>287</v>
      </c>
      <c r="D326" s="21" t="s">
        <v>303</v>
      </c>
      <c r="E326" s="21" t="s">
        <v>311</v>
      </c>
      <c r="F326" s="21" t="s">
        <v>507</v>
      </c>
      <c r="G326" s="21"/>
      <c r="H326" s="21" t="s">
        <v>374</v>
      </c>
      <c r="I326" s="21"/>
      <c r="J326" s="22" t="n">
        <v>1</v>
      </c>
      <c r="K326" s="22" t="n">
        <v>0</v>
      </c>
      <c r="L326" s="22" t="n">
        <v>1</v>
      </c>
      <c r="M326" s="21" t="s">
        <v>393</v>
      </c>
      <c r="N326" s="21"/>
      <c r="O326" s="20" t="n">
        <f aca="false">IF($N326="Exit",N($J326),0)</f>
        <v>0</v>
      </c>
      <c r="P326" s="23" t="str">
        <f aca="false">IF($F326="","",MID(IF($G326="",", career level","")&amp;IF($I326="",", nationality mandate","")&amp;IF($N326="",", capacity direction","")&amp;IF(N($J326)&lt;=0,", approved HC","")&amp;IF(AND($G326&lt;&gt;"",COUNTIF(CareerLevels,$G326)=0),", a career level that is not on the ladder",""),3,200))</f>
        <v>career level, nationality mandate, capacity direction</v>
      </c>
    </row>
    <row r="327" customFormat="false" ht="15" hidden="false" customHeight="false" outlineLevel="0" collapsed="false">
      <c r="A327" s="21" t="s">
        <v>396</v>
      </c>
      <c r="B327" s="21" t="s">
        <v>285</v>
      </c>
      <c r="C327" s="21" t="s">
        <v>287</v>
      </c>
      <c r="D327" s="21" t="s">
        <v>303</v>
      </c>
      <c r="E327" s="21" t="s">
        <v>311</v>
      </c>
      <c r="F327" s="21" t="s">
        <v>507</v>
      </c>
      <c r="G327" s="21"/>
      <c r="H327" s="21" t="s">
        <v>374</v>
      </c>
      <c r="I327" s="21"/>
      <c r="J327" s="22" t="n">
        <v>1</v>
      </c>
      <c r="K327" s="22" t="n">
        <v>1</v>
      </c>
      <c r="L327" s="22" t="n">
        <v>0</v>
      </c>
      <c r="M327" s="21" t="s">
        <v>363</v>
      </c>
      <c r="N327" s="21"/>
      <c r="O327" s="20" t="n">
        <f aca="false">IF($N327="Exit",N($J327),0)</f>
        <v>0</v>
      </c>
      <c r="P327" s="23" t="str">
        <f aca="false">IF($F327="","",MID(IF($G327="",", career level","")&amp;IF($I327="",", nationality mandate","")&amp;IF($N327="",", capacity direction","")&amp;IF(N($J327)&lt;=0,", approved HC","")&amp;IF(AND($G327&lt;&gt;"",COUNTIF(CareerLevels,$G327)=0),", a career level that is not on the ladder",""),3,200))</f>
        <v>career level, nationality mandate, capacity direction</v>
      </c>
    </row>
    <row r="328" customFormat="false" ht="15" hidden="false" customHeight="false" outlineLevel="0" collapsed="false">
      <c r="A328" s="21" t="s">
        <v>379</v>
      </c>
      <c r="B328" s="21" t="s">
        <v>285</v>
      </c>
      <c r="C328" s="21" t="s">
        <v>287</v>
      </c>
      <c r="D328" s="21" t="s">
        <v>303</v>
      </c>
      <c r="E328" s="21" t="s">
        <v>311</v>
      </c>
      <c r="F328" s="21" t="s">
        <v>508</v>
      </c>
      <c r="G328" s="21"/>
      <c r="H328" s="21" t="s">
        <v>374</v>
      </c>
      <c r="I328" s="21"/>
      <c r="J328" s="22" t="n">
        <v>1</v>
      </c>
      <c r="K328" s="22" t="n">
        <v>1</v>
      </c>
      <c r="L328" s="22" t="n">
        <v>0</v>
      </c>
      <c r="M328" s="21" t="s">
        <v>363</v>
      </c>
      <c r="N328" s="21"/>
      <c r="O328" s="20" t="n">
        <f aca="false">IF($N328="Exit",N($J328),0)</f>
        <v>0</v>
      </c>
      <c r="P328" s="23" t="str">
        <f aca="false">IF($F328="","",MID(IF($G328="",", career level","")&amp;IF($I328="",", nationality mandate","")&amp;IF($N328="",", capacity direction","")&amp;IF(N($J328)&lt;=0,", approved HC","")&amp;IF(AND($G328&lt;&gt;"",COUNTIF(CareerLevels,$G328)=0),", a career level that is not on the ladder",""),3,200))</f>
        <v>career level, nationality mandate, capacity direction</v>
      </c>
    </row>
    <row r="329" customFormat="false" ht="15" hidden="false" customHeight="false" outlineLevel="0" collapsed="false">
      <c r="A329" s="21" t="s">
        <v>482</v>
      </c>
      <c r="B329" s="21" t="s">
        <v>285</v>
      </c>
      <c r="C329" s="21" t="s">
        <v>287</v>
      </c>
      <c r="D329" s="21" t="s">
        <v>303</v>
      </c>
      <c r="E329" s="21" t="s">
        <v>311</v>
      </c>
      <c r="F329" s="21" t="s">
        <v>508</v>
      </c>
      <c r="G329" s="21"/>
      <c r="H329" s="21" t="s">
        <v>374</v>
      </c>
      <c r="I329" s="21"/>
      <c r="J329" s="22" t="n">
        <v>1</v>
      </c>
      <c r="K329" s="22" t="n">
        <v>1</v>
      </c>
      <c r="L329" s="22" t="n">
        <v>0</v>
      </c>
      <c r="M329" s="21" t="s">
        <v>363</v>
      </c>
      <c r="N329" s="21"/>
      <c r="O329" s="20" t="n">
        <f aca="false">IF($N329="Exit",N($J329),0)</f>
        <v>0</v>
      </c>
      <c r="P329" s="23" t="str">
        <f aca="false">IF($F329="","",MID(IF($G329="",", career level","")&amp;IF($I329="",", nationality mandate","")&amp;IF($N329="",", capacity direction","")&amp;IF(N($J329)&lt;=0,", approved HC","")&amp;IF(AND($G329&lt;&gt;"",COUNTIF(CareerLevels,$G329)=0),", a career level that is not on the ladder",""),3,200))</f>
        <v>career level, nationality mandate, capacity direction</v>
      </c>
    </row>
    <row r="330" customFormat="false" ht="15" hidden="false" customHeight="false" outlineLevel="0" collapsed="false">
      <c r="A330" s="21" t="s">
        <v>409</v>
      </c>
      <c r="B330" s="21" t="s">
        <v>285</v>
      </c>
      <c r="C330" s="21" t="s">
        <v>287</v>
      </c>
      <c r="D330" s="21" t="s">
        <v>303</v>
      </c>
      <c r="E330" s="21" t="s">
        <v>311</v>
      </c>
      <c r="F330" s="21" t="s">
        <v>508</v>
      </c>
      <c r="G330" s="21"/>
      <c r="H330" s="21" t="s">
        <v>374</v>
      </c>
      <c r="I330" s="21"/>
      <c r="J330" s="22" t="n">
        <v>1</v>
      </c>
      <c r="K330" s="22" t="n">
        <v>1</v>
      </c>
      <c r="L330" s="22" t="n">
        <v>0</v>
      </c>
      <c r="M330" s="21" t="s">
        <v>363</v>
      </c>
      <c r="N330" s="21"/>
      <c r="O330" s="20" t="n">
        <f aca="false">IF($N330="Exit",N($J330),0)</f>
        <v>0</v>
      </c>
      <c r="P330" s="23" t="str">
        <f aca="false">IF($F330="","",MID(IF($G330="",", career level","")&amp;IF($I330="",", nationality mandate","")&amp;IF($N330="",", capacity direction","")&amp;IF(N($J330)&lt;=0,", approved HC","")&amp;IF(AND($G330&lt;&gt;"",COUNTIF(CareerLevels,$G330)=0),", a career level that is not on the ladder",""),3,200))</f>
        <v>career level, nationality mandate, capacity direction</v>
      </c>
    </row>
    <row r="331" customFormat="false" ht="15" hidden="false" customHeight="false" outlineLevel="0" collapsed="false">
      <c r="A331" s="21" t="s">
        <v>388</v>
      </c>
      <c r="B331" s="21" t="s">
        <v>285</v>
      </c>
      <c r="C331" s="21" t="s">
        <v>287</v>
      </c>
      <c r="D331" s="21" t="s">
        <v>303</v>
      </c>
      <c r="E331" s="21" t="s">
        <v>311</v>
      </c>
      <c r="F331" s="21" t="s">
        <v>510</v>
      </c>
      <c r="G331" s="21"/>
      <c r="H331" s="21" t="s">
        <v>371</v>
      </c>
      <c r="I331" s="21"/>
      <c r="J331" s="22" t="n">
        <v>1</v>
      </c>
      <c r="K331" s="22" t="n">
        <v>1</v>
      </c>
      <c r="L331" s="22" t="n">
        <v>0</v>
      </c>
      <c r="M331" s="21" t="s">
        <v>363</v>
      </c>
      <c r="N331" s="21"/>
      <c r="O331" s="20" t="n">
        <f aca="false">IF($N331="Exit",N($J331),0)</f>
        <v>0</v>
      </c>
      <c r="P331" s="23" t="str">
        <f aca="false">IF($F331="","",MID(IF($G331="",", career level","")&amp;IF($I331="",", nationality mandate","")&amp;IF($N331="",", capacity direction","")&amp;IF(N($J331)&lt;=0,", approved HC","")&amp;IF(AND($G331&lt;&gt;"",COUNTIF(CareerLevels,$G331)=0),", a career level that is not on the ladder",""),3,200))</f>
        <v>career level, nationality mandate, capacity direction</v>
      </c>
    </row>
    <row r="332" customFormat="false" ht="15" hidden="false" customHeight="false" outlineLevel="0" collapsed="false">
      <c r="A332" s="21" t="s">
        <v>375</v>
      </c>
      <c r="B332" s="21" t="s">
        <v>285</v>
      </c>
      <c r="C332" s="21" t="s">
        <v>317</v>
      </c>
      <c r="D332" s="21"/>
      <c r="E332" s="21"/>
      <c r="F332" s="21" t="s">
        <v>513</v>
      </c>
      <c r="G332" s="21"/>
      <c r="H332" s="21" t="s">
        <v>366</v>
      </c>
      <c r="I332" s="21"/>
      <c r="J332" s="22" t="n">
        <v>1</v>
      </c>
      <c r="K332" s="22" t="n">
        <v>1</v>
      </c>
      <c r="L332" s="22" t="n">
        <v>0</v>
      </c>
      <c r="M332" s="21" t="s">
        <v>363</v>
      </c>
      <c r="N332" s="21"/>
      <c r="O332" s="20" t="n">
        <f aca="false">IF($N332="Exit",N($J332),0)</f>
        <v>0</v>
      </c>
      <c r="P332" s="23" t="str">
        <f aca="false">IF($F332="","",MID(IF($G332="",", career level","")&amp;IF($I332="",", nationality mandate","")&amp;IF($N332="",", capacity direction","")&amp;IF(N($J332)&lt;=0,", approved HC","")&amp;IF(AND($G332&lt;&gt;"",COUNTIF(CareerLevels,$G332)=0),", a career level that is not on the ladder",""),3,200))</f>
        <v>career level, nationality mandate, capacity direction</v>
      </c>
    </row>
    <row r="333" customFormat="false" ht="15" hidden="false" customHeight="false" outlineLevel="0" collapsed="false">
      <c r="A333" s="21" t="s">
        <v>412</v>
      </c>
      <c r="B333" s="21" t="s">
        <v>285</v>
      </c>
      <c r="C333" s="21" t="s">
        <v>317</v>
      </c>
      <c r="D333" s="21" t="s">
        <v>319</v>
      </c>
      <c r="E333" s="21"/>
      <c r="F333" s="21" t="s">
        <v>514</v>
      </c>
      <c r="G333" s="21"/>
      <c r="H333" s="21" t="s">
        <v>371</v>
      </c>
      <c r="I333" s="21"/>
      <c r="J333" s="22" t="n">
        <v>1</v>
      </c>
      <c r="K333" s="22" t="n">
        <v>1</v>
      </c>
      <c r="L333" s="22" t="n">
        <v>0</v>
      </c>
      <c r="M333" s="21" t="s">
        <v>363</v>
      </c>
      <c r="N333" s="21"/>
      <c r="O333" s="20" t="n">
        <f aca="false">IF($N333="Exit",N($J333),0)</f>
        <v>0</v>
      </c>
      <c r="P333" s="23" t="str">
        <f aca="false">IF($F333="","",MID(IF($G333="",", career level","")&amp;IF($I333="",", nationality mandate","")&amp;IF($N333="",", capacity direction","")&amp;IF(N($J333)&lt;=0,", approved HC","")&amp;IF(AND($G333&lt;&gt;"",COUNTIF(CareerLevels,$G333)=0),", a career level that is not on the ladder",""),3,200))</f>
        <v>career level, nationality mandate, capacity direction</v>
      </c>
    </row>
    <row r="334" customFormat="false" ht="15" hidden="false" customHeight="false" outlineLevel="0" collapsed="false">
      <c r="A334" s="21" t="s">
        <v>425</v>
      </c>
      <c r="B334" s="21" t="s">
        <v>285</v>
      </c>
      <c r="C334" s="21" t="s">
        <v>317</v>
      </c>
      <c r="D334" s="21" t="s">
        <v>319</v>
      </c>
      <c r="E334" s="21" t="s">
        <v>321</v>
      </c>
      <c r="F334" s="21" t="s">
        <v>515</v>
      </c>
      <c r="G334" s="21"/>
      <c r="H334" s="21" t="s">
        <v>374</v>
      </c>
      <c r="I334" s="21"/>
      <c r="J334" s="22" t="n">
        <v>1</v>
      </c>
      <c r="K334" s="22" t="n">
        <v>1</v>
      </c>
      <c r="L334" s="22" t="n">
        <v>0</v>
      </c>
      <c r="M334" s="21" t="s">
        <v>363</v>
      </c>
      <c r="N334" s="21"/>
      <c r="O334" s="20" t="n">
        <f aca="false">IF($N334="Exit",N($J334),0)</f>
        <v>0</v>
      </c>
      <c r="P334" s="23" t="str">
        <f aca="false">IF($F334="","",MID(IF($G334="",", career level","")&amp;IF($I334="",", nationality mandate","")&amp;IF($N334="",", capacity direction","")&amp;IF(N($J334)&lt;=0,", approved HC","")&amp;IF(AND($G334&lt;&gt;"",COUNTIF(CareerLevels,$G334)=0),", a career level that is not on the ladder",""),3,200))</f>
        <v>career level, nationality mandate, capacity direction</v>
      </c>
    </row>
    <row r="335" customFormat="false" ht="15" hidden="false" customHeight="false" outlineLevel="0" collapsed="false">
      <c r="A335" s="21" t="s">
        <v>432</v>
      </c>
      <c r="B335" s="21" t="s">
        <v>285</v>
      </c>
      <c r="C335" s="21" t="s">
        <v>317</v>
      </c>
      <c r="D335" s="21" t="s">
        <v>319</v>
      </c>
      <c r="E335" s="21" t="s">
        <v>321</v>
      </c>
      <c r="F335" s="21" t="s">
        <v>516</v>
      </c>
      <c r="G335" s="21"/>
      <c r="H335" s="21" t="s">
        <v>374</v>
      </c>
      <c r="I335" s="21"/>
      <c r="J335" s="22" t="n">
        <v>1</v>
      </c>
      <c r="K335" s="22" t="n">
        <v>1</v>
      </c>
      <c r="L335" s="22" t="n">
        <v>0</v>
      </c>
      <c r="M335" s="21" t="s">
        <v>363</v>
      </c>
      <c r="N335" s="21"/>
      <c r="O335" s="20" t="n">
        <f aca="false">IF($N335="Exit",N($J335),0)</f>
        <v>0</v>
      </c>
      <c r="P335" s="23" t="str">
        <f aca="false">IF($F335="","",MID(IF($G335="",", career level","")&amp;IF($I335="",", nationality mandate","")&amp;IF($N335="",", capacity direction","")&amp;IF(N($J335)&lt;=0,", approved HC","")&amp;IF(AND($G335&lt;&gt;"",COUNTIF(CareerLevels,$G335)=0),", a career level that is not on the ladder",""),3,200))</f>
        <v>career level, nationality mandate, capacity direction</v>
      </c>
    </row>
    <row r="336" customFormat="false" ht="15" hidden="false" customHeight="false" outlineLevel="0" collapsed="false">
      <c r="A336" s="21" t="s">
        <v>376</v>
      </c>
      <c r="B336" s="21" t="s">
        <v>285</v>
      </c>
      <c r="C336" s="21" t="s">
        <v>317</v>
      </c>
      <c r="D336" s="21" t="s">
        <v>319</v>
      </c>
      <c r="E336" s="21" t="s">
        <v>321</v>
      </c>
      <c r="F336" s="21" t="s">
        <v>517</v>
      </c>
      <c r="G336" s="21"/>
      <c r="H336" s="21" t="s">
        <v>374</v>
      </c>
      <c r="I336" s="21"/>
      <c r="J336" s="22" t="n">
        <v>1</v>
      </c>
      <c r="K336" s="22" t="n">
        <v>0</v>
      </c>
      <c r="L336" s="22" t="n">
        <v>1</v>
      </c>
      <c r="M336" s="21" t="s">
        <v>363</v>
      </c>
      <c r="N336" s="21"/>
      <c r="O336" s="20" t="n">
        <f aca="false">IF($N336="Exit",N($J336),0)</f>
        <v>0</v>
      </c>
      <c r="P336" s="23" t="str">
        <f aca="false">IF($F336="","",MID(IF($G336="",", career level","")&amp;IF($I336="",", nationality mandate","")&amp;IF($N336="",", capacity direction","")&amp;IF(N($J336)&lt;=0,", approved HC","")&amp;IF(AND($G336&lt;&gt;"",COUNTIF(CareerLevels,$G336)=0),", a career level that is not on the ladder",""),3,200))</f>
        <v>career level, nationality mandate, capacity direction</v>
      </c>
    </row>
    <row r="337" customFormat="false" ht="15" hidden="false" customHeight="false" outlineLevel="0" collapsed="false">
      <c r="A337" s="21" t="s">
        <v>392</v>
      </c>
      <c r="B337" s="21" t="s">
        <v>285</v>
      </c>
      <c r="C337" s="21" t="s">
        <v>317</v>
      </c>
      <c r="D337" s="21" t="s">
        <v>319</v>
      </c>
      <c r="E337" s="21" t="s">
        <v>321</v>
      </c>
      <c r="F337" s="21" t="s">
        <v>517</v>
      </c>
      <c r="G337" s="21"/>
      <c r="H337" s="21" t="s">
        <v>374</v>
      </c>
      <c r="I337" s="21"/>
      <c r="J337" s="22" t="n">
        <v>1</v>
      </c>
      <c r="K337" s="22" t="n">
        <v>1</v>
      </c>
      <c r="L337" s="22" t="n">
        <v>0</v>
      </c>
      <c r="M337" s="21" t="s">
        <v>363</v>
      </c>
      <c r="N337" s="21"/>
      <c r="O337" s="20" t="n">
        <f aca="false">IF($N337="Exit",N($J337),0)</f>
        <v>0</v>
      </c>
      <c r="P337" s="23" t="str">
        <f aca="false">IF($F337="","",MID(IF($G337="",", career level","")&amp;IF($I337="",", nationality mandate","")&amp;IF($N337="",", capacity direction","")&amp;IF(N($J337)&lt;=0,", approved HC","")&amp;IF(AND($G337&lt;&gt;"",COUNTIF(CareerLevels,$G337)=0),", a career level that is not on the ladder",""),3,200))</f>
        <v>career level, nationality mandate, capacity direction</v>
      </c>
    </row>
    <row r="338" customFormat="false" ht="15" hidden="false" customHeight="false" outlineLevel="0" collapsed="false">
      <c r="A338" s="21" t="s">
        <v>481</v>
      </c>
      <c r="B338" s="21" t="s">
        <v>285</v>
      </c>
      <c r="C338" s="21" t="s">
        <v>317</v>
      </c>
      <c r="D338" s="21" t="s">
        <v>319</v>
      </c>
      <c r="E338" s="21" t="s">
        <v>321</v>
      </c>
      <c r="F338" s="21" t="s">
        <v>518</v>
      </c>
      <c r="G338" s="21"/>
      <c r="H338" s="21" t="s">
        <v>374</v>
      </c>
      <c r="I338" s="21"/>
      <c r="J338" s="22" t="n">
        <v>1</v>
      </c>
      <c r="K338" s="22" t="n">
        <v>1</v>
      </c>
      <c r="L338" s="22" t="n">
        <v>0</v>
      </c>
      <c r="M338" s="21" t="s">
        <v>363</v>
      </c>
      <c r="N338" s="21"/>
      <c r="O338" s="20" t="n">
        <f aca="false">IF($N338="Exit",N($J338),0)</f>
        <v>0</v>
      </c>
      <c r="P338" s="23" t="str">
        <f aca="false">IF($F338="","",MID(IF($G338="",", career level","")&amp;IF($I338="",", nationality mandate","")&amp;IF($N338="",", capacity direction","")&amp;IF(N($J338)&lt;=0,", approved HC","")&amp;IF(AND($G338&lt;&gt;"",COUNTIF(CareerLevels,$G338)=0),", a career level that is not on the ladder",""),3,200))</f>
        <v>career level, nationality mandate, capacity direction</v>
      </c>
    </row>
    <row r="339" customFormat="false" ht="15" hidden="false" customHeight="false" outlineLevel="0" collapsed="false">
      <c r="A339" s="21" t="s">
        <v>445</v>
      </c>
      <c r="B339" s="21" t="s">
        <v>285</v>
      </c>
      <c r="C339" s="21" t="s">
        <v>317</v>
      </c>
      <c r="D339" s="21" t="s">
        <v>319</v>
      </c>
      <c r="E339" s="21" t="s">
        <v>321</v>
      </c>
      <c r="F339" s="21" t="s">
        <v>518</v>
      </c>
      <c r="G339" s="21"/>
      <c r="H339" s="21" t="s">
        <v>374</v>
      </c>
      <c r="I339" s="21"/>
      <c r="J339" s="22" t="n">
        <v>1</v>
      </c>
      <c r="K339" s="22" t="n">
        <v>1</v>
      </c>
      <c r="L339" s="22" t="n">
        <v>0</v>
      </c>
      <c r="M339" s="21" t="s">
        <v>363</v>
      </c>
      <c r="N339" s="21"/>
      <c r="O339" s="20" t="n">
        <f aca="false">IF($N339="Exit",N($J339),0)</f>
        <v>0</v>
      </c>
      <c r="P339" s="23" t="str">
        <f aca="false">IF($F339="","",MID(IF($G339="",", career level","")&amp;IF($I339="",", nationality mandate","")&amp;IF($N339="",", capacity direction","")&amp;IF(N($J339)&lt;=0,", approved HC","")&amp;IF(AND($G339&lt;&gt;"",COUNTIF(CareerLevels,$G339)=0),", a career level that is not on the ladder",""),3,200))</f>
        <v>career level, nationality mandate, capacity direction</v>
      </c>
    </row>
    <row r="340" customFormat="false" ht="15" hidden="false" customHeight="false" outlineLevel="0" collapsed="false">
      <c r="A340" s="21" t="s">
        <v>432</v>
      </c>
      <c r="B340" s="21" t="s">
        <v>285</v>
      </c>
      <c r="C340" s="21" t="s">
        <v>317</v>
      </c>
      <c r="D340" s="21" t="s">
        <v>319</v>
      </c>
      <c r="E340" s="21" t="s">
        <v>321</v>
      </c>
      <c r="F340" s="21" t="s">
        <v>519</v>
      </c>
      <c r="G340" s="21"/>
      <c r="H340" s="21" t="s">
        <v>374</v>
      </c>
      <c r="I340" s="21"/>
      <c r="J340" s="22" t="n">
        <v>1</v>
      </c>
      <c r="K340" s="22" t="n">
        <v>1</v>
      </c>
      <c r="L340" s="22" t="n">
        <v>0</v>
      </c>
      <c r="M340" s="21" t="s">
        <v>363</v>
      </c>
      <c r="N340" s="21"/>
      <c r="O340" s="20" t="n">
        <f aca="false">IF($N340="Exit",N($J340),0)</f>
        <v>0</v>
      </c>
      <c r="P340" s="23" t="str">
        <f aca="false">IF($F340="","",MID(IF($G340="",", career level","")&amp;IF($I340="",", nationality mandate","")&amp;IF($N340="",", capacity direction","")&amp;IF(N($J340)&lt;=0,", approved HC","")&amp;IF(AND($G340&lt;&gt;"",COUNTIF(CareerLevels,$G340)=0),", a career level that is not on the ladder",""),3,200))</f>
        <v>career level, nationality mandate, capacity direction</v>
      </c>
    </row>
    <row r="341" customFormat="false" ht="15" hidden="false" customHeight="false" outlineLevel="0" collapsed="false">
      <c r="A341" s="21" t="s">
        <v>422</v>
      </c>
      <c r="B341" s="21" t="s">
        <v>285</v>
      </c>
      <c r="C341" s="21" t="s">
        <v>317</v>
      </c>
      <c r="D341" s="21" t="s">
        <v>319</v>
      </c>
      <c r="E341" s="21" t="s">
        <v>321</v>
      </c>
      <c r="F341" s="21" t="s">
        <v>520</v>
      </c>
      <c r="G341" s="21"/>
      <c r="H341" s="21" t="s">
        <v>371</v>
      </c>
      <c r="I341" s="21"/>
      <c r="J341" s="22" t="n">
        <v>1</v>
      </c>
      <c r="K341" s="22" t="n">
        <v>1</v>
      </c>
      <c r="L341" s="22" t="n">
        <v>0</v>
      </c>
      <c r="M341" s="21" t="s">
        <v>363</v>
      </c>
      <c r="N341" s="21"/>
      <c r="O341" s="20" t="n">
        <f aca="false">IF($N341="Exit",N($J341),0)</f>
        <v>0</v>
      </c>
      <c r="P341" s="23" t="str">
        <f aca="false">IF($F341="","",MID(IF($G341="",", career level","")&amp;IF($I341="",", nationality mandate","")&amp;IF($N341="",", capacity direction","")&amp;IF(N($J341)&lt;=0,", approved HC","")&amp;IF(AND($G341&lt;&gt;"",COUNTIF(CareerLevels,$G341)=0),", a career level that is not on the ladder",""),3,200))</f>
        <v>career level, nationality mandate, capacity direction</v>
      </c>
    </row>
    <row r="342" customFormat="false" ht="15" hidden="false" customHeight="false" outlineLevel="0" collapsed="false">
      <c r="A342" s="21" t="s">
        <v>392</v>
      </c>
      <c r="B342" s="21" t="s">
        <v>285</v>
      </c>
      <c r="C342" s="21" t="s">
        <v>317</v>
      </c>
      <c r="D342" s="21" t="s">
        <v>319</v>
      </c>
      <c r="E342" s="21" t="s">
        <v>327</v>
      </c>
      <c r="F342" s="21" t="s">
        <v>517</v>
      </c>
      <c r="G342" s="21"/>
      <c r="H342" s="21" t="s">
        <v>374</v>
      </c>
      <c r="I342" s="21"/>
      <c r="J342" s="22" t="n">
        <v>1</v>
      </c>
      <c r="K342" s="22" t="n">
        <v>1</v>
      </c>
      <c r="L342" s="22" t="n">
        <v>0</v>
      </c>
      <c r="M342" s="21" t="s">
        <v>363</v>
      </c>
      <c r="N342" s="21"/>
      <c r="O342" s="20" t="n">
        <f aca="false">IF($N342="Exit",N($J342),0)</f>
        <v>0</v>
      </c>
      <c r="P342" s="23" t="str">
        <f aca="false">IF($F342="","",MID(IF($G342="",", career level","")&amp;IF($I342="",", nationality mandate","")&amp;IF($N342="",", capacity direction","")&amp;IF(N($J342)&lt;=0,", approved HC","")&amp;IF(AND($G342&lt;&gt;"",COUNTIF(CareerLevels,$G342)=0),", a career level that is not on the ladder",""),3,200))</f>
        <v>career level, nationality mandate, capacity direction</v>
      </c>
    </row>
    <row r="343" customFormat="false" ht="15" hidden="false" customHeight="false" outlineLevel="0" collapsed="false">
      <c r="A343" s="21" t="s">
        <v>377</v>
      </c>
      <c r="B343" s="21" t="s">
        <v>285</v>
      </c>
      <c r="C343" s="21" t="s">
        <v>317</v>
      </c>
      <c r="D343" s="21" t="s">
        <v>319</v>
      </c>
      <c r="E343" s="21" t="s">
        <v>327</v>
      </c>
      <c r="F343" s="21" t="s">
        <v>517</v>
      </c>
      <c r="G343" s="21"/>
      <c r="H343" s="21" t="s">
        <v>374</v>
      </c>
      <c r="I343" s="21"/>
      <c r="J343" s="22" t="n">
        <v>1</v>
      </c>
      <c r="K343" s="22" t="n">
        <v>1</v>
      </c>
      <c r="L343" s="22" t="n">
        <v>0</v>
      </c>
      <c r="M343" s="21" t="s">
        <v>363</v>
      </c>
      <c r="N343" s="21"/>
      <c r="O343" s="20" t="n">
        <f aca="false">IF($N343="Exit",N($J343),0)</f>
        <v>0</v>
      </c>
      <c r="P343" s="23" t="str">
        <f aca="false">IF($F343="","",MID(IF($G343="",", career level","")&amp;IF($I343="",", nationality mandate","")&amp;IF($N343="",", capacity direction","")&amp;IF(N($J343)&lt;=0,", approved HC","")&amp;IF(AND($G343&lt;&gt;"",COUNTIF(CareerLevels,$G343)=0),", a career level that is not on the ladder",""),3,200))</f>
        <v>career level, nationality mandate, capacity direction</v>
      </c>
    </row>
    <row r="344" customFormat="false" ht="15" hidden="false" customHeight="false" outlineLevel="0" collapsed="false">
      <c r="A344" s="21" t="s">
        <v>475</v>
      </c>
      <c r="B344" s="21" t="s">
        <v>285</v>
      </c>
      <c r="C344" s="21" t="s">
        <v>317</v>
      </c>
      <c r="D344" s="21" t="s">
        <v>319</v>
      </c>
      <c r="E344" s="21" t="s">
        <v>327</v>
      </c>
      <c r="F344" s="21" t="s">
        <v>518</v>
      </c>
      <c r="G344" s="21"/>
      <c r="H344" s="21" t="s">
        <v>374</v>
      </c>
      <c r="I344" s="21"/>
      <c r="J344" s="22" t="n">
        <v>1</v>
      </c>
      <c r="K344" s="22" t="n">
        <v>1</v>
      </c>
      <c r="L344" s="22" t="n">
        <v>0</v>
      </c>
      <c r="M344" s="21" t="s">
        <v>363</v>
      </c>
      <c r="N344" s="21"/>
      <c r="O344" s="20" t="n">
        <f aca="false">IF($N344="Exit",N($J344),0)</f>
        <v>0</v>
      </c>
      <c r="P344" s="23" t="str">
        <f aca="false">IF($F344="","",MID(IF($G344="",", career level","")&amp;IF($I344="",", nationality mandate","")&amp;IF($N344="",", capacity direction","")&amp;IF(N($J344)&lt;=0,", approved HC","")&amp;IF(AND($G344&lt;&gt;"",COUNTIF(CareerLevels,$G344)=0),", a career level that is not on the ladder",""),3,200))</f>
        <v>career level, nationality mandate, capacity direction</v>
      </c>
    </row>
    <row r="345" customFormat="false" ht="15" hidden="false" customHeight="false" outlineLevel="0" collapsed="false">
      <c r="A345" s="21" t="s">
        <v>382</v>
      </c>
      <c r="B345" s="21" t="s">
        <v>285</v>
      </c>
      <c r="C345" s="21" t="s">
        <v>317</v>
      </c>
      <c r="D345" s="21" t="s">
        <v>319</v>
      </c>
      <c r="E345" s="21" t="s">
        <v>327</v>
      </c>
      <c r="F345" s="21" t="s">
        <v>519</v>
      </c>
      <c r="G345" s="21"/>
      <c r="H345" s="21" t="s">
        <v>374</v>
      </c>
      <c r="I345" s="21"/>
      <c r="J345" s="22" t="n">
        <v>1</v>
      </c>
      <c r="K345" s="22" t="n">
        <v>1</v>
      </c>
      <c r="L345" s="22" t="n">
        <v>0</v>
      </c>
      <c r="M345" s="21" t="s">
        <v>363</v>
      </c>
      <c r="N345" s="21"/>
      <c r="O345" s="20" t="n">
        <f aca="false">IF($N345="Exit",N($J345),0)</f>
        <v>0</v>
      </c>
      <c r="P345" s="23" t="str">
        <f aca="false">IF($F345="","",MID(IF($G345="",", career level","")&amp;IF($I345="",", nationality mandate","")&amp;IF($N345="",", capacity direction","")&amp;IF(N($J345)&lt;=0,", approved HC","")&amp;IF(AND($G345&lt;&gt;"",COUNTIF(CareerLevels,$G345)=0),", a career level that is not on the ladder",""),3,200))</f>
        <v>career level, nationality mandate, capacity direction</v>
      </c>
    </row>
    <row r="346" customFormat="false" ht="15" hidden="false" customHeight="false" outlineLevel="0" collapsed="false">
      <c r="A346" s="21" t="s">
        <v>446</v>
      </c>
      <c r="B346" s="21" t="s">
        <v>285</v>
      </c>
      <c r="C346" s="21" t="s">
        <v>317</v>
      </c>
      <c r="D346" s="21" t="s">
        <v>319</v>
      </c>
      <c r="E346" s="21" t="s">
        <v>327</v>
      </c>
      <c r="F346" s="21" t="s">
        <v>521</v>
      </c>
      <c r="G346" s="21"/>
      <c r="H346" s="21" t="s">
        <v>374</v>
      </c>
      <c r="I346" s="21"/>
      <c r="J346" s="22" t="n">
        <v>1</v>
      </c>
      <c r="K346" s="22" t="n">
        <v>1</v>
      </c>
      <c r="L346" s="22" t="n">
        <v>0</v>
      </c>
      <c r="M346" s="21" t="s">
        <v>363</v>
      </c>
      <c r="N346" s="21"/>
      <c r="O346" s="20" t="n">
        <f aca="false">IF($N346="Exit",N($J346),0)</f>
        <v>0</v>
      </c>
      <c r="P346" s="23" t="str">
        <f aca="false">IF($F346="","",MID(IF($G346="",", career level","")&amp;IF($I346="",", nationality mandate","")&amp;IF($N346="",", capacity direction","")&amp;IF(N($J346)&lt;=0,", approved HC","")&amp;IF(AND($G346&lt;&gt;"",COUNTIF(CareerLevels,$G346)=0),", a career level that is not on the ladder",""),3,200))</f>
        <v>career level, nationality mandate, capacity direction</v>
      </c>
    </row>
    <row r="347" customFormat="false" ht="15" hidden="false" customHeight="false" outlineLevel="0" collapsed="false">
      <c r="A347" s="21" t="s">
        <v>376</v>
      </c>
      <c r="B347" s="21" t="s">
        <v>285</v>
      </c>
      <c r="C347" s="21" t="s">
        <v>317</v>
      </c>
      <c r="D347" s="21" t="s">
        <v>319</v>
      </c>
      <c r="E347" s="21" t="s">
        <v>327</v>
      </c>
      <c r="F347" s="21" t="s">
        <v>521</v>
      </c>
      <c r="G347" s="21"/>
      <c r="H347" s="21" t="s">
        <v>374</v>
      </c>
      <c r="I347" s="21"/>
      <c r="J347" s="22" t="n">
        <v>1</v>
      </c>
      <c r="K347" s="22" t="n">
        <v>1</v>
      </c>
      <c r="L347" s="22" t="n">
        <v>0</v>
      </c>
      <c r="M347" s="21" t="s">
        <v>363</v>
      </c>
      <c r="N347" s="21"/>
      <c r="O347" s="20" t="n">
        <f aca="false">IF($N347="Exit",N($J347),0)</f>
        <v>0</v>
      </c>
      <c r="P347" s="23" t="str">
        <f aca="false">IF($F347="","",MID(IF($G347="",", career level","")&amp;IF($I347="",", nationality mandate","")&amp;IF($N347="",", capacity direction","")&amp;IF(N($J347)&lt;=0,", approved HC","")&amp;IF(AND($G347&lt;&gt;"",COUNTIF(CareerLevels,$G347)=0),", a career level that is not on the ladder",""),3,200))</f>
        <v>career level, nationality mandate, capacity direction</v>
      </c>
    </row>
    <row r="348" customFormat="false" ht="15" hidden="false" customHeight="false" outlineLevel="0" collapsed="false">
      <c r="A348" s="21" t="s">
        <v>442</v>
      </c>
      <c r="B348" s="21" t="s">
        <v>285</v>
      </c>
      <c r="C348" s="21" t="s">
        <v>317</v>
      </c>
      <c r="D348" s="21" t="s">
        <v>319</v>
      </c>
      <c r="E348" s="21" t="s">
        <v>327</v>
      </c>
      <c r="F348" s="21" t="s">
        <v>521</v>
      </c>
      <c r="G348" s="21"/>
      <c r="H348" s="21" t="s">
        <v>374</v>
      </c>
      <c r="I348" s="21"/>
      <c r="J348" s="22" t="n">
        <v>1</v>
      </c>
      <c r="K348" s="22" t="n">
        <v>1</v>
      </c>
      <c r="L348" s="22" t="n">
        <v>0</v>
      </c>
      <c r="M348" s="21" t="s">
        <v>363</v>
      </c>
      <c r="N348" s="21"/>
      <c r="O348" s="20" t="n">
        <f aca="false">IF($N348="Exit",N($J348),0)</f>
        <v>0</v>
      </c>
      <c r="P348" s="23" t="str">
        <f aca="false">IF($F348="","",MID(IF($G348="",", career level","")&amp;IF($I348="",", nationality mandate","")&amp;IF($N348="",", capacity direction","")&amp;IF(N($J348)&lt;=0,", approved HC","")&amp;IF(AND($G348&lt;&gt;"",COUNTIF(CareerLevels,$G348)=0),", a career level that is not on the ladder",""),3,200))</f>
        <v>career level, nationality mandate, capacity direction</v>
      </c>
    </row>
    <row r="349" customFormat="false" ht="15" hidden="false" customHeight="false" outlineLevel="0" collapsed="false">
      <c r="A349" s="21" t="s">
        <v>449</v>
      </c>
      <c r="B349" s="21" t="s">
        <v>285</v>
      </c>
      <c r="C349" s="21" t="s">
        <v>317</v>
      </c>
      <c r="D349" s="21" t="s">
        <v>319</v>
      </c>
      <c r="E349" s="21" t="s">
        <v>327</v>
      </c>
      <c r="F349" s="21" t="s">
        <v>521</v>
      </c>
      <c r="G349" s="21"/>
      <c r="H349" s="21" t="s">
        <v>374</v>
      </c>
      <c r="I349" s="21"/>
      <c r="J349" s="22" t="n">
        <v>1</v>
      </c>
      <c r="K349" s="22" t="n">
        <v>1</v>
      </c>
      <c r="L349" s="22" t="n">
        <v>0</v>
      </c>
      <c r="M349" s="21" t="s">
        <v>393</v>
      </c>
      <c r="N349" s="21"/>
      <c r="O349" s="20" t="n">
        <f aca="false">IF($N349="Exit",N($J349),0)</f>
        <v>0</v>
      </c>
      <c r="P349" s="23" t="str">
        <f aca="false">IF($F349="","",MID(IF($G349="",", career level","")&amp;IF($I349="",", nationality mandate","")&amp;IF($N349="",", capacity direction","")&amp;IF(N($J349)&lt;=0,", approved HC","")&amp;IF(AND($G349&lt;&gt;"",COUNTIF(CareerLevels,$G349)=0),", a career level that is not on the ladder",""),3,200))</f>
        <v>career level, nationality mandate, capacity direction</v>
      </c>
    </row>
    <row r="350" customFormat="false" ht="15" hidden="false" customHeight="false" outlineLevel="0" collapsed="false">
      <c r="A350" s="21" t="s">
        <v>384</v>
      </c>
      <c r="B350" s="21" t="s">
        <v>285</v>
      </c>
      <c r="C350" s="21" t="s">
        <v>317</v>
      </c>
      <c r="D350" s="21" t="s">
        <v>319</v>
      </c>
      <c r="E350" s="21" t="s">
        <v>327</v>
      </c>
      <c r="F350" s="21" t="s">
        <v>520</v>
      </c>
      <c r="G350" s="21"/>
      <c r="H350" s="21" t="s">
        <v>371</v>
      </c>
      <c r="I350" s="21"/>
      <c r="J350" s="22" t="n">
        <v>1</v>
      </c>
      <c r="K350" s="22" t="n">
        <v>1</v>
      </c>
      <c r="L350" s="22" t="n">
        <v>0</v>
      </c>
      <c r="M350" s="21" t="s">
        <v>393</v>
      </c>
      <c r="N350" s="21"/>
      <c r="O350" s="20" t="n">
        <f aca="false">IF($N350="Exit",N($J350),0)</f>
        <v>0</v>
      </c>
      <c r="P350" s="23" t="str">
        <f aca="false">IF($F350="","",MID(IF($G350="",", career level","")&amp;IF($I350="",", nationality mandate","")&amp;IF($N350="",", capacity direction","")&amp;IF(N($J350)&lt;=0,", approved HC","")&amp;IF(AND($G350&lt;&gt;"",COUNTIF(CareerLevels,$G350)=0),", a career level that is not on the ladder",""),3,200))</f>
        <v>career level, nationality mandate, capacity direction</v>
      </c>
    </row>
    <row r="351" customFormat="false" ht="15" hidden="false" customHeight="false" outlineLevel="0" collapsed="false">
      <c r="A351" s="21" t="s">
        <v>379</v>
      </c>
      <c r="B351" s="21" t="s">
        <v>285</v>
      </c>
      <c r="C351" s="21" t="s">
        <v>317</v>
      </c>
      <c r="D351" s="21" t="s">
        <v>333</v>
      </c>
      <c r="E351" s="21"/>
      <c r="F351" s="21" t="s">
        <v>514</v>
      </c>
      <c r="G351" s="21"/>
      <c r="H351" s="21" t="s">
        <v>371</v>
      </c>
      <c r="I351" s="21"/>
      <c r="J351" s="22" t="n">
        <v>1</v>
      </c>
      <c r="K351" s="22" t="n">
        <v>0</v>
      </c>
      <c r="L351" s="22" t="n">
        <v>1</v>
      </c>
      <c r="M351" s="21" t="s">
        <v>393</v>
      </c>
      <c r="N351" s="21"/>
      <c r="O351" s="20" t="n">
        <f aca="false">IF($N351="Exit",N($J351),0)</f>
        <v>0</v>
      </c>
      <c r="P351" s="23" t="str">
        <f aca="false">IF($F351="","",MID(IF($G351="",", career level","")&amp;IF($I351="",", nationality mandate","")&amp;IF($N351="",", capacity direction","")&amp;IF(N($J351)&lt;=0,", approved HC","")&amp;IF(AND($G351&lt;&gt;"",COUNTIF(CareerLevels,$G351)=0),", a career level that is not on the ladder",""),3,200))</f>
        <v>career level, nationality mandate, capacity direction</v>
      </c>
    </row>
    <row r="352" customFormat="false" ht="15" hidden="false" customHeight="false" outlineLevel="0" collapsed="false">
      <c r="A352" s="21" t="s">
        <v>458</v>
      </c>
      <c r="B352" s="21" t="s">
        <v>285</v>
      </c>
      <c r="C352" s="21" t="s">
        <v>317</v>
      </c>
      <c r="D352" s="21" t="s">
        <v>333</v>
      </c>
      <c r="E352" s="21" t="s">
        <v>335</v>
      </c>
      <c r="F352" s="21" t="s">
        <v>522</v>
      </c>
      <c r="G352" s="21"/>
      <c r="H352" s="21" t="s">
        <v>374</v>
      </c>
      <c r="I352" s="21"/>
      <c r="J352" s="22" t="n">
        <v>1</v>
      </c>
      <c r="K352" s="22" t="n">
        <v>1</v>
      </c>
      <c r="L352" s="22" t="n">
        <v>0</v>
      </c>
      <c r="M352" s="21" t="s">
        <v>363</v>
      </c>
      <c r="N352" s="21"/>
      <c r="O352" s="20" t="n">
        <f aca="false">IF($N352="Exit",N($J352),0)</f>
        <v>0</v>
      </c>
      <c r="P352" s="23" t="str">
        <f aca="false">IF($F352="","",MID(IF($G352="",", career level","")&amp;IF($I352="",", nationality mandate","")&amp;IF($N352="",", capacity direction","")&amp;IF(N($J352)&lt;=0,", approved HC","")&amp;IF(AND($G352&lt;&gt;"",COUNTIF(CareerLevels,$G352)=0),", a career level that is not on the ladder",""),3,200))</f>
        <v>career level, nationality mandate, capacity direction</v>
      </c>
    </row>
    <row r="353" customFormat="false" ht="15" hidden="false" customHeight="false" outlineLevel="0" collapsed="false">
      <c r="A353" s="21" t="s">
        <v>447</v>
      </c>
      <c r="B353" s="21" t="s">
        <v>285</v>
      </c>
      <c r="C353" s="21" t="s">
        <v>317</v>
      </c>
      <c r="D353" s="21" t="s">
        <v>333</v>
      </c>
      <c r="E353" s="21" t="s">
        <v>335</v>
      </c>
      <c r="F353" s="21" t="s">
        <v>522</v>
      </c>
      <c r="G353" s="21"/>
      <c r="H353" s="21" t="s">
        <v>374</v>
      </c>
      <c r="I353" s="21"/>
      <c r="J353" s="22" t="n">
        <v>1</v>
      </c>
      <c r="K353" s="22" t="n">
        <v>1</v>
      </c>
      <c r="L353" s="22" t="n">
        <v>0</v>
      </c>
      <c r="M353" s="21" t="s">
        <v>363</v>
      </c>
      <c r="N353" s="21"/>
      <c r="O353" s="20" t="n">
        <f aca="false">IF($N353="Exit",N($J353),0)</f>
        <v>0</v>
      </c>
      <c r="P353" s="23" t="str">
        <f aca="false">IF($F353="","",MID(IF($G353="",", career level","")&amp;IF($I353="",", nationality mandate","")&amp;IF($N353="",", capacity direction","")&amp;IF(N($J353)&lt;=0,", approved HC","")&amp;IF(AND($G353&lt;&gt;"",COUNTIF(CareerLevels,$G353)=0),", a career level that is not on the ladder",""),3,200))</f>
        <v>career level, nationality mandate, capacity direction</v>
      </c>
    </row>
    <row r="354" customFormat="false" ht="15" hidden="false" customHeight="false" outlineLevel="0" collapsed="false">
      <c r="A354" s="21" t="s">
        <v>421</v>
      </c>
      <c r="B354" s="21" t="s">
        <v>285</v>
      </c>
      <c r="C354" s="21" t="s">
        <v>317</v>
      </c>
      <c r="D354" s="21" t="s">
        <v>333</v>
      </c>
      <c r="E354" s="21" t="s">
        <v>335</v>
      </c>
      <c r="F354" s="21" t="s">
        <v>522</v>
      </c>
      <c r="G354" s="21"/>
      <c r="H354" s="21" t="s">
        <v>374</v>
      </c>
      <c r="I354" s="21"/>
      <c r="J354" s="22" t="n">
        <v>1</v>
      </c>
      <c r="K354" s="22" t="n">
        <v>1</v>
      </c>
      <c r="L354" s="22" t="n">
        <v>0</v>
      </c>
      <c r="M354" s="21" t="s">
        <v>363</v>
      </c>
      <c r="N354" s="21"/>
      <c r="O354" s="20" t="n">
        <f aca="false">IF($N354="Exit",N($J354),0)</f>
        <v>0</v>
      </c>
      <c r="P354" s="23" t="str">
        <f aca="false">IF($F354="","",MID(IF($G354="",", career level","")&amp;IF($I354="",", nationality mandate","")&amp;IF($N354="",", capacity direction","")&amp;IF(N($J354)&lt;=0,", approved HC","")&amp;IF(AND($G354&lt;&gt;"",COUNTIF(CareerLevels,$G354)=0),", a career level that is not on the ladder",""),3,200))</f>
        <v>career level, nationality mandate, capacity direction</v>
      </c>
    </row>
    <row r="355" customFormat="false" ht="15" hidden="false" customHeight="false" outlineLevel="0" collapsed="false">
      <c r="A355" s="21" t="s">
        <v>391</v>
      </c>
      <c r="B355" s="21" t="s">
        <v>285</v>
      </c>
      <c r="C355" s="21" t="s">
        <v>317</v>
      </c>
      <c r="D355" s="21" t="s">
        <v>333</v>
      </c>
      <c r="E355" s="21" t="s">
        <v>335</v>
      </c>
      <c r="F355" s="21" t="s">
        <v>517</v>
      </c>
      <c r="G355" s="21"/>
      <c r="H355" s="21" t="s">
        <v>374</v>
      </c>
      <c r="I355" s="21"/>
      <c r="J355" s="22" t="n">
        <v>1</v>
      </c>
      <c r="K355" s="22" t="n">
        <v>0</v>
      </c>
      <c r="L355" s="22" t="n">
        <v>1</v>
      </c>
      <c r="M355" s="21" t="s">
        <v>363</v>
      </c>
      <c r="N355" s="21"/>
      <c r="O355" s="20" t="n">
        <f aca="false">IF($N355="Exit",N($J355),0)</f>
        <v>0</v>
      </c>
      <c r="P355" s="23" t="str">
        <f aca="false">IF($F355="","",MID(IF($G355="",", career level","")&amp;IF($I355="",", nationality mandate","")&amp;IF($N355="",", capacity direction","")&amp;IF(N($J355)&lt;=0,", approved HC","")&amp;IF(AND($G355&lt;&gt;"",COUNTIF(CareerLevels,$G355)=0),", a career level that is not on the ladder",""),3,200))</f>
        <v>career level, nationality mandate, capacity direction</v>
      </c>
    </row>
    <row r="356" customFormat="false" ht="15" hidden="false" customHeight="false" outlineLevel="0" collapsed="false">
      <c r="A356" s="21" t="s">
        <v>458</v>
      </c>
      <c r="B356" s="21" t="s">
        <v>285</v>
      </c>
      <c r="C356" s="21" t="s">
        <v>317</v>
      </c>
      <c r="D356" s="21" t="s">
        <v>333</v>
      </c>
      <c r="E356" s="21" t="s">
        <v>335</v>
      </c>
      <c r="F356" s="21" t="s">
        <v>517</v>
      </c>
      <c r="G356" s="21"/>
      <c r="H356" s="21" t="s">
        <v>374</v>
      </c>
      <c r="I356" s="21"/>
      <c r="J356" s="22" t="n">
        <v>1</v>
      </c>
      <c r="K356" s="22" t="n">
        <v>0</v>
      </c>
      <c r="L356" s="22" t="n">
        <v>1</v>
      </c>
      <c r="M356" s="21" t="s">
        <v>363</v>
      </c>
      <c r="N356" s="21"/>
      <c r="O356" s="20" t="n">
        <f aca="false">IF($N356="Exit",N($J356),0)</f>
        <v>0</v>
      </c>
      <c r="P356" s="23" t="str">
        <f aca="false">IF($F356="","",MID(IF($G356="",", career level","")&amp;IF($I356="",", nationality mandate","")&amp;IF($N356="",", capacity direction","")&amp;IF(N($J356)&lt;=0,", approved HC","")&amp;IF(AND($G356&lt;&gt;"",COUNTIF(CareerLevels,$G356)=0),", a career level that is not on the ladder",""),3,200))</f>
        <v>career level, nationality mandate, capacity direction</v>
      </c>
    </row>
    <row r="357" customFormat="false" ht="15" hidden="false" customHeight="false" outlineLevel="0" collapsed="false">
      <c r="A357" s="21" t="s">
        <v>414</v>
      </c>
      <c r="B357" s="21" t="s">
        <v>285</v>
      </c>
      <c r="C357" s="21" t="s">
        <v>317</v>
      </c>
      <c r="D357" s="21" t="s">
        <v>333</v>
      </c>
      <c r="E357" s="21" t="s">
        <v>335</v>
      </c>
      <c r="F357" s="21" t="s">
        <v>518</v>
      </c>
      <c r="G357" s="21"/>
      <c r="H357" s="21" t="s">
        <v>374</v>
      </c>
      <c r="I357" s="21"/>
      <c r="J357" s="22" t="n">
        <v>1</v>
      </c>
      <c r="K357" s="22" t="n">
        <v>1</v>
      </c>
      <c r="L357" s="22" t="n">
        <v>0</v>
      </c>
      <c r="M357" s="21" t="s">
        <v>363</v>
      </c>
      <c r="N357" s="21"/>
      <c r="O357" s="20" t="n">
        <f aca="false">IF($N357="Exit",N($J357),0)</f>
        <v>0</v>
      </c>
      <c r="P357" s="23" t="str">
        <f aca="false">IF($F357="","",MID(IF($G357="",", career level","")&amp;IF($I357="",", nationality mandate","")&amp;IF($N357="",", capacity direction","")&amp;IF(N($J357)&lt;=0,", approved HC","")&amp;IF(AND($G357&lt;&gt;"",COUNTIF(CareerLevels,$G357)=0),", a career level that is not on the ladder",""),3,200))</f>
        <v>career level, nationality mandate, capacity direction</v>
      </c>
    </row>
    <row r="358" customFormat="false" ht="15" hidden="false" customHeight="false" outlineLevel="0" collapsed="false">
      <c r="A358" s="21" t="s">
        <v>437</v>
      </c>
      <c r="B358" s="21" t="s">
        <v>285</v>
      </c>
      <c r="C358" s="21" t="s">
        <v>317</v>
      </c>
      <c r="D358" s="21" t="s">
        <v>333</v>
      </c>
      <c r="E358" s="21" t="s">
        <v>335</v>
      </c>
      <c r="F358" s="21" t="s">
        <v>518</v>
      </c>
      <c r="G358" s="21"/>
      <c r="H358" s="21" t="s">
        <v>374</v>
      </c>
      <c r="I358" s="21"/>
      <c r="J358" s="22" t="n">
        <v>1</v>
      </c>
      <c r="K358" s="22" t="n">
        <v>1</v>
      </c>
      <c r="L358" s="22" t="n">
        <v>0</v>
      </c>
      <c r="M358" s="21" t="s">
        <v>363</v>
      </c>
      <c r="N358" s="21"/>
      <c r="O358" s="20" t="n">
        <f aca="false">IF($N358="Exit",N($J358),0)</f>
        <v>0</v>
      </c>
      <c r="P358" s="23" t="str">
        <f aca="false">IF($F358="","",MID(IF($G358="",", career level","")&amp;IF($I358="",", nationality mandate","")&amp;IF($N358="",", capacity direction","")&amp;IF(N($J358)&lt;=0,", approved HC","")&amp;IF(AND($G358&lt;&gt;"",COUNTIF(CareerLevels,$G358)=0),", a career level that is not on the ladder",""),3,200))</f>
        <v>career level, nationality mandate, capacity direction</v>
      </c>
    </row>
    <row r="359" customFormat="false" ht="15" hidden="false" customHeight="false" outlineLevel="0" collapsed="false">
      <c r="A359" s="21" t="s">
        <v>364</v>
      </c>
      <c r="B359" s="21" t="s">
        <v>285</v>
      </c>
      <c r="C359" s="21" t="s">
        <v>317</v>
      </c>
      <c r="D359" s="21" t="s">
        <v>333</v>
      </c>
      <c r="E359" s="21" t="s">
        <v>335</v>
      </c>
      <c r="F359" s="21" t="s">
        <v>520</v>
      </c>
      <c r="G359" s="21"/>
      <c r="H359" s="21" t="s">
        <v>371</v>
      </c>
      <c r="I359" s="21"/>
      <c r="J359" s="22" t="n">
        <v>1</v>
      </c>
      <c r="K359" s="22" t="n">
        <v>1</v>
      </c>
      <c r="L359" s="22" t="n">
        <v>0</v>
      </c>
      <c r="M359" s="21" t="s">
        <v>363</v>
      </c>
      <c r="N359" s="21"/>
      <c r="O359" s="20" t="n">
        <f aca="false">IF($N359="Exit",N($J359),0)</f>
        <v>0</v>
      </c>
      <c r="P359" s="23" t="str">
        <f aca="false">IF($F359="","",MID(IF($G359="",", career level","")&amp;IF($I359="",", nationality mandate","")&amp;IF($N359="",", capacity direction","")&amp;IF(N($J359)&lt;=0,", approved HC","")&amp;IF(AND($G359&lt;&gt;"",COUNTIF(CareerLevels,$G359)=0),", a career level that is not on the ladder",""),3,200))</f>
        <v>career level, nationality mandate, capacity direction</v>
      </c>
    </row>
    <row r="360" customFormat="false" ht="15" hidden="false" customHeight="false" outlineLevel="0" collapsed="false">
      <c r="A360" s="21" t="s">
        <v>421</v>
      </c>
      <c r="B360" s="21" t="s">
        <v>285</v>
      </c>
      <c r="C360" s="21" t="s">
        <v>317</v>
      </c>
      <c r="D360" s="21" t="s">
        <v>333</v>
      </c>
      <c r="E360" s="21" t="s">
        <v>341</v>
      </c>
      <c r="F360" s="21" t="s">
        <v>515</v>
      </c>
      <c r="G360" s="21"/>
      <c r="H360" s="21" t="s">
        <v>374</v>
      </c>
      <c r="I360" s="21"/>
      <c r="J360" s="22" t="n">
        <v>1</v>
      </c>
      <c r="K360" s="22" t="n">
        <v>1</v>
      </c>
      <c r="L360" s="22" t="n">
        <v>0</v>
      </c>
      <c r="M360" s="21" t="s">
        <v>393</v>
      </c>
      <c r="N360" s="21"/>
      <c r="O360" s="20" t="n">
        <f aca="false">IF($N360="Exit",N($J360),0)</f>
        <v>0</v>
      </c>
      <c r="P360" s="23" t="str">
        <f aca="false">IF($F360="","",MID(IF($G360="",", career level","")&amp;IF($I360="",", nationality mandate","")&amp;IF($N360="",", capacity direction","")&amp;IF(N($J360)&lt;=0,", approved HC","")&amp;IF(AND($G360&lt;&gt;"",COUNTIF(CareerLevels,$G360)=0),", a career level that is not on the ladder",""),3,200))</f>
        <v>career level, nationality mandate, capacity direction</v>
      </c>
    </row>
    <row r="361" customFormat="false" ht="15" hidden="false" customHeight="false" outlineLevel="0" collapsed="false">
      <c r="A361" s="21" t="s">
        <v>386</v>
      </c>
      <c r="B361" s="21" t="s">
        <v>285</v>
      </c>
      <c r="C361" s="21" t="s">
        <v>317</v>
      </c>
      <c r="D361" s="21" t="s">
        <v>333</v>
      </c>
      <c r="E361" s="21" t="s">
        <v>341</v>
      </c>
      <c r="F361" s="21" t="s">
        <v>522</v>
      </c>
      <c r="G361" s="21"/>
      <c r="H361" s="21" t="s">
        <v>374</v>
      </c>
      <c r="I361" s="21"/>
      <c r="J361" s="22" t="n">
        <v>1</v>
      </c>
      <c r="K361" s="22" t="n">
        <v>1</v>
      </c>
      <c r="L361" s="22" t="n">
        <v>0</v>
      </c>
      <c r="M361" s="21" t="s">
        <v>363</v>
      </c>
      <c r="N361" s="21"/>
      <c r="O361" s="20" t="n">
        <f aca="false">IF($N361="Exit",N($J361),0)</f>
        <v>0</v>
      </c>
      <c r="P361" s="23" t="str">
        <f aca="false">IF($F361="","",MID(IF($G361="",", career level","")&amp;IF($I361="",", nationality mandate","")&amp;IF($N361="",", capacity direction","")&amp;IF(N($J361)&lt;=0,", approved HC","")&amp;IF(AND($G361&lt;&gt;"",COUNTIF(CareerLevels,$G361)=0),", a career level that is not on the ladder",""),3,200))</f>
        <v>career level, nationality mandate, capacity direction</v>
      </c>
    </row>
    <row r="362" customFormat="false" ht="15" hidden="false" customHeight="false" outlineLevel="0" collapsed="false">
      <c r="A362" s="21" t="s">
        <v>394</v>
      </c>
      <c r="B362" s="21" t="s">
        <v>285</v>
      </c>
      <c r="C362" s="21" t="s">
        <v>317</v>
      </c>
      <c r="D362" s="21" t="s">
        <v>333</v>
      </c>
      <c r="E362" s="21" t="s">
        <v>341</v>
      </c>
      <c r="F362" s="21" t="s">
        <v>517</v>
      </c>
      <c r="G362" s="21"/>
      <c r="H362" s="21" t="s">
        <v>374</v>
      </c>
      <c r="I362" s="21"/>
      <c r="J362" s="22" t="n">
        <v>1</v>
      </c>
      <c r="K362" s="22" t="n">
        <v>1</v>
      </c>
      <c r="L362" s="22" t="n">
        <v>0</v>
      </c>
      <c r="M362" s="21" t="s">
        <v>363</v>
      </c>
      <c r="N362" s="21"/>
      <c r="O362" s="20" t="n">
        <f aca="false">IF($N362="Exit",N($J362),0)</f>
        <v>0</v>
      </c>
      <c r="P362" s="23" t="str">
        <f aca="false">IF($F362="","",MID(IF($G362="",", career level","")&amp;IF($I362="",", nationality mandate","")&amp;IF($N362="",", capacity direction","")&amp;IF(N($J362)&lt;=0,", approved HC","")&amp;IF(AND($G362&lt;&gt;"",COUNTIF(CareerLevels,$G362)=0),", a career level that is not on the ladder",""),3,200))</f>
        <v>career level, nationality mandate, capacity direction</v>
      </c>
    </row>
    <row r="363" customFormat="false" ht="15" hidden="false" customHeight="false" outlineLevel="0" collapsed="false">
      <c r="A363" s="21" t="s">
        <v>382</v>
      </c>
      <c r="B363" s="21" t="s">
        <v>285</v>
      </c>
      <c r="C363" s="21" t="s">
        <v>317</v>
      </c>
      <c r="D363" s="21" t="s">
        <v>333</v>
      </c>
      <c r="E363" s="21" t="s">
        <v>341</v>
      </c>
      <c r="F363" s="21" t="s">
        <v>517</v>
      </c>
      <c r="G363" s="21"/>
      <c r="H363" s="21" t="s">
        <v>374</v>
      </c>
      <c r="I363" s="21"/>
      <c r="J363" s="22" t="n">
        <v>1</v>
      </c>
      <c r="K363" s="22" t="n">
        <v>1</v>
      </c>
      <c r="L363" s="22" t="n">
        <v>0</v>
      </c>
      <c r="M363" s="21" t="s">
        <v>363</v>
      </c>
      <c r="N363" s="21"/>
      <c r="O363" s="20" t="n">
        <f aca="false">IF($N363="Exit",N($J363),0)</f>
        <v>0</v>
      </c>
      <c r="P363" s="23" t="str">
        <f aca="false">IF($F363="","",MID(IF($G363="",", career level","")&amp;IF($I363="",", nationality mandate","")&amp;IF($N363="",", capacity direction","")&amp;IF(N($J363)&lt;=0,", approved HC","")&amp;IF(AND($G363&lt;&gt;"",COUNTIF(CareerLevels,$G363)=0),", a career level that is not on the ladder",""),3,200))</f>
        <v>career level, nationality mandate, capacity direction</v>
      </c>
    </row>
    <row r="364" customFormat="false" ht="15" hidden="false" customHeight="false" outlineLevel="0" collapsed="false">
      <c r="A364" s="21" t="s">
        <v>409</v>
      </c>
      <c r="B364" s="21" t="s">
        <v>285</v>
      </c>
      <c r="C364" s="21" t="s">
        <v>317</v>
      </c>
      <c r="D364" s="21" t="s">
        <v>333</v>
      </c>
      <c r="E364" s="21" t="s">
        <v>341</v>
      </c>
      <c r="F364" s="21" t="s">
        <v>517</v>
      </c>
      <c r="G364" s="21"/>
      <c r="H364" s="21" t="s">
        <v>374</v>
      </c>
      <c r="I364" s="21"/>
      <c r="J364" s="22" t="n">
        <v>1</v>
      </c>
      <c r="K364" s="22" t="n">
        <v>1</v>
      </c>
      <c r="L364" s="22" t="n">
        <v>0</v>
      </c>
      <c r="M364" s="21" t="s">
        <v>363</v>
      </c>
      <c r="N364" s="21"/>
      <c r="O364" s="20" t="n">
        <f aca="false">IF($N364="Exit",N($J364),0)</f>
        <v>0</v>
      </c>
      <c r="P364" s="23" t="str">
        <f aca="false">IF($F364="","",MID(IF($G364="",", career level","")&amp;IF($I364="",", nationality mandate","")&amp;IF($N364="",", capacity direction","")&amp;IF(N($J364)&lt;=0,", approved HC","")&amp;IF(AND($G364&lt;&gt;"",COUNTIF(CareerLevels,$G364)=0),", a career level that is not on the ladder",""),3,200))</f>
        <v>career level, nationality mandate, capacity direction</v>
      </c>
    </row>
    <row r="365" customFormat="false" ht="15" hidden="false" customHeight="false" outlineLevel="0" collapsed="false">
      <c r="A365" s="21" t="s">
        <v>377</v>
      </c>
      <c r="B365" s="21" t="s">
        <v>285</v>
      </c>
      <c r="C365" s="21" t="s">
        <v>317</v>
      </c>
      <c r="D365" s="21" t="s">
        <v>333</v>
      </c>
      <c r="E365" s="21" t="s">
        <v>341</v>
      </c>
      <c r="F365" s="21" t="s">
        <v>519</v>
      </c>
      <c r="G365" s="21"/>
      <c r="H365" s="21" t="s">
        <v>374</v>
      </c>
      <c r="I365" s="21"/>
      <c r="J365" s="22" t="n">
        <v>1</v>
      </c>
      <c r="K365" s="22" t="n">
        <v>0</v>
      </c>
      <c r="L365" s="22" t="n">
        <v>1</v>
      </c>
      <c r="M365" s="21" t="s">
        <v>363</v>
      </c>
      <c r="N365" s="21"/>
      <c r="O365" s="20" t="n">
        <f aca="false">IF($N365="Exit",N($J365),0)</f>
        <v>0</v>
      </c>
      <c r="P365" s="23" t="str">
        <f aca="false">IF($F365="","",MID(IF($G365="",", career level","")&amp;IF($I365="",", nationality mandate","")&amp;IF($N365="",", capacity direction","")&amp;IF(N($J365)&lt;=0,", approved HC","")&amp;IF(AND($G365&lt;&gt;"",COUNTIF(CareerLevels,$G365)=0),", a career level that is not on the ladder",""),3,200))</f>
        <v>career level, nationality mandate, capacity direction</v>
      </c>
    </row>
    <row r="366" customFormat="false" ht="15" hidden="false" customHeight="false" outlineLevel="0" collapsed="false">
      <c r="A366" s="21" t="s">
        <v>440</v>
      </c>
      <c r="B366" s="21" t="s">
        <v>285</v>
      </c>
      <c r="C366" s="21" t="s">
        <v>317</v>
      </c>
      <c r="D366" s="21" t="s">
        <v>333</v>
      </c>
      <c r="E366" s="21" t="s">
        <v>341</v>
      </c>
      <c r="F366" s="21" t="s">
        <v>521</v>
      </c>
      <c r="G366" s="21"/>
      <c r="H366" s="21" t="s">
        <v>374</v>
      </c>
      <c r="I366" s="21"/>
      <c r="J366" s="22" t="n">
        <v>1</v>
      </c>
      <c r="K366" s="22" t="n">
        <v>1</v>
      </c>
      <c r="L366" s="22" t="n">
        <v>0</v>
      </c>
      <c r="M366" s="21" t="s">
        <v>363</v>
      </c>
      <c r="N366" s="21"/>
      <c r="O366" s="20" t="n">
        <f aca="false">IF($N366="Exit",N($J366),0)</f>
        <v>0</v>
      </c>
      <c r="P366" s="23" t="str">
        <f aca="false">IF($F366="","",MID(IF($G366="",", career level","")&amp;IF($I366="",", nationality mandate","")&amp;IF($N366="",", capacity direction","")&amp;IF(N($J366)&lt;=0,", approved HC","")&amp;IF(AND($G366&lt;&gt;"",COUNTIF(CareerLevels,$G366)=0),", a career level that is not on the ladder",""),3,200))</f>
        <v>career level, nationality mandate, capacity direction</v>
      </c>
    </row>
    <row r="367" customFormat="false" ht="15" hidden="false" customHeight="false" outlineLevel="0" collapsed="false">
      <c r="A367" s="21" t="s">
        <v>397</v>
      </c>
      <c r="B367" s="21" t="s">
        <v>285</v>
      </c>
      <c r="C367" s="21" t="s">
        <v>317</v>
      </c>
      <c r="D367" s="21" t="s">
        <v>333</v>
      </c>
      <c r="E367" s="21" t="s">
        <v>341</v>
      </c>
      <c r="F367" s="21" t="s">
        <v>520</v>
      </c>
      <c r="G367" s="21"/>
      <c r="H367" s="21" t="s">
        <v>371</v>
      </c>
      <c r="I367" s="21"/>
      <c r="J367" s="22" t="n">
        <v>1</v>
      </c>
      <c r="K367" s="22" t="n">
        <v>1</v>
      </c>
      <c r="L367" s="22" t="n">
        <v>0</v>
      </c>
      <c r="M367" s="21" t="s">
        <v>363</v>
      </c>
      <c r="N367" s="21"/>
      <c r="O367" s="20" t="n">
        <f aca="false">IF($N367="Exit",N($J367),0)</f>
        <v>0</v>
      </c>
      <c r="P367" s="23" t="str">
        <f aca="false">IF($F367="","",MID(IF($G367="",", career level","")&amp;IF($I367="",", nationality mandate","")&amp;IF($N367="",", capacity direction","")&amp;IF(N($J367)&lt;=0,", approved HC","")&amp;IF(AND($G367&lt;&gt;"",COUNTIF(CareerLevels,$G367)=0),", a career level that is not on the ladder",""),3,200))</f>
        <v>career level, nationality mandate, capacity direction</v>
      </c>
    </row>
    <row r="368" customFormat="false" ht="15" hidden="false" customHeight="false" outlineLevel="0" collapsed="false">
      <c r="A368" s="21"/>
      <c r="B368" s="21"/>
      <c r="C368" s="21"/>
      <c r="D368" s="21"/>
      <c r="E368" s="21"/>
      <c r="F368" s="21"/>
      <c r="G368" s="21"/>
      <c r="H368" s="21"/>
      <c r="I368" s="21"/>
      <c r="J368" s="22"/>
      <c r="K368" s="22"/>
      <c r="L368" s="22"/>
      <c r="M368" s="21"/>
      <c r="N368" s="21"/>
      <c r="O368" s="20" t="n">
        <f aca="false">IF($N368="Exit",N($J368),0)</f>
        <v>0</v>
      </c>
      <c r="P368" s="23" t="str">
        <f aca="false">IF($F368="","",MID(IF($G368="",", career level","")&amp;IF($I368="",", nationality mandate","")&amp;IF($N368="",", capacity direction","")&amp;IF(N($J368)&lt;=0,", approved HC","")&amp;IF(AND($G368&lt;&gt;"",COUNTIF(CareerLevels,$G368)=0),", a career level that is not on the ladder",""),3,200))</f>
        <v/>
      </c>
    </row>
    <row r="369" customFormat="false" ht="15" hidden="false" customHeight="false" outlineLevel="0" collapsed="false">
      <c r="A369" s="21"/>
      <c r="B369" s="21"/>
      <c r="C369" s="21"/>
      <c r="D369" s="21"/>
      <c r="E369" s="21"/>
      <c r="F369" s="21"/>
      <c r="G369" s="21"/>
      <c r="H369" s="21"/>
      <c r="I369" s="21"/>
      <c r="J369" s="22"/>
      <c r="K369" s="22"/>
      <c r="L369" s="22"/>
      <c r="M369" s="21"/>
      <c r="N369" s="21"/>
      <c r="O369" s="20" t="n">
        <f aca="false">IF($N369="Exit",N($J369),0)</f>
        <v>0</v>
      </c>
      <c r="P369" s="23" t="str">
        <f aca="false">IF($F369="","",MID(IF($G369="",", career level","")&amp;IF($I369="",", nationality mandate","")&amp;IF($N369="",", capacity direction","")&amp;IF(N($J369)&lt;=0,", approved HC","")&amp;IF(AND($G369&lt;&gt;"",COUNTIF(CareerLevels,$G369)=0),", a career level that is not on the ladder",""),3,200))</f>
        <v/>
      </c>
    </row>
    <row r="370" customFormat="false" ht="15" hidden="false" customHeight="false" outlineLevel="0" collapsed="false">
      <c r="A370" s="21"/>
      <c r="B370" s="21"/>
      <c r="C370" s="21"/>
      <c r="D370" s="21"/>
      <c r="E370" s="21"/>
      <c r="F370" s="21"/>
      <c r="G370" s="21"/>
      <c r="H370" s="21"/>
      <c r="I370" s="21"/>
      <c r="J370" s="22"/>
      <c r="K370" s="22"/>
      <c r="L370" s="22"/>
      <c r="M370" s="21"/>
      <c r="N370" s="21"/>
      <c r="O370" s="20" t="n">
        <f aca="false">IF($N370="Exit",N($J370),0)</f>
        <v>0</v>
      </c>
      <c r="P370" s="23" t="str">
        <f aca="false">IF($F370="","",MID(IF($G370="",", career level","")&amp;IF($I370="",", nationality mandate","")&amp;IF($N370="",", capacity direction","")&amp;IF(N($J370)&lt;=0,", approved HC","")&amp;IF(AND($G370&lt;&gt;"",COUNTIF(CareerLevels,$G370)=0),", a career level that is not on the ladder",""),3,200))</f>
        <v/>
      </c>
    </row>
    <row r="371" customFormat="false" ht="15" hidden="false" customHeight="false" outlineLevel="0" collapsed="false">
      <c r="A371" s="21"/>
      <c r="B371" s="21"/>
      <c r="C371" s="21"/>
      <c r="D371" s="21"/>
      <c r="E371" s="21"/>
      <c r="F371" s="21"/>
      <c r="G371" s="21"/>
      <c r="H371" s="21"/>
      <c r="I371" s="21"/>
      <c r="J371" s="22"/>
      <c r="K371" s="22"/>
      <c r="L371" s="22"/>
      <c r="M371" s="21"/>
      <c r="N371" s="21"/>
      <c r="O371" s="20" t="n">
        <f aca="false">IF($N371="Exit",N($J371),0)</f>
        <v>0</v>
      </c>
      <c r="P371" s="23" t="str">
        <f aca="false">IF($F371="","",MID(IF($G371="",", career level","")&amp;IF($I371="",", nationality mandate","")&amp;IF($N371="",", capacity direction","")&amp;IF(N($J371)&lt;=0,", approved HC","")&amp;IF(AND($G371&lt;&gt;"",COUNTIF(CareerLevels,$G371)=0),", a career level that is not on the ladder",""),3,200))</f>
        <v/>
      </c>
    </row>
    <row r="372" customFormat="false" ht="15" hidden="false" customHeight="false" outlineLevel="0" collapsed="false">
      <c r="A372" s="21"/>
      <c r="B372" s="21"/>
      <c r="C372" s="21"/>
      <c r="D372" s="21"/>
      <c r="E372" s="21"/>
      <c r="F372" s="21"/>
      <c r="G372" s="21"/>
      <c r="H372" s="21"/>
      <c r="I372" s="21"/>
      <c r="J372" s="22"/>
      <c r="K372" s="22"/>
      <c r="L372" s="22"/>
      <c r="M372" s="21"/>
      <c r="N372" s="21"/>
      <c r="O372" s="20" t="n">
        <f aca="false">IF($N372="Exit",N($J372),0)</f>
        <v>0</v>
      </c>
      <c r="P372" s="23" t="str">
        <f aca="false">IF($F372="","",MID(IF($G372="",", career level","")&amp;IF($I372="",", nationality mandate","")&amp;IF($N372="",", capacity direction","")&amp;IF(N($J372)&lt;=0,", approved HC","")&amp;IF(AND($G372&lt;&gt;"",COUNTIF(CareerLevels,$G372)=0),", a career level that is not on the ladder",""),3,200))</f>
        <v/>
      </c>
    </row>
    <row r="373" customFormat="false" ht="15" hidden="false" customHeight="false" outlineLevel="0" collapsed="false">
      <c r="A373" s="21"/>
      <c r="B373" s="21"/>
      <c r="C373" s="21"/>
      <c r="D373" s="21"/>
      <c r="E373" s="21"/>
      <c r="F373" s="21"/>
      <c r="G373" s="21"/>
      <c r="H373" s="21"/>
      <c r="I373" s="21"/>
      <c r="J373" s="22"/>
      <c r="K373" s="22"/>
      <c r="L373" s="22"/>
      <c r="M373" s="21"/>
      <c r="N373" s="21"/>
      <c r="O373" s="20" t="n">
        <f aca="false">IF($N373="Exit",N($J373),0)</f>
        <v>0</v>
      </c>
      <c r="P373" s="23" t="str">
        <f aca="false">IF($F373="","",MID(IF($G373="",", career level","")&amp;IF($I373="",", nationality mandate","")&amp;IF($N373="",", capacity direction","")&amp;IF(N($J373)&lt;=0,", approved HC","")&amp;IF(AND($G373&lt;&gt;"",COUNTIF(CareerLevels,$G373)=0),", a career level that is not on the ladder",""),3,200))</f>
        <v/>
      </c>
    </row>
    <row r="374" customFormat="false" ht="15" hidden="false" customHeight="false" outlineLevel="0" collapsed="false">
      <c r="A374" s="21"/>
      <c r="B374" s="21"/>
      <c r="C374" s="21"/>
      <c r="D374" s="21"/>
      <c r="E374" s="21"/>
      <c r="F374" s="21"/>
      <c r="G374" s="21"/>
      <c r="H374" s="21"/>
      <c r="I374" s="21"/>
      <c r="J374" s="22"/>
      <c r="K374" s="22"/>
      <c r="L374" s="22"/>
      <c r="M374" s="21"/>
      <c r="N374" s="21"/>
      <c r="O374" s="20" t="n">
        <f aca="false">IF($N374="Exit",N($J374),0)</f>
        <v>0</v>
      </c>
      <c r="P374" s="23" t="str">
        <f aca="false">IF($F374="","",MID(IF($G374="",", career level","")&amp;IF($I374="",", nationality mandate","")&amp;IF($N374="",", capacity direction","")&amp;IF(N($J374)&lt;=0,", approved HC","")&amp;IF(AND($G374&lt;&gt;"",COUNTIF(CareerLevels,$G374)=0),", a career level that is not on the ladder",""),3,200))</f>
        <v/>
      </c>
    </row>
    <row r="375" customFormat="false" ht="15" hidden="false" customHeight="false" outlineLevel="0" collapsed="false">
      <c r="A375" s="21"/>
      <c r="B375" s="21"/>
      <c r="C375" s="21"/>
      <c r="D375" s="21"/>
      <c r="E375" s="21"/>
      <c r="F375" s="21"/>
      <c r="G375" s="21"/>
      <c r="H375" s="21"/>
      <c r="I375" s="21"/>
      <c r="J375" s="22"/>
      <c r="K375" s="22"/>
      <c r="L375" s="22"/>
      <c r="M375" s="21"/>
      <c r="N375" s="21"/>
      <c r="O375" s="20" t="n">
        <f aca="false">IF($N375="Exit",N($J375),0)</f>
        <v>0</v>
      </c>
      <c r="P375" s="23" t="str">
        <f aca="false">IF($F375="","",MID(IF($G375="",", career level","")&amp;IF($I375="",", nationality mandate","")&amp;IF($N375="",", capacity direction","")&amp;IF(N($J375)&lt;=0,", approved HC","")&amp;IF(AND($G375&lt;&gt;"",COUNTIF(CareerLevels,$G375)=0),", a career level that is not on the ladder",""),3,200))</f>
        <v/>
      </c>
    </row>
    <row r="376" customFormat="false" ht="15" hidden="false" customHeight="false" outlineLevel="0" collapsed="false">
      <c r="A376" s="21"/>
      <c r="B376" s="21"/>
      <c r="C376" s="21"/>
      <c r="D376" s="21"/>
      <c r="E376" s="21"/>
      <c r="F376" s="21"/>
      <c r="G376" s="21"/>
      <c r="H376" s="21"/>
      <c r="I376" s="21"/>
      <c r="J376" s="22"/>
      <c r="K376" s="22"/>
      <c r="L376" s="22"/>
      <c r="M376" s="21"/>
      <c r="N376" s="21"/>
      <c r="O376" s="20" t="n">
        <f aca="false">IF($N376="Exit",N($J376),0)</f>
        <v>0</v>
      </c>
      <c r="P376" s="23" t="str">
        <f aca="false">IF($F376="","",MID(IF($G376="",", career level","")&amp;IF($I376="",", nationality mandate","")&amp;IF($N376="",", capacity direction","")&amp;IF(N($J376)&lt;=0,", approved HC","")&amp;IF(AND($G376&lt;&gt;"",COUNTIF(CareerLevels,$G376)=0),", a career level that is not on the ladder",""),3,200))</f>
        <v/>
      </c>
    </row>
    <row r="377" customFormat="false" ht="15" hidden="false" customHeight="false" outlineLevel="0" collapsed="false">
      <c r="A377" s="21"/>
      <c r="B377" s="21"/>
      <c r="C377" s="21"/>
      <c r="D377" s="21"/>
      <c r="E377" s="21"/>
      <c r="F377" s="21"/>
      <c r="G377" s="21"/>
      <c r="H377" s="21"/>
      <c r="I377" s="21"/>
      <c r="J377" s="22"/>
      <c r="K377" s="22"/>
      <c r="L377" s="22"/>
      <c r="M377" s="21"/>
      <c r="N377" s="21"/>
      <c r="O377" s="20" t="n">
        <f aca="false">IF($N377="Exit",N($J377),0)</f>
        <v>0</v>
      </c>
      <c r="P377" s="23" t="str">
        <f aca="false">IF($F377="","",MID(IF($G377="",", career level","")&amp;IF($I377="",", nationality mandate","")&amp;IF($N377="",", capacity direction","")&amp;IF(N($J377)&lt;=0,", approved HC","")&amp;IF(AND($G377&lt;&gt;"",COUNTIF(CareerLevels,$G377)=0),", a career level that is not on the ladder",""),3,200))</f>
        <v/>
      </c>
    </row>
    <row r="378" customFormat="false" ht="15" hidden="false" customHeight="false" outlineLevel="0" collapsed="false">
      <c r="A378" s="21"/>
      <c r="B378" s="21"/>
      <c r="C378" s="21"/>
      <c r="D378" s="21"/>
      <c r="E378" s="21"/>
      <c r="F378" s="21"/>
      <c r="G378" s="21"/>
      <c r="H378" s="21"/>
      <c r="I378" s="21"/>
      <c r="J378" s="22"/>
      <c r="K378" s="22"/>
      <c r="L378" s="22"/>
      <c r="M378" s="21"/>
      <c r="N378" s="21"/>
      <c r="O378" s="20" t="n">
        <f aca="false">IF($N378="Exit",N($J378),0)</f>
        <v>0</v>
      </c>
      <c r="P378" s="23" t="str">
        <f aca="false">IF($F378="","",MID(IF($G378="",", career level","")&amp;IF($I378="",", nationality mandate","")&amp;IF($N378="",", capacity direction","")&amp;IF(N($J378)&lt;=0,", approved HC","")&amp;IF(AND($G378&lt;&gt;"",COUNTIF(CareerLevels,$G378)=0),", a career level that is not on the ladder",""),3,200))</f>
        <v/>
      </c>
    </row>
    <row r="379" customFormat="false" ht="15" hidden="false" customHeight="false" outlineLevel="0" collapsed="false">
      <c r="A379" s="21"/>
      <c r="B379" s="21"/>
      <c r="C379" s="21"/>
      <c r="D379" s="21"/>
      <c r="E379" s="21"/>
      <c r="F379" s="21"/>
      <c r="G379" s="21"/>
      <c r="H379" s="21"/>
      <c r="I379" s="21"/>
      <c r="J379" s="22"/>
      <c r="K379" s="22"/>
      <c r="L379" s="22"/>
      <c r="M379" s="21"/>
      <c r="N379" s="21"/>
      <c r="O379" s="20" t="n">
        <f aca="false">IF($N379="Exit",N($J379),0)</f>
        <v>0</v>
      </c>
      <c r="P379" s="23" t="str">
        <f aca="false">IF($F379="","",MID(IF($G379="",", career level","")&amp;IF($I379="",", nationality mandate","")&amp;IF($N379="",", capacity direction","")&amp;IF(N($J379)&lt;=0,", approved HC","")&amp;IF(AND($G379&lt;&gt;"",COUNTIF(CareerLevels,$G379)=0),", a career level that is not on the ladder",""),3,200))</f>
        <v/>
      </c>
    </row>
    <row r="380" customFormat="false" ht="15" hidden="false" customHeight="false" outlineLevel="0" collapsed="false">
      <c r="A380" s="21"/>
      <c r="B380" s="21"/>
      <c r="C380" s="21"/>
      <c r="D380" s="21"/>
      <c r="E380" s="21"/>
      <c r="F380" s="21"/>
      <c r="G380" s="21"/>
      <c r="H380" s="21"/>
      <c r="I380" s="21"/>
      <c r="J380" s="22"/>
      <c r="K380" s="22"/>
      <c r="L380" s="22"/>
      <c r="M380" s="21"/>
      <c r="N380" s="21"/>
      <c r="O380" s="20" t="n">
        <f aca="false">IF($N380="Exit",N($J380),0)</f>
        <v>0</v>
      </c>
      <c r="P380" s="23" t="str">
        <f aca="false">IF($F380="","",MID(IF($G380="",", career level","")&amp;IF($I380="",", nationality mandate","")&amp;IF($N380="",", capacity direction","")&amp;IF(N($J380)&lt;=0,", approved HC","")&amp;IF(AND($G380&lt;&gt;"",COUNTIF(CareerLevels,$G380)=0),", a career level that is not on the ladder",""),3,200))</f>
        <v/>
      </c>
    </row>
    <row r="381" customFormat="false" ht="15" hidden="false" customHeight="false" outlineLevel="0" collapsed="false">
      <c r="A381" s="21"/>
      <c r="B381" s="21"/>
      <c r="C381" s="21"/>
      <c r="D381" s="21"/>
      <c r="E381" s="21"/>
      <c r="F381" s="21"/>
      <c r="G381" s="21"/>
      <c r="H381" s="21"/>
      <c r="I381" s="21"/>
      <c r="J381" s="22"/>
      <c r="K381" s="22"/>
      <c r="L381" s="22"/>
      <c r="M381" s="21"/>
      <c r="N381" s="21"/>
      <c r="O381" s="20" t="n">
        <f aca="false">IF($N381="Exit",N($J381),0)</f>
        <v>0</v>
      </c>
      <c r="P381" s="23" t="str">
        <f aca="false">IF($F381="","",MID(IF($G381="",", career level","")&amp;IF($I381="",", nationality mandate","")&amp;IF($N381="",", capacity direction","")&amp;IF(N($J381)&lt;=0,", approved HC","")&amp;IF(AND($G381&lt;&gt;"",COUNTIF(CareerLevels,$G381)=0),", a career level that is not on the ladder",""),3,200))</f>
        <v/>
      </c>
    </row>
    <row r="382" customFormat="false" ht="15" hidden="false" customHeight="false" outlineLevel="0" collapsed="false">
      <c r="A382" s="21"/>
      <c r="B382" s="21"/>
      <c r="C382" s="21"/>
      <c r="D382" s="21"/>
      <c r="E382" s="21"/>
      <c r="F382" s="21"/>
      <c r="G382" s="21"/>
      <c r="H382" s="21"/>
      <c r="I382" s="21"/>
      <c r="J382" s="22"/>
      <c r="K382" s="22"/>
      <c r="L382" s="22"/>
      <c r="M382" s="21"/>
      <c r="N382" s="21"/>
      <c r="O382" s="20" t="n">
        <f aca="false">IF($N382="Exit",N($J382),0)</f>
        <v>0</v>
      </c>
      <c r="P382" s="23" t="str">
        <f aca="false">IF($F382="","",MID(IF($G382="",", career level","")&amp;IF($I382="",", nationality mandate","")&amp;IF($N382="",", capacity direction","")&amp;IF(N($J382)&lt;=0,", approved HC","")&amp;IF(AND($G382&lt;&gt;"",COUNTIF(CareerLevels,$G382)=0),", a career level that is not on the ladder",""),3,200))</f>
        <v/>
      </c>
    </row>
    <row r="383" customFormat="false" ht="15" hidden="false" customHeight="false" outlineLevel="0" collapsed="false">
      <c r="A383" s="21"/>
      <c r="B383" s="21"/>
      <c r="C383" s="21"/>
      <c r="D383" s="21"/>
      <c r="E383" s="21"/>
      <c r="F383" s="21"/>
      <c r="G383" s="21"/>
      <c r="H383" s="21"/>
      <c r="I383" s="21"/>
      <c r="J383" s="22"/>
      <c r="K383" s="22"/>
      <c r="L383" s="22"/>
      <c r="M383" s="21"/>
      <c r="N383" s="21"/>
      <c r="O383" s="20" t="n">
        <f aca="false">IF($N383="Exit",N($J383),0)</f>
        <v>0</v>
      </c>
      <c r="P383" s="23" t="str">
        <f aca="false">IF($F383="","",MID(IF($G383="",", career level","")&amp;IF($I383="",", nationality mandate","")&amp;IF($N383="",", capacity direction","")&amp;IF(N($J383)&lt;=0,", approved HC","")&amp;IF(AND($G383&lt;&gt;"",COUNTIF(CareerLevels,$G383)=0),", a career level that is not on the ladder",""),3,200))</f>
        <v/>
      </c>
    </row>
    <row r="384" customFormat="false" ht="15" hidden="false" customHeight="false" outlineLevel="0" collapsed="false">
      <c r="A384" s="21"/>
      <c r="B384" s="21"/>
      <c r="C384" s="21"/>
      <c r="D384" s="21"/>
      <c r="E384" s="21"/>
      <c r="F384" s="21"/>
      <c r="G384" s="21"/>
      <c r="H384" s="21"/>
      <c r="I384" s="21"/>
      <c r="J384" s="22"/>
      <c r="K384" s="22"/>
      <c r="L384" s="22"/>
      <c r="M384" s="21"/>
      <c r="N384" s="21"/>
      <c r="O384" s="20" t="n">
        <f aca="false">IF($N384="Exit",N($J384),0)</f>
        <v>0</v>
      </c>
      <c r="P384" s="23" t="str">
        <f aca="false">IF($F384="","",MID(IF($G384="",", career level","")&amp;IF($I384="",", nationality mandate","")&amp;IF($N384="",", capacity direction","")&amp;IF(N($J384)&lt;=0,", approved HC","")&amp;IF(AND($G384&lt;&gt;"",COUNTIF(CareerLevels,$G384)=0),", a career level that is not on the ladder",""),3,200))</f>
        <v/>
      </c>
    </row>
    <row r="385" customFormat="false" ht="15" hidden="false" customHeight="false" outlineLevel="0" collapsed="false">
      <c r="A385" s="21"/>
      <c r="B385" s="21"/>
      <c r="C385" s="21"/>
      <c r="D385" s="21"/>
      <c r="E385" s="21"/>
      <c r="F385" s="21"/>
      <c r="G385" s="21"/>
      <c r="H385" s="21"/>
      <c r="I385" s="21"/>
      <c r="J385" s="22"/>
      <c r="K385" s="22"/>
      <c r="L385" s="22"/>
      <c r="M385" s="21"/>
      <c r="N385" s="21"/>
      <c r="O385" s="20" t="n">
        <f aca="false">IF($N385="Exit",N($J385),0)</f>
        <v>0</v>
      </c>
      <c r="P385" s="23" t="str">
        <f aca="false">IF($F385="","",MID(IF($G385="",", career level","")&amp;IF($I385="",", nationality mandate","")&amp;IF($N385="",", capacity direction","")&amp;IF(N($J385)&lt;=0,", approved HC","")&amp;IF(AND($G385&lt;&gt;"",COUNTIF(CareerLevels,$G385)=0),", a career level that is not on the ladder",""),3,200))</f>
        <v/>
      </c>
    </row>
    <row r="386" customFormat="false" ht="15" hidden="false" customHeight="false" outlineLevel="0" collapsed="false">
      <c r="A386" s="21"/>
      <c r="B386" s="21"/>
      <c r="C386" s="21"/>
      <c r="D386" s="21"/>
      <c r="E386" s="21"/>
      <c r="F386" s="21"/>
      <c r="G386" s="21"/>
      <c r="H386" s="21"/>
      <c r="I386" s="21"/>
      <c r="J386" s="22"/>
      <c r="K386" s="22"/>
      <c r="L386" s="22"/>
      <c r="M386" s="21"/>
      <c r="N386" s="21"/>
      <c r="O386" s="20" t="n">
        <f aca="false">IF($N386="Exit",N($J386),0)</f>
        <v>0</v>
      </c>
      <c r="P386" s="23" t="str">
        <f aca="false">IF($F386="","",MID(IF($G386="",", career level","")&amp;IF($I386="",", nationality mandate","")&amp;IF($N386="",", capacity direction","")&amp;IF(N($J386)&lt;=0,", approved HC","")&amp;IF(AND($G386&lt;&gt;"",COUNTIF(CareerLevels,$G386)=0),", a career level that is not on the ladder",""),3,200))</f>
        <v/>
      </c>
    </row>
    <row r="387" customFormat="false" ht="15" hidden="false" customHeight="false" outlineLevel="0" collapsed="false">
      <c r="A387" s="21"/>
      <c r="B387" s="21"/>
      <c r="C387" s="21"/>
      <c r="D387" s="21"/>
      <c r="E387" s="21"/>
      <c r="F387" s="21"/>
      <c r="G387" s="21"/>
      <c r="H387" s="21"/>
      <c r="I387" s="21"/>
      <c r="J387" s="22"/>
      <c r="K387" s="22"/>
      <c r="L387" s="22"/>
      <c r="M387" s="21"/>
      <c r="N387" s="21"/>
      <c r="O387" s="20" t="n">
        <f aca="false">IF($N387="Exit",N($J387),0)</f>
        <v>0</v>
      </c>
      <c r="P387" s="23" t="str">
        <f aca="false">IF($F387="","",MID(IF($G387="",", career level","")&amp;IF($I387="",", nationality mandate","")&amp;IF($N387="",", capacity direction","")&amp;IF(N($J387)&lt;=0,", approved HC","")&amp;IF(AND($G387&lt;&gt;"",COUNTIF(CareerLevels,$G387)=0),", a career level that is not on the ladder",""),3,200))</f>
        <v/>
      </c>
    </row>
    <row r="388" customFormat="false" ht="15" hidden="false" customHeight="false" outlineLevel="0" collapsed="false">
      <c r="A388" s="21"/>
      <c r="B388" s="21"/>
      <c r="C388" s="21"/>
      <c r="D388" s="21"/>
      <c r="E388" s="21"/>
      <c r="F388" s="21"/>
      <c r="G388" s="21"/>
      <c r="H388" s="21"/>
      <c r="I388" s="21"/>
      <c r="J388" s="22"/>
      <c r="K388" s="22"/>
      <c r="L388" s="22"/>
      <c r="M388" s="21"/>
      <c r="N388" s="21"/>
      <c r="O388" s="20" t="n">
        <f aca="false">IF($N388="Exit",N($J388),0)</f>
        <v>0</v>
      </c>
      <c r="P388" s="23" t="str">
        <f aca="false">IF($F388="","",MID(IF($G388="",", career level","")&amp;IF($I388="",", nationality mandate","")&amp;IF($N388="",", capacity direction","")&amp;IF(N($J388)&lt;=0,", approved HC","")&amp;IF(AND($G388&lt;&gt;"",COUNTIF(CareerLevels,$G388)=0),", a career level that is not on the ladder",""),3,200))</f>
        <v/>
      </c>
    </row>
    <row r="389" customFormat="false" ht="15" hidden="false" customHeight="false" outlineLevel="0" collapsed="false">
      <c r="A389" s="21"/>
      <c r="B389" s="21"/>
      <c r="C389" s="21"/>
      <c r="D389" s="21"/>
      <c r="E389" s="21"/>
      <c r="F389" s="21"/>
      <c r="G389" s="21"/>
      <c r="H389" s="21"/>
      <c r="I389" s="21"/>
      <c r="J389" s="22"/>
      <c r="K389" s="22"/>
      <c r="L389" s="22"/>
      <c r="M389" s="21"/>
      <c r="N389" s="21"/>
      <c r="O389" s="20" t="n">
        <f aca="false">IF($N389="Exit",N($J389),0)</f>
        <v>0</v>
      </c>
      <c r="P389" s="23" t="str">
        <f aca="false">IF($F389="","",MID(IF($G389="",", career level","")&amp;IF($I389="",", nationality mandate","")&amp;IF($N389="",", capacity direction","")&amp;IF(N($J389)&lt;=0,", approved HC","")&amp;IF(AND($G389&lt;&gt;"",COUNTIF(CareerLevels,$G389)=0),", a career level that is not on the ladder",""),3,200))</f>
        <v/>
      </c>
    </row>
    <row r="390" customFormat="false" ht="15" hidden="false" customHeight="false" outlineLevel="0" collapsed="false">
      <c r="A390" s="21"/>
      <c r="B390" s="21"/>
      <c r="C390" s="21"/>
      <c r="D390" s="21"/>
      <c r="E390" s="21"/>
      <c r="F390" s="21"/>
      <c r="G390" s="21"/>
      <c r="H390" s="21"/>
      <c r="I390" s="21"/>
      <c r="J390" s="22"/>
      <c r="K390" s="22"/>
      <c r="L390" s="22"/>
      <c r="M390" s="21"/>
      <c r="N390" s="21"/>
      <c r="O390" s="20" t="n">
        <f aca="false">IF($N390="Exit",N($J390),0)</f>
        <v>0</v>
      </c>
      <c r="P390" s="23" t="str">
        <f aca="false">IF($F390="","",MID(IF($G390="",", career level","")&amp;IF($I390="",", nationality mandate","")&amp;IF($N390="",", capacity direction","")&amp;IF(N($J390)&lt;=0,", approved HC","")&amp;IF(AND($G390&lt;&gt;"",COUNTIF(CareerLevels,$G390)=0),", a career level that is not on the ladder",""),3,200))</f>
        <v/>
      </c>
    </row>
    <row r="391" customFormat="false" ht="15" hidden="false" customHeight="false" outlineLevel="0" collapsed="false">
      <c r="A391" s="21"/>
      <c r="B391" s="21"/>
      <c r="C391" s="21"/>
      <c r="D391" s="21"/>
      <c r="E391" s="21"/>
      <c r="F391" s="21"/>
      <c r="G391" s="21"/>
      <c r="H391" s="21"/>
      <c r="I391" s="21"/>
      <c r="J391" s="22"/>
      <c r="K391" s="22"/>
      <c r="L391" s="22"/>
      <c r="M391" s="21"/>
      <c r="N391" s="21"/>
      <c r="O391" s="20" t="n">
        <f aca="false">IF($N391="Exit",N($J391),0)</f>
        <v>0</v>
      </c>
      <c r="P391" s="23" t="str">
        <f aca="false">IF($F391="","",MID(IF($G391="",", career level","")&amp;IF($I391="",", nationality mandate","")&amp;IF($N391="",", capacity direction","")&amp;IF(N($J391)&lt;=0,", approved HC","")&amp;IF(AND($G391&lt;&gt;"",COUNTIF(CareerLevels,$G391)=0),", a career level that is not on the ladder",""),3,200))</f>
        <v/>
      </c>
    </row>
    <row r="392" customFormat="false" ht="15" hidden="false" customHeight="false" outlineLevel="0" collapsed="false">
      <c r="A392" s="21"/>
      <c r="B392" s="21"/>
      <c r="C392" s="21"/>
      <c r="D392" s="21"/>
      <c r="E392" s="21"/>
      <c r="F392" s="21"/>
      <c r="G392" s="21"/>
      <c r="H392" s="21"/>
      <c r="I392" s="21"/>
      <c r="J392" s="22"/>
      <c r="K392" s="22"/>
      <c r="L392" s="22"/>
      <c r="M392" s="21"/>
      <c r="N392" s="21"/>
      <c r="O392" s="20" t="n">
        <f aca="false">IF($N392="Exit",N($J392),0)</f>
        <v>0</v>
      </c>
      <c r="P392" s="23" t="str">
        <f aca="false">IF($F392="","",MID(IF($G392="",", career level","")&amp;IF($I392="",", nationality mandate","")&amp;IF($N392="",", capacity direction","")&amp;IF(N($J392)&lt;=0,", approved HC","")&amp;IF(AND($G392&lt;&gt;"",COUNTIF(CareerLevels,$G392)=0),", a career level that is not on the ladder",""),3,200))</f>
        <v/>
      </c>
    </row>
    <row r="393" customFormat="false" ht="15" hidden="false" customHeight="false" outlineLevel="0" collapsed="false">
      <c r="A393" s="21"/>
      <c r="B393" s="21"/>
      <c r="C393" s="21"/>
      <c r="D393" s="21"/>
      <c r="E393" s="21"/>
      <c r="F393" s="21"/>
      <c r="G393" s="21"/>
      <c r="H393" s="21"/>
      <c r="I393" s="21"/>
      <c r="J393" s="22"/>
      <c r="K393" s="22"/>
      <c r="L393" s="22"/>
      <c r="M393" s="21"/>
      <c r="N393" s="21"/>
      <c r="O393" s="20" t="n">
        <f aca="false">IF($N393="Exit",N($J393),0)</f>
        <v>0</v>
      </c>
      <c r="P393" s="23" t="str">
        <f aca="false">IF($F393="","",MID(IF($G393="",", career level","")&amp;IF($I393="",", nationality mandate","")&amp;IF($N393="",", capacity direction","")&amp;IF(N($J393)&lt;=0,", approved HC","")&amp;IF(AND($G393&lt;&gt;"",COUNTIF(CareerLevels,$G393)=0),", a career level that is not on the ladder",""),3,200))</f>
        <v/>
      </c>
    </row>
    <row r="394" customFormat="false" ht="15" hidden="false" customHeight="false" outlineLevel="0" collapsed="false">
      <c r="A394" s="21"/>
      <c r="B394" s="21"/>
      <c r="C394" s="21"/>
      <c r="D394" s="21"/>
      <c r="E394" s="21"/>
      <c r="F394" s="21"/>
      <c r="G394" s="21"/>
      <c r="H394" s="21"/>
      <c r="I394" s="21"/>
      <c r="J394" s="22"/>
      <c r="K394" s="22"/>
      <c r="L394" s="22"/>
      <c r="M394" s="21"/>
      <c r="N394" s="21"/>
      <c r="O394" s="20" t="n">
        <f aca="false">IF($N394="Exit",N($J394),0)</f>
        <v>0</v>
      </c>
      <c r="P394" s="23" t="str">
        <f aca="false">IF($F394="","",MID(IF($G394="",", career level","")&amp;IF($I394="",", nationality mandate","")&amp;IF($N394="",", capacity direction","")&amp;IF(N($J394)&lt;=0,", approved HC","")&amp;IF(AND($G394&lt;&gt;"",COUNTIF(CareerLevels,$G394)=0),", a career level that is not on the ladder",""),3,200))</f>
        <v/>
      </c>
    </row>
    <row r="395" customFormat="false" ht="15" hidden="false" customHeight="false" outlineLevel="0" collapsed="false">
      <c r="A395" s="21"/>
      <c r="B395" s="21"/>
      <c r="C395" s="21"/>
      <c r="D395" s="21"/>
      <c r="E395" s="21"/>
      <c r="F395" s="21"/>
      <c r="G395" s="21"/>
      <c r="H395" s="21"/>
      <c r="I395" s="21"/>
      <c r="J395" s="22"/>
      <c r="K395" s="22"/>
      <c r="L395" s="22"/>
      <c r="M395" s="21"/>
      <c r="N395" s="21"/>
      <c r="O395" s="20" t="n">
        <f aca="false">IF($N395="Exit",N($J395),0)</f>
        <v>0</v>
      </c>
      <c r="P395" s="23" t="str">
        <f aca="false">IF($F395="","",MID(IF($G395="",", career level","")&amp;IF($I395="",", nationality mandate","")&amp;IF($N395="",", capacity direction","")&amp;IF(N($J395)&lt;=0,", approved HC","")&amp;IF(AND($G395&lt;&gt;"",COUNTIF(CareerLevels,$G395)=0),", a career level that is not on the ladder",""),3,200))</f>
        <v/>
      </c>
    </row>
    <row r="396" customFormat="false" ht="15" hidden="false" customHeight="false" outlineLevel="0" collapsed="false">
      <c r="A396" s="21"/>
      <c r="B396" s="21"/>
      <c r="C396" s="21"/>
      <c r="D396" s="21"/>
      <c r="E396" s="21"/>
      <c r="F396" s="21"/>
      <c r="G396" s="21"/>
      <c r="H396" s="21"/>
      <c r="I396" s="21"/>
      <c r="J396" s="22"/>
      <c r="K396" s="22"/>
      <c r="L396" s="22"/>
      <c r="M396" s="21"/>
      <c r="N396" s="21"/>
      <c r="O396" s="20" t="n">
        <f aca="false">IF($N396="Exit",N($J396),0)</f>
        <v>0</v>
      </c>
      <c r="P396" s="23" t="str">
        <f aca="false">IF($F396="","",MID(IF($G396="",", career level","")&amp;IF($I396="",", nationality mandate","")&amp;IF($N396="",", capacity direction","")&amp;IF(N($J396)&lt;=0,", approved HC","")&amp;IF(AND($G396&lt;&gt;"",COUNTIF(CareerLevels,$G396)=0),", a career level that is not on the ladder",""),3,200))</f>
        <v/>
      </c>
    </row>
    <row r="397" customFormat="false" ht="15" hidden="false" customHeight="false" outlineLevel="0" collapsed="false">
      <c r="A397" s="21"/>
      <c r="B397" s="21"/>
      <c r="C397" s="21"/>
      <c r="D397" s="21"/>
      <c r="E397" s="21"/>
      <c r="F397" s="21"/>
      <c r="G397" s="21"/>
      <c r="H397" s="21"/>
      <c r="I397" s="21"/>
      <c r="J397" s="22"/>
      <c r="K397" s="22"/>
      <c r="L397" s="22"/>
      <c r="M397" s="21"/>
      <c r="N397" s="21"/>
      <c r="O397" s="20" t="n">
        <f aca="false">IF($N397="Exit",N($J397),0)</f>
        <v>0</v>
      </c>
      <c r="P397" s="23" t="str">
        <f aca="false">IF($F397="","",MID(IF($G397="",", career level","")&amp;IF($I397="",", nationality mandate","")&amp;IF($N397="",", capacity direction","")&amp;IF(N($J397)&lt;=0,", approved HC","")&amp;IF(AND($G397&lt;&gt;"",COUNTIF(CareerLevels,$G397)=0),", a career level that is not on the ladder",""),3,200))</f>
        <v/>
      </c>
    </row>
    <row r="398" customFormat="false" ht="15" hidden="false" customHeight="false" outlineLevel="0" collapsed="false">
      <c r="A398" s="21"/>
      <c r="B398" s="21"/>
      <c r="C398" s="21"/>
      <c r="D398" s="21"/>
      <c r="E398" s="21"/>
      <c r="F398" s="21"/>
      <c r="G398" s="21"/>
      <c r="H398" s="21"/>
      <c r="I398" s="21"/>
      <c r="J398" s="22"/>
      <c r="K398" s="22"/>
      <c r="L398" s="22"/>
      <c r="M398" s="21"/>
      <c r="N398" s="21"/>
      <c r="O398" s="20" t="n">
        <f aca="false">IF($N398="Exit",N($J398),0)</f>
        <v>0</v>
      </c>
      <c r="P398" s="23" t="str">
        <f aca="false">IF($F398="","",MID(IF($G398="",", career level","")&amp;IF($I398="",", nationality mandate","")&amp;IF($N398="",", capacity direction","")&amp;IF(N($J398)&lt;=0,", approved HC","")&amp;IF(AND($G398&lt;&gt;"",COUNTIF(CareerLevels,$G398)=0),", a career level that is not on the ladder",""),3,200))</f>
        <v/>
      </c>
    </row>
    <row r="399" customFormat="false" ht="15" hidden="false" customHeight="false" outlineLevel="0" collapsed="false">
      <c r="A399" s="21"/>
      <c r="B399" s="21"/>
      <c r="C399" s="21"/>
      <c r="D399" s="21"/>
      <c r="E399" s="21"/>
      <c r="F399" s="21"/>
      <c r="G399" s="21"/>
      <c r="H399" s="21"/>
      <c r="I399" s="21"/>
      <c r="J399" s="22"/>
      <c r="K399" s="22"/>
      <c r="L399" s="22"/>
      <c r="M399" s="21"/>
      <c r="N399" s="21"/>
      <c r="O399" s="20" t="n">
        <f aca="false">IF($N399="Exit",N($J399),0)</f>
        <v>0</v>
      </c>
      <c r="P399" s="23" t="str">
        <f aca="false">IF($F399="","",MID(IF($G399="",", career level","")&amp;IF($I399="",", nationality mandate","")&amp;IF($N399="",", capacity direction","")&amp;IF(N($J399)&lt;=0,", approved HC","")&amp;IF(AND($G399&lt;&gt;"",COUNTIF(CareerLevels,$G399)=0),", a career level that is not on the ladder",""),3,200))</f>
        <v/>
      </c>
    </row>
    <row r="400" customFormat="false" ht="15" hidden="false" customHeight="false" outlineLevel="0" collapsed="false">
      <c r="A400" s="21"/>
      <c r="B400" s="21"/>
      <c r="C400" s="21"/>
      <c r="D400" s="21"/>
      <c r="E400" s="21"/>
      <c r="F400" s="21"/>
      <c r="G400" s="21"/>
      <c r="H400" s="21"/>
      <c r="I400" s="21"/>
      <c r="J400" s="22"/>
      <c r="K400" s="22"/>
      <c r="L400" s="22"/>
      <c r="M400" s="21"/>
      <c r="N400" s="21"/>
      <c r="O400" s="20" t="n">
        <f aca="false">IF($N400="Exit",N($J400),0)</f>
        <v>0</v>
      </c>
      <c r="P400" s="23" t="str">
        <f aca="false">IF($F400="","",MID(IF($G400="",", career level","")&amp;IF($I400="",", nationality mandate","")&amp;IF($N400="",", capacity direction","")&amp;IF(N($J400)&lt;=0,", approved HC","")&amp;IF(AND($G400&lt;&gt;"",COUNTIF(CareerLevels,$G400)=0),", a career level that is not on the ladder",""),3,200))</f>
        <v/>
      </c>
    </row>
    <row r="401" customFormat="false" ht="15" hidden="false" customHeight="false" outlineLevel="0" collapsed="false">
      <c r="A401" s="21"/>
      <c r="B401" s="21"/>
      <c r="C401" s="21"/>
      <c r="D401" s="21"/>
      <c r="E401" s="21"/>
      <c r="F401" s="21"/>
      <c r="G401" s="21"/>
      <c r="H401" s="21"/>
      <c r="I401" s="21"/>
      <c r="J401" s="22"/>
      <c r="K401" s="22"/>
      <c r="L401" s="22"/>
      <c r="M401" s="21"/>
      <c r="N401" s="21"/>
      <c r="O401" s="20" t="n">
        <f aca="false">IF($N401="Exit",N($J401),0)</f>
        <v>0</v>
      </c>
      <c r="P401" s="23" t="str">
        <f aca="false">IF($F401="","",MID(IF($G401="",", career level","")&amp;IF($I401="",", nationality mandate","")&amp;IF($N401="",", capacity direction","")&amp;IF(N($J401)&lt;=0,", approved HC","")&amp;IF(AND($G401&lt;&gt;"",COUNTIF(CareerLevels,$G401)=0),", a career level that is not on the ladder",""),3,200))</f>
        <v/>
      </c>
    </row>
    <row r="402" customFormat="false" ht="15" hidden="false" customHeight="false" outlineLevel="0" collapsed="false">
      <c r="A402" s="21"/>
      <c r="B402" s="21"/>
      <c r="C402" s="21"/>
      <c r="D402" s="21"/>
      <c r="E402" s="21"/>
      <c r="F402" s="21"/>
      <c r="G402" s="21"/>
      <c r="H402" s="21"/>
      <c r="I402" s="21"/>
      <c r="J402" s="22"/>
      <c r="K402" s="22"/>
      <c r="L402" s="22"/>
      <c r="M402" s="21"/>
      <c r="N402" s="21"/>
      <c r="O402" s="20" t="n">
        <f aca="false">IF($N402="Exit",N($J402),0)</f>
        <v>0</v>
      </c>
      <c r="P402" s="23" t="str">
        <f aca="false">IF($F402="","",MID(IF($G402="",", career level","")&amp;IF($I402="",", nationality mandate","")&amp;IF($N402="",", capacity direction","")&amp;IF(N($J402)&lt;=0,", approved HC","")&amp;IF(AND($G402&lt;&gt;"",COUNTIF(CareerLevels,$G402)=0),", a career level that is not on the ladder",""),3,200))</f>
        <v/>
      </c>
    </row>
    <row r="403" customFormat="false" ht="15" hidden="false" customHeight="false" outlineLevel="0" collapsed="false">
      <c r="A403" s="21"/>
      <c r="B403" s="21"/>
      <c r="C403" s="21"/>
      <c r="D403" s="21"/>
      <c r="E403" s="21"/>
      <c r="F403" s="21"/>
      <c r="G403" s="21"/>
      <c r="H403" s="21"/>
      <c r="I403" s="21"/>
      <c r="J403" s="22"/>
      <c r="K403" s="22"/>
      <c r="L403" s="22"/>
      <c r="M403" s="21"/>
      <c r="N403" s="21"/>
      <c r="O403" s="20" t="n">
        <f aca="false">IF($N403="Exit",N($J403),0)</f>
        <v>0</v>
      </c>
      <c r="P403" s="23" t="str">
        <f aca="false">IF($F403="","",MID(IF($G403="",", career level","")&amp;IF($I403="",", nationality mandate","")&amp;IF($N403="",", capacity direction","")&amp;IF(N($J403)&lt;=0,", approved HC","")&amp;IF(AND($G403&lt;&gt;"",COUNTIF(CareerLevels,$G403)=0),", a career level that is not on the ladder",""),3,200))</f>
        <v/>
      </c>
    </row>
    <row r="404" customFormat="false" ht="15" hidden="false" customHeight="false" outlineLevel="0" collapsed="false">
      <c r="A404" s="21"/>
      <c r="B404" s="21"/>
      <c r="C404" s="21"/>
      <c r="D404" s="21"/>
      <c r="E404" s="21"/>
      <c r="F404" s="21"/>
      <c r="G404" s="21"/>
      <c r="H404" s="21"/>
      <c r="I404" s="21"/>
      <c r="J404" s="22"/>
      <c r="K404" s="22"/>
      <c r="L404" s="22"/>
      <c r="M404" s="21"/>
      <c r="N404" s="21"/>
      <c r="O404" s="20" t="n">
        <f aca="false">IF($N404="Exit",N($J404),0)</f>
        <v>0</v>
      </c>
      <c r="P404" s="23" t="str">
        <f aca="false">IF($F404="","",MID(IF($G404="",", career level","")&amp;IF($I404="",", nationality mandate","")&amp;IF($N404="",", capacity direction","")&amp;IF(N($J404)&lt;=0,", approved HC","")&amp;IF(AND($G404&lt;&gt;"",COUNTIF(CareerLevels,$G404)=0),", a career level that is not on the ladder",""),3,200))</f>
        <v/>
      </c>
    </row>
    <row r="405" customFormat="false" ht="15" hidden="false" customHeight="false" outlineLevel="0" collapsed="false">
      <c r="A405" s="21"/>
      <c r="B405" s="21"/>
      <c r="C405" s="21"/>
      <c r="D405" s="21"/>
      <c r="E405" s="21"/>
      <c r="F405" s="21"/>
      <c r="G405" s="21"/>
      <c r="H405" s="21"/>
      <c r="I405" s="21"/>
      <c r="J405" s="22"/>
      <c r="K405" s="22"/>
      <c r="L405" s="22"/>
      <c r="M405" s="21"/>
      <c r="N405" s="21"/>
      <c r="O405" s="20" t="n">
        <f aca="false">IF($N405="Exit",N($J405),0)</f>
        <v>0</v>
      </c>
      <c r="P405" s="23" t="str">
        <f aca="false">IF($F405="","",MID(IF($G405="",", career level","")&amp;IF($I405="",", nationality mandate","")&amp;IF($N405="",", capacity direction","")&amp;IF(N($J405)&lt;=0,", approved HC","")&amp;IF(AND($G405&lt;&gt;"",COUNTIF(CareerLevels,$G405)=0),", a career level that is not on the ladder",""),3,200))</f>
        <v/>
      </c>
    </row>
    <row r="406" customFormat="false" ht="15" hidden="false" customHeight="false" outlineLevel="0" collapsed="false">
      <c r="A406" s="21"/>
      <c r="B406" s="21"/>
      <c r="C406" s="21"/>
      <c r="D406" s="21"/>
      <c r="E406" s="21"/>
      <c r="F406" s="21"/>
      <c r="G406" s="21"/>
      <c r="H406" s="21"/>
      <c r="I406" s="21"/>
      <c r="J406" s="22"/>
      <c r="K406" s="22"/>
      <c r="L406" s="22"/>
      <c r="M406" s="21"/>
      <c r="N406" s="21"/>
      <c r="O406" s="20" t="n">
        <f aca="false">IF($N406="Exit",N($J406),0)</f>
        <v>0</v>
      </c>
      <c r="P406" s="23" t="str">
        <f aca="false">IF($F406="","",MID(IF($G406="",", career level","")&amp;IF($I406="",", nationality mandate","")&amp;IF($N406="",", capacity direction","")&amp;IF(N($J406)&lt;=0,", approved HC","")&amp;IF(AND($G406&lt;&gt;"",COUNTIF(CareerLevels,$G406)=0),", a career level that is not on the ladder",""),3,200))</f>
        <v/>
      </c>
    </row>
    <row r="407" customFormat="false" ht="15" hidden="false" customHeight="false" outlineLevel="0" collapsed="false">
      <c r="A407" s="21"/>
      <c r="B407" s="21"/>
      <c r="C407" s="21"/>
      <c r="D407" s="21"/>
      <c r="E407" s="21"/>
      <c r="F407" s="21"/>
      <c r="G407" s="21"/>
      <c r="H407" s="21"/>
      <c r="I407" s="21"/>
      <c r="J407" s="22"/>
      <c r="K407" s="22"/>
      <c r="L407" s="22"/>
      <c r="M407" s="21"/>
      <c r="N407" s="21"/>
      <c r="O407" s="20" t="n">
        <f aca="false">IF($N407="Exit",N($J407),0)</f>
        <v>0</v>
      </c>
      <c r="P407" s="23" t="str">
        <f aca="false">IF($F407="","",MID(IF($G407="",", career level","")&amp;IF($I407="",", nationality mandate","")&amp;IF($N407="",", capacity direction","")&amp;IF(N($J407)&lt;=0,", approved HC","")&amp;IF(AND($G407&lt;&gt;"",COUNTIF(CareerLevels,$G407)=0),", a career level that is not on the ladder",""),3,200))</f>
        <v/>
      </c>
    </row>
  </sheetData>
  <sheetProtection sheet="true" sort="false" autoFilter="false"/>
  <autoFilter ref="A5:P407"/>
  <mergeCells count="1">
    <mergeCell ref="A2:J2"/>
  </mergeCells>
  <conditionalFormatting sqref="A6:P407">
    <cfRule type="expression" priority="2" aboveAverage="0" equalAverage="0" bottom="0" percent="0" rank="0" text="" dxfId="11">
      <formula>$N6="Exit"</formula>
    </cfRule>
  </conditionalFormatting>
  <conditionalFormatting sqref="P6:P407">
    <cfRule type="expression" priority="3" aboveAverage="0" equalAverage="0" bottom="0" percent="0" rank="0" text="" dxfId="12">
      <formula>$P6&lt;&gt;""</formula>
    </cfRule>
  </conditionalFormatting>
  <dataValidations count="5">
    <dataValidation allowBlank="true" error="Pick a value from the list." errorStyle="stop" operator="between" showDropDown="false" showErrorMessage="true" showInputMessage="false" sqref="G6:G407" type="list">
      <formula1>CareerLevels</formula1>
      <formula2>0</formula2>
    </dataValidation>
    <dataValidation allowBlank="true" error="Pick a value from the list." errorStyle="stop" operator="between" showDropDown="false" showErrorMessage="true" showInputMessage="false" sqref="H6:H407" type="list">
      <formula1>JobFamilies</formula1>
      <formula2>0</formula2>
    </dataValidation>
    <dataValidation allowBlank="true" error="Pick a value from the list." errorStyle="stop" operator="between" showDropDown="false" showErrorMessage="true" showInputMessage="false" sqref="I6:I407" type="list">
      <formula1>YesNo</formula1>
      <formula2>0</formula2>
    </dataValidation>
    <dataValidation allowBlank="true" error="Pick a value from the list." errorStyle="stop" operator="between" showDropDown="false" showErrorMessage="true" showInputMessage="false" sqref="M6:M407" type="list">
      <formula1>WorkerTypes</formula1>
      <formula2>0</formula2>
    </dataValidation>
    <dataValidation allowBlank="true" error="Pick a value from the list." errorStyle="stop" operator="between" showDropDown="false" showErrorMessage="true" showInputMessage="false" sqref="N6:N407" type="list">
      <formula1>DirectionList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523</v>
      </c>
    </row>
    <row r="2" customFormat="false" ht="15" hidden="false" customHeight="false" outlineLevel="0" collapsed="false">
      <c r="A2" s="2" t="s">
        <v>524</v>
      </c>
      <c r="B2" s="2"/>
      <c r="C2" s="2"/>
      <c r="D2" s="2"/>
      <c r="E2" s="2"/>
      <c r="F2" s="2"/>
      <c r="G2" s="2"/>
      <c r="H2" s="2"/>
      <c r="I2" s="2"/>
      <c r="J2" s="2"/>
    </row>
    <row r="4" customFormat="false" ht="15" hidden="false" customHeight="false" outlineLevel="0" collapsed="false">
      <c r="L4" s="24" t="s">
        <v>525</v>
      </c>
      <c r="M4" s="24"/>
      <c r="N4" s="24"/>
      <c r="O4" s="24"/>
    </row>
    <row r="5" customFormat="false" ht="30" hidden="false" customHeight="true" outlineLevel="0" collapsed="false">
      <c r="A5" s="12" t="s">
        <v>526</v>
      </c>
      <c r="B5" s="12" t="s">
        <v>38</v>
      </c>
      <c r="C5" s="12" t="s">
        <v>41</v>
      </c>
      <c r="D5" s="12" t="s">
        <v>27</v>
      </c>
      <c r="E5" s="12" t="s">
        <v>350</v>
      </c>
      <c r="F5" s="12" t="s">
        <v>527</v>
      </c>
      <c r="G5" s="12" t="s">
        <v>352</v>
      </c>
      <c r="H5" s="12" t="s">
        <v>353</v>
      </c>
      <c r="I5" s="12" t="s">
        <v>356</v>
      </c>
      <c r="J5" s="12" t="s">
        <v>528</v>
      </c>
      <c r="K5" s="12" t="s">
        <v>529</v>
      </c>
      <c r="L5" s="12" t="s">
        <v>530</v>
      </c>
      <c r="M5" s="12" t="s">
        <v>531</v>
      </c>
      <c r="N5" s="12" t="s">
        <v>532</v>
      </c>
      <c r="O5" s="12" t="s">
        <v>533</v>
      </c>
      <c r="P5" s="12" t="s">
        <v>534</v>
      </c>
      <c r="Q5" s="12" t="s">
        <v>535</v>
      </c>
      <c r="R5" s="12" t="s">
        <v>536</v>
      </c>
      <c r="S5" s="12" t="s">
        <v>359</v>
      </c>
      <c r="T5" s="12" t="s">
        <v>537</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2">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538</v>
      </c>
    </row>
    <row r="2" customFormat="false" ht="15" hidden="false" customHeight="false" outlineLevel="0" collapsed="false">
      <c r="A2" s="2" t="s">
        <v>539</v>
      </c>
      <c r="B2" s="2"/>
      <c r="C2" s="2"/>
      <c r="D2" s="2"/>
      <c r="E2" s="2"/>
      <c r="F2" s="2"/>
      <c r="G2" s="2"/>
      <c r="H2" s="2"/>
      <c r="I2" s="2"/>
      <c r="J2" s="2"/>
    </row>
    <row r="4" customFormat="false" ht="15" hidden="false" customHeight="false" outlineLevel="0" collapsed="false">
      <c r="A4" s="3" t="s">
        <v>540</v>
      </c>
    </row>
    <row r="5" customFormat="false" ht="27.75" hidden="false" customHeight="true" outlineLevel="0" collapsed="false">
      <c r="A5" s="12" t="s">
        <v>38</v>
      </c>
      <c r="B5" s="12" t="s">
        <v>528</v>
      </c>
      <c r="C5" s="12" t="s">
        <v>358</v>
      </c>
      <c r="D5" s="12" t="s">
        <v>529</v>
      </c>
      <c r="E5" s="12" t="s">
        <v>541</v>
      </c>
      <c r="F5" s="12" t="s">
        <v>34</v>
      </c>
      <c r="G5" s="12"/>
    </row>
    <row r="6" customFormat="false" ht="15" hidden="false" customHeight="false" outlineLevel="0" collapsed="false">
      <c r="A6" s="9" t="s">
        <v>40</v>
      </c>
      <c r="B6" s="25" t="n">
        <f aca="false">SUMIFS(SeatApproved,SeatDivision,"Core Banking Division")</f>
        <v>72</v>
      </c>
      <c r="C6" s="25" t="n">
        <f aca="false">SUMIFS(SeatExits,SeatDivision,"Core Banking Division")</f>
        <v>0</v>
      </c>
      <c r="D6" s="25" t="n">
        <f aca="false">SUMIFS(AskTotal,AskDivision,"Core Banking Division")</f>
        <v>0</v>
      </c>
      <c r="E6" s="25" t="n">
        <f aca="false">$B6-$C6+$D6</f>
        <v>72</v>
      </c>
      <c r="F6" s="25" t="n">
        <f aca="false">$E6-$B6</f>
        <v>0</v>
      </c>
    </row>
    <row r="7" customFormat="false" ht="15" hidden="false" customHeight="false" outlineLevel="0" collapsed="false">
      <c r="A7" s="9" t="s">
        <v>105</v>
      </c>
      <c r="B7" s="25" t="n">
        <f aca="false">SUMIFS(SeatApproved,SeatDivision,"Cybersecurity Division")</f>
        <v>72</v>
      </c>
      <c r="C7" s="25" t="n">
        <f aca="false">SUMIFS(SeatExits,SeatDivision,"Cybersecurity Division")</f>
        <v>0</v>
      </c>
      <c r="D7" s="25" t="n">
        <f aca="false">SUMIFS(AskTotal,AskDivision,"Cybersecurity Division")</f>
        <v>0</v>
      </c>
      <c r="E7" s="25" t="n">
        <f aca="false">$B7-$C7+$D7</f>
        <v>72</v>
      </c>
      <c r="F7" s="25" t="n">
        <f aca="false">$E7-$B7</f>
        <v>0</v>
      </c>
    </row>
    <row r="8" customFormat="false" ht="15" hidden="false" customHeight="false" outlineLevel="0" collapsed="false">
      <c r="A8" s="9" t="s">
        <v>165</v>
      </c>
      <c r="B8" s="25" t="n">
        <f aca="false">SUMIFS(SeatApproved,SeatDivision,"Data &amp; Analytics Division")</f>
        <v>74</v>
      </c>
      <c r="C8" s="25" t="n">
        <f aca="false">SUMIFS(SeatExits,SeatDivision,"Data &amp; Analytics Division")</f>
        <v>0</v>
      </c>
      <c r="D8" s="25" t="n">
        <f aca="false">SUMIFS(AskTotal,AskDivision,"Data &amp; Analytics Division")</f>
        <v>0</v>
      </c>
      <c r="E8" s="25" t="n">
        <f aca="false">$B8-$C8+$D8</f>
        <v>74</v>
      </c>
      <c r="F8" s="25" t="n">
        <f aca="false">$E8-$B8</f>
        <v>0</v>
      </c>
    </row>
    <row r="9" customFormat="false" ht="15" hidden="false" customHeight="false" outlineLevel="0" collapsed="false">
      <c r="A9" s="9" t="s">
        <v>223</v>
      </c>
      <c r="B9" s="25" t="n">
        <f aca="false">SUMIFS(SeatApproved,SeatDivision,"Digital Channels Division")</f>
        <v>72</v>
      </c>
      <c r="C9" s="25" t="n">
        <f aca="false">SUMIFS(SeatExits,SeatDivision,"Digital Channels Division")</f>
        <v>0</v>
      </c>
      <c r="D9" s="25" t="n">
        <f aca="false">SUMIFS(AskTotal,AskDivision,"Digital Channels Division")</f>
        <v>0</v>
      </c>
      <c r="E9" s="25" t="n">
        <f aca="false">$B9-$C9+$D9</f>
        <v>72</v>
      </c>
      <c r="F9" s="25" t="n">
        <f aca="false">$E9-$B9</f>
        <v>0</v>
      </c>
    </row>
    <row r="10" customFormat="false" ht="15" hidden="false" customHeight="false" outlineLevel="0" collapsed="false">
      <c r="A10" s="9" t="s">
        <v>285</v>
      </c>
      <c r="B10" s="25" t="n">
        <f aca="false">SUMIFS(SeatApproved,SeatDivision,"Infrastructure Division")</f>
        <v>71</v>
      </c>
      <c r="C10" s="25" t="n">
        <f aca="false">SUMIFS(SeatExits,SeatDivision,"Infrastructure Division")</f>
        <v>0</v>
      </c>
      <c r="D10" s="25" t="n">
        <f aca="false">SUMIFS(AskTotal,AskDivision,"Infrastructure Division")</f>
        <v>0</v>
      </c>
      <c r="E10" s="25" t="n">
        <f aca="false">$B10-$C10+$D10</f>
        <v>71</v>
      </c>
      <c r="F10" s="25" t="n">
        <f aca="false">$E10-$B10</f>
        <v>0</v>
      </c>
    </row>
    <row r="11" customFormat="false" ht="15" hidden="false" customHeight="false" outlineLevel="0" collapsed="false">
      <c r="A11" s="9" t="s">
        <v>542</v>
      </c>
      <c r="B11" s="25" t="n">
        <f aca="false">SUMIFS(SeatApproved,SeatDivision,"")</f>
        <v>1</v>
      </c>
      <c r="C11" s="25" t="n">
        <f aca="false">SUMIFS(SeatExits,SeatDivision,"")</f>
        <v>0</v>
      </c>
      <c r="D11" s="25" t="n">
        <f aca="false">SUMIFS(AskTotal,AskDivision,"")</f>
        <v>0</v>
      </c>
      <c r="E11" s="25" t="n">
        <f aca="false">$B11-$C11+$D11</f>
        <v>1</v>
      </c>
      <c r="F11" s="25" t="n">
        <f aca="false">$E11-$B11</f>
        <v>0</v>
      </c>
    </row>
    <row r="12" customFormat="false" ht="15" hidden="false" customHeight="false" outlineLevel="0" collapsed="false">
      <c r="A12" s="26" t="s">
        <v>543</v>
      </c>
      <c r="B12" s="16" t="n">
        <f aca="false">SUM(B6:B11)</f>
        <v>362</v>
      </c>
      <c r="C12" s="16" t="n">
        <f aca="false">SUM(C6:C11)</f>
        <v>0</v>
      </c>
      <c r="D12" s="16" t="n">
        <f aca="false">SUM(D6:D11)</f>
        <v>0</v>
      </c>
      <c r="E12" s="16" t="n">
        <f aca="false">SUM(E6:E11)</f>
        <v>362</v>
      </c>
      <c r="F12" s="16" t="n">
        <f aca="false">SUM(F6:F11)</f>
        <v>0</v>
      </c>
    </row>
    <row r="14" customFormat="false" ht="15" hidden="false" customHeight="false" outlineLevel="0" collapsed="false">
      <c r="A14" s="3" t="s">
        <v>544</v>
      </c>
      <c r="G14" s="27" t="s">
        <v>545</v>
      </c>
    </row>
    <row r="15" customFormat="false" ht="27.75" hidden="false" customHeight="true" outlineLevel="0" collapsed="false">
      <c r="A15" s="12" t="s">
        <v>38</v>
      </c>
      <c r="B15" s="12" t="s">
        <v>528</v>
      </c>
      <c r="C15" s="12" t="s">
        <v>358</v>
      </c>
      <c r="D15" s="12" t="s">
        <v>529</v>
      </c>
      <c r="E15" s="12" t="s">
        <v>541</v>
      </c>
      <c r="F15" s="12" t="s">
        <v>34</v>
      </c>
      <c r="G15" s="12"/>
    </row>
    <row r="16" customFormat="false" ht="15" hidden="false" customHeight="false" outlineLevel="0" collapsed="false">
      <c r="A16" s="9" t="s">
        <v>40</v>
      </c>
      <c r="B16" s="28" t="n">
        <f aca="false">SUMIFS(SeatApproved,SeatDivision,"Core Banking Division",SeatLevel,INDEX(LevelList,1),SeatMandate,"Yes")*(INDEX(LevelBasic,1)+INDEX(LevelHousing,1)+INDEX(LevelTransport,1)+INDEX(LevelBasic,1)*INDEX(LevelBonus,1)+(INDEX(LevelBasic,1)+INDEX(LevelHousing,1))*GosiSaudi)+SUMIFS(SeatApproved,SeatDivision,"Core Banking Division",SeatLevel,INDEX(LevelList,1),SeatMandate,"No")*(INDEX(LevelBasic,1)+INDEX(LevelHousing,1)+INDEX(LevelTransport,1)+INDEX(LevelBasic,1)*INDEX(LevelBonus,1)+(INDEX(LevelBasic,1)+INDEX(LevelHousing,1))*GosiOther)+SUMIFS(SeatApproved,SeatDivision,"Core Banking Division",SeatLevel,INDEX(LevelList,2),SeatMandate,"Yes")*(INDEX(LevelBasic,2)+INDEX(LevelHousing,2)+INDEX(LevelTransport,2)+INDEX(LevelBasic,2)*INDEX(LevelBonus,2)+(INDEX(LevelBasic,2)+INDEX(LevelHousing,2))*GosiSaudi)+SUMIFS(SeatApproved,SeatDivision,"Core Banking Division",SeatLevel,INDEX(LevelList,2),SeatMandate,"No")*(INDEX(LevelBasic,2)+INDEX(LevelHousing,2)+INDEX(LevelTransport,2)+INDEX(LevelBasic,2)*INDEX(LevelBonus,2)+(INDEX(LevelBasic,2)+INDEX(LevelHousing,2))*GosiOther)+SUMIFS(SeatApproved,SeatDivision,"Core Banking Division",SeatLevel,INDEX(LevelList,3),SeatMandate,"Yes")*(INDEX(LevelBasic,3)+INDEX(LevelHousing,3)+INDEX(LevelTransport,3)+INDEX(LevelBasic,3)*INDEX(LevelBonus,3)+(INDEX(LevelBasic,3)+INDEX(LevelHousing,3))*GosiSaudi)+SUMIFS(SeatApproved,SeatDivision,"Core Banking Division",SeatLevel,INDEX(LevelList,3),SeatMandate,"No")*(INDEX(LevelBasic,3)+INDEX(LevelHousing,3)+INDEX(LevelTransport,3)+INDEX(LevelBasic,3)*INDEX(LevelBonus,3)+(INDEX(LevelBasic,3)+INDEX(LevelHousing,3))*GosiOther)+SUMIFS(SeatApproved,SeatDivision,"Core Banking Division",SeatLevel,INDEX(LevelList,4),SeatMandate,"Yes")*(INDEX(LevelBasic,4)+INDEX(LevelHousing,4)+INDEX(LevelTransport,4)+INDEX(LevelBasic,4)*INDEX(LevelBonus,4)+(INDEX(LevelBasic,4)+INDEX(LevelHousing,4))*GosiSaudi)+SUMIFS(SeatApproved,SeatDivision,"Core Banking Division",SeatLevel,INDEX(LevelList,4),SeatMandate,"No")*(INDEX(LevelBasic,4)+INDEX(LevelHousing,4)+INDEX(LevelTransport,4)+INDEX(LevelBasic,4)*INDEX(LevelBonus,4)+(INDEX(LevelBasic,4)+INDEX(LevelHousing,4))*GosiOther)+SUMIFS(SeatApproved,SeatDivision,"Core Banking Division",SeatLevel,INDEX(LevelList,5),SeatMandate,"Yes")*(INDEX(LevelBasic,5)+INDEX(LevelHousing,5)+INDEX(LevelTransport,5)+INDEX(LevelBasic,5)*INDEX(LevelBonus,5)+(INDEX(LevelBasic,5)+INDEX(LevelHousing,5))*GosiSaudi)+SUMIFS(SeatApproved,SeatDivision,"Core Banking Division",SeatLevel,INDEX(LevelList,5),SeatMandate,"No")*(INDEX(LevelBasic,5)+INDEX(LevelHousing,5)+INDEX(LevelTransport,5)+INDEX(LevelBasic,5)*INDEX(LevelBonus,5)+(INDEX(LevelBasic,5)+INDEX(LevelHousing,5))*GosiOther)+SUMIFS(SeatApproved,SeatDivision,"Core Banking Division",SeatLevel,INDEX(LevelList,6),SeatMandate,"Yes")*(INDEX(LevelBasic,6)+INDEX(LevelHousing,6)+INDEX(LevelTransport,6)+INDEX(LevelBasic,6)*INDEX(LevelBonus,6)+(INDEX(LevelBasic,6)+INDEX(LevelHousing,6))*GosiSaudi)+SUMIFS(SeatApproved,SeatDivision,"Core Banking Division",SeatLevel,INDEX(LevelList,6),SeatMandate,"No")*(INDEX(LevelBasic,6)+INDEX(LevelHousing,6)+INDEX(LevelTransport,6)+INDEX(LevelBasic,6)*INDEX(LevelBonus,6)+(INDEX(LevelBasic,6)+INDEX(LevelHousing,6))*GosiOther)</f>
        <v>0</v>
      </c>
      <c r="C16" s="28" t="n">
        <f aca="false">SUMIFS(SeatExits,SeatDivision,"Core Banking Division",SeatLevel,INDEX(LevelList,1),SeatMandate,"Yes")*(INDEX(LevelBasic,1)+INDEX(LevelHousing,1)+INDEX(LevelTransport,1)+INDEX(LevelBasic,1)*INDEX(LevelBonus,1)+(INDEX(LevelBasic,1)+INDEX(LevelHousing,1))*GosiSaudi)+SUMIFS(SeatExits,SeatDivision,"Core Banking Division",SeatLevel,INDEX(LevelList,1),SeatMandate,"No")*(INDEX(LevelBasic,1)+INDEX(LevelHousing,1)+INDEX(LevelTransport,1)+INDEX(LevelBasic,1)*INDEX(LevelBonus,1)+(INDEX(LevelBasic,1)+INDEX(LevelHousing,1))*GosiOther)+SUMIFS(SeatExits,SeatDivision,"Core Banking Division",SeatLevel,INDEX(LevelList,2),SeatMandate,"Yes")*(INDEX(LevelBasic,2)+INDEX(LevelHousing,2)+INDEX(LevelTransport,2)+INDEX(LevelBasic,2)*INDEX(LevelBonus,2)+(INDEX(LevelBasic,2)+INDEX(LevelHousing,2))*GosiSaudi)+SUMIFS(SeatExits,SeatDivision,"Core Banking Division",SeatLevel,INDEX(LevelList,2),SeatMandate,"No")*(INDEX(LevelBasic,2)+INDEX(LevelHousing,2)+INDEX(LevelTransport,2)+INDEX(LevelBasic,2)*INDEX(LevelBonus,2)+(INDEX(LevelBasic,2)+INDEX(LevelHousing,2))*GosiOther)+SUMIFS(SeatExits,SeatDivision,"Core Banking Division",SeatLevel,INDEX(LevelList,3),SeatMandate,"Yes")*(INDEX(LevelBasic,3)+INDEX(LevelHousing,3)+INDEX(LevelTransport,3)+INDEX(LevelBasic,3)*INDEX(LevelBonus,3)+(INDEX(LevelBasic,3)+INDEX(LevelHousing,3))*GosiSaudi)+SUMIFS(SeatExits,SeatDivision,"Core Banking Division",SeatLevel,INDEX(LevelList,3),SeatMandate,"No")*(INDEX(LevelBasic,3)+INDEX(LevelHousing,3)+INDEX(LevelTransport,3)+INDEX(LevelBasic,3)*INDEX(LevelBonus,3)+(INDEX(LevelBasic,3)+INDEX(LevelHousing,3))*GosiOther)+SUMIFS(SeatExits,SeatDivision,"Core Banking Division",SeatLevel,INDEX(LevelList,4),SeatMandate,"Yes")*(INDEX(LevelBasic,4)+INDEX(LevelHousing,4)+INDEX(LevelTransport,4)+INDEX(LevelBasic,4)*INDEX(LevelBonus,4)+(INDEX(LevelBasic,4)+INDEX(LevelHousing,4))*GosiSaudi)+SUMIFS(SeatExits,SeatDivision,"Core Banking Division",SeatLevel,INDEX(LevelList,4),SeatMandate,"No")*(INDEX(LevelBasic,4)+INDEX(LevelHousing,4)+INDEX(LevelTransport,4)+INDEX(LevelBasic,4)*INDEX(LevelBonus,4)+(INDEX(LevelBasic,4)+INDEX(LevelHousing,4))*GosiOther)+SUMIFS(SeatExits,SeatDivision,"Core Banking Division",SeatLevel,INDEX(LevelList,5),SeatMandate,"Yes")*(INDEX(LevelBasic,5)+INDEX(LevelHousing,5)+INDEX(LevelTransport,5)+INDEX(LevelBasic,5)*INDEX(LevelBonus,5)+(INDEX(LevelBasic,5)+INDEX(LevelHousing,5))*GosiSaudi)+SUMIFS(SeatExits,SeatDivision,"Core Banking Division",SeatLevel,INDEX(LevelList,5),SeatMandate,"No")*(INDEX(LevelBasic,5)+INDEX(LevelHousing,5)+INDEX(LevelTransport,5)+INDEX(LevelBasic,5)*INDEX(LevelBonus,5)+(INDEX(LevelBasic,5)+INDEX(LevelHousing,5))*GosiOther)+SUMIFS(SeatExits,SeatDivision,"Core Banking Division",SeatLevel,INDEX(LevelList,6),SeatMandate,"Yes")*(INDEX(LevelBasic,6)+INDEX(LevelHousing,6)+INDEX(LevelTransport,6)+INDEX(LevelBasic,6)*INDEX(LevelBonus,6)+(INDEX(LevelBasic,6)+INDEX(LevelHousing,6))*GosiSaudi)+SUMIFS(SeatExits,SeatDivision,"Core Banking Division",SeatLevel,INDEX(LevelList,6),SeatMandate,"No")*(INDEX(LevelBasic,6)+INDEX(LevelHousing,6)+INDEX(LevelTransport,6)+INDEX(LevelBasic,6)*INDEX(LevelBonus,6)+(INDEX(LevelBasic,6)+INDEX(LevelHousing,6))*GosiOther)</f>
        <v>0</v>
      </c>
      <c r="D16" s="28" t="n">
        <f aca="false">SUMIFS(AskTotal,AskDivision,"Core Banking Division",AskLevel,INDEX(LevelList,1))*(INDEX(LevelBasic,1)+INDEX(LevelHousing,1)+INDEX(LevelTransport,1)+INDEX(LevelBasic,1)*INDEX(LevelBonus,1)+(INDEX(LevelBasic,1)+INDEX(LevelHousing,1))*GosiSaudi)+SUMIFS(AskTotal,AskDivision,"Core Banking Division",AskLevel,INDEX(LevelList,2))*(INDEX(LevelBasic,2)+INDEX(LevelHousing,2)+INDEX(LevelTransport,2)+INDEX(LevelBasic,2)*INDEX(LevelBonus,2)+(INDEX(LevelBasic,2)+INDEX(LevelHousing,2))*GosiSaudi)+SUMIFS(AskTotal,AskDivision,"Core Banking Division",AskLevel,INDEX(LevelList,3))*(INDEX(LevelBasic,3)+INDEX(LevelHousing,3)+INDEX(LevelTransport,3)+INDEX(LevelBasic,3)*INDEX(LevelBonus,3)+(INDEX(LevelBasic,3)+INDEX(LevelHousing,3))*GosiSaudi)+SUMIFS(AskTotal,AskDivision,"Core Banking Division",AskLevel,INDEX(LevelList,4))*(INDEX(LevelBasic,4)+INDEX(LevelHousing,4)+INDEX(LevelTransport,4)+INDEX(LevelBasic,4)*INDEX(LevelBonus,4)+(INDEX(LevelBasic,4)+INDEX(LevelHousing,4))*GosiSaudi)+SUMIFS(AskTotal,AskDivision,"Core Banking Division",AskLevel,INDEX(LevelList,5))*(INDEX(LevelBasic,5)+INDEX(LevelHousing,5)+INDEX(LevelTransport,5)+INDEX(LevelBasic,5)*INDEX(LevelBonus,5)+(INDEX(LevelBasic,5)+INDEX(LevelHousing,5))*GosiSaudi)+SUMIFS(AskTotal,AskDivision,"Core Banking Division",AskLevel,INDEX(LevelList,6))*(INDEX(LevelBasic,6)+INDEX(LevelHousing,6)+INDEX(LevelTransport,6)+INDEX(LevelBasic,6)*INDEX(LevelBonus,6)+(INDEX(LevelBasic,6)+INDEX(LevelHousing,6))*GosiSaudi)</f>
        <v>0</v>
      </c>
      <c r="E16" s="28" t="n">
        <f aca="false">$B16-$C16+$D16</f>
        <v>0</v>
      </c>
      <c r="F16" s="28" t="n">
        <f aca="false">$E16-$B16</f>
        <v>0</v>
      </c>
    </row>
    <row r="17" customFormat="false" ht="15" hidden="false" customHeight="false" outlineLevel="0" collapsed="false">
      <c r="A17" s="9" t="s">
        <v>105</v>
      </c>
      <c r="B17" s="28" t="n">
        <f aca="false">SUMIFS(SeatApproved,SeatDivision,"Cybersecurity Division",SeatLevel,INDEX(LevelList,1),SeatMandate,"Yes")*(INDEX(LevelBasic,1)+INDEX(LevelHousing,1)+INDEX(LevelTransport,1)+INDEX(LevelBasic,1)*INDEX(LevelBonus,1)+(INDEX(LevelBasic,1)+INDEX(LevelHousing,1))*GosiSaudi)+SUMIFS(SeatApproved,SeatDivision,"Cybersecurity Division",SeatLevel,INDEX(LevelList,1),SeatMandate,"No")*(INDEX(LevelBasic,1)+INDEX(LevelHousing,1)+INDEX(LevelTransport,1)+INDEX(LevelBasic,1)*INDEX(LevelBonus,1)+(INDEX(LevelBasic,1)+INDEX(LevelHousing,1))*GosiOther)+SUMIFS(SeatApproved,SeatDivision,"Cybersecurity Division",SeatLevel,INDEX(LevelList,2),SeatMandate,"Yes")*(INDEX(LevelBasic,2)+INDEX(LevelHousing,2)+INDEX(LevelTransport,2)+INDEX(LevelBasic,2)*INDEX(LevelBonus,2)+(INDEX(LevelBasic,2)+INDEX(LevelHousing,2))*GosiSaudi)+SUMIFS(SeatApproved,SeatDivision,"Cybersecurity Division",SeatLevel,INDEX(LevelList,2),SeatMandate,"No")*(INDEX(LevelBasic,2)+INDEX(LevelHousing,2)+INDEX(LevelTransport,2)+INDEX(LevelBasic,2)*INDEX(LevelBonus,2)+(INDEX(LevelBasic,2)+INDEX(LevelHousing,2))*GosiOther)+SUMIFS(SeatApproved,SeatDivision,"Cybersecurity Division",SeatLevel,INDEX(LevelList,3),SeatMandate,"Yes")*(INDEX(LevelBasic,3)+INDEX(LevelHousing,3)+INDEX(LevelTransport,3)+INDEX(LevelBasic,3)*INDEX(LevelBonus,3)+(INDEX(LevelBasic,3)+INDEX(LevelHousing,3))*GosiSaudi)+SUMIFS(SeatApproved,SeatDivision,"Cybersecurity Division",SeatLevel,INDEX(LevelList,3),SeatMandate,"No")*(INDEX(LevelBasic,3)+INDEX(LevelHousing,3)+INDEX(LevelTransport,3)+INDEX(LevelBasic,3)*INDEX(LevelBonus,3)+(INDEX(LevelBasic,3)+INDEX(LevelHousing,3))*GosiOther)+SUMIFS(SeatApproved,SeatDivision,"Cybersecurity Division",SeatLevel,INDEX(LevelList,4),SeatMandate,"Yes")*(INDEX(LevelBasic,4)+INDEX(LevelHousing,4)+INDEX(LevelTransport,4)+INDEX(LevelBasic,4)*INDEX(LevelBonus,4)+(INDEX(LevelBasic,4)+INDEX(LevelHousing,4))*GosiSaudi)+SUMIFS(SeatApproved,SeatDivision,"Cybersecurity Division",SeatLevel,INDEX(LevelList,4),SeatMandate,"No")*(INDEX(LevelBasic,4)+INDEX(LevelHousing,4)+INDEX(LevelTransport,4)+INDEX(LevelBasic,4)*INDEX(LevelBonus,4)+(INDEX(LevelBasic,4)+INDEX(LevelHousing,4))*GosiOther)+SUMIFS(SeatApproved,SeatDivision,"Cybersecurity Division",SeatLevel,INDEX(LevelList,5),SeatMandate,"Yes")*(INDEX(LevelBasic,5)+INDEX(LevelHousing,5)+INDEX(LevelTransport,5)+INDEX(LevelBasic,5)*INDEX(LevelBonus,5)+(INDEX(LevelBasic,5)+INDEX(LevelHousing,5))*GosiSaudi)+SUMIFS(SeatApproved,SeatDivision,"Cybersecurity Division",SeatLevel,INDEX(LevelList,5),SeatMandate,"No")*(INDEX(LevelBasic,5)+INDEX(LevelHousing,5)+INDEX(LevelTransport,5)+INDEX(LevelBasic,5)*INDEX(LevelBonus,5)+(INDEX(LevelBasic,5)+INDEX(LevelHousing,5))*GosiOther)+SUMIFS(SeatApproved,SeatDivision,"Cybersecurity Division",SeatLevel,INDEX(LevelList,6),SeatMandate,"Yes")*(INDEX(LevelBasic,6)+INDEX(LevelHousing,6)+INDEX(LevelTransport,6)+INDEX(LevelBasic,6)*INDEX(LevelBonus,6)+(INDEX(LevelBasic,6)+INDEX(LevelHousing,6))*GosiSaudi)+SUMIFS(SeatApproved,SeatDivision,"Cybersecurity Division",SeatLevel,INDEX(LevelList,6),SeatMandate,"No")*(INDEX(LevelBasic,6)+INDEX(LevelHousing,6)+INDEX(LevelTransport,6)+INDEX(LevelBasic,6)*INDEX(LevelBonus,6)+(INDEX(LevelBasic,6)+INDEX(LevelHousing,6))*GosiOther)</f>
        <v>0</v>
      </c>
      <c r="C17" s="28" t="n">
        <f aca="false">SUMIFS(SeatExits,SeatDivision,"Cybersecurity Division",SeatLevel,INDEX(LevelList,1),SeatMandate,"Yes")*(INDEX(LevelBasic,1)+INDEX(LevelHousing,1)+INDEX(LevelTransport,1)+INDEX(LevelBasic,1)*INDEX(LevelBonus,1)+(INDEX(LevelBasic,1)+INDEX(LevelHousing,1))*GosiSaudi)+SUMIFS(SeatExits,SeatDivision,"Cybersecurity Division",SeatLevel,INDEX(LevelList,1),SeatMandate,"No")*(INDEX(LevelBasic,1)+INDEX(LevelHousing,1)+INDEX(LevelTransport,1)+INDEX(LevelBasic,1)*INDEX(LevelBonus,1)+(INDEX(LevelBasic,1)+INDEX(LevelHousing,1))*GosiOther)+SUMIFS(SeatExits,SeatDivision,"Cybersecurity Division",SeatLevel,INDEX(LevelList,2),SeatMandate,"Yes")*(INDEX(LevelBasic,2)+INDEX(LevelHousing,2)+INDEX(LevelTransport,2)+INDEX(LevelBasic,2)*INDEX(LevelBonus,2)+(INDEX(LevelBasic,2)+INDEX(LevelHousing,2))*GosiSaudi)+SUMIFS(SeatExits,SeatDivision,"Cybersecurity Division",SeatLevel,INDEX(LevelList,2),SeatMandate,"No")*(INDEX(LevelBasic,2)+INDEX(LevelHousing,2)+INDEX(LevelTransport,2)+INDEX(LevelBasic,2)*INDEX(LevelBonus,2)+(INDEX(LevelBasic,2)+INDEX(LevelHousing,2))*GosiOther)+SUMIFS(SeatExits,SeatDivision,"Cybersecurity Division",SeatLevel,INDEX(LevelList,3),SeatMandate,"Yes")*(INDEX(LevelBasic,3)+INDEX(LevelHousing,3)+INDEX(LevelTransport,3)+INDEX(LevelBasic,3)*INDEX(LevelBonus,3)+(INDEX(LevelBasic,3)+INDEX(LevelHousing,3))*GosiSaudi)+SUMIFS(SeatExits,SeatDivision,"Cybersecurity Division",SeatLevel,INDEX(LevelList,3),SeatMandate,"No")*(INDEX(LevelBasic,3)+INDEX(LevelHousing,3)+INDEX(LevelTransport,3)+INDEX(LevelBasic,3)*INDEX(LevelBonus,3)+(INDEX(LevelBasic,3)+INDEX(LevelHousing,3))*GosiOther)+SUMIFS(SeatExits,SeatDivision,"Cybersecurity Division",SeatLevel,INDEX(LevelList,4),SeatMandate,"Yes")*(INDEX(LevelBasic,4)+INDEX(LevelHousing,4)+INDEX(LevelTransport,4)+INDEX(LevelBasic,4)*INDEX(LevelBonus,4)+(INDEX(LevelBasic,4)+INDEX(LevelHousing,4))*GosiSaudi)+SUMIFS(SeatExits,SeatDivision,"Cybersecurity Division",SeatLevel,INDEX(LevelList,4),SeatMandate,"No")*(INDEX(LevelBasic,4)+INDEX(LevelHousing,4)+INDEX(LevelTransport,4)+INDEX(LevelBasic,4)*INDEX(LevelBonus,4)+(INDEX(LevelBasic,4)+INDEX(LevelHousing,4))*GosiOther)+SUMIFS(SeatExits,SeatDivision,"Cybersecurity Division",SeatLevel,INDEX(LevelList,5),SeatMandate,"Yes")*(INDEX(LevelBasic,5)+INDEX(LevelHousing,5)+INDEX(LevelTransport,5)+INDEX(LevelBasic,5)*INDEX(LevelBonus,5)+(INDEX(LevelBasic,5)+INDEX(LevelHousing,5))*GosiSaudi)+SUMIFS(SeatExits,SeatDivision,"Cybersecurity Division",SeatLevel,INDEX(LevelList,5),SeatMandate,"No")*(INDEX(LevelBasic,5)+INDEX(LevelHousing,5)+INDEX(LevelTransport,5)+INDEX(LevelBasic,5)*INDEX(LevelBonus,5)+(INDEX(LevelBasic,5)+INDEX(LevelHousing,5))*GosiOther)+SUMIFS(SeatExits,SeatDivision,"Cybersecurity Division",SeatLevel,INDEX(LevelList,6),SeatMandate,"Yes")*(INDEX(LevelBasic,6)+INDEX(LevelHousing,6)+INDEX(LevelTransport,6)+INDEX(LevelBasic,6)*INDEX(LevelBonus,6)+(INDEX(LevelBasic,6)+INDEX(LevelHousing,6))*GosiSaudi)+SUMIFS(SeatExits,SeatDivision,"Cybersecurity Division",SeatLevel,INDEX(LevelList,6),SeatMandate,"No")*(INDEX(LevelBasic,6)+INDEX(LevelHousing,6)+INDEX(LevelTransport,6)+INDEX(LevelBasic,6)*INDEX(LevelBonus,6)+(INDEX(LevelBasic,6)+INDEX(LevelHousing,6))*GosiOther)</f>
        <v>0</v>
      </c>
      <c r="D17" s="28" t="n">
        <f aca="false">SUMIFS(AskTotal,AskDivision,"Cybersecurity Division",AskLevel,INDEX(LevelList,1))*(INDEX(LevelBasic,1)+INDEX(LevelHousing,1)+INDEX(LevelTransport,1)+INDEX(LevelBasic,1)*INDEX(LevelBonus,1)+(INDEX(LevelBasic,1)+INDEX(LevelHousing,1))*GosiSaudi)+SUMIFS(AskTotal,AskDivision,"Cybersecurity Division",AskLevel,INDEX(LevelList,2))*(INDEX(LevelBasic,2)+INDEX(LevelHousing,2)+INDEX(LevelTransport,2)+INDEX(LevelBasic,2)*INDEX(LevelBonus,2)+(INDEX(LevelBasic,2)+INDEX(LevelHousing,2))*GosiSaudi)+SUMIFS(AskTotal,AskDivision,"Cybersecurity Division",AskLevel,INDEX(LevelList,3))*(INDEX(LevelBasic,3)+INDEX(LevelHousing,3)+INDEX(LevelTransport,3)+INDEX(LevelBasic,3)*INDEX(LevelBonus,3)+(INDEX(LevelBasic,3)+INDEX(LevelHousing,3))*GosiSaudi)+SUMIFS(AskTotal,AskDivision,"Cybersecurity Division",AskLevel,INDEX(LevelList,4))*(INDEX(LevelBasic,4)+INDEX(LevelHousing,4)+INDEX(LevelTransport,4)+INDEX(LevelBasic,4)*INDEX(LevelBonus,4)+(INDEX(LevelBasic,4)+INDEX(LevelHousing,4))*GosiSaudi)+SUMIFS(AskTotal,AskDivision,"Cybersecurity Division",AskLevel,INDEX(LevelList,5))*(INDEX(LevelBasic,5)+INDEX(LevelHousing,5)+INDEX(LevelTransport,5)+INDEX(LevelBasic,5)*INDEX(LevelBonus,5)+(INDEX(LevelBasic,5)+INDEX(LevelHousing,5))*GosiSaudi)+SUMIFS(AskTotal,AskDivision,"Cybersecurity Division",AskLevel,INDEX(LevelList,6))*(INDEX(LevelBasic,6)+INDEX(LevelHousing,6)+INDEX(LevelTransport,6)+INDEX(LevelBasic,6)*INDEX(LevelBonus,6)+(INDEX(LevelBasic,6)+INDEX(LevelHousing,6))*GosiSaudi)</f>
        <v>0</v>
      </c>
      <c r="E17" s="28" t="n">
        <f aca="false">$B17-$C17+$D17</f>
        <v>0</v>
      </c>
      <c r="F17" s="28" t="n">
        <f aca="false">$E17-$B17</f>
        <v>0</v>
      </c>
    </row>
    <row r="18" customFormat="false" ht="15" hidden="false" customHeight="false" outlineLevel="0" collapsed="false">
      <c r="A18" s="9" t="s">
        <v>165</v>
      </c>
      <c r="B18" s="28" t="n">
        <f aca="false">SUMIFS(SeatApproved,SeatDivision,"Data &amp; Analytics Division",SeatLevel,INDEX(LevelList,1),SeatMandate,"Yes")*(INDEX(LevelBasic,1)+INDEX(LevelHousing,1)+INDEX(LevelTransport,1)+INDEX(LevelBasic,1)*INDEX(LevelBonus,1)+(INDEX(LevelBasic,1)+INDEX(LevelHousing,1))*GosiSaudi)+SUMIFS(SeatApproved,SeatDivision,"Data &amp; Analytics Division",SeatLevel,INDEX(LevelList,1),SeatMandate,"No")*(INDEX(LevelBasic,1)+INDEX(LevelHousing,1)+INDEX(LevelTransport,1)+INDEX(LevelBasic,1)*INDEX(LevelBonus,1)+(INDEX(LevelBasic,1)+INDEX(LevelHousing,1))*GosiOther)+SUMIFS(SeatApproved,SeatDivision,"Data &amp; Analytics Division",SeatLevel,INDEX(LevelList,2),SeatMandate,"Yes")*(INDEX(LevelBasic,2)+INDEX(LevelHousing,2)+INDEX(LevelTransport,2)+INDEX(LevelBasic,2)*INDEX(LevelBonus,2)+(INDEX(LevelBasic,2)+INDEX(LevelHousing,2))*GosiSaudi)+SUMIFS(SeatApproved,SeatDivision,"Data &amp; Analytics Division",SeatLevel,INDEX(LevelList,2),SeatMandate,"No")*(INDEX(LevelBasic,2)+INDEX(LevelHousing,2)+INDEX(LevelTransport,2)+INDEX(LevelBasic,2)*INDEX(LevelBonus,2)+(INDEX(LevelBasic,2)+INDEX(LevelHousing,2))*GosiOther)+SUMIFS(SeatApproved,SeatDivision,"Data &amp; Analytics Division",SeatLevel,INDEX(LevelList,3),SeatMandate,"Yes")*(INDEX(LevelBasic,3)+INDEX(LevelHousing,3)+INDEX(LevelTransport,3)+INDEX(LevelBasic,3)*INDEX(LevelBonus,3)+(INDEX(LevelBasic,3)+INDEX(LevelHousing,3))*GosiSaudi)+SUMIFS(SeatApproved,SeatDivision,"Data &amp; Analytics Division",SeatLevel,INDEX(LevelList,3),SeatMandate,"No")*(INDEX(LevelBasic,3)+INDEX(LevelHousing,3)+INDEX(LevelTransport,3)+INDEX(LevelBasic,3)*INDEX(LevelBonus,3)+(INDEX(LevelBasic,3)+INDEX(LevelHousing,3))*GosiOther)+SUMIFS(SeatApproved,SeatDivision,"Data &amp; Analytics Division",SeatLevel,INDEX(LevelList,4),SeatMandate,"Yes")*(INDEX(LevelBasic,4)+INDEX(LevelHousing,4)+INDEX(LevelTransport,4)+INDEX(LevelBasic,4)*INDEX(LevelBonus,4)+(INDEX(LevelBasic,4)+INDEX(LevelHousing,4))*GosiSaudi)+SUMIFS(SeatApproved,SeatDivision,"Data &amp; Analytics Division",SeatLevel,INDEX(LevelList,4),SeatMandate,"No")*(INDEX(LevelBasic,4)+INDEX(LevelHousing,4)+INDEX(LevelTransport,4)+INDEX(LevelBasic,4)*INDEX(LevelBonus,4)+(INDEX(LevelBasic,4)+INDEX(LevelHousing,4))*GosiOther)+SUMIFS(SeatApproved,SeatDivision,"Data &amp; Analytics Division",SeatLevel,INDEX(LevelList,5),SeatMandate,"Yes")*(INDEX(LevelBasic,5)+INDEX(LevelHousing,5)+INDEX(LevelTransport,5)+INDEX(LevelBasic,5)*INDEX(LevelBonus,5)+(INDEX(LevelBasic,5)+INDEX(LevelHousing,5))*GosiSaudi)+SUMIFS(SeatApproved,SeatDivision,"Data &amp; Analytics Division",SeatLevel,INDEX(LevelList,5),SeatMandate,"No")*(INDEX(LevelBasic,5)+INDEX(LevelHousing,5)+INDEX(LevelTransport,5)+INDEX(LevelBasic,5)*INDEX(LevelBonus,5)+(INDEX(LevelBasic,5)+INDEX(LevelHousing,5))*GosiOther)+SUMIFS(SeatApproved,SeatDivision,"Data &amp; Analytics Division",SeatLevel,INDEX(LevelList,6),SeatMandate,"Yes")*(INDEX(LevelBasic,6)+INDEX(LevelHousing,6)+INDEX(LevelTransport,6)+INDEX(LevelBasic,6)*INDEX(LevelBonus,6)+(INDEX(LevelBasic,6)+INDEX(LevelHousing,6))*GosiSaudi)+SUMIFS(SeatApproved,SeatDivision,"Data &amp; Analytics Division",SeatLevel,INDEX(LevelList,6),SeatMandate,"No")*(INDEX(LevelBasic,6)+INDEX(LevelHousing,6)+INDEX(LevelTransport,6)+INDEX(LevelBasic,6)*INDEX(LevelBonus,6)+(INDEX(LevelBasic,6)+INDEX(LevelHousing,6))*GosiOther)</f>
        <v>0</v>
      </c>
      <c r="C18" s="28" t="n">
        <f aca="false">SUMIFS(SeatExits,SeatDivision,"Data &amp; Analytics Division",SeatLevel,INDEX(LevelList,1),SeatMandate,"Yes")*(INDEX(LevelBasic,1)+INDEX(LevelHousing,1)+INDEX(LevelTransport,1)+INDEX(LevelBasic,1)*INDEX(LevelBonus,1)+(INDEX(LevelBasic,1)+INDEX(LevelHousing,1))*GosiSaudi)+SUMIFS(SeatExits,SeatDivision,"Data &amp; Analytics Division",SeatLevel,INDEX(LevelList,1),SeatMandate,"No")*(INDEX(LevelBasic,1)+INDEX(LevelHousing,1)+INDEX(LevelTransport,1)+INDEX(LevelBasic,1)*INDEX(LevelBonus,1)+(INDEX(LevelBasic,1)+INDEX(LevelHousing,1))*GosiOther)+SUMIFS(SeatExits,SeatDivision,"Data &amp; Analytics Division",SeatLevel,INDEX(LevelList,2),SeatMandate,"Yes")*(INDEX(LevelBasic,2)+INDEX(LevelHousing,2)+INDEX(LevelTransport,2)+INDEX(LevelBasic,2)*INDEX(LevelBonus,2)+(INDEX(LevelBasic,2)+INDEX(LevelHousing,2))*GosiSaudi)+SUMIFS(SeatExits,SeatDivision,"Data &amp; Analytics Division",SeatLevel,INDEX(LevelList,2),SeatMandate,"No")*(INDEX(LevelBasic,2)+INDEX(LevelHousing,2)+INDEX(LevelTransport,2)+INDEX(LevelBasic,2)*INDEX(LevelBonus,2)+(INDEX(LevelBasic,2)+INDEX(LevelHousing,2))*GosiOther)+SUMIFS(SeatExits,SeatDivision,"Data &amp; Analytics Division",SeatLevel,INDEX(LevelList,3),SeatMandate,"Yes")*(INDEX(LevelBasic,3)+INDEX(LevelHousing,3)+INDEX(LevelTransport,3)+INDEX(LevelBasic,3)*INDEX(LevelBonus,3)+(INDEX(LevelBasic,3)+INDEX(LevelHousing,3))*GosiSaudi)+SUMIFS(SeatExits,SeatDivision,"Data &amp; Analytics Division",SeatLevel,INDEX(LevelList,3),SeatMandate,"No")*(INDEX(LevelBasic,3)+INDEX(LevelHousing,3)+INDEX(LevelTransport,3)+INDEX(LevelBasic,3)*INDEX(LevelBonus,3)+(INDEX(LevelBasic,3)+INDEX(LevelHousing,3))*GosiOther)+SUMIFS(SeatExits,SeatDivision,"Data &amp; Analytics Division",SeatLevel,INDEX(LevelList,4),SeatMandate,"Yes")*(INDEX(LevelBasic,4)+INDEX(LevelHousing,4)+INDEX(LevelTransport,4)+INDEX(LevelBasic,4)*INDEX(LevelBonus,4)+(INDEX(LevelBasic,4)+INDEX(LevelHousing,4))*GosiSaudi)+SUMIFS(SeatExits,SeatDivision,"Data &amp; Analytics Division",SeatLevel,INDEX(LevelList,4),SeatMandate,"No")*(INDEX(LevelBasic,4)+INDEX(LevelHousing,4)+INDEX(LevelTransport,4)+INDEX(LevelBasic,4)*INDEX(LevelBonus,4)+(INDEX(LevelBasic,4)+INDEX(LevelHousing,4))*GosiOther)+SUMIFS(SeatExits,SeatDivision,"Data &amp; Analytics Division",SeatLevel,INDEX(LevelList,5),SeatMandate,"Yes")*(INDEX(LevelBasic,5)+INDEX(LevelHousing,5)+INDEX(LevelTransport,5)+INDEX(LevelBasic,5)*INDEX(LevelBonus,5)+(INDEX(LevelBasic,5)+INDEX(LevelHousing,5))*GosiSaudi)+SUMIFS(SeatExits,SeatDivision,"Data &amp; Analytics Division",SeatLevel,INDEX(LevelList,5),SeatMandate,"No")*(INDEX(LevelBasic,5)+INDEX(LevelHousing,5)+INDEX(LevelTransport,5)+INDEX(LevelBasic,5)*INDEX(LevelBonus,5)+(INDEX(LevelBasic,5)+INDEX(LevelHousing,5))*GosiOther)+SUMIFS(SeatExits,SeatDivision,"Data &amp; Analytics Division",SeatLevel,INDEX(LevelList,6),SeatMandate,"Yes")*(INDEX(LevelBasic,6)+INDEX(LevelHousing,6)+INDEX(LevelTransport,6)+INDEX(LevelBasic,6)*INDEX(LevelBonus,6)+(INDEX(LevelBasic,6)+INDEX(LevelHousing,6))*GosiSaudi)+SUMIFS(SeatExits,SeatDivision,"Data &amp; Analytics Division",SeatLevel,INDEX(LevelList,6),SeatMandate,"No")*(INDEX(LevelBasic,6)+INDEX(LevelHousing,6)+INDEX(LevelTransport,6)+INDEX(LevelBasic,6)*INDEX(LevelBonus,6)+(INDEX(LevelBasic,6)+INDEX(LevelHousing,6))*GosiOther)</f>
        <v>0</v>
      </c>
      <c r="D18" s="28" t="n">
        <f aca="false">SUMIFS(AskTotal,AskDivision,"Data &amp; Analytics Division",AskLevel,INDEX(LevelList,1))*(INDEX(LevelBasic,1)+INDEX(LevelHousing,1)+INDEX(LevelTransport,1)+INDEX(LevelBasic,1)*INDEX(LevelBonus,1)+(INDEX(LevelBasic,1)+INDEX(LevelHousing,1))*GosiSaudi)+SUMIFS(AskTotal,AskDivision,"Data &amp; Analytics Division",AskLevel,INDEX(LevelList,2))*(INDEX(LevelBasic,2)+INDEX(LevelHousing,2)+INDEX(LevelTransport,2)+INDEX(LevelBasic,2)*INDEX(LevelBonus,2)+(INDEX(LevelBasic,2)+INDEX(LevelHousing,2))*GosiSaudi)+SUMIFS(AskTotal,AskDivision,"Data &amp; Analytics Division",AskLevel,INDEX(LevelList,3))*(INDEX(LevelBasic,3)+INDEX(LevelHousing,3)+INDEX(LevelTransport,3)+INDEX(LevelBasic,3)*INDEX(LevelBonus,3)+(INDEX(LevelBasic,3)+INDEX(LevelHousing,3))*GosiSaudi)+SUMIFS(AskTotal,AskDivision,"Data &amp; Analytics Division",AskLevel,INDEX(LevelList,4))*(INDEX(LevelBasic,4)+INDEX(LevelHousing,4)+INDEX(LevelTransport,4)+INDEX(LevelBasic,4)*INDEX(LevelBonus,4)+(INDEX(LevelBasic,4)+INDEX(LevelHousing,4))*GosiSaudi)+SUMIFS(AskTotal,AskDivision,"Data &amp; Analytics Division",AskLevel,INDEX(LevelList,5))*(INDEX(LevelBasic,5)+INDEX(LevelHousing,5)+INDEX(LevelTransport,5)+INDEX(LevelBasic,5)*INDEX(LevelBonus,5)+(INDEX(LevelBasic,5)+INDEX(LevelHousing,5))*GosiSaudi)+SUMIFS(AskTotal,AskDivision,"Data &amp; Analytics Division",AskLevel,INDEX(LevelList,6))*(INDEX(LevelBasic,6)+INDEX(LevelHousing,6)+INDEX(LevelTransport,6)+INDEX(LevelBasic,6)*INDEX(LevelBonus,6)+(INDEX(LevelBasic,6)+INDEX(LevelHousing,6))*GosiSaudi)</f>
        <v>0</v>
      </c>
      <c r="E18" s="28" t="n">
        <f aca="false">$B18-$C18+$D18</f>
        <v>0</v>
      </c>
      <c r="F18" s="28" t="n">
        <f aca="false">$E18-$B18</f>
        <v>0</v>
      </c>
    </row>
    <row r="19" customFormat="false" ht="15" hidden="false" customHeight="false" outlineLevel="0" collapsed="false">
      <c r="A19" s="9" t="s">
        <v>223</v>
      </c>
      <c r="B19" s="28" t="n">
        <f aca="false">SUMIFS(SeatApproved,SeatDivision,"Digital Channels Division",SeatLevel,INDEX(LevelList,1),SeatMandate,"Yes")*(INDEX(LevelBasic,1)+INDEX(LevelHousing,1)+INDEX(LevelTransport,1)+INDEX(LevelBasic,1)*INDEX(LevelBonus,1)+(INDEX(LevelBasic,1)+INDEX(LevelHousing,1))*GosiSaudi)+SUMIFS(SeatApproved,SeatDivision,"Digital Channels Division",SeatLevel,INDEX(LevelList,1),SeatMandate,"No")*(INDEX(LevelBasic,1)+INDEX(LevelHousing,1)+INDEX(LevelTransport,1)+INDEX(LevelBasic,1)*INDEX(LevelBonus,1)+(INDEX(LevelBasic,1)+INDEX(LevelHousing,1))*GosiOther)+SUMIFS(SeatApproved,SeatDivision,"Digital Channels Division",SeatLevel,INDEX(LevelList,2),SeatMandate,"Yes")*(INDEX(LevelBasic,2)+INDEX(LevelHousing,2)+INDEX(LevelTransport,2)+INDEX(LevelBasic,2)*INDEX(LevelBonus,2)+(INDEX(LevelBasic,2)+INDEX(LevelHousing,2))*GosiSaudi)+SUMIFS(SeatApproved,SeatDivision,"Digital Channels Division",SeatLevel,INDEX(LevelList,2),SeatMandate,"No")*(INDEX(LevelBasic,2)+INDEX(LevelHousing,2)+INDEX(LevelTransport,2)+INDEX(LevelBasic,2)*INDEX(LevelBonus,2)+(INDEX(LevelBasic,2)+INDEX(LevelHousing,2))*GosiOther)+SUMIFS(SeatApproved,SeatDivision,"Digital Channels Division",SeatLevel,INDEX(LevelList,3),SeatMandate,"Yes")*(INDEX(LevelBasic,3)+INDEX(LevelHousing,3)+INDEX(LevelTransport,3)+INDEX(LevelBasic,3)*INDEX(LevelBonus,3)+(INDEX(LevelBasic,3)+INDEX(LevelHousing,3))*GosiSaudi)+SUMIFS(SeatApproved,SeatDivision,"Digital Channels Division",SeatLevel,INDEX(LevelList,3),SeatMandate,"No")*(INDEX(LevelBasic,3)+INDEX(LevelHousing,3)+INDEX(LevelTransport,3)+INDEX(LevelBasic,3)*INDEX(LevelBonus,3)+(INDEX(LevelBasic,3)+INDEX(LevelHousing,3))*GosiOther)+SUMIFS(SeatApproved,SeatDivision,"Digital Channels Division",SeatLevel,INDEX(LevelList,4),SeatMandate,"Yes")*(INDEX(LevelBasic,4)+INDEX(LevelHousing,4)+INDEX(LevelTransport,4)+INDEX(LevelBasic,4)*INDEX(LevelBonus,4)+(INDEX(LevelBasic,4)+INDEX(LevelHousing,4))*GosiSaudi)+SUMIFS(SeatApproved,SeatDivision,"Digital Channels Division",SeatLevel,INDEX(LevelList,4),SeatMandate,"No")*(INDEX(LevelBasic,4)+INDEX(LevelHousing,4)+INDEX(LevelTransport,4)+INDEX(LevelBasic,4)*INDEX(LevelBonus,4)+(INDEX(LevelBasic,4)+INDEX(LevelHousing,4))*GosiOther)+SUMIFS(SeatApproved,SeatDivision,"Digital Channels Division",SeatLevel,INDEX(LevelList,5),SeatMandate,"Yes")*(INDEX(LevelBasic,5)+INDEX(LevelHousing,5)+INDEX(LevelTransport,5)+INDEX(LevelBasic,5)*INDEX(LevelBonus,5)+(INDEX(LevelBasic,5)+INDEX(LevelHousing,5))*GosiSaudi)+SUMIFS(SeatApproved,SeatDivision,"Digital Channels Division",SeatLevel,INDEX(LevelList,5),SeatMandate,"No")*(INDEX(LevelBasic,5)+INDEX(LevelHousing,5)+INDEX(LevelTransport,5)+INDEX(LevelBasic,5)*INDEX(LevelBonus,5)+(INDEX(LevelBasic,5)+INDEX(LevelHousing,5))*GosiOther)+SUMIFS(SeatApproved,SeatDivision,"Digital Channels Division",SeatLevel,INDEX(LevelList,6),SeatMandate,"Yes")*(INDEX(LevelBasic,6)+INDEX(LevelHousing,6)+INDEX(LevelTransport,6)+INDEX(LevelBasic,6)*INDEX(LevelBonus,6)+(INDEX(LevelBasic,6)+INDEX(LevelHousing,6))*GosiSaudi)+SUMIFS(SeatApproved,SeatDivision,"Digital Channels Division",SeatLevel,INDEX(LevelList,6),SeatMandate,"No")*(INDEX(LevelBasic,6)+INDEX(LevelHousing,6)+INDEX(LevelTransport,6)+INDEX(LevelBasic,6)*INDEX(LevelBonus,6)+(INDEX(LevelBasic,6)+INDEX(LevelHousing,6))*GosiOther)</f>
        <v>0</v>
      </c>
      <c r="C19" s="28" t="n">
        <f aca="false">SUMIFS(SeatExits,SeatDivision,"Digital Channels Division",SeatLevel,INDEX(LevelList,1),SeatMandate,"Yes")*(INDEX(LevelBasic,1)+INDEX(LevelHousing,1)+INDEX(LevelTransport,1)+INDEX(LevelBasic,1)*INDEX(LevelBonus,1)+(INDEX(LevelBasic,1)+INDEX(LevelHousing,1))*GosiSaudi)+SUMIFS(SeatExits,SeatDivision,"Digital Channels Division",SeatLevel,INDEX(LevelList,1),SeatMandate,"No")*(INDEX(LevelBasic,1)+INDEX(LevelHousing,1)+INDEX(LevelTransport,1)+INDEX(LevelBasic,1)*INDEX(LevelBonus,1)+(INDEX(LevelBasic,1)+INDEX(LevelHousing,1))*GosiOther)+SUMIFS(SeatExits,SeatDivision,"Digital Channels Division",SeatLevel,INDEX(LevelList,2),SeatMandate,"Yes")*(INDEX(LevelBasic,2)+INDEX(LevelHousing,2)+INDEX(LevelTransport,2)+INDEX(LevelBasic,2)*INDEX(LevelBonus,2)+(INDEX(LevelBasic,2)+INDEX(LevelHousing,2))*GosiSaudi)+SUMIFS(SeatExits,SeatDivision,"Digital Channels Division",SeatLevel,INDEX(LevelList,2),SeatMandate,"No")*(INDEX(LevelBasic,2)+INDEX(LevelHousing,2)+INDEX(LevelTransport,2)+INDEX(LevelBasic,2)*INDEX(LevelBonus,2)+(INDEX(LevelBasic,2)+INDEX(LevelHousing,2))*GosiOther)+SUMIFS(SeatExits,SeatDivision,"Digital Channels Division",SeatLevel,INDEX(LevelList,3),SeatMandate,"Yes")*(INDEX(LevelBasic,3)+INDEX(LevelHousing,3)+INDEX(LevelTransport,3)+INDEX(LevelBasic,3)*INDEX(LevelBonus,3)+(INDEX(LevelBasic,3)+INDEX(LevelHousing,3))*GosiSaudi)+SUMIFS(SeatExits,SeatDivision,"Digital Channels Division",SeatLevel,INDEX(LevelList,3),SeatMandate,"No")*(INDEX(LevelBasic,3)+INDEX(LevelHousing,3)+INDEX(LevelTransport,3)+INDEX(LevelBasic,3)*INDEX(LevelBonus,3)+(INDEX(LevelBasic,3)+INDEX(LevelHousing,3))*GosiOther)+SUMIFS(SeatExits,SeatDivision,"Digital Channels Division",SeatLevel,INDEX(LevelList,4),SeatMandate,"Yes")*(INDEX(LevelBasic,4)+INDEX(LevelHousing,4)+INDEX(LevelTransport,4)+INDEX(LevelBasic,4)*INDEX(LevelBonus,4)+(INDEX(LevelBasic,4)+INDEX(LevelHousing,4))*GosiSaudi)+SUMIFS(SeatExits,SeatDivision,"Digital Channels Division",SeatLevel,INDEX(LevelList,4),SeatMandate,"No")*(INDEX(LevelBasic,4)+INDEX(LevelHousing,4)+INDEX(LevelTransport,4)+INDEX(LevelBasic,4)*INDEX(LevelBonus,4)+(INDEX(LevelBasic,4)+INDEX(LevelHousing,4))*GosiOther)+SUMIFS(SeatExits,SeatDivision,"Digital Channels Division",SeatLevel,INDEX(LevelList,5),SeatMandate,"Yes")*(INDEX(LevelBasic,5)+INDEX(LevelHousing,5)+INDEX(LevelTransport,5)+INDEX(LevelBasic,5)*INDEX(LevelBonus,5)+(INDEX(LevelBasic,5)+INDEX(LevelHousing,5))*GosiSaudi)+SUMIFS(SeatExits,SeatDivision,"Digital Channels Division",SeatLevel,INDEX(LevelList,5),SeatMandate,"No")*(INDEX(LevelBasic,5)+INDEX(LevelHousing,5)+INDEX(LevelTransport,5)+INDEX(LevelBasic,5)*INDEX(LevelBonus,5)+(INDEX(LevelBasic,5)+INDEX(LevelHousing,5))*GosiOther)+SUMIFS(SeatExits,SeatDivision,"Digital Channels Division",SeatLevel,INDEX(LevelList,6),SeatMandate,"Yes")*(INDEX(LevelBasic,6)+INDEX(LevelHousing,6)+INDEX(LevelTransport,6)+INDEX(LevelBasic,6)*INDEX(LevelBonus,6)+(INDEX(LevelBasic,6)+INDEX(LevelHousing,6))*GosiSaudi)+SUMIFS(SeatExits,SeatDivision,"Digital Channels Division",SeatLevel,INDEX(LevelList,6),SeatMandate,"No")*(INDEX(LevelBasic,6)+INDEX(LevelHousing,6)+INDEX(LevelTransport,6)+INDEX(LevelBasic,6)*INDEX(LevelBonus,6)+(INDEX(LevelBasic,6)+INDEX(LevelHousing,6))*GosiOther)</f>
        <v>0</v>
      </c>
      <c r="D19" s="28" t="n">
        <f aca="false">SUMIFS(AskTotal,AskDivision,"Digital Channels Division",AskLevel,INDEX(LevelList,1))*(INDEX(LevelBasic,1)+INDEX(LevelHousing,1)+INDEX(LevelTransport,1)+INDEX(LevelBasic,1)*INDEX(LevelBonus,1)+(INDEX(LevelBasic,1)+INDEX(LevelHousing,1))*GosiSaudi)+SUMIFS(AskTotal,AskDivision,"Digital Channels Division",AskLevel,INDEX(LevelList,2))*(INDEX(LevelBasic,2)+INDEX(LevelHousing,2)+INDEX(LevelTransport,2)+INDEX(LevelBasic,2)*INDEX(LevelBonus,2)+(INDEX(LevelBasic,2)+INDEX(LevelHousing,2))*GosiSaudi)+SUMIFS(AskTotal,AskDivision,"Digital Channels Division",AskLevel,INDEX(LevelList,3))*(INDEX(LevelBasic,3)+INDEX(LevelHousing,3)+INDEX(LevelTransport,3)+INDEX(LevelBasic,3)*INDEX(LevelBonus,3)+(INDEX(LevelBasic,3)+INDEX(LevelHousing,3))*GosiSaudi)+SUMIFS(AskTotal,AskDivision,"Digital Channels Division",AskLevel,INDEX(LevelList,4))*(INDEX(LevelBasic,4)+INDEX(LevelHousing,4)+INDEX(LevelTransport,4)+INDEX(LevelBasic,4)*INDEX(LevelBonus,4)+(INDEX(LevelBasic,4)+INDEX(LevelHousing,4))*GosiSaudi)+SUMIFS(AskTotal,AskDivision,"Digital Channels Division",AskLevel,INDEX(LevelList,5))*(INDEX(LevelBasic,5)+INDEX(LevelHousing,5)+INDEX(LevelTransport,5)+INDEX(LevelBasic,5)*INDEX(LevelBonus,5)+(INDEX(LevelBasic,5)+INDEX(LevelHousing,5))*GosiSaudi)+SUMIFS(AskTotal,AskDivision,"Digital Channels Division",AskLevel,INDEX(LevelList,6))*(INDEX(LevelBasic,6)+INDEX(LevelHousing,6)+INDEX(LevelTransport,6)+INDEX(LevelBasic,6)*INDEX(LevelBonus,6)+(INDEX(LevelBasic,6)+INDEX(LevelHousing,6))*GosiSaudi)</f>
        <v>0</v>
      </c>
      <c r="E19" s="28" t="n">
        <f aca="false">$B19-$C19+$D19</f>
        <v>0</v>
      </c>
      <c r="F19" s="28" t="n">
        <f aca="false">$E19-$B19</f>
        <v>0</v>
      </c>
    </row>
    <row r="20" customFormat="false" ht="15" hidden="false" customHeight="false" outlineLevel="0" collapsed="false">
      <c r="A20" s="9" t="s">
        <v>285</v>
      </c>
      <c r="B20" s="28" t="n">
        <f aca="false">SUMIFS(SeatApproved,SeatDivision,"Infrastructure Division",SeatLevel,INDEX(LevelList,1),SeatMandate,"Yes")*(INDEX(LevelBasic,1)+INDEX(LevelHousing,1)+INDEX(LevelTransport,1)+INDEX(LevelBasic,1)*INDEX(LevelBonus,1)+(INDEX(LevelBasic,1)+INDEX(LevelHousing,1))*GosiSaudi)+SUMIFS(SeatApproved,SeatDivision,"Infrastructure Division",SeatLevel,INDEX(LevelList,1),SeatMandate,"No")*(INDEX(LevelBasic,1)+INDEX(LevelHousing,1)+INDEX(LevelTransport,1)+INDEX(LevelBasic,1)*INDEX(LevelBonus,1)+(INDEX(LevelBasic,1)+INDEX(LevelHousing,1))*GosiOther)+SUMIFS(SeatApproved,SeatDivision,"Infrastructure Division",SeatLevel,INDEX(LevelList,2),SeatMandate,"Yes")*(INDEX(LevelBasic,2)+INDEX(LevelHousing,2)+INDEX(LevelTransport,2)+INDEX(LevelBasic,2)*INDEX(LevelBonus,2)+(INDEX(LevelBasic,2)+INDEX(LevelHousing,2))*GosiSaudi)+SUMIFS(SeatApproved,SeatDivision,"Infrastructure Division",SeatLevel,INDEX(LevelList,2),SeatMandate,"No")*(INDEX(LevelBasic,2)+INDEX(LevelHousing,2)+INDEX(LevelTransport,2)+INDEX(LevelBasic,2)*INDEX(LevelBonus,2)+(INDEX(LevelBasic,2)+INDEX(LevelHousing,2))*GosiOther)+SUMIFS(SeatApproved,SeatDivision,"Infrastructure Division",SeatLevel,INDEX(LevelList,3),SeatMandate,"Yes")*(INDEX(LevelBasic,3)+INDEX(LevelHousing,3)+INDEX(LevelTransport,3)+INDEX(LevelBasic,3)*INDEX(LevelBonus,3)+(INDEX(LevelBasic,3)+INDEX(LevelHousing,3))*GosiSaudi)+SUMIFS(SeatApproved,SeatDivision,"Infrastructure Division",SeatLevel,INDEX(LevelList,3),SeatMandate,"No")*(INDEX(LevelBasic,3)+INDEX(LevelHousing,3)+INDEX(LevelTransport,3)+INDEX(LevelBasic,3)*INDEX(LevelBonus,3)+(INDEX(LevelBasic,3)+INDEX(LevelHousing,3))*GosiOther)+SUMIFS(SeatApproved,SeatDivision,"Infrastructure Division",SeatLevel,INDEX(LevelList,4),SeatMandate,"Yes")*(INDEX(LevelBasic,4)+INDEX(LevelHousing,4)+INDEX(LevelTransport,4)+INDEX(LevelBasic,4)*INDEX(LevelBonus,4)+(INDEX(LevelBasic,4)+INDEX(LevelHousing,4))*GosiSaudi)+SUMIFS(SeatApproved,SeatDivision,"Infrastructure Division",SeatLevel,INDEX(LevelList,4),SeatMandate,"No")*(INDEX(LevelBasic,4)+INDEX(LevelHousing,4)+INDEX(LevelTransport,4)+INDEX(LevelBasic,4)*INDEX(LevelBonus,4)+(INDEX(LevelBasic,4)+INDEX(LevelHousing,4))*GosiOther)+SUMIFS(SeatApproved,SeatDivision,"Infrastructure Division",SeatLevel,INDEX(LevelList,5),SeatMandate,"Yes")*(INDEX(LevelBasic,5)+INDEX(LevelHousing,5)+INDEX(LevelTransport,5)+INDEX(LevelBasic,5)*INDEX(LevelBonus,5)+(INDEX(LevelBasic,5)+INDEX(LevelHousing,5))*GosiSaudi)+SUMIFS(SeatApproved,SeatDivision,"Infrastructure Division",SeatLevel,INDEX(LevelList,5),SeatMandate,"No")*(INDEX(LevelBasic,5)+INDEX(LevelHousing,5)+INDEX(LevelTransport,5)+INDEX(LevelBasic,5)*INDEX(LevelBonus,5)+(INDEX(LevelBasic,5)+INDEX(LevelHousing,5))*GosiOther)+SUMIFS(SeatApproved,SeatDivision,"Infrastructure Division",SeatLevel,INDEX(LevelList,6),SeatMandate,"Yes")*(INDEX(LevelBasic,6)+INDEX(LevelHousing,6)+INDEX(LevelTransport,6)+INDEX(LevelBasic,6)*INDEX(LevelBonus,6)+(INDEX(LevelBasic,6)+INDEX(LevelHousing,6))*GosiSaudi)+SUMIFS(SeatApproved,SeatDivision,"Infrastructure Division",SeatLevel,INDEX(LevelList,6),SeatMandate,"No")*(INDEX(LevelBasic,6)+INDEX(LevelHousing,6)+INDEX(LevelTransport,6)+INDEX(LevelBasic,6)*INDEX(LevelBonus,6)+(INDEX(LevelBasic,6)+INDEX(LevelHousing,6))*GosiOther)</f>
        <v>0</v>
      </c>
      <c r="C20" s="28" t="n">
        <f aca="false">SUMIFS(SeatExits,SeatDivision,"Infrastructure Division",SeatLevel,INDEX(LevelList,1),SeatMandate,"Yes")*(INDEX(LevelBasic,1)+INDEX(LevelHousing,1)+INDEX(LevelTransport,1)+INDEX(LevelBasic,1)*INDEX(LevelBonus,1)+(INDEX(LevelBasic,1)+INDEX(LevelHousing,1))*GosiSaudi)+SUMIFS(SeatExits,SeatDivision,"Infrastructure Division",SeatLevel,INDEX(LevelList,1),SeatMandate,"No")*(INDEX(LevelBasic,1)+INDEX(LevelHousing,1)+INDEX(LevelTransport,1)+INDEX(LevelBasic,1)*INDEX(LevelBonus,1)+(INDEX(LevelBasic,1)+INDEX(LevelHousing,1))*GosiOther)+SUMIFS(SeatExits,SeatDivision,"Infrastructure Division",SeatLevel,INDEX(LevelList,2),SeatMandate,"Yes")*(INDEX(LevelBasic,2)+INDEX(LevelHousing,2)+INDEX(LevelTransport,2)+INDEX(LevelBasic,2)*INDEX(LevelBonus,2)+(INDEX(LevelBasic,2)+INDEX(LevelHousing,2))*GosiSaudi)+SUMIFS(SeatExits,SeatDivision,"Infrastructure Division",SeatLevel,INDEX(LevelList,2),SeatMandate,"No")*(INDEX(LevelBasic,2)+INDEX(LevelHousing,2)+INDEX(LevelTransport,2)+INDEX(LevelBasic,2)*INDEX(LevelBonus,2)+(INDEX(LevelBasic,2)+INDEX(LevelHousing,2))*GosiOther)+SUMIFS(SeatExits,SeatDivision,"Infrastructure Division",SeatLevel,INDEX(LevelList,3),SeatMandate,"Yes")*(INDEX(LevelBasic,3)+INDEX(LevelHousing,3)+INDEX(LevelTransport,3)+INDEX(LevelBasic,3)*INDEX(LevelBonus,3)+(INDEX(LevelBasic,3)+INDEX(LevelHousing,3))*GosiSaudi)+SUMIFS(SeatExits,SeatDivision,"Infrastructure Division",SeatLevel,INDEX(LevelList,3),SeatMandate,"No")*(INDEX(LevelBasic,3)+INDEX(LevelHousing,3)+INDEX(LevelTransport,3)+INDEX(LevelBasic,3)*INDEX(LevelBonus,3)+(INDEX(LevelBasic,3)+INDEX(LevelHousing,3))*GosiOther)+SUMIFS(SeatExits,SeatDivision,"Infrastructure Division",SeatLevel,INDEX(LevelList,4),SeatMandate,"Yes")*(INDEX(LevelBasic,4)+INDEX(LevelHousing,4)+INDEX(LevelTransport,4)+INDEX(LevelBasic,4)*INDEX(LevelBonus,4)+(INDEX(LevelBasic,4)+INDEX(LevelHousing,4))*GosiSaudi)+SUMIFS(SeatExits,SeatDivision,"Infrastructure Division",SeatLevel,INDEX(LevelList,4),SeatMandate,"No")*(INDEX(LevelBasic,4)+INDEX(LevelHousing,4)+INDEX(LevelTransport,4)+INDEX(LevelBasic,4)*INDEX(LevelBonus,4)+(INDEX(LevelBasic,4)+INDEX(LevelHousing,4))*GosiOther)+SUMIFS(SeatExits,SeatDivision,"Infrastructure Division",SeatLevel,INDEX(LevelList,5),SeatMandate,"Yes")*(INDEX(LevelBasic,5)+INDEX(LevelHousing,5)+INDEX(LevelTransport,5)+INDEX(LevelBasic,5)*INDEX(LevelBonus,5)+(INDEX(LevelBasic,5)+INDEX(LevelHousing,5))*GosiSaudi)+SUMIFS(SeatExits,SeatDivision,"Infrastructure Division",SeatLevel,INDEX(LevelList,5),SeatMandate,"No")*(INDEX(LevelBasic,5)+INDEX(LevelHousing,5)+INDEX(LevelTransport,5)+INDEX(LevelBasic,5)*INDEX(LevelBonus,5)+(INDEX(LevelBasic,5)+INDEX(LevelHousing,5))*GosiOther)+SUMIFS(SeatExits,SeatDivision,"Infrastructure Division",SeatLevel,INDEX(LevelList,6),SeatMandate,"Yes")*(INDEX(LevelBasic,6)+INDEX(LevelHousing,6)+INDEX(LevelTransport,6)+INDEX(LevelBasic,6)*INDEX(LevelBonus,6)+(INDEX(LevelBasic,6)+INDEX(LevelHousing,6))*GosiSaudi)+SUMIFS(SeatExits,SeatDivision,"Infrastructure Division",SeatLevel,INDEX(LevelList,6),SeatMandate,"No")*(INDEX(LevelBasic,6)+INDEX(LevelHousing,6)+INDEX(LevelTransport,6)+INDEX(LevelBasic,6)*INDEX(LevelBonus,6)+(INDEX(LevelBasic,6)+INDEX(LevelHousing,6))*GosiOther)</f>
        <v>0</v>
      </c>
      <c r="D20" s="28" t="n">
        <f aca="false">SUMIFS(AskTotal,AskDivision,"Infrastructure Division",AskLevel,INDEX(LevelList,1))*(INDEX(LevelBasic,1)+INDEX(LevelHousing,1)+INDEX(LevelTransport,1)+INDEX(LevelBasic,1)*INDEX(LevelBonus,1)+(INDEX(LevelBasic,1)+INDEX(LevelHousing,1))*GosiSaudi)+SUMIFS(AskTotal,AskDivision,"Infrastructure Division",AskLevel,INDEX(LevelList,2))*(INDEX(LevelBasic,2)+INDEX(LevelHousing,2)+INDEX(LevelTransport,2)+INDEX(LevelBasic,2)*INDEX(LevelBonus,2)+(INDEX(LevelBasic,2)+INDEX(LevelHousing,2))*GosiSaudi)+SUMIFS(AskTotal,AskDivision,"Infrastructure Division",AskLevel,INDEX(LevelList,3))*(INDEX(LevelBasic,3)+INDEX(LevelHousing,3)+INDEX(LevelTransport,3)+INDEX(LevelBasic,3)*INDEX(LevelBonus,3)+(INDEX(LevelBasic,3)+INDEX(LevelHousing,3))*GosiSaudi)+SUMIFS(AskTotal,AskDivision,"Infrastructure Division",AskLevel,INDEX(LevelList,4))*(INDEX(LevelBasic,4)+INDEX(LevelHousing,4)+INDEX(LevelTransport,4)+INDEX(LevelBasic,4)*INDEX(LevelBonus,4)+(INDEX(LevelBasic,4)+INDEX(LevelHousing,4))*GosiSaudi)+SUMIFS(AskTotal,AskDivision,"Infrastructure Division",AskLevel,INDEX(LevelList,5))*(INDEX(LevelBasic,5)+INDEX(LevelHousing,5)+INDEX(LevelTransport,5)+INDEX(LevelBasic,5)*INDEX(LevelBonus,5)+(INDEX(LevelBasic,5)+INDEX(LevelHousing,5))*GosiSaudi)+SUMIFS(AskTotal,AskDivision,"Infrastructure Division",AskLevel,INDEX(LevelList,6))*(INDEX(LevelBasic,6)+INDEX(LevelHousing,6)+INDEX(LevelTransport,6)+INDEX(LevelBasic,6)*INDEX(LevelBonus,6)+(INDEX(LevelBasic,6)+INDEX(LevelHousing,6))*GosiSaudi)</f>
        <v>0</v>
      </c>
      <c r="E20" s="28" t="n">
        <f aca="false">$B20-$C20+$D20</f>
        <v>0</v>
      </c>
      <c r="F20" s="28" t="n">
        <f aca="false">$E20-$B20</f>
        <v>0</v>
      </c>
    </row>
    <row r="21" customFormat="false" ht="15" hidden="false" customHeight="false" outlineLevel="0" collapsed="false">
      <c r="A21" s="9" t="s">
        <v>542</v>
      </c>
      <c r="B21" s="28"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21" s="28"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21" s="28"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21" s="28" t="n">
        <f aca="false">$B21-$C21+$D21</f>
        <v>0</v>
      </c>
      <c r="F21" s="28" t="n">
        <f aca="false">$E21-$B21</f>
        <v>0</v>
      </c>
    </row>
    <row r="22" customFormat="false" ht="15" hidden="false" customHeight="false" outlineLevel="0" collapsed="false">
      <c r="A22" s="26" t="s">
        <v>543</v>
      </c>
      <c r="B22" s="15" t="n">
        <f aca="false">SUM(B16:B21)</f>
        <v>0</v>
      </c>
      <c r="C22" s="15" t="n">
        <f aca="false">SUM(C16:C21)</f>
        <v>0</v>
      </c>
      <c r="D22" s="15" t="n">
        <f aca="false">SUM(D16:D21)</f>
        <v>0</v>
      </c>
      <c r="E22" s="15" t="n">
        <f aca="false">SUM(E16:E21)</f>
        <v>0</v>
      </c>
      <c r="F22" s="15" t="n">
        <f aca="false">SUM(F16:F21)</f>
        <v>0</v>
      </c>
    </row>
    <row r="24" customFormat="false" ht="15" hidden="false" customHeight="false" outlineLevel="0" collapsed="false">
      <c r="A24" s="3" t="s">
        <v>546</v>
      </c>
    </row>
    <row r="25" customFormat="false" ht="15" hidden="false" customHeight="false" outlineLevel="0" collapsed="false">
      <c r="A25" s="6" t="s">
        <v>547</v>
      </c>
      <c r="B25"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25" s="29" t="s">
        <v>548</v>
      </c>
    </row>
    <row r="26" customFormat="false" ht="15" hidden="false" customHeight="false" outlineLevel="0" collapsed="false">
      <c r="A26" s="6" t="s">
        <v>549</v>
      </c>
      <c r="B26"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6" s="29" t="s">
        <v>550</v>
      </c>
    </row>
    <row r="28" customFormat="false" ht="15" hidden="false" customHeight="false" outlineLevel="0" collapsed="false">
      <c r="A28" s="3" t="s">
        <v>551</v>
      </c>
    </row>
    <row r="29" customFormat="false" ht="27.75" hidden="false" customHeight="true" outlineLevel="0" collapsed="false">
      <c r="A29" s="12" t="s">
        <v>552</v>
      </c>
      <c r="B29" s="12" t="s">
        <v>553</v>
      </c>
      <c r="C29" s="12" t="s">
        <v>554</v>
      </c>
      <c r="D29" s="12" t="s">
        <v>555</v>
      </c>
      <c r="E29" s="12" t="s">
        <v>556</v>
      </c>
      <c r="F29" s="12"/>
      <c r="G29" s="12"/>
    </row>
    <row r="30" customFormat="false" ht="15" hidden="false" customHeight="false" outlineLevel="0" collapsed="false">
      <c r="A30" s="30" t="s">
        <v>557</v>
      </c>
      <c r="B30" s="31" t="n">
        <f aca="false">CostEnvelope</f>
        <v>4928</v>
      </c>
      <c r="C30" s="32" t="n">
        <f aca="false">$F$22</f>
        <v>0</v>
      </c>
      <c r="D30" s="28" t="n">
        <f aca="false">$B30-$C30</f>
        <v>4928</v>
      </c>
      <c r="E30" s="33" t="str">
        <f aca="false">IF($D30&gt;=0,"Within envelope","Over envelope")</f>
        <v>Within envelope</v>
      </c>
      <c r="G30" s="34" t="s">
        <v>558</v>
      </c>
    </row>
    <row r="31" customFormat="false" ht="15" hidden="false" customHeight="false" outlineLevel="0" collapsed="false">
      <c r="A31" s="30" t="s">
        <v>559</v>
      </c>
      <c r="B31" s="35" t="n">
        <f aca="false">HeadEnvelope</f>
        <v>18</v>
      </c>
      <c r="C31" s="36" t="n">
        <f aca="false">$F$12</f>
        <v>0</v>
      </c>
      <c r="D31" s="25" t="n">
        <f aca="false">$B31-$C31</f>
        <v>18</v>
      </c>
      <c r="E31" s="33" t="str">
        <f aca="false">IF($D31&gt;=0,"Within envelope","Over envelope")</f>
        <v>Within envelope</v>
      </c>
      <c r="G31" s="34" t="s">
        <v>560</v>
      </c>
    </row>
    <row r="32" customFormat="false" ht="15" hidden="false" customHeight="false" outlineLevel="0" collapsed="false">
      <c r="A32" s="30" t="s">
        <v>561</v>
      </c>
      <c r="B32" s="37" t="n">
        <f aca="false">SaudiTarget</f>
        <v>0.65</v>
      </c>
      <c r="C32" s="38" t="n">
        <f aca="false">IFERROR(SUMIFS(SeatApproved,SeatMandate,"Yes")/SUM(SeatApproved),0)</f>
        <v>0</v>
      </c>
      <c r="D32" s="39" t="n">
        <f aca="false">$C32-$B32</f>
        <v>-0.65</v>
      </c>
      <c r="E32" s="33" t="str">
        <f aca="false">IF($C32&gt;=$B32,"At or above target","Below target")</f>
        <v>Below target</v>
      </c>
      <c r="G32" s="34" t="s">
        <v>562</v>
      </c>
    </row>
    <row r="34" customFormat="false" ht="15" hidden="false" customHeight="false" outlineLevel="0" collapsed="false">
      <c r="A34" s="3" t="s">
        <v>563</v>
      </c>
      <c r="G34" s="27" t="s">
        <v>564</v>
      </c>
    </row>
    <row r="35" customFormat="false" ht="27.75" hidden="false" customHeight="true" outlineLevel="0" collapsed="false">
      <c r="A35" s="12" t="s">
        <v>565</v>
      </c>
      <c r="B35" s="12" t="s">
        <v>529</v>
      </c>
      <c r="C35" s="12" t="s">
        <v>566</v>
      </c>
      <c r="D35" s="12" t="s">
        <v>567</v>
      </c>
      <c r="E35" s="12" t="s">
        <v>568</v>
      </c>
      <c r="F35" s="12"/>
      <c r="G35" s="12"/>
    </row>
    <row r="36" customFormat="false" ht="15" hidden="false" customHeight="false" outlineLevel="0" collapsed="false">
      <c r="A36" s="9" t="s">
        <v>569</v>
      </c>
      <c r="B36" s="25" t="n">
        <f aca="false">SUMIFS(AskTotal,AskCategory,"Regulatory")</f>
        <v>0</v>
      </c>
      <c r="C36" s="28"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6" s="28" t="n">
        <f aca="false">SUM($C$36:$C36)</f>
        <v>0</v>
      </c>
      <c r="E36" s="33" t="str">
        <f aca="false">IF($D36&lt;=CostEnvelope,"Yes","No")</f>
        <v>Yes</v>
      </c>
      <c r="G36" s="34" t="s">
        <v>570</v>
      </c>
    </row>
    <row r="37" customFormat="false" ht="15" hidden="false" customHeight="false" outlineLevel="0" collapsed="false">
      <c r="A37" s="9" t="s">
        <v>571</v>
      </c>
      <c r="B37" s="25" t="n">
        <f aca="false">SUMIFS(AskTotal,AskCategory,"Strategic")</f>
        <v>0</v>
      </c>
      <c r="C37" s="28"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7" s="28" t="n">
        <f aca="false">SUM($C$36:$C37)</f>
        <v>0</v>
      </c>
      <c r="E37" s="33" t="str">
        <f aca="false">IF($D37&lt;=CostEnvelope,"Yes","No")</f>
        <v>Yes</v>
      </c>
      <c r="G37" s="34" t="s">
        <v>572</v>
      </c>
    </row>
    <row r="38" customFormat="false" ht="15" hidden="false" customHeight="false" outlineLevel="0" collapsed="false">
      <c r="A38" s="9" t="s">
        <v>573</v>
      </c>
      <c r="B38" s="25" t="n">
        <f aca="false">SUMIFS(AskTotal,AskCategory,"Control")</f>
        <v>0</v>
      </c>
      <c r="C38" s="28"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8" s="28" t="n">
        <f aca="false">SUM($C$36:$C38)</f>
        <v>0</v>
      </c>
      <c r="E38" s="33" t="str">
        <f aca="false">IF($D38&lt;=CostEnvelope,"Yes","No")</f>
        <v>Yes</v>
      </c>
      <c r="G38" s="34" t="s">
        <v>574</v>
      </c>
    </row>
    <row r="39" customFormat="false" ht="15" hidden="false" customHeight="false" outlineLevel="0" collapsed="false">
      <c r="A39" s="9" t="s">
        <v>575</v>
      </c>
      <c r="B39" s="25" t="n">
        <f aca="false">SUMIFS(AskTotal,AskCategory,"BAU")</f>
        <v>0</v>
      </c>
      <c r="C39" s="28"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9" s="28" t="n">
        <f aca="false">SUM($C$36:$C39)</f>
        <v>0</v>
      </c>
      <c r="E39" s="33" t="str">
        <f aca="false">IF($D39&lt;=CostEnvelope,"Yes","No")</f>
        <v>Yes</v>
      </c>
      <c r="G39" s="34" t="s">
        <v>576</v>
      </c>
    </row>
    <row r="41" customFormat="false" ht="15" hidden="false" customHeight="false" outlineLevel="0" collapsed="false">
      <c r="A41" s="3" t="s">
        <v>577</v>
      </c>
    </row>
    <row r="42" customFormat="false" ht="27.75" hidden="false" customHeight="true" outlineLevel="0" collapsed="false">
      <c r="A42" s="12" t="s">
        <v>525</v>
      </c>
      <c r="B42" s="12" t="s">
        <v>529</v>
      </c>
      <c r="C42" s="12" t="s">
        <v>578</v>
      </c>
      <c r="D42" s="12" t="s">
        <v>579</v>
      </c>
      <c r="E42" s="12"/>
      <c r="F42" s="12"/>
      <c r="G42" s="12"/>
    </row>
    <row r="43" customFormat="false" ht="15" hidden="false" customHeight="false" outlineLevel="0" collapsed="false">
      <c r="A43" s="9" t="s">
        <v>530</v>
      </c>
      <c r="B43" s="25" t="n">
        <f aca="false">SUM(AskQ1)</f>
        <v>0</v>
      </c>
      <c r="C43" s="40" t="n">
        <v>1</v>
      </c>
      <c r="D43" s="28"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44" customFormat="false" ht="15" hidden="false" customHeight="false" outlineLevel="0" collapsed="false">
      <c r="A44" s="9" t="s">
        <v>531</v>
      </c>
      <c r="B44" s="25" t="n">
        <f aca="false">SUM(AskQ2)</f>
        <v>0</v>
      </c>
      <c r="C44" s="40" t="n">
        <v>0.75</v>
      </c>
      <c r="D44" s="28"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45" customFormat="false" ht="15" hidden="false" customHeight="false" outlineLevel="0" collapsed="false">
      <c r="A45" s="9" t="s">
        <v>532</v>
      </c>
      <c r="B45" s="25" t="n">
        <f aca="false">SUM(AskQ3)</f>
        <v>0</v>
      </c>
      <c r="C45" s="40" t="n">
        <v>0.5</v>
      </c>
      <c r="D45" s="28"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6" customFormat="false" ht="15" hidden="false" customHeight="false" outlineLevel="0" collapsed="false">
      <c r="A46" s="9" t="s">
        <v>533</v>
      </c>
      <c r="B46" s="25" t="n">
        <f aca="false">SUM(AskQ4)</f>
        <v>0</v>
      </c>
      <c r="C46" s="40" t="n">
        <v>0.25</v>
      </c>
      <c r="D46" s="28"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8" customFormat="false" ht="15" hidden="false" customHeight="false" outlineLevel="0" collapsed="false">
      <c r="A68" s="3" t="s">
        <v>580</v>
      </c>
      <c r="G68" s="27" t="s">
        <v>581</v>
      </c>
    </row>
    <row r="69" customFormat="false" ht="27.75" hidden="false" customHeight="true" outlineLevel="0" collapsed="false">
      <c r="A69" s="12" t="s">
        <v>38</v>
      </c>
      <c r="B69" s="12" t="s">
        <v>528</v>
      </c>
      <c r="C69" s="12" t="s">
        <v>358</v>
      </c>
      <c r="D69" s="12" t="s">
        <v>529</v>
      </c>
      <c r="E69" s="12" t="s">
        <v>541</v>
      </c>
      <c r="F69" s="12" t="s">
        <v>582</v>
      </c>
      <c r="G69" s="12" t="s">
        <v>566</v>
      </c>
    </row>
    <row r="70" customFormat="false" ht="15" hidden="false" customHeight="false" outlineLevel="0" collapsed="false">
      <c r="A70" s="10" t="str">
        <f aca="false">$A6</f>
        <v>Core Banking Division</v>
      </c>
      <c r="B70" s="25" t="n">
        <f aca="false">$B6</f>
        <v>72</v>
      </c>
      <c r="C70" s="25" t="n">
        <f aca="false">$C6</f>
        <v>0</v>
      </c>
      <c r="D70" s="25" t="n">
        <f aca="false">$D6</f>
        <v>0</v>
      </c>
      <c r="E70" s="25" t="n">
        <f aca="false">$E6</f>
        <v>72</v>
      </c>
      <c r="F70" s="25" t="n">
        <f aca="false">SUMIFS(SeatApproved,SeatDivision,"Core Banking Division",SeatMandate,"Yes")</f>
        <v>0</v>
      </c>
      <c r="G70" s="28" t="n">
        <f aca="false">$E16</f>
        <v>0</v>
      </c>
    </row>
    <row r="71" customFormat="false" ht="15" hidden="false" customHeight="false" outlineLevel="0" collapsed="false">
      <c r="A71" s="10" t="str">
        <f aca="false">$A7</f>
        <v>Cybersecurity Division</v>
      </c>
      <c r="B71" s="25" t="n">
        <f aca="false">$B7</f>
        <v>72</v>
      </c>
      <c r="C71" s="25" t="n">
        <f aca="false">$C7</f>
        <v>0</v>
      </c>
      <c r="D71" s="25" t="n">
        <f aca="false">$D7</f>
        <v>0</v>
      </c>
      <c r="E71" s="25" t="n">
        <f aca="false">$E7</f>
        <v>72</v>
      </c>
      <c r="F71" s="25" t="n">
        <f aca="false">SUMIFS(SeatApproved,SeatDivision,"Cybersecurity Division",SeatMandate,"Yes")</f>
        <v>0</v>
      </c>
      <c r="G71" s="28" t="n">
        <f aca="false">$E17</f>
        <v>0</v>
      </c>
    </row>
    <row r="72" customFormat="false" ht="15" hidden="false" customHeight="false" outlineLevel="0" collapsed="false">
      <c r="A72" s="10" t="str">
        <f aca="false">$A8</f>
        <v>Data &amp; Analytics Division</v>
      </c>
      <c r="B72" s="25" t="n">
        <f aca="false">$B8</f>
        <v>74</v>
      </c>
      <c r="C72" s="25" t="n">
        <f aca="false">$C8</f>
        <v>0</v>
      </c>
      <c r="D72" s="25" t="n">
        <f aca="false">$D8</f>
        <v>0</v>
      </c>
      <c r="E72" s="25" t="n">
        <f aca="false">$E8</f>
        <v>74</v>
      </c>
      <c r="F72" s="25" t="n">
        <f aca="false">SUMIFS(SeatApproved,SeatDivision,"Data &amp; Analytics Division",SeatMandate,"Yes")</f>
        <v>0</v>
      </c>
      <c r="G72" s="28" t="n">
        <f aca="false">$E18</f>
        <v>0</v>
      </c>
    </row>
    <row r="73" customFormat="false" ht="15" hidden="false" customHeight="false" outlineLevel="0" collapsed="false">
      <c r="A73" s="10" t="str">
        <f aca="false">$A9</f>
        <v>Digital Channels Division</v>
      </c>
      <c r="B73" s="25" t="n">
        <f aca="false">$B9</f>
        <v>72</v>
      </c>
      <c r="C73" s="25" t="n">
        <f aca="false">$C9</f>
        <v>0</v>
      </c>
      <c r="D73" s="25" t="n">
        <f aca="false">$D9</f>
        <v>0</v>
      </c>
      <c r="E73" s="25" t="n">
        <f aca="false">$E9</f>
        <v>72</v>
      </c>
      <c r="F73" s="25" t="n">
        <f aca="false">SUMIFS(SeatApproved,SeatDivision,"Digital Channels Division",SeatMandate,"Yes")</f>
        <v>0</v>
      </c>
      <c r="G73" s="28" t="n">
        <f aca="false">$E19</f>
        <v>0</v>
      </c>
    </row>
    <row r="74" customFormat="false" ht="15" hidden="false" customHeight="false" outlineLevel="0" collapsed="false">
      <c r="A74" s="10" t="str">
        <f aca="false">$A10</f>
        <v>Infrastructure Division</v>
      </c>
      <c r="B74" s="25" t="n">
        <f aca="false">$B10</f>
        <v>71</v>
      </c>
      <c r="C74" s="25" t="n">
        <f aca="false">$C10</f>
        <v>0</v>
      </c>
      <c r="D74" s="25" t="n">
        <f aca="false">$D10</f>
        <v>0</v>
      </c>
      <c r="E74" s="25" t="n">
        <f aca="false">$E10</f>
        <v>71</v>
      </c>
      <c r="F74" s="25" t="n">
        <f aca="false">SUMIFS(SeatApproved,SeatDivision,"Infrastructure Division",SeatMandate,"Yes")</f>
        <v>0</v>
      </c>
      <c r="G74" s="28" t="n">
        <f aca="false">$E20</f>
        <v>0</v>
      </c>
    </row>
    <row r="75" customFormat="false" ht="15" hidden="false" customHeight="false" outlineLevel="0" collapsed="false">
      <c r="A75" s="10" t="str">
        <f aca="false">$A11</f>
        <v>Reporting to the group directly</v>
      </c>
      <c r="B75" s="25" t="n">
        <f aca="false">$B11</f>
        <v>1</v>
      </c>
      <c r="C75" s="25" t="n">
        <f aca="false">$C11</f>
        <v>0</v>
      </c>
      <c r="D75" s="25" t="n">
        <f aca="false">$D11</f>
        <v>0</v>
      </c>
      <c r="E75" s="25" t="n">
        <f aca="false">$E11</f>
        <v>1</v>
      </c>
      <c r="F75" s="25" t="n">
        <f aca="false">SUMIFS(SeatApproved,SeatDivision,"",SeatMandate,"Yes")</f>
        <v>0</v>
      </c>
      <c r="G75" s="28" t="n">
        <f aca="false">$E21</f>
        <v>0</v>
      </c>
    </row>
  </sheetData>
  <sheetProtection sheet="true" sort="false" autoFilter="false"/>
  <mergeCells count="1">
    <mergeCell ref="A2:J2"/>
  </mergeCells>
  <conditionalFormatting sqref="F6:F11">
    <cfRule type="cellIs" priority="2" operator="lessThan" aboveAverage="0" equalAverage="0" bottom="0" percent="0" rank="0" text="" dxfId="14">
      <formula>0</formula>
    </cfRule>
  </conditionalFormatting>
  <conditionalFormatting sqref="E30:E32">
    <cfRule type="expression" priority="3" aboveAverage="0" equalAverage="0" bottom="0" percent="0" rank="0" text="" dxfId="1">
      <formula>OR($E30="Over envelope",$E30="Below target")</formula>
    </cfRule>
    <cfRule type="expression" priority="4" aboveAverage="0" equalAverage="0" bottom="0" percent="0" rank="0" text="" dxfId="0">
      <formula>OR($E30="Within envelope",$E30="At or above target")</formula>
    </cfRule>
  </conditionalFormatting>
  <conditionalFormatting sqref="E36:E39">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583</v>
      </c>
    </row>
    <row r="2" customFormat="false" ht="15" hidden="false" customHeight="false" outlineLevel="0" collapsed="false">
      <c r="A2" s="2" t="s">
        <v>584</v>
      </c>
      <c r="B2" s="2"/>
      <c r="C2" s="2"/>
      <c r="D2" s="2"/>
      <c r="E2" s="2"/>
      <c r="F2" s="2"/>
      <c r="G2" s="2"/>
      <c r="H2" s="2"/>
      <c r="I2" s="2"/>
      <c r="J2" s="2"/>
    </row>
    <row r="4" customFormat="false" ht="15" hidden="false" customHeight="false" outlineLevel="0" collapsed="false">
      <c r="A4" s="3" t="s">
        <v>585</v>
      </c>
    </row>
    <row r="5" customFormat="false" ht="27.75" hidden="false" customHeight="true" outlineLevel="0" collapsed="false">
      <c r="A5" s="12" t="s">
        <v>586</v>
      </c>
      <c r="B5" s="12" t="s">
        <v>587</v>
      </c>
      <c r="C5" s="12" t="s">
        <v>556</v>
      </c>
      <c r="D5" s="12" t="s">
        <v>2</v>
      </c>
    </row>
    <row r="6" customFormat="false" ht="25.5" hidden="false" customHeight="true" outlineLevel="0" collapsed="false">
      <c r="A6" s="9" t="s">
        <v>588</v>
      </c>
      <c r="B6" s="28" t="n">
        <f aca="false">COUNTIF(SeatProblem,"?*")</f>
        <v>362</v>
      </c>
      <c r="C6" s="41" t="str">
        <f aca="false">IF($B6=0,"OK","Fix")</f>
        <v>Fix</v>
      </c>
      <c r="D6" s="42" t="s">
        <v>589</v>
      </c>
    </row>
    <row r="7" customFormat="false" ht="25.5" hidden="false" customHeight="true" outlineLevel="0" collapsed="false">
      <c r="A7" s="9" t="s">
        <v>590</v>
      </c>
      <c r="B7" s="28" t="n">
        <f aca="false">SUMPRODUCT((SeatTitle&lt;&gt;"")*(SeatLevel=""))</f>
        <v>362</v>
      </c>
      <c r="C7" s="41" t="str">
        <f aca="false">IF($B7=0,"OK","Fix")</f>
        <v>Fix</v>
      </c>
      <c r="D7" s="42" t="s">
        <v>591</v>
      </c>
    </row>
    <row r="8" customFormat="false" ht="25.5" hidden="false" customHeight="true" outlineLevel="0" collapsed="false">
      <c r="A8" s="9" t="s">
        <v>592</v>
      </c>
      <c r="B8" s="28" t="n">
        <f aca="false">SUMPRODUCT((SeatTitle&lt;&gt;"")*(SeatDirection=""))</f>
        <v>362</v>
      </c>
      <c r="C8" s="41" t="str">
        <f aca="false">IF($B8=0,"OK","Fix")</f>
        <v>Fix</v>
      </c>
      <c r="D8" s="42" t="s">
        <v>593</v>
      </c>
    </row>
    <row r="9" customFormat="false" ht="25.5" hidden="false" customHeight="true" outlineLevel="0" collapsed="false">
      <c r="A9" s="9" t="s">
        <v>594</v>
      </c>
      <c r="B9" s="28" t="n">
        <f aca="false">COUNTIF(AskProblem,"?*")</f>
        <v>0</v>
      </c>
      <c r="C9" s="41" t="str">
        <f aca="false">IF($B9=0,"OK","Fix")</f>
        <v>OK</v>
      </c>
      <c r="D9" s="42" t="s">
        <v>595</v>
      </c>
    </row>
    <row r="10" customFormat="false" ht="25.5" hidden="false" customHeight="true" outlineLevel="0" collapsed="false">
      <c r="A10" s="9" t="s">
        <v>596</v>
      </c>
      <c r="B10" s="28" t="n">
        <f aca="false">SUMPRODUCT((AskTitle&lt;&gt;"")*(N(AskTotal)&lt;=0))</f>
        <v>0</v>
      </c>
      <c r="C10" s="41" t="str">
        <f aca="false">IF($B10=0,"OK","Fix")</f>
        <v>OK</v>
      </c>
      <c r="D10" s="42" t="s">
        <v>597</v>
      </c>
    </row>
    <row r="11" customFormat="false" ht="25.5" hidden="false" customHeight="true" outlineLevel="0" collapsed="false">
      <c r="A11" s="9" t="s">
        <v>598</v>
      </c>
      <c r="B11" s="28" t="n">
        <f aca="false">SUMPRODUCT((AskUnit&lt;&gt;"")*(COUNTIF(UnitList,AskUnit)=0))</f>
        <v>0</v>
      </c>
      <c r="C11" s="41" t="str">
        <f aca="false">IF($B11=0,"OK","Fix")</f>
        <v>OK</v>
      </c>
      <c r="D11" s="42" t="s">
        <v>599</v>
      </c>
    </row>
    <row r="13" customFormat="false" ht="15" hidden="false" customHeight="false" outlineLevel="0" collapsed="false">
      <c r="A13" s="3" t="s">
        <v>600</v>
      </c>
    </row>
    <row r="14" customFormat="false" ht="27.75" hidden="false" customHeight="true" outlineLevel="0" collapsed="false">
      <c r="A14" s="12" t="s">
        <v>586</v>
      </c>
      <c r="B14" s="12" t="s">
        <v>587</v>
      </c>
      <c r="C14" s="12" t="s">
        <v>556</v>
      </c>
      <c r="D14" s="12" t="s">
        <v>2</v>
      </c>
    </row>
    <row r="15" customFormat="false" ht="25.5" hidden="false" customHeight="true" outlineLevel="0" collapsed="false">
      <c r="A15" s="9" t="s">
        <v>601</v>
      </c>
      <c r="B15" s="28" t="n">
        <f aca="false">IF(CostMine&gt;CostLimit,1,0)</f>
        <v>0</v>
      </c>
      <c r="C15" s="41" t="str">
        <f aca="false">IF($B15=0,"OK","Review")</f>
        <v>OK</v>
      </c>
      <c r="D15" s="42" t="s">
        <v>602</v>
      </c>
    </row>
    <row r="16" customFormat="false" ht="25.5" hidden="false" customHeight="true" outlineLevel="0" collapsed="false">
      <c r="A16" s="9" t="s">
        <v>603</v>
      </c>
      <c r="B16" s="28" t="n">
        <f aca="false">IF(HeadMine&gt;HeadLimit,1,0)</f>
        <v>0</v>
      </c>
      <c r="C16" s="41" t="str">
        <f aca="false">IF($B16=0,"OK","Review")</f>
        <v>OK</v>
      </c>
      <c r="D16" s="42" t="s">
        <v>604</v>
      </c>
    </row>
    <row r="17" customFormat="false" ht="25.5" hidden="false" customHeight="true" outlineLevel="0" collapsed="false">
      <c r="A17" s="9" t="s">
        <v>605</v>
      </c>
      <c r="B17" s="28" t="n">
        <f aca="false">IF(MandateMine&lt;MandateLimit,1,0)</f>
        <v>1</v>
      </c>
      <c r="C17" s="41" t="str">
        <f aca="false">IF($B17=0,"OK","Review")</f>
        <v>Review</v>
      </c>
      <c r="D17" s="42" t="s">
        <v>606</v>
      </c>
    </row>
    <row r="19" customFormat="false" ht="15" hidden="false" customHeight="false" outlineLevel="0" collapsed="false">
      <c r="A19" s="3" t="s">
        <v>607</v>
      </c>
      <c r="D19" s="27" t="s">
        <v>608</v>
      </c>
    </row>
    <row r="20" customFormat="false" ht="27.75" hidden="false" customHeight="true" outlineLevel="0" collapsed="false">
      <c r="A20" s="12" t="s">
        <v>609</v>
      </c>
      <c r="B20" s="12" t="s">
        <v>27</v>
      </c>
      <c r="C20" s="12" t="s">
        <v>527</v>
      </c>
      <c r="D20" s="12" t="s">
        <v>610</v>
      </c>
    </row>
    <row r="21" customFormat="false" ht="15" hidden="false" customHeight="false" outlineLevel="0" collapsed="false">
      <c r="A21" s="9" t="str">
        <f aca="false">IFERROR(IF(INDEX(AskRef,MATCH(1,AskIssueNo,0))=0,"",INDEX(AskRef,MATCH(1,AskIssueNo,0))),"")</f>
        <v/>
      </c>
      <c r="B21" s="9" t="str">
        <f aca="false">IFERROR(IF(INDEX(AskUnit,MATCH(1,AskIssueNo,0))=0,"",INDEX(AskUnit,MATCH(1,AskIssueNo,0))),"")</f>
        <v/>
      </c>
      <c r="C21" s="9" t="str">
        <f aca="false">IFERROR(IF(INDEX(AskTitle,MATCH(1,AskIssueNo,0))=0,"",INDEX(AskTitle,MATCH(1,AskIssueNo,0))),"")</f>
        <v/>
      </c>
      <c r="D21" s="43" t="str">
        <f aca="false">IFERROR(IF(INDEX(AskProblem,MATCH(1,AskIssueNo,0))=0,"",INDEX(AskProblem,MATCH(1,AskIssueNo,0))),"")</f>
        <v/>
      </c>
    </row>
    <row r="22" customFormat="false" ht="15" hidden="false" customHeight="false" outlineLevel="0" collapsed="false">
      <c r="A22" s="9" t="str">
        <f aca="false">IFERROR(IF(INDEX(AskRef,MATCH(2,AskIssueNo,0))=0,"",INDEX(AskRef,MATCH(2,AskIssueNo,0))),"")</f>
        <v/>
      </c>
      <c r="B22" s="9" t="str">
        <f aca="false">IFERROR(IF(INDEX(AskUnit,MATCH(2,AskIssueNo,0))=0,"",INDEX(AskUnit,MATCH(2,AskIssueNo,0))),"")</f>
        <v/>
      </c>
      <c r="C22" s="9" t="str">
        <f aca="false">IFERROR(IF(INDEX(AskTitle,MATCH(2,AskIssueNo,0))=0,"",INDEX(AskTitle,MATCH(2,AskIssueNo,0))),"")</f>
        <v/>
      </c>
      <c r="D22" s="43" t="str">
        <f aca="false">IFERROR(IF(INDEX(AskProblem,MATCH(2,AskIssueNo,0))=0,"",INDEX(AskProblem,MATCH(2,AskIssueNo,0))),"")</f>
        <v/>
      </c>
    </row>
    <row r="23" customFormat="false" ht="15" hidden="false" customHeight="false" outlineLevel="0" collapsed="false">
      <c r="A23" s="9" t="str">
        <f aca="false">IFERROR(IF(INDEX(AskRef,MATCH(3,AskIssueNo,0))=0,"",INDEX(AskRef,MATCH(3,AskIssueNo,0))),"")</f>
        <v/>
      </c>
      <c r="B23" s="9" t="str">
        <f aca="false">IFERROR(IF(INDEX(AskUnit,MATCH(3,AskIssueNo,0))=0,"",INDEX(AskUnit,MATCH(3,AskIssueNo,0))),"")</f>
        <v/>
      </c>
      <c r="C23" s="9" t="str">
        <f aca="false">IFERROR(IF(INDEX(AskTitle,MATCH(3,AskIssueNo,0))=0,"",INDEX(AskTitle,MATCH(3,AskIssueNo,0))),"")</f>
        <v/>
      </c>
      <c r="D23" s="43" t="str">
        <f aca="false">IFERROR(IF(INDEX(AskProblem,MATCH(3,AskIssueNo,0))=0,"",INDEX(AskProblem,MATCH(3,AskIssueNo,0))),"")</f>
        <v/>
      </c>
    </row>
    <row r="24" customFormat="false" ht="15" hidden="false" customHeight="false" outlineLevel="0" collapsed="false">
      <c r="A24" s="9" t="str">
        <f aca="false">IFERROR(IF(INDEX(AskRef,MATCH(4,AskIssueNo,0))=0,"",INDEX(AskRef,MATCH(4,AskIssueNo,0))),"")</f>
        <v/>
      </c>
      <c r="B24" s="9" t="str">
        <f aca="false">IFERROR(IF(INDEX(AskUnit,MATCH(4,AskIssueNo,0))=0,"",INDEX(AskUnit,MATCH(4,AskIssueNo,0))),"")</f>
        <v/>
      </c>
      <c r="C24" s="9" t="str">
        <f aca="false">IFERROR(IF(INDEX(AskTitle,MATCH(4,AskIssueNo,0))=0,"",INDEX(AskTitle,MATCH(4,AskIssueNo,0))),"")</f>
        <v/>
      </c>
      <c r="D24" s="43" t="str">
        <f aca="false">IFERROR(IF(INDEX(AskProblem,MATCH(4,AskIssueNo,0))=0,"",INDEX(AskProblem,MATCH(4,AskIssueNo,0))),"")</f>
        <v/>
      </c>
    </row>
    <row r="25" customFormat="false" ht="15" hidden="false" customHeight="false" outlineLevel="0" collapsed="false">
      <c r="A25" s="9" t="str">
        <f aca="false">IFERROR(IF(INDEX(AskRef,MATCH(5,AskIssueNo,0))=0,"",INDEX(AskRef,MATCH(5,AskIssueNo,0))),"")</f>
        <v/>
      </c>
      <c r="B25" s="9" t="str">
        <f aca="false">IFERROR(IF(INDEX(AskUnit,MATCH(5,AskIssueNo,0))=0,"",INDEX(AskUnit,MATCH(5,AskIssueNo,0))),"")</f>
        <v/>
      </c>
      <c r="C25" s="9" t="str">
        <f aca="false">IFERROR(IF(INDEX(AskTitle,MATCH(5,AskIssueNo,0))=0,"",INDEX(AskTitle,MATCH(5,AskIssueNo,0))),"")</f>
        <v/>
      </c>
      <c r="D25" s="43" t="str">
        <f aca="false">IFERROR(IF(INDEX(AskProblem,MATCH(5,AskIssueNo,0))=0,"",INDEX(AskProblem,MATCH(5,AskIssueNo,0))),"")</f>
        <v/>
      </c>
    </row>
    <row r="26" customFormat="false" ht="15" hidden="false" customHeight="false" outlineLevel="0" collapsed="false">
      <c r="A26" s="9" t="str">
        <f aca="false">IFERROR(IF(INDEX(AskRef,MATCH(6,AskIssueNo,0))=0,"",INDEX(AskRef,MATCH(6,AskIssueNo,0))),"")</f>
        <v/>
      </c>
      <c r="B26" s="9" t="str">
        <f aca="false">IFERROR(IF(INDEX(AskUnit,MATCH(6,AskIssueNo,0))=0,"",INDEX(AskUnit,MATCH(6,AskIssueNo,0))),"")</f>
        <v/>
      </c>
      <c r="C26" s="9" t="str">
        <f aca="false">IFERROR(IF(INDEX(AskTitle,MATCH(6,AskIssueNo,0))=0,"",INDEX(AskTitle,MATCH(6,AskIssueNo,0))),"")</f>
        <v/>
      </c>
      <c r="D26" s="43" t="str">
        <f aca="false">IFERROR(IF(INDEX(AskProblem,MATCH(6,AskIssueNo,0))=0,"",INDEX(AskProblem,MATCH(6,AskIssueNo,0))),"")</f>
        <v/>
      </c>
    </row>
    <row r="27" customFormat="false" ht="15" hidden="false" customHeight="false" outlineLevel="0" collapsed="false">
      <c r="A27" s="9" t="str">
        <f aca="false">IFERROR(IF(INDEX(AskRef,MATCH(7,AskIssueNo,0))=0,"",INDEX(AskRef,MATCH(7,AskIssueNo,0))),"")</f>
        <v/>
      </c>
      <c r="B27" s="9" t="str">
        <f aca="false">IFERROR(IF(INDEX(AskUnit,MATCH(7,AskIssueNo,0))=0,"",INDEX(AskUnit,MATCH(7,AskIssueNo,0))),"")</f>
        <v/>
      </c>
      <c r="C27" s="9" t="str">
        <f aca="false">IFERROR(IF(INDEX(AskTitle,MATCH(7,AskIssueNo,0))=0,"",INDEX(AskTitle,MATCH(7,AskIssueNo,0))),"")</f>
        <v/>
      </c>
      <c r="D27" s="43" t="str">
        <f aca="false">IFERROR(IF(INDEX(AskProblem,MATCH(7,AskIssueNo,0))=0,"",INDEX(AskProblem,MATCH(7,AskIssueNo,0))),"")</f>
        <v/>
      </c>
    </row>
    <row r="28" customFormat="false" ht="15" hidden="false" customHeight="false" outlineLevel="0" collapsed="false">
      <c r="A28" s="9" t="str">
        <f aca="false">IFERROR(IF(INDEX(AskRef,MATCH(8,AskIssueNo,0))=0,"",INDEX(AskRef,MATCH(8,AskIssueNo,0))),"")</f>
        <v/>
      </c>
      <c r="B28" s="9" t="str">
        <f aca="false">IFERROR(IF(INDEX(AskUnit,MATCH(8,AskIssueNo,0))=0,"",INDEX(AskUnit,MATCH(8,AskIssueNo,0))),"")</f>
        <v/>
      </c>
      <c r="C28" s="9" t="str">
        <f aca="false">IFERROR(IF(INDEX(AskTitle,MATCH(8,AskIssueNo,0))=0,"",INDEX(AskTitle,MATCH(8,AskIssueNo,0))),"")</f>
        <v/>
      </c>
      <c r="D28" s="43" t="str">
        <f aca="false">IFERROR(IF(INDEX(AskProblem,MATCH(8,AskIssueNo,0))=0,"",INDEX(AskProblem,MATCH(8,AskIssueNo,0))),"")</f>
        <v/>
      </c>
    </row>
    <row r="29" customFormat="false" ht="15" hidden="false" customHeight="false" outlineLevel="0" collapsed="false">
      <c r="A29" s="9" t="str">
        <f aca="false">IFERROR(IF(INDEX(AskRef,MATCH(9,AskIssueNo,0))=0,"",INDEX(AskRef,MATCH(9,AskIssueNo,0))),"")</f>
        <v/>
      </c>
      <c r="B29" s="9" t="str">
        <f aca="false">IFERROR(IF(INDEX(AskUnit,MATCH(9,AskIssueNo,0))=0,"",INDEX(AskUnit,MATCH(9,AskIssueNo,0))),"")</f>
        <v/>
      </c>
      <c r="C29" s="9" t="str">
        <f aca="false">IFERROR(IF(INDEX(AskTitle,MATCH(9,AskIssueNo,0))=0,"",INDEX(AskTitle,MATCH(9,AskIssueNo,0))),"")</f>
        <v/>
      </c>
      <c r="D29" s="43" t="str">
        <f aca="false">IFERROR(IF(INDEX(AskProblem,MATCH(9,AskIssueNo,0))=0,"",INDEX(AskProblem,MATCH(9,AskIssueNo,0))),"")</f>
        <v/>
      </c>
    </row>
    <row r="30" customFormat="false" ht="15" hidden="false" customHeight="false" outlineLevel="0" collapsed="false">
      <c r="A30" s="9" t="str">
        <f aca="false">IFERROR(IF(INDEX(AskRef,MATCH(10,AskIssueNo,0))=0,"",INDEX(AskRef,MATCH(10,AskIssueNo,0))),"")</f>
        <v/>
      </c>
      <c r="B30" s="9" t="str">
        <f aca="false">IFERROR(IF(INDEX(AskUnit,MATCH(10,AskIssueNo,0))=0,"",INDEX(AskUnit,MATCH(10,AskIssueNo,0))),"")</f>
        <v/>
      </c>
      <c r="C30" s="9" t="str">
        <f aca="false">IFERROR(IF(INDEX(AskTitle,MATCH(10,AskIssueNo,0))=0,"",INDEX(AskTitle,MATCH(10,AskIssueNo,0))),"")</f>
        <v/>
      </c>
      <c r="D30" s="43" t="str">
        <f aca="false">IFERROR(IF(INDEX(AskProblem,MATCH(10,AskIssueNo,0))=0,"",INDEX(AskProblem,MATCH(10,AskIssueNo,0))),"")</f>
        <v/>
      </c>
    </row>
    <row r="31" customFormat="false" ht="15" hidden="false" customHeight="false" outlineLevel="0" collapsed="false">
      <c r="A31" s="9" t="str">
        <f aca="false">IFERROR(IF(INDEX(AskRef,MATCH(11,AskIssueNo,0))=0,"",INDEX(AskRef,MATCH(11,AskIssueNo,0))),"")</f>
        <v/>
      </c>
      <c r="B31" s="9" t="str">
        <f aca="false">IFERROR(IF(INDEX(AskUnit,MATCH(11,AskIssueNo,0))=0,"",INDEX(AskUnit,MATCH(11,AskIssueNo,0))),"")</f>
        <v/>
      </c>
      <c r="C31" s="9" t="str">
        <f aca="false">IFERROR(IF(INDEX(AskTitle,MATCH(11,AskIssueNo,0))=0,"",INDEX(AskTitle,MATCH(11,AskIssueNo,0))),"")</f>
        <v/>
      </c>
      <c r="D31" s="43" t="str">
        <f aca="false">IFERROR(IF(INDEX(AskProblem,MATCH(11,AskIssueNo,0))=0,"",INDEX(AskProblem,MATCH(11,AskIssueNo,0))),"")</f>
        <v/>
      </c>
    </row>
    <row r="32" customFormat="false" ht="15" hidden="false" customHeight="false" outlineLevel="0" collapsed="false">
      <c r="A32" s="9" t="str">
        <f aca="false">IFERROR(IF(INDEX(AskRef,MATCH(12,AskIssueNo,0))=0,"",INDEX(AskRef,MATCH(12,AskIssueNo,0))),"")</f>
        <v/>
      </c>
      <c r="B32" s="9" t="str">
        <f aca="false">IFERROR(IF(INDEX(AskUnit,MATCH(12,AskIssueNo,0))=0,"",INDEX(AskUnit,MATCH(12,AskIssueNo,0))),"")</f>
        <v/>
      </c>
      <c r="C32" s="9" t="str">
        <f aca="false">IFERROR(IF(INDEX(AskTitle,MATCH(12,AskIssueNo,0))=0,"",INDEX(AskTitle,MATCH(12,AskIssueNo,0))),"")</f>
        <v/>
      </c>
      <c r="D32" s="43" t="str">
        <f aca="false">IFERROR(IF(INDEX(AskProblem,MATCH(12,AskIssueNo,0))=0,"",INDEX(AskProblem,MATCH(12,AskIssueNo,0))),"")</f>
        <v/>
      </c>
    </row>
    <row r="33" customFormat="false" ht="15" hidden="false" customHeight="false" outlineLevel="0" collapsed="false">
      <c r="A33" s="9" t="str">
        <f aca="false">IFERROR(IF(INDEX(AskRef,MATCH(13,AskIssueNo,0))=0,"",INDEX(AskRef,MATCH(13,AskIssueNo,0))),"")</f>
        <v/>
      </c>
      <c r="B33" s="9" t="str">
        <f aca="false">IFERROR(IF(INDEX(AskUnit,MATCH(13,AskIssueNo,0))=0,"",INDEX(AskUnit,MATCH(13,AskIssueNo,0))),"")</f>
        <v/>
      </c>
      <c r="C33" s="9" t="str">
        <f aca="false">IFERROR(IF(INDEX(AskTitle,MATCH(13,AskIssueNo,0))=0,"",INDEX(AskTitle,MATCH(13,AskIssueNo,0))),"")</f>
        <v/>
      </c>
      <c r="D33" s="43" t="str">
        <f aca="false">IFERROR(IF(INDEX(AskProblem,MATCH(13,AskIssueNo,0))=0,"",INDEX(AskProblem,MATCH(13,AskIssueNo,0))),"")</f>
        <v/>
      </c>
    </row>
    <row r="34" customFormat="false" ht="15" hidden="false" customHeight="false" outlineLevel="0" collapsed="false">
      <c r="A34" s="9" t="str">
        <f aca="false">IFERROR(IF(INDEX(AskRef,MATCH(14,AskIssueNo,0))=0,"",INDEX(AskRef,MATCH(14,AskIssueNo,0))),"")</f>
        <v/>
      </c>
      <c r="B34" s="9" t="str">
        <f aca="false">IFERROR(IF(INDEX(AskUnit,MATCH(14,AskIssueNo,0))=0,"",INDEX(AskUnit,MATCH(14,AskIssueNo,0))),"")</f>
        <v/>
      </c>
      <c r="C34" s="9" t="str">
        <f aca="false">IFERROR(IF(INDEX(AskTitle,MATCH(14,AskIssueNo,0))=0,"",INDEX(AskTitle,MATCH(14,AskIssueNo,0))),"")</f>
        <v/>
      </c>
      <c r="D34" s="43" t="str">
        <f aca="false">IFERROR(IF(INDEX(AskProblem,MATCH(14,AskIssueNo,0))=0,"",INDEX(AskProblem,MATCH(14,AskIssueNo,0))),"")</f>
        <v/>
      </c>
    </row>
    <row r="35" customFormat="false" ht="15" hidden="false" customHeight="false" outlineLevel="0" collapsed="false">
      <c r="A35" s="9" t="str">
        <f aca="false">IFERROR(IF(INDEX(AskRef,MATCH(15,AskIssueNo,0))=0,"",INDEX(AskRef,MATCH(15,AskIssueNo,0))),"")</f>
        <v/>
      </c>
      <c r="B35" s="9" t="str">
        <f aca="false">IFERROR(IF(INDEX(AskUnit,MATCH(15,AskIssueNo,0))=0,"",INDEX(AskUnit,MATCH(15,AskIssueNo,0))),"")</f>
        <v/>
      </c>
      <c r="C35" s="9" t="str">
        <f aca="false">IFERROR(IF(INDEX(AskTitle,MATCH(15,AskIssueNo,0))=0,"",INDEX(AskTitle,MATCH(15,AskIssueNo,0))),"")</f>
        <v/>
      </c>
      <c r="D35" s="43" t="str">
        <f aca="false">IFERROR(IF(INDEX(AskProblem,MATCH(15,AskIssueNo,0))=0,"",INDEX(AskProblem,MATCH(15,AskIssueNo,0))),"")</f>
        <v/>
      </c>
    </row>
    <row r="36" customFormat="false" ht="15" hidden="false" customHeight="false" outlineLevel="0" collapsed="false">
      <c r="A36" s="9" t="str">
        <f aca="false">IFERROR(IF(INDEX(AskRef,MATCH(16,AskIssueNo,0))=0,"",INDEX(AskRef,MATCH(16,AskIssueNo,0))),"")</f>
        <v/>
      </c>
      <c r="B36" s="9" t="str">
        <f aca="false">IFERROR(IF(INDEX(AskUnit,MATCH(16,AskIssueNo,0))=0,"",INDEX(AskUnit,MATCH(16,AskIssueNo,0))),"")</f>
        <v/>
      </c>
      <c r="C36" s="9" t="str">
        <f aca="false">IFERROR(IF(INDEX(AskTitle,MATCH(16,AskIssueNo,0))=0,"",INDEX(AskTitle,MATCH(16,AskIssueNo,0))),"")</f>
        <v/>
      </c>
      <c r="D36" s="43" t="str">
        <f aca="false">IFERROR(IF(INDEX(AskProblem,MATCH(16,AskIssueNo,0))=0,"",INDEX(AskProblem,MATCH(16,AskIssueNo,0))),"")</f>
        <v/>
      </c>
    </row>
    <row r="37" customFormat="false" ht="15" hidden="false" customHeight="false" outlineLevel="0" collapsed="false">
      <c r="A37" s="9" t="str">
        <f aca="false">IFERROR(IF(INDEX(AskRef,MATCH(17,AskIssueNo,0))=0,"",INDEX(AskRef,MATCH(17,AskIssueNo,0))),"")</f>
        <v/>
      </c>
      <c r="B37" s="9" t="str">
        <f aca="false">IFERROR(IF(INDEX(AskUnit,MATCH(17,AskIssueNo,0))=0,"",INDEX(AskUnit,MATCH(17,AskIssueNo,0))),"")</f>
        <v/>
      </c>
      <c r="C37" s="9" t="str">
        <f aca="false">IFERROR(IF(INDEX(AskTitle,MATCH(17,AskIssueNo,0))=0,"",INDEX(AskTitle,MATCH(17,AskIssueNo,0))),"")</f>
        <v/>
      </c>
      <c r="D37" s="43" t="str">
        <f aca="false">IFERROR(IF(INDEX(AskProblem,MATCH(17,AskIssueNo,0))=0,"",INDEX(AskProblem,MATCH(17,AskIssueNo,0))),"")</f>
        <v/>
      </c>
    </row>
    <row r="38" customFormat="false" ht="15" hidden="false" customHeight="false" outlineLevel="0" collapsed="false">
      <c r="A38" s="9" t="str">
        <f aca="false">IFERROR(IF(INDEX(AskRef,MATCH(18,AskIssueNo,0))=0,"",INDEX(AskRef,MATCH(18,AskIssueNo,0))),"")</f>
        <v/>
      </c>
      <c r="B38" s="9" t="str">
        <f aca="false">IFERROR(IF(INDEX(AskUnit,MATCH(18,AskIssueNo,0))=0,"",INDEX(AskUnit,MATCH(18,AskIssueNo,0))),"")</f>
        <v/>
      </c>
      <c r="C38" s="9" t="str">
        <f aca="false">IFERROR(IF(INDEX(AskTitle,MATCH(18,AskIssueNo,0))=0,"",INDEX(AskTitle,MATCH(18,AskIssueNo,0))),"")</f>
        <v/>
      </c>
      <c r="D38" s="43" t="str">
        <f aca="false">IFERROR(IF(INDEX(AskProblem,MATCH(18,AskIssueNo,0))=0,"",INDEX(AskProblem,MATCH(18,AskIssueNo,0))),"")</f>
        <v/>
      </c>
    </row>
    <row r="39" customFormat="false" ht="15" hidden="false" customHeight="false" outlineLevel="0" collapsed="false">
      <c r="A39" s="9" t="str">
        <f aca="false">IFERROR(IF(INDEX(AskRef,MATCH(19,AskIssueNo,0))=0,"",INDEX(AskRef,MATCH(19,AskIssueNo,0))),"")</f>
        <v/>
      </c>
      <c r="B39" s="9" t="str">
        <f aca="false">IFERROR(IF(INDEX(AskUnit,MATCH(19,AskIssueNo,0))=0,"",INDEX(AskUnit,MATCH(19,AskIssueNo,0))),"")</f>
        <v/>
      </c>
      <c r="C39" s="9" t="str">
        <f aca="false">IFERROR(IF(INDEX(AskTitle,MATCH(19,AskIssueNo,0))=0,"",INDEX(AskTitle,MATCH(19,AskIssueNo,0))),"")</f>
        <v/>
      </c>
      <c r="D39" s="43" t="str">
        <f aca="false">IFERROR(IF(INDEX(AskProblem,MATCH(19,AskIssueNo,0))=0,"",INDEX(AskProblem,MATCH(19,AskIssueNo,0))),"")</f>
        <v/>
      </c>
    </row>
    <row r="40" customFormat="false" ht="15" hidden="false" customHeight="false" outlineLevel="0" collapsed="false">
      <c r="A40" s="9" t="str">
        <f aca="false">IFERROR(IF(INDEX(AskRef,MATCH(20,AskIssueNo,0))=0,"",INDEX(AskRef,MATCH(20,AskIssueNo,0))),"")</f>
        <v/>
      </c>
      <c r="B40" s="9" t="str">
        <f aca="false">IFERROR(IF(INDEX(AskUnit,MATCH(20,AskIssueNo,0))=0,"",INDEX(AskUnit,MATCH(20,AskIssueNo,0))),"")</f>
        <v/>
      </c>
      <c r="C40" s="9" t="str">
        <f aca="false">IFERROR(IF(INDEX(AskTitle,MATCH(20,AskIssueNo,0))=0,"",INDEX(AskTitle,MATCH(20,AskIssueNo,0))),"")</f>
        <v/>
      </c>
      <c r="D40" s="43" t="str">
        <f aca="false">IFERROR(IF(INDEX(AskProblem,MATCH(20,AskIssueNo,0))=0,"",INDEX(AskProblem,MATCH(20,AskIssueNo,0))),"")</f>
        <v/>
      </c>
    </row>
    <row r="42" customFormat="false" ht="15" hidden="false" customHeight="false" outlineLevel="0" collapsed="false">
      <c r="A42" s="3" t="s">
        <v>611</v>
      </c>
    </row>
    <row r="43" customFormat="false" ht="15" hidden="false" customHeight="false" outlineLevel="0" collapsed="false">
      <c r="A43" s="6" t="s">
        <v>612</v>
      </c>
      <c r="B43" s="44" t="str">
        <f aca="false">IF(SUM($B$6:$B$11)=0,"Yes","No")</f>
        <v>No</v>
      </c>
      <c r="C43" s="29" t="s">
        <v>613</v>
      </c>
    </row>
    <row r="44" customFormat="false" ht="15" hidden="false" customHeight="false" outlineLevel="0" collapsed="false">
      <c r="A44" s="6" t="s">
        <v>614</v>
      </c>
      <c r="B44" s="21"/>
    </row>
    <row r="45" customFormat="false" ht="15" hidden="false" customHeight="false" outlineLevel="0" collapsed="false">
      <c r="A45" s="6" t="s">
        <v>615</v>
      </c>
      <c r="B45" s="21"/>
    </row>
    <row r="46" customFormat="false" ht="15" hidden="false" customHeight="false" outlineLevel="0" collapsed="false">
      <c r="A46" s="6" t="s">
        <v>616</v>
      </c>
      <c r="B46" s="21"/>
    </row>
    <row r="47" customFormat="false" ht="15" hidden="false" customHeight="false" outlineLevel="0" collapsed="false">
      <c r="A47" s="3" t="s">
        <v>617</v>
      </c>
      <c r="B47" s="45" t="s">
        <v>618</v>
      </c>
      <c r="C47" s="29" t="s">
        <v>619</v>
      </c>
    </row>
    <row r="49" customFormat="false" ht="25.5" hidden="false" customHeight="true" outlineLevel="0" collapsed="false">
      <c r="A49" s="11" t="s">
        <v>620</v>
      </c>
      <c r="B49" s="11"/>
      <c r="C49" s="11"/>
      <c r="D49" s="11"/>
    </row>
  </sheetData>
  <sheetProtection sheet="true" sort="false" autoFilter="false"/>
  <mergeCells count="2">
    <mergeCell ref="A2:J2"/>
    <mergeCell ref="A49:D49"/>
  </mergeCells>
  <conditionalFormatting sqref="C6:C11">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5">
      <formula>"Review"</formula>
    </cfRule>
  </conditionalFormatting>
  <conditionalFormatting sqref="C15:C17">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5">
      <formula>"Review"</formula>
    </cfRule>
  </conditionalFormatting>
  <conditionalFormatting sqref="B43">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47" type="custom">
      <formula1>AND(OR($B$47="Draft",$B$47="Submitted"),OR($B$47="Draft",$B$43="Yes"))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621</v>
      </c>
    </row>
    <row r="2" customFormat="false" ht="15" hidden="false" customHeight="false" outlineLevel="0" collapsed="false">
      <c r="A2" s="2" t="s">
        <v>622</v>
      </c>
      <c r="B2" s="2"/>
      <c r="C2" s="2"/>
      <c r="D2" s="2"/>
      <c r="E2" s="2"/>
      <c r="F2" s="2"/>
      <c r="G2" s="2"/>
      <c r="H2" s="2"/>
      <c r="I2" s="2"/>
      <c r="J2" s="2"/>
    </row>
    <row r="4" customFormat="false" ht="15" hidden="false" customHeight="false" outlineLevel="0" collapsed="false">
      <c r="A4" s="3" t="s">
        <v>623</v>
      </c>
    </row>
    <row r="5" customFormat="false" ht="15" hidden="false" customHeight="false" outlineLevel="0" collapsed="false">
      <c r="A5" s="6" t="s">
        <v>624</v>
      </c>
      <c r="B5" s="46" t="n">
        <v>2027</v>
      </c>
    </row>
    <row r="6" customFormat="false" ht="15" hidden="false" customHeight="false" outlineLevel="0" collapsed="false">
      <c r="A6" s="6" t="s">
        <v>625</v>
      </c>
      <c r="B6" s="46" t="n">
        <v>2026</v>
      </c>
    </row>
    <row r="7" customFormat="false" ht="15" hidden="false" customHeight="false" outlineLevel="0" collapsed="false">
      <c r="A7" s="6" t="s">
        <v>626</v>
      </c>
      <c r="B7" s="47" t="n">
        <v>0.09</v>
      </c>
    </row>
    <row r="8" customFormat="false" ht="15" hidden="false" customHeight="false" outlineLevel="0" collapsed="false">
      <c r="A8" s="6" t="s">
        <v>627</v>
      </c>
      <c r="B8" s="47" t="n">
        <v>0.03</v>
      </c>
    </row>
    <row r="9" customFormat="false" ht="15" hidden="false" customHeight="false" outlineLevel="0" collapsed="false">
      <c r="A9" s="6" t="s">
        <v>628</v>
      </c>
      <c r="B9" s="47" t="n">
        <v>0.04</v>
      </c>
    </row>
    <row r="10" customFormat="false" ht="15" hidden="false" customHeight="false" outlineLevel="0" collapsed="false">
      <c r="A10" s="6" t="s">
        <v>629</v>
      </c>
      <c r="B10" s="47" t="n">
        <v>0.1175</v>
      </c>
    </row>
    <row r="11" customFormat="false" ht="15" hidden="false" customHeight="false" outlineLevel="0" collapsed="false">
      <c r="A11" s="6" t="s">
        <v>630</v>
      </c>
      <c r="B11" s="47" t="n">
        <v>0.02</v>
      </c>
    </row>
    <row r="12" customFormat="false" ht="15" hidden="false" customHeight="false" outlineLevel="0" collapsed="false">
      <c r="A12" s="6" t="s">
        <v>36</v>
      </c>
      <c r="B12" s="46" t="s">
        <v>37</v>
      </c>
    </row>
    <row r="14" customFormat="false" ht="15" hidden="false" customHeight="false" outlineLevel="0" collapsed="false">
      <c r="A14" s="3" t="s">
        <v>631</v>
      </c>
    </row>
    <row r="15" customFormat="false" ht="15" hidden="false" customHeight="false" outlineLevel="0" collapsed="false">
      <c r="A15" s="6" t="s">
        <v>632</v>
      </c>
      <c r="B15" s="48" t="n">
        <v>4928</v>
      </c>
      <c r="C15" s="29" t="s">
        <v>633</v>
      </c>
    </row>
    <row r="16" customFormat="false" ht="15" hidden="false" customHeight="false" outlineLevel="0" collapsed="false">
      <c r="A16" s="6" t="s">
        <v>634</v>
      </c>
      <c r="B16" s="48" t="n">
        <v>18</v>
      </c>
      <c r="C16" s="29" t="s">
        <v>635</v>
      </c>
    </row>
    <row r="17" customFormat="false" ht="15" hidden="false" customHeight="false" outlineLevel="0" collapsed="false">
      <c r="A17" s="6" t="s">
        <v>636</v>
      </c>
      <c r="B17" s="47" t="n">
        <v>0.65</v>
      </c>
      <c r="C17" s="29" t="s">
        <v>637</v>
      </c>
    </row>
    <row r="19" customFormat="false" ht="15" hidden="false" customHeight="false" outlineLevel="0" collapsed="false">
      <c r="A19" s="3" t="s">
        <v>638</v>
      </c>
      <c r="G19" s="27" t="s">
        <v>639</v>
      </c>
    </row>
    <row r="20" customFormat="false" ht="30" hidden="false" customHeight="true" outlineLevel="0" collapsed="false">
      <c r="A20" s="12" t="s">
        <v>640</v>
      </c>
      <c r="B20" s="12" t="s">
        <v>641</v>
      </c>
      <c r="C20" s="12" t="s">
        <v>642</v>
      </c>
      <c r="D20" s="12" t="s">
        <v>643</v>
      </c>
      <c r="E20" s="12" t="s">
        <v>644</v>
      </c>
      <c r="F20" s="12" t="s">
        <v>645</v>
      </c>
      <c r="G20" s="12" t="s">
        <v>646</v>
      </c>
    </row>
    <row r="21" customFormat="false" ht="15" hidden="false" customHeight="false" outlineLevel="0" collapsed="false">
      <c r="A21" s="0" t="s">
        <v>362</v>
      </c>
      <c r="B21" s="49" t="n">
        <v>900</v>
      </c>
      <c r="C21" s="49" t="n">
        <v>225</v>
      </c>
      <c r="D21" s="49" t="n">
        <v>36</v>
      </c>
      <c r="E21" s="50" t="n">
        <v>0.3</v>
      </c>
      <c r="F21" s="49" t="n">
        <v>45</v>
      </c>
      <c r="G21" s="49" t="n">
        <f aca="false">$B21+$C21+$D21+$B21*$E21+($B21+$C21)*GosiSaudi</f>
        <v>1563.1875</v>
      </c>
    </row>
    <row r="22" customFormat="false" ht="15" hidden="false" customHeight="false" outlineLevel="0" collapsed="false">
      <c r="A22" s="0" t="s">
        <v>647</v>
      </c>
      <c r="B22" s="49" t="n">
        <v>540</v>
      </c>
      <c r="C22" s="49" t="n">
        <v>135</v>
      </c>
      <c r="D22" s="49" t="n">
        <v>30</v>
      </c>
      <c r="E22" s="50" t="n">
        <v>0.22</v>
      </c>
      <c r="F22" s="49" t="n">
        <v>45</v>
      </c>
      <c r="G22" s="49" t="n">
        <f aca="false">$B22+$C22+$D22+$B22*$E22+($B22+$C22)*GosiSaudi</f>
        <v>903.1125</v>
      </c>
    </row>
    <row r="23" customFormat="false" ht="15" hidden="false" customHeight="false" outlineLevel="0" collapsed="false">
      <c r="A23" s="0" t="s">
        <v>371</v>
      </c>
      <c r="B23" s="49" t="n">
        <v>336</v>
      </c>
      <c r="C23" s="49" t="n">
        <v>84</v>
      </c>
      <c r="D23" s="49" t="n">
        <v>18</v>
      </c>
      <c r="E23" s="50" t="n">
        <v>0.15</v>
      </c>
      <c r="F23" s="49" t="n">
        <v>30</v>
      </c>
      <c r="G23" s="49" t="n">
        <f aca="false">$B23+$C23+$D23+$B23*$E23+($B23+$C23)*GosiSaudi</f>
        <v>537.75</v>
      </c>
    </row>
    <row r="24" customFormat="false" ht="15" hidden="false" customHeight="false" outlineLevel="0" collapsed="false">
      <c r="A24" s="0" t="s">
        <v>374</v>
      </c>
      <c r="B24" s="49" t="n">
        <v>216</v>
      </c>
      <c r="C24" s="49" t="n">
        <v>54</v>
      </c>
      <c r="D24" s="49" t="n">
        <v>14</v>
      </c>
      <c r="E24" s="50" t="n">
        <v>0.1</v>
      </c>
      <c r="F24" s="49" t="n">
        <v>18</v>
      </c>
      <c r="G24" s="49" t="n">
        <f aca="false">$B24+$C24+$D24+$B24*$E24+($B24+$C24)*GosiSaudi</f>
        <v>337.325</v>
      </c>
    </row>
    <row r="25" customFormat="false" ht="15" hidden="false" customHeight="false" outlineLevel="0" collapsed="false">
      <c r="A25" s="0" t="s">
        <v>648</v>
      </c>
      <c r="B25" s="49" t="n">
        <v>138</v>
      </c>
      <c r="C25" s="49" t="n">
        <v>35</v>
      </c>
      <c r="D25" s="49" t="n">
        <v>12</v>
      </c>
      <c r="E25" s="50" t="n">
        <v>0.07</v>
      </c>
      <c r="F25" s="49" t="n">
        <v>12</v>
      </c>
      <c r="G25" s="49" t="n">
        <f aca="false">$B25+$C25+$D25+$B25*$E25+($B25+$C25)*GosiSaudi</f>
        <v>214.9875</v>
      </c>
    </row>
    <row r="26" customFormat="false" ht="15" hidden="false" customHeight="false" outlineLevel="0" collapsed="false">
      <c r="A26" s="0" t="s">
        <v>649</v>
      </c>
      <c r="B26" s="49" t="n">
        <v>96</v>
      </c>
      <c r="C26" s="49" t="n">
        <v>24</v>
      </c>
      <c r="D26" s="49" t="n">
        <v>12</v>
      </c>
      <c r="E26" s="50" t="n">
        <v>0.05</v>
      </c>
      <c r="F26" s="49" t="n">
        <v>12</v>
      </c>
      <c r="G26" s="49" t="n">
        <f aca="false">$B26+$C26+$D26+$B26*$E26+($B26+$C26)*GosiSaudi</f>
        <v>150.9</v>
      </c>
    </row>
    <row r="28" customFormat="false" ht="15" hidden="false" customHeight="false" outlineLevel="0" collapsed="false">
      <c r="A28" s="3" t="s">
        <v>650</v>
      </c>
    </row>
    <row r="29" customFormat="false" ht="30" hidden="false" customHeight="true" outlineLevel="0" collapsed="false">
      <c r="A29" s="12" t="s">
        <v>535</v>
      </c>
      <c r="B29" s="12" t="s">
        <v>534</v>
      </c>
      <c r="C29" s="12" t="s">
        <v>651</v>
      </c>
    </row>
    <row r="30" customFormat="false" ht="15" hidden="false" customHeight="false" outlineLevel="0" collapsed="false">
      <c r="A30" s="0" t="s">
        <v>652</v>
      </c>
      <c r="B30" s="0" t="s">
        <v>653</v>
      </c>
      <c r="C30" s="0" t="n">
        <v>1</v>
      </c>
    </row>
    <row r="31" customFormat="false" ht="15" hidden="false" customHeight="false" outlineLevel="0" collapsed="false">
      <c r="A31" s="0" t="s">
        <v>654</v>
      </c>
      <c r="B31" s="0" t="s">
        <v>653</v>
      </c>
      <c r="C31" s="0" t="n">
        <v>1</v>
      </c>
    </row>
    <row r="32" customFormat="false" ht="15" hidden="false" customHeight="false" outlineLevel="0" collapsed="false">
      <c r="A32" s="0" t="s">
        <v>655</v>
      </c>
      <c r="B32" s="0" t="s">
        <v>653</v>
      </c>
      <c r="C32" s="0" t="n">
        <v>1</v>
      </c>
    </row>
    <row r="33" customFormat="false" ht="15" hidden="false" customHeight="false" outlineLevel="0" collapsed="false">
      <c r="A33" s="0" t="s">
        <v>656</v>
      </c>
      <c r="B33" s="0" t="s">
        <v>653</v>
      </c>
      <c r="C33" s="0" t="n">
        <v>1</v>
      </c>
    </row>
    <row r="34" customFormat="false" ht="15" hidden="false" customHeight="false" outlineLevel="0" collapsed="false">
      <c r="A34" s="0" t="s">
        <v>657</v>
      </c>
      <c r="B34" s="0" t="s">
        <v>658</v>
      </c>
      <c r="C34" s="0" t="n">
        <v>2</v>
      </c>
    </row>
    <row r="35" customFormat="false" ht="15" hidden="false" customHeight="false" outlineLevel="0" collapsed="false">
      <c r="A35" s="0" t="s">
        <v>659</v>
      </c>
      <c r="B35" s="0" t="s">
        <v>658</v>
      </c>
      <c r="C35" s="0" t="n">
        <v>2</v>
      </c>
    </row>
    <row r="36" customFormat="false" ht="15" hidden="false" customHeight="false" outlineLevel="0" collapsed="false">
      <c r="A36" s="0" t="s">
        <v>660</v>
      </c>
      <c r="B36" s="0" t="s">
        <v>658</v>
      </c>
      <c r="C36" s="0" t="n">
        <v>2</v>
      </c>
    </row>
    <row r="37" customFormat="false" ht="15" hidden="false" customHeight="false" outlineLevel="0" collapsed="false">
      <c r="A37" s="0" t="s">
        <v>661</v>
      </c>
      <c r="B37" s="0" t="s">
        <v>658</v>
      </c>
      <c r="C37" s="0" t="n">
        <v>2</v>
      </c>
    </row>
    <row r="38" customFormat="false" ht="15" hidden="false" customHeight="false" outlineLevel="0" collapsed="false">
      <c r="A38" s="0" t="s">
        <v>662</v>
      </c>
      <c r="B38" s="0" t="s">
        <v>658</v>
      </c>
      <c r="C38" s="0" t="n">
        <v>2</v>
      </c>
    </row>
    <row r="39" customFormat="false" ht="15" hidden="false" customHeight="false" outlineLevel="0" collapsed="false">
      <c r="A39" s="0" t="s">
        <v>663</v>
      </c>
      <c r="B39" s="0" t="s">
        <v>664</v>
      </c>
      <c r="C39" s="0" t="n">
        <v>3</v>
      </c>
    </row>
    <row r="40" customFormat="false" ht="15" hidden="false" customHeight="false" outlineLevel="0" collapsed="false">
      <c r="A40" s="0" t="s">
        <v>665</v>
      </c>
      <c r="B40" s="0" t="s">
        <v>664</v>
      </c>
      <c r="C40" s="0" t="n">
        <v>3</v>
      </c>
    </row>
    <row r="41" customFormat="false" ht="15" hidden="false" customHeight="false" outlineLevel="0" collapsed="false">
      <c r="A41" s="0" t="s">
        <v>666</v>
      </c>
      <c r="B41" s="0" t="s">
        <v>664</v>
      </c>
      <c r="C41" s="0" t="n">
        <v>3</v>
      </c>
    </row>
    <row r="42" customFormat="false" ht="15" hidden="false" customHeight="false" outlineLevel="0" collapsed="false">
      <c r="A42" s="0" t="s">
        <v>667</v>
      </c>
      <c r="B42" s="0" t="s">
        <v>668</v>
      </c>
      <c r="C42" s="0" t="n">
        <v>4</v>
      </c>
    </row>
    <row r="43" customFormat="false" ht="15" hidden="false" customHeight="false" outlineLevel="0" collapsed="false">
      <c r="A43" s="0" t="s">
        <v>669</v>
      </c>
      <c r="B43" s="0" t="s">
        <v>668</v>
      </c>
      <c r="C43" s="0" t="n">
        <v>4</v>
      </c>
    </row>
    <row r="44" customFormat="false" ht="15" hidden="false" customHeight="false" outlineLevel="0" collapsed="false">
      <c r="A44" s="0" t="s">
        <v>670</v>
      </c>
      <c r="B44" s="0" t="s">
        <v>668</v>
      </c>
      <c r="C44" s="0" t="n">
        <v>4</v>
      </c>
    </row>
    <row r="45" customFormat="false" ht="15" hidden="false" customHeight="false" outlineLevel="0" collapsed="false">
      <c r="A45" s="0" t="s">
        <v>671</v>
      </c>
      <c r="B45" s="0" t="s">
        <v>668</v>
      </c>
      <c r="C45" s="0" t="n">
        <v>4</v>
      </c>
    </row>
    <row r="46" customFormat="false" ht="15" hidden="false" customHeight="false" outlineLevel="0" collapsed="false">
      <c r="A46" s="0" t="s">
        <v>672</v>
      </c>
      <c r="B46" s="0" t="s">
        <v>668</v>
      </c>
      <c r="C46" s="0" t="n">
        <v>4</v>
      </c>
    </row>
    <row r="47" customFormat="false" ht="15" hidden="false" customHeight="false" outlineLevel="0" collapsed="false">
      <c r="A47" s="0" t="s">
        <v>673</v>
      </c>
      <c r="B47" s="0" t="s">
        <v>668</v>
      </c>
      <c r="C47" s="0" t="n">
        <v>4</v>
      </c>
    </row>
    <row r="48" customFormat="false" ht="15" hidden="false" customHeight="false" outlineLevel="0" collapsed="false">
      <c r="A48" s="0" t="s">
        <v>674</v>
      </c>
      <c r="B48" s="0" t="s">
        <v>668</v>
      </c>
      <c r="C48" s="0" t="n">
        <v>4</v>
      </c>
    </row>
    <row r="50" customFormat="false" ht="15" hidden="false" customHeight="false" outlineLevel="0" collapsed="false">
      <c r="A50" s="6" t="s">
        <v>675</v>
      </c>
      <c r="C50" s="6" t="s">
        <v>676</v>
      </c>
      <c r="E50" s="6" t="s">
        <v>677</v>
      </c>
      <c r="G50" s="6" t="s">
        <v>678</v>
      </c>
      <c r="I50" s="6" t="s">
        <v>534</v>
      </c>
      <c r="K50" s="6" t="s">
        <v>679</v>
      </c>
      <c r="M50" s="6" t="s">
        <v>680</v>
      </c>
      <c r="O50" s="6" t="s">
        <v>681</v>
      </c>
      <c r="Q50" s="6" t="s">
        <v>682</v>
      </c>
      <c r="S50" s="6" t="s">
        <v>683</v>
      </c>
    </row>
    <row r="51" customFormat="false" ht="15" hidden="false" customHeight="false" outlineLevel="0" collapsed="false">
      <c r="A51" s="0" t="s">
        <v>530</v>
      </c>
      <c r="C51" s="0" t="s">
        <v>363</v>
      </c>
      <c r="E51" s="0" t="s">
        <v>684</v>
      </c>
      <c r="G51" s="0" t="s">
        <v>36</v>
      </c>
      <c r="I51" s="0" t="s">
        <v>653</v>
      </c>
      <c r="K51" s="0" t="s">
        <v>685</v>
      </c>
      <c r="M51" s="0" t="s">
        <v>362</v>
      </c>
      <c r="O51" s="0" t="s">
        <v>362</v>
      </c>
      <c r="Q51" s="0" t="s">
        <v>40</v>
      </c>
      <c r="S51" s="0" t="s">
        <v>43</v>
      </c>
    </row>
    <row r="52" customFormat="false" ht="15" hidden="false" customHeight="false" outlineLevel="0" collapsed="false">
      <c r="A52" s="0" t="s">
        <v>531</v>
      </c>
      <c r="C52" s="0" t="s">
        <v>393</v>
      </c>
      <c r="E52" s="0" t="s">
        <v>686</v>
      </c>
      <c r="G52" s="0" t="s">
        <v>38</v>
      </c>
      <c r="I52" s="0" t="s">
        <v>658</v>
      </c>
      <c r="K52" s="0" t="s">
        <v>687</v>
      </c>
      <c r="M52" s="0" t="s">
        <v>647</v>
      </c>
      <c r="O52" s="0" t="s">
        <v>366</v>
      </c>
      <c r="Q52" s="0" t="s">
        <v>105</v>
      </c>
      <c r="S52" s="0" t="s">
        <v>45</v>
      </c>
    </row>
    <row r="53" customFormat="false" ht="15" hidden="false" customHeight="false" outlineLevel="0" collapsed="false">
      <c r="A53" s="0" t="s">
        <v>532</v>
      </c>
      <c r="C53" s="0" t="s">
        <v>688</v>
      </c>
      <c r="E53" s="0" t="s">
        <v>689</v>
      </c>
      <c r="G53" s="0" t="s">
        <v>41</v>
      </c>
      <c r="I53" s="0" t="s">
        <v>664</v>
      </c>
      <c r="M53" s="0" t="s">
        <v>371</v>
      </c>
      <c r="O53" s="0" t="s">
        <v>371</v>
      </c>
      <c r="Q53" s="0" t="s">
        <v>165</v>
      </c>
      <c r="S53" s="0" t="s">
        <v>48</v>
      </c>
    </row>
    <row r="54" customFormat="false" ht="15" hidden="false" customHeight="false" outlineLevel="0" collapsed="false">
      <c r="A54" s="0" t="s">
        <v>533</v>
      </c>
      <c r="E54" s="0" t="s">
        <v>690</v>
      </c>
      <c r="G54" s="0" t="s">
        <v>27</v>
      </c>
      <c r="I54" s="0" t="s">
        <v>668</v>
      </c>
      <c r="M54" s="0" t="s">
        <v>374</v>
      </c>
      <c r="O54" s="0" t="s">
        <v>374</v>
      </c>
      <c r="Q54" s="0" t="s">
        <v>223</v>
      </c>
      <c r="S54" s="0" t="s">
        <v>51</v>
      </c>
    </row>
    <row r="55" customFormat="false" ht="15" hidden="false" customHeight="false" outlineLevel="0" collapsed="false">
      <c r="G55" s="0" t="s">
        <v>46</v>
      </c>
      <c r="M55" s="0" t="s">
        <v>648</v>
      </c>
      <c r="Q55" s="0" t="s">
        <v>285</v>
      </c>
      <c r="S55" s="0" t="s">
        <v>53</v>
      </c>
    </row>
    <row r="56" customFormat="false" ht="15" hidden="false" customHeight="false" outlineLevel="0" collapsed="false">
      <c r="G56" s="0" t="s">
        <v>49</v>
      </c>
      <c r="M56" s="0" t="s">
        <v>649</v>
      </c>
      <c r="S56" s="0" t="s">
        <v>55</v>
      </c>
    </row>
    <row r="57" customFormat="false" ht="15" hidden="false" customHeight="false" outlineLevel="0" collapsed="false">
      <c r="S57" s="0" t="s">
        <v>57</v>
      </c>
    </row>
    <row r="58" customFormat="false" ht="15" hidden="false" customHeight="false" outlineLevel="0" collapsed="false">
      <c r="S58" s="0" t="s">
        <v>59</v>
      </c>
    </row>
    <row r="59" customFormat="false" ht="15" hidden="false" customHeight="false" outlineLevel="0" collapsed="false">
      <c r="S59" s="0" t="s">
        <v>61</v>
      </c>
    </row>
    <row r="60" customFormat="false" ht="15" hidden="false" customHeight="false" outlineLevel="0" collapsed="false">
      <c r="S60" s="0" t="s">
        <v>63</v>
      </c>
    </row>
    <row r="61" customFormat="false" ht="15" hidden="false" customHeight="false" outlineLevel="0" collapsed="false">
      <c r="S61" s="0" t="s">
        <v>65</v>
      </c>
    </row>
    <row r="62" customFormat="false" ht="15" hidden="false" customHeight="false" outlineLevel="0" collapsed="false">
      <c r="S62" s="0" t="s">
        <v>67</v>
      </c>
    </row>
    <row r="63" customFormat="false" ht="15" hidden="false" customHeight="false" outlineLevel="0" collapsed="false">
      <c r="S63" s="0" t="s">
        <v>69</v>
      </c>
    </row>
    <row r="64" customFormat="false" ht="15" hidden="false" customHeight="false" outlineLevel="0" collapsed="false">
      <c r="S64" s="0" t="s">
        <v>71</v>
      </c>
    </row>
    <row r="65" customFormat="false" ht="15" hidden="false" customHeight="false" outlineLevel="0" collapsed="false">
      <c r="S65" s="0" t="s">
        <v>73</v>
      </c>
    </row>
    <row r="66" customFormat="false" ht="15" hidden="false" customHeight="false" outlineLevel="0" collapsed="false">
      <c r="S66" s="0" t="s">
        <v>75</v>
      </c>
    </row>
    <row r="67" customFormat="false" ht="15" hidden="false" customHeight="false" outlineLevel="0" collapsed="false">
      <c r="S67" s="0" t="s">
        <v>77</v>
      </c>
    </row>
    <row r="68" customFormat="false" ht="15" hidden="false" customHeight="false" outlineLevel="0" collapsed="false">
      <c r="S68" s="0" t="s">
        <v>79</v>
      </c>
    </row>
    <row r="69" customFormat="false" ht="15" hidden="false" customHeight="false" outlineLevel="0" collapsed="false">
      <c r="S69" s="0" t="s">
        <v>81</v>
      </c>
    </row>
    <row r="70" customFormat="false" ht="15" hidden="false" customHeight="false" outlineLevel="0" collapsed="false">
      <c r="S70" s="0" t="s">
        <v>83</v>
      </c>
    </row>
    <row r="71" customFormat="false" ht="15" hidden="false" customHeight="false" outlineLevel="0" collapsed="false">
      <c r="S71" s="0" t="s">
        <v>85</v>
      </c>
    </row>
    <row r="72" customFormat="false" ht="15" hidden="false" customHeight="false" outlineLevel="0" collapsed="false">
      <c r="S72" s="0" t="s">
        <v>87</v>
      </c>
    </row>
    <row r="73" customFormat="false" ht="15" hidden="false" customHeight="false" outlineLevel="0" collapsed="false">
      <c r="S73" s="0" t="s">
        <v>89</v>
      </c>
    </row>
    <row r="74" customFormat="false" ht="15" hidden="false" customHeight="false" outlineLevel="0" collapsed="false">
      <c r="S74" s="0" t="s">
        <v>91</v>
      </c>
    </row>
    <row r="75" customFormat="false" ht="15" hidden="false" customHeight="false" outlineLevel="0" collapsed="false">
      <c r="S75" s="0" t="s">
        <v>93</v>
      </c>
    </row>
    <row r="76" customFormat="false" ht="15" hidden="false" customHeight="false" outlineLevel="0" collapsed="false">
      <c r="S76" s="0" t="s">
        <v>95</v>
      </c>
    </row>
    <row r="77" customFormat="false" ht="15" hidden="false" customHeight="false" outlineLevel="0" collapsed="false">
      <c r="S77" s="0" t="s">
        <v>97</v>
      </c>
    </row>
    <row r="78" customFormat="false" ht="15" hidden="false" customHeight="false" outlineLevel="0" collapsed="false">
      <c r="S78" s="0" t="s">
        <v>99</v>
      </c>
    </row>
    <row r="79" customFormat="false" ht="15" hidden="false" customHeight="false" outlineLevel="0" collapsed="false">
      <c r="S79" s="0" t="s">
        <v>101</v>
      </c>
    </row>
    <row r="80" customFormat="false" ht="15" hidden="false" customHeight="false" outlineLevel="0" collapsed="false">
      <c r="S80" s="0" t="s">
        <v>103</v>
      </c>
    </row>
    <row r="81" customFormat="false" ht="15" hidden="false" customHeight="false" outlineLevel="0" collapsed="false">
      <c r="S81" s="0" t="s">
        <v>107</v>
      </c>
    </row>
    <row r="82" customFormat="false" ht="15" hidden="false" customHeight="false" outlineLevel="0" collapsed="false">
      <c r="S82" s="0" t="s">
        <v>109</v>
      </c>
    </row>
    <row r="83" customFormat="false" ht="15" hidden="false" customHeight="false" outlineLevel="0" collapsed="false">
      <c r="S83" s="0" t="s">
        <v>111</v>
      </c>
    </row>
    <row r="84" customFormat="false" ht="15" hidden="false" customHeight="false" outlineLevel="0" collapsed="false">
      <c r="S84" s="0" t="s">
        <v>113</v>
      </c>
    </row>
    <row r="85" customFormat="false" ht="15" hidden="false" customHeight="false" outlineLevel="0" collapsed="false">
      <c r="S85" s="0" t="s">
        <v>115</v>
      </c>
    </row>
    <row r="86" customFormat="false" ht="15" hidden="false" customHeight="false" outlineLevel="0" collapsed="false">
      <c r="S86" s="0" t="s">
        <v>117</v>
      </c>
    </row>
    <row r="87" customFormat="false" ht="15" hidden="false" customHeight="false" outlineLevel="0" collapsed="false">
      <c r="S87" s="0" t="s">
        <v>119</v>
      </c>
    </row>
    <row r="88" customFormat="false" ht="15" hidden="false" customHeight="false" outlineLevel="0" collapsed="false">
      <c r="S88" s="0" t="s">
        <v>121</v>
      </c>
    </row>
    <row r="89" customFormat="false" ht="15" hidden="false" customHeight="false" outlineLevel="0" collapsed="false">
      <c r="S89" s="0" t="s">
        <v>123</v>
      </c>
    </row>
    <row r="90" customFormat="false" ht="15" hidden="false" customHeight="false" outlineLevel="0" collapsed="false">
      <c r="S90" s="0" t="s">
        <v>125</v>
      </c>
    </row>
    <row r="91" customFormat="false" ht="15" hidden="false" customHeight="false" outlineLevel="0" collapsed="false">
      <c r="S91" s="0" t="s">
        <v>127</v>
      </c>
    </row>
    <row r="92" customFormat="false" ht="15" hidden="false" customHeight="false" outlineLevel="0" collapsed="false">
      <c r="S92" s="0" t="s">
        <v>129</v>
      </c>
    </row>
    <row r="93" customFormat="false" ht="15" hidden="false" customHeight="false" outlineLevel="0" collapsed="false">
      <c r="S93" s="0" t="s">
        <v>131</v>
      </c>
    </row>
    <row r="94" customFormat="false" ht="15" hidden="false" customHeight="false" outlineLevel="0" collapsed="false">
      <c r="S94" s="0" t="s">
        <v>133</v>
      </c>
    </row>
    <row r="95" customFormat="false" ht="15" hidden="false" customHeight="false" outlineLevel="0" collapsed="false">
      <c r="S95" s="0" t="s">
        <v>135</v>
      </c>
    </row>
    <row r="96" customFormat="false" ht="15" hidden="false" customHeight="false" outlineLevel="0" collapsed="false">
      <c r="S96" s="0" t="s">
        <v>137</v>
      </c>
    </row>
    <row r="97" customFormat="false" ht="15" hidden="false" customHeight="false" outlineLevel="0" collapsed="false">
      <c r="S97" s="0" t="s">
        <v>139</v>
      </c>
    </row>
    <row r="98" customFormat="false" ht="15" hidden="false" customHeight="false" outlineLevel="0" collapsed="false">
      <c r="S98" s="0" t="s">
        <v>141</v>
      </c>
    </row>
    <row r="99" customFormat="false" ht="15" hidden="false" customHeight="false" outlineLevel="0" collapsed="false">
      <c r="S99" s="0" t="s">
        <v>143</v>
      </c>
    </row>
    <row r="100" customFormat="false" ht="15" hidden="false" customHeight="false" outlineLevel="0" collapsed="false">
      <c r="S100" s="0" t="s">
        <v>145</v>
      </c>
    </row>
    <row r="101" customFormat="false" ht="15" hidden="false" customHeight="false" outlineLevel="0" collapsed="false">
      <c r="S101" s="0" t="s">
        <v>147</v>
      </c>
    </row>
    <row r="102" customFormat="false" ht="15" hidden="false" customHeight="false" outlineLevel="0" collapsed="false">
      <c r="S102" s="0" t="s">
        <v>149</v>
      </c>
    </row>
    <row r="103" customFormat="false" ht="15" hidden="false" customHeight="false" outlineLevel="0" collapsed="false">
      <c r="S103" s="0" t="s">
        <v>151</v>
      </c>
    </row>
    <row r="104" customFormat="false" ht="15" hidden="false" customHeight="false" outlineLevel="0" collapsed="false">
      <c r="S104" s="0" t="s">
        <v>153</v>
      </c>
    </row>
    <row r="105" customFormat="false" ht="15" hidden="false" customHeight="false" outlineLevel="0" collapsed="false">
      <c r="S105" s="0" t="s">
        <v>155</v>
      </c>
    </row>
    <row r="106" customFormat="false" ht="15" hidden="false" customHeight="false" outlineLevel="0" collapsed="false">
      <c r="S106" s="0" t="s">
        <v>157</v>
      </c>
    </row>
    <row r="107" customFormat="false" ht="15" hidden="false" customHeight="false" outlineLevel="0" collapsed="false">
      <c r="S107" s="0" t="s">
        <v>159</v>
      </c>
    </row>
    <row r="108" customFormat="false" ht="15" hidden="false" customHeight="false" outlineLevel="0" collapsed="false">
      <c r="S108" s="0" t="s">
        <v>161</v>
      </c>
    </row>
    <row r="109" customFormat="false" ht="15" hidden="false" customHeight="false" outlineLevel="0" collapsed="false">
      <c r="S109" s="0" t="s">
        <v>163</v>
      </c>
    </row>
    <row r="110" customFormat="false" ht="15" hidden="false" customHeight="false" outlineLevel="0" collapsed="false">
      <c r="S110" s="0" t="s">
        <v>167</v>
      </c>
    </row>
    <row r="111" customFormat="false" ht="15" hidden="false" customHeight="false" outlineLevel="0" collapsed="false">
      <c r="S111" s="0" t="s">
        <v>169</v>
      </c>
    </row>
    <row r="112" customFormat="false" ht="15" hidden="false" customHeight="false" outlineLevel="0" collapsed="false">
      <c r="S112" s="0" t="s">
        <v>171</v>
      </c>
    </row>
    <row r="113" customFormat="false" ht="15" hidden="false" customHeight="false" outlineLevel="0" collapsed="false">
      <c r="S113" s="0" t="s">
        <v>173</v>
      </c>
    </row>
    <row r="114" customFormat="false" ht="15" hidden="false" customHeight="false" outlineLevel="0" collapsed="false">
      <c r="S114" s="0" t="s">
        <v>175</v>
      </c>
    </row>
    <row r="115" customFormat="false" ht="15" hidden="false" customHeight="false" outlineLevel="0" collapsed="false">
      <c r="S115" s="0" t="s">
        <v>177</v>
      </c>
    </row>
    <row r="116" customFormat="false" ht="15" hidden="false" customHeight="false" outlineLevel="0" collapsed="false">
      <c r="S116" s="0" t="s">
        <v>179</v>
      </c>
    </row>
    <row r="117" customFormat="false" ht="15" hidden="false" customHeight="false" outlineLevel="0" collapsed="false">
      <c r="S117" s="0" t="s">
        <v>181</v>
      </c>
    </row>
    <row r="118" customFormat="false" ht="15" hidden="false" customHeight="false" outlineLevel="0" collapsed="false">
      <c r="S118" s="0" t="s">
        <v>183</v>
      </c>
    </row>
    <row r="119" customFormat="false" ht="15" hidden="false" customHeight="false" outlineLevel="0" collapsed="false">
      <c r="S119" s="0" t="s">
        <v>185</v>
      </c>
    </row>
    <row r="120" customFormat="false" ht="15" hidden="false" customHeight="false" outlineLevel="0" collapsed="false">
      <c r="S120" s="0" t="s">
        <v>187</v>
      </c>
    </row>
    <row r="121" customFormat="false" ht="15" hidden="false" customHeight="false" outlineLevel="0" collapsed="false">
      <c r="S121" s="0" t="s">
        <v>189</v>
      </c>
    </row>
    <row r="122" customFormat="false" ht="15" hidden="false" customHeight="false" outlineLevel="0" collapsed="false">
      <c r="S122" s="0" t="s">
        <v>191</v>
      </c>
    </row>
    <row r="123" customFormat="false" ht="15" hidden="false" customHeight="false" outlineLevel="0" collapsed="false">
      <c r="S123" s="0" t="s">
        <v>193</v>
      </c>
    </row>
    <row r="124" customFormat="false" ht="15" hidden="false" customHeight="false" outlineLevel="0" collapsed="false">
      <c r="S124" s="0" t="s">
        <v>195</v>
      </c>
    </row>
    <row r="125" customFormat="false" ht="15" hidden="false" customHeight="false" outlineLevel="0" collapsed="false">
      <c r="S125" s="0" t="s">
        <v>197</v>
      </c>
    </row>
    <row r="126" customFormat="false" ht="15" hidden="false" customHeight="false" outlineLevel="0" collapsed="false">
      <c r="S126" s="0" t="s">
        <v>199</v>
      </c>
    </row>
    <row r="127" customFormat="false" ht="15" hidden="false" customHeight="false" outlineLevel="0" collapsed="false">
      <c r="S127" s="0" t="s">
        <v>201</v>
      </c>
    </row>
    <row r="128" customFormat="false" ht="15" hidden="false" customHeight="false" outlineLevel="0" collapsed="false">
      <c r="S128" s="0" t="s">
        <v>203</v>
      </c>
    </row>
    <row r="129" customFormat="false" ht="15" hidden="false" customHeight="false" outlineLevel="0" collapsed="false">
      <c r="S129" s="0" t="s">
        <v>205</v>
      </c>
    </row>
    <row r="130" customFormat="false" ht="15" hidden="false" customHeight="false" outlineLevel="0" collapsed="false">
      <c r="S130" s="0" t="s">
        <v>207</v>
      </c>
    </row>
    <row r="131" customFormat="false" ht="15" hidden="false" customHeight="false" outlineLevel="0" collapsed="false">
      <c r="S131" s="0" t="s">
        <v>209</v>
      </c>
    </row>
    <row r="132" customFormat="false" ht="15" hidden="false" customHeight="false" outlineLevel="0" collapsed="false">
      <c r="S132" s="0" t="s">
        <v>211</v>
      </c>
    </row>
    <row r="133" customFormat="false" ht="15" hidden="false" customHeight="false" outlineLevel="0" collapsed="false">
      <c r="S133" s="0" t="s">
        <v>213</v>
      </c>
    </row>
    <row r="134" customFormat="false" ht="15" hidden="false" customHeight="false" outlineLevel="0" collapsed="false">
      <c r="S134" s="0" t="s">
        <v>215</v>
      </c>
    </row>
    <row r="135" customFormat="false" ht="15" hidden="false" customHeight="false" outlineLevel="0" collapsed="false">
      <c r="S135" s="0" t="s">
        <v>217</v>
      </c>
    </row>
    <row r="136" customFormat="false" ht="15" hidden="false" customHeight="false" outlineLevel="0" collapsed="false">
      <c r="S136" s="0" t="s">
        <v>219</v>
      </c>
    </row>
    <row r="137" customFormat="false" ht="15" hidden="false" customHeight="false" outlineLevel="0" collapsed="false">
      <c r="S137" s="0" t="s">
        <v>221</v>
      </c>
    </row>
    <row r="138" customFormat="false" ht="15" hidden="false" customHeight="false" outlineLevel="0" collapsed="false">
      <c r="S138" s="0" t="s">
        <v>225</v>
      </c>
    </row>
    <row r="139" customFormat="false" ht="15" hidden="false" customHeight="false" outlineLevel="0" collapsed="false">
      <c r="S139" s="0" t="s">
        <v>227</v>
      </c>
    </row>
    <row r="140" customFormat="false" ht="15" hidden="false" customHeight="false" outlineLevel="0" collapsed="false">
      <c r="S140" s="0" t="s">
        <v>229</v>
      </c>
    </row>
    <row r="141" customFormat="false" ht="15" hidden="false" customHeight="false" outlineLevel="0" collapsed="false">
      <c r="S141" s="0" t="s">
        <v>231</v>
      </c>
    </row>
    <row r="142" customFormat="false" ht="15" hidden="false" customHeight="false" outlineLevel="0" collapsed="false">
      <c r="S142" s="0" t="s">
        <v>233</v>
      </c>
    </row>
    <row r="143" customFormat="false" ht="15" hidden="false" customHeight="false" outlineLevel="0" collapsed="false">
      <c r="S143" s="0" t="s">
        <v>235</v>
      </c>
    </row>
    <row r="144" customFormat="false" ht="15" hidden="false" customHeight="false" outlineLevel="0" collapsed="false">
      <c r="S144" s="0" t="s">
        <v>237</v>
      </c>
    </row>
    <row r="145" customFormat="false" ht="15" hidden="false" customHeight="false" outlineLevel="0" collapsed="false">
      <c r="S145" s="0" t="s">
        <v>239</v>
      </c>
    </row>
    <row r="146" customFormat="false" ht="15" hidden="false" customHeight="false" outlineLevel="0" collapsed="false">
      <c r="S146" s="0" t="s">
        <v>241</v>
      </c>
    </row>
    <row r="147" customFormat="false" ht="15" hidden="false" customHeight="false" outlineLevel="0" collapsed="false">
      <c r="S147" s="0" t="s">
        <v>243</v>
      </c>
    </row>
    <row r="148" customFormat="false" ht="15" hidden="false" customHeight="false" outlineLevel="0" collapsed="false">
      <c r="S148" s="0" t="s">
        <v>245</v>
      </c>
    </row>
    <row r="149" customFormat="false" ht="15" hidden="false" customHeight="false" outlineLevel="0" collapsed="false">
      <c r="S149" s="0" t="s">
        <v>247</v>
      </c>
    </row>
    <row r="150" customFormat="false" ht="15" hidden="false" customHeight="false" outlineLevel="0" collapsed="false">
      <c r="S150" s="0" t="s">
        <v>249</v>
      </c>
    </row>
    <row r="151" customFormat="false" ht="15" hidden="false" customHeight="false" outlineLevel="0" collapsed="false">
      <c r="S151" s="0" t="s">
        <v>251</v>
      </c>
    </row>
    <row r="152" customFormat="false" ht="15" hidden="false" customHeight="false" outlineLevel="0" collapsed="false">
      <c r="S152" s="0" t="s">
        <v>253</v>
      </c>
    </row>
    <row r="153" customFormat="false" ht="15" hidden="false" customHeight="false" outlineLevel="0" collapsed="false">
      <c r="S153" s="0" t="s">
        <v>255</v>
      </c>
    </row>
    <row r="154" customFormat="false" ht="15" hidden="false" customHeight="false" outlineLevel="0" collapsed="false">
      <c r="S154" s="0" t="s">
        <v>257</v>
      </c>
    </row>
    <row r="155" customFormat="false" ht="15" hidden="false" customHeight="false" outlineLevel="0" collapsed="false">
      <c r="S155" s="0" t="s">
        <v>259</v>
      </c>
    </row>
    <row r="156" customFormat="false" ht="15" hidden="false" customHeight="false" outlineLevel="0" collapsed="false">
      <c r="S156" s="0" t="s">
        <v>261</v>
      </c>
    </row>
    <row r="157" customFormat="false" ht="15" hidden="false" customHeight="false" outlineLevel="0" collapsed="false">
      <c r="S157" s="0" t="s">
        <v>263</v>
      </c>
    </row>
    <row r="158" customFormat="false" ht="15" hidden="false" customHeight="false" outlineLevel="0" collapsed="false">
      <c r="S158" s="0" t="s">
        <v>265</v>
      </c>
    </row>
    <row r="159" customFormat="false" ht="15" hidden="false" customHeight="false" outlineLevel="0" collapsed="false">
      <c r="S159" s="0" t="s">
        <v>267</v>
      </c>
    </row>
    <row r="160" customFormat="false" ht="15" hidden="false" customHeight="false" outlineLevel="0" collapsed="false">
      <c r="S160" s="0" t="s">
        <v>269</v>
      </c>
    </row>
    <row r="161" customFormat="false" ht="15" hidden="false" customHeight="false" outlineLevel="0" collapsed="false">
      <c r="S161" s="0" t="s">
        <v>271</v>
      </c>
    </row>
    <row r="162" customFormat="false" ht="15" hidden="false" customHeight="false" outlineLevel="0" collapsed="false">
      <c r="S162" s="0" t="s">
        <v>273</v>
      </c>
    </row>
    <row r="163" customFormat="false" ht="15" hidden="false" customHeight="false" outlineLevel="0" collapsed="false">
      <c r="S163" s="0" t="s">
        <v>275</v>
      </c>
    </row>
    <row r="164" customFormat="false" ht="15" hidden="false" customHeight="false" outlineLevel="0" collapsed="false">
      <c r="S164" s="0" t="s">
        <v>277</v>
      </c>
    </row>
    <row r="165" customFormat="false" ht="15" hidden="false" customHeight="false" outlineLevel="0" collapsed="false">
      <c r="S165" s="0" t="s">
        <v>279</v>
      </c>
    </row>
    <row r="166" customFormat="false" ht="15" hidden="false" customHeight="false" outlineLevel="0" collapsed="false">
      <c r="S166" s="0" t="s">
        <v>281</v>
      </c>
    </row>
    <row r="167" customFormat="false" ht="15" hidden="false" customHeight="false" outlineLevel="0" collapsed="false">
      <c r="S167" s="0" t="s">
        <v>283</v>
      </c>
    </row>
    <row r="168" customFormat="false" ht="15" hidden="false" customHeight="false" outlineLevel="0" collapsed="false">
      <c r="S168" s="0" t="s">
        <v>287</v>
      </c>
    </row>
    <row r="169" customFormat="false" ht="15" hidden="false" customHeight="false" outlineLevel="0" collapsed="false">
      <c r="S169" s="0" t="s">
        <v>289</v>
      </c>
    </row>
    <row r="170" customFormat="false" ht="15" hidden="false" customHeight="false" outlineLevel="0" collapsed="false">
      <c r="S170" s="0" t="s">
        <v>291</v>
      </c>
    </row>
    <row r="171" customFormat="false" ht="15" hidden="false" customHeight="false" outlineLevel="0" collapsed="false">
      <c r="S171" s="0" t="s">
        <v>293</v>
      </c>
    </row>
    <row r="172" customFormat="false" ht="15" hidden="false" customHeight="false" outlineLevel="0" collapsed="false">
      <c r="S172" s="0" t="s">
        <v>295</v>
      </c>
    </row>
    <row r="173" customFormat="false" ht="15" hidden="false" customHeight="false" outlineLevel="0" collapsed="false">
      <c r="S173" s="0" t="s">
        <v>297</v>
      </c>
    </row>
    <row r="174" customFormat="false" ht="15" hidden="false" customHeight="false" outlineLevel="0" collapsed="false">
      <c r="S174" s="0" t="s">
        <v>299</v>
      </c>
    </row>
    <row r="175" customFormat="false" ht="15" hidden="false" customHeight="false" outlineLevel="0" collapsed="false">
      <c r="S175" s="0" t="s">
        <v>301</v>
      </c>
    </row>
    <row r="176" customFormat="false" ht="15" hidden="false" customHeight="false" outlineLevel="0" collapsed="false">
      <c r="S176" s="0" t="s">
        <v>303</v>
      </c>
    </row>
    <row r="177" customFormat="false" ht="15" hidden="false" customHeight="false" outlineLevel="0" collapsed="false">
      <c r="S177" s="0" t="s">
        <v>305</v>
      </c>
    </row>
    <row r="178" customFormat="false" ht="15" hidden="false" customHeight="false" outlineLevel="0" collapsed="false">
      <c r="S178" s="0" t="s">
        <v>307</v>
      </c>
    </row>
    <row r="179" customFormat="false" ht="15" hidden="false" customHeight="false" outlineLevel="0" collapsed="false">
      <c r="S179" s="0" t="s">
        <v>309</v>
      </c>
    </row>
    <row r="180" customFormat="false" ht="15" hidden="false" customHeight="false" outlineLevel="0" collapsed="false">
      <c r="S180" s="0" t="s">
        <v>311</v>
      </c>
    </row>
    <row r="181" customFormat="false" ht="15" hidden="false" customHeight="false" outlineLevel="0" collapsed="false">
      <c r="S181" s="0" t="s">
        <v>313</v>
      </c>
    </row>
    <row r="182" customFormat="false" ht="15" hidden="false" customHeight="false" outlineLevel="0" collapsed="false">
      <c r="S182" s="0" t="s">
        <v>315</v>
      </c>
    </row>
    <row r="183" customFormat="false" ht="15" hidden="false" customHeight="false" outlineLevel="0" collapsed="false">
      <c r="S183" s="0" t="s">
        <v>317</v>
      </c>
    </row>
    <row r="184" customFormat="false" ht="15" hidden="false" customHeight="false" outlineLevel="0" collapsed="false">
      <c r="S184" s="0" t="s">
        <v>319</v>
      </c>
    </row>
    <row r="185" customFormat="false" ht="15" hidden="false" customHeight="false" outlineLevel="0" collapsed="false">
      <c r="S185" s="0" t="s">
        <v>321</v>
      </c>
    </row>
    <row r="186" customFormat="false" ht="15" hidden="false" customHeight="false" outlineLevel="0" collapsed="false">
      <c r="S186" s="0" t="s">
        <v>323</v>
      </c>
    </row>
    <row r="187" customFormat="false" ht="15" hidden="false" customHeight="false" outlineLevel="0" collapsed="false">
      <c r="S187" s="0" t="s">
        <v>325</v>
      </c>
    </row>
    <row r="188" customFormat="false" ht="15" hidden="false" customHeight="false" outlineLevel="0" collapsed="false">
      <c r="S188" s="0" t="s">
        <v>327</v>
      </c>
    </row>
    <row r="189" customFormat="false" ht="15" hidden="false" customHeight="false" outlineLevel="0" collapsed="false">
      <c r="S189" s="0" t="s">
        <v>329</v>
      </c>
    </row>
    <row r="190" customFormat="false" ht="15" hidden="false" customHeight="false" outlineLevel="0" collapsed="false">
      <c r="S190" s="0" t="s">
        <v>331</v>
      </c>
    </row>
    <row r="191" customFormat="false" ht="15" hidden="false" customHeight="false" outlineLevel="0" collapsed="false">
      <c r="S191" s="0" t="s">
        <v>333</v>
      </c>
    </row>
    <row r="192" customFormat="false" ht="15" hidden="false" customHeight="false" outlineLevel="0" collapsed="false">
      <c r="S192" s="0" t="s">
        <v>335</v>
      </c>
    </row>
    <row r="193" customFormat="false" ht="15" hidden="false" customHeight="false" outlineLevel="0" collapsed="false">
      <c r="S193" s="0" t="s">
        <v>337</v>
      </c>
    </row>
    <row r="194" customFormat="false" ht="15" hidden="false" customHeight="false" outlineLevel="0" collapsed="false">
      <c r="S194" s="0" t="s">
        <v>339</v>
      </c>
    </row>
    <row r="195" customFormat="false" ht="15" hidden="false" customHeight="false" outlineLevel="0" collapsed="false">
      <c r="S195" s="0" t="s">
        <v>341</v>
      </c>
    </row>
    <row r="196" customFormat="false" ht="15" hidden="false" customHeight="false" outlineLevel="0" collapsed="false">
      <c r="S196" s="0" t="s">
        <v>343</v>
      </c>
    </row>
    <row r="197" customFormat="false" ht="15" hidden="false" customHeight="false" outlineLevel="0" collapsed="false">
      <c r="S197" s="0" t="s">
        <v>345</v>
      </c>
    </row>
    <row r="200" customFormat="false" ht="15" hidden="false" customHeight="false" outlineLevel="0" collapsed="false">
      <c r="A200" s="3" t="s">
        <v>691</v>
      </c>
    </row>
    <row r="201" customFormat="false" ht="15" hidden="false" customHeight="false" outlineLevel="0" collapsed="false">
      <c r="A201" s="6" t="s">
        <v>684</v>
      </c>
      <c r="B201" s="17" t="s">
        <v>692</v>
      </c>
    </row>
    <row r="202" customFormat="false" ht="15" hidden="false" customHeight="false" outlineLevel="0" collapsed="false">
      <c r="A202" s="6" t="s">
        <v>686</v>
      </c>
      <c r="B202" s="17" t="s">
        <v>693</v>
      </c>
    </row>
    <row r="203" customFormat="false" ht="15" hidden="false" customHeight="false" outlineLevel="0" collapsed="false">
      <c r="A203" s="6" t="s">
        <v>689</v>
      </c>
      <c r="B203" s="17" t="s">
        <v>694</v>
      </c>
    </row>
    <row r="204" customFormat="false" ht="15" hidden="false" customHeight="false" outlineLevel="0" collapsed="false">
      <c r="A204" s="6" t="s">
        <v>690</v>
      </c>
      <c r="B204" s="17" t="s">
        <v>695</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2026-09-07T11:45:06Z</dcterms:created>
  <dc:creator>Capacity exercise toolkit</dc:creator>
  <dc:description/>
  <dc:language>en-US</dc:language>
  <cp:lastModifiedBy/>
  <dcterms:modified xsi:type="dcterms:W3CDTF">2026-09-07T11:45:34Z</dcterms:modified>
  <cp:revision>1</cp:revision>
  <dc:subject/>
  <dc:title>2027 Capacity Exercise - Technology Group</dc:title>
</cp:coreProperties>
</file>

<file path=docProps/custom.xml><?xml version="1.0" encoding="utf-8"?>
<Properties xmlns="http://schemas.openxmlformats.org/officeDocument/2006/custom-properties" xmlns:vt="http://schemas.openxmlformats.org/officeDocument/2006/docPropsVTypes"/>
</file>