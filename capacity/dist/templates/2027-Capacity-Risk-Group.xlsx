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capacity'!$A$5:$Q$273</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position'!$B$30</definedName>
    <definedName function="false" hidden="false" name="CostMine" vbProcedure="false">'5. My position'!$C$30</definedName>
    <definedName function="false" hidden="false" name="DirectionList" vbProcedure="false">Ref!$E$51:$E$53</definedName>
    <definedName function="false" hidden="false" name="DispositionList" vbProcedure="false">Ref!$I$51:$I$53</definedName>
    <definedName function="false" hidden="false" name="DivisionList" vbProcedure="false">Ref!$U$51:$U$54</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position'!$B$31</definedName>
    <definedName function="false" hidden="false" name="HeadMine" vbProcedure="false">'5. My position'!$C$31</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position'!$B$32</definedName>
    <definedName function="false" hidden="false" name="MandateMine" vbProcedure="false">'5. My position'!$C$32</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capacity'!$J$6:$J$273</definedName>
    <definedName function="false" hidden="false" name="SeatDepartment" vbProcedure="false">'2. Current capacity'!$C$6:$C$273</definedName>
    <definedName function="false" hidden="false" name="SeatDirection" vbProcedure="false">'2. Current capacity'!$N$6:$N$273</definedName>
    <definedName function="false" hidden="false" name="SeatDivision" vbProcedure="false">'2. Current capacity'!$B$6:$B$273</definedName>
    <definedName function="false" hidden="false" name="SeatExits" vbProcedure="false">'2. Current capacity'!$P$6:$P$273</definedName>
    <definedName function="false" hidden="false" name="SeatFilled" vbProcedure="false">'2. Current capacity'!$K$6:$K$273</definedName>
    <definedName function="false" hidden="false" name="SeatLevel" vbProcedure="false">'2. Current capacity'!$G$6:$G$273</definedName>
    <definedName function="false" hidden="false" name="SeatMandate" vbProcedure="false">'2. Current capacity'!$I$6:$I$273</definedName>
    <definedName function="false" hidden="false" name="SeatProblem" vbProcedure="false">'2. Current capacity'!$Q$6:$Q$273</definedName>
    <definedName function="false" hidden="false" name="SeatSlated" vbProcedure="false">'2. Current capacity'!$O$6:$O$273</definedName>
    <definedName function="false" hidden="false" name="SeatSubUnit" vbProcedure="false">'2. Current capacity'!$E$6:$E$273</definedName>
    <definedName function="false" hidden="false" name="SeatTitle" vbProcedure="false">'2. Current capacity'!$F$6:$F$273</definedName>
    <definedName function="false" hidden="false" name="SeatUnit" vbProcedure="false">'2. Current capacity'!$D$6:$D$273</definedName>
    <definedName function="false" hidden="false" name="SeatVacant" vbProcedure="false">'2. Current capacity'!$L$6:$L$273</definedName>
    <definedName function="false" hidden="false" name="SeatWorkerType" vbProcedure="false">'2. Current capacity'!$M$6:$M$273</definedName>
    <definedName function="false" hidden="false" name="UnitList" vbProcedure="false">Ref!$W$51:$W$113</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<sst xmlns="http://schemas.openxmlformats.org/spreadsheetml/2006/main" count="2417" uniqueCount="599">
  <si>
    <t xml:space="preserve">2027 Capacity Exercise</t>
  </si>
  <si>
    <t xml:space="preserve">Risk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</si>
  <si>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</si>
  <si>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</si>
  <si>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</si>
  <si>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</si>
  <si>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</si>
  <si>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</si>
  <si>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</si>
  <si>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</si>
  <si>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</si>
  <si>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</si>
  <si>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</si>
  <si>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</si>
  <si>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</si>
  <si>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</si>
  <si>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</si>
  <si>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</si>
  <si>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</si>
  <si>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</si>
  <si>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</si>
  <si>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</si>
  <si>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</si>
  <si>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</si>
  <si>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</si>
  <si>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</si>
  <si>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</si>
  <si>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</si>
  <si>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</si>
  <si>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</si>
  <si>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</si>
  <si>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</si>
  <si>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</si>
  <si>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</si>
  <si>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</si>
  <si>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</si>
  <si>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</si>
  <si>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</si>
  <si>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</si>
  <si>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</si>
  <si>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</si>
  <si>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</si>
  <si>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</si>
  <si>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</si>
  <si>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</si>
  <si>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</si>
  <si>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</si>
  <si>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</si>
  <si>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Risk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</si>
  <si>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</si>
  <si>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</si>
  <si>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</si>
  <si>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</si>
  <si>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</si>
  <si>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</si>
  <si>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</si>
  <si>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</si>
  <si>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</si>
  <si>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</si>
  <si>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</si>
  <si>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Risk Group</t>
  </si>
  <si>
    <t xml:space="preserve">Division</t>
  </si>
  <si>
    <t xml:space="preserve">    Credit Risk Division</t>
  </si>
  <si>
    <t xml:space="preserve">Credit Risk Division</t>
  </si>
  <si>
    <t xml:space="preserve">Department</t>
  </si>
  <si>
    <t xml:space="preserve">        Corporate Credit Risk</t>
  </si>
  <si>
    <t xml:space="preserve">Corporate Credit Risk</t>
  </si>
  <si>
    <t xml:space="preserve">            Corporate Credit Risk Unit 1</t>
  </si>
  <si>
    <t xml:space="preserve">Corporate Credit Risk Unit 1</t>
  </si>
  <si>
    <t xml:space="preserve">Sub-unit</t>
  </si>
  <si>
    <t xml:space="preserve">                Corporate Credit Risk Unit 1 - Team A</t>
  </si>
  <si>
    <t xml:space="preserve">Corporate Credit Risk Unit 1 - Team A</t>
  </si>
  <si>
    <t xml:space="preserve">                Corporate Credit Risk Unit 1 - Team B</t>
  </si>
  <si>
    <t xml:space="preserve">Corporate Credit Risk Unit 1 - Team B</t>
  </si>
  <si>
    <t xml:space="preserve">            Corporate Credit Risk Unit 2</t>
  </si>
  <si>
    <t xml:space="preserve">Corporate Credit Risk Unit 2</t>
  </si>
  <si>
    <t xml:space="preserve">                Corporate Credit Risk Unit 2 - Team A</t>
  </si>
  <si>
    <t xml:space="preserve">Corporate Credit Risk Unit 2 - Team A</t>
  </si>
  <si>
    <t xml:space="preserve">                Corporate Credit Risk Unit 2 - Team B</t>
  </si>
  <si>
    <t xml:space="preserve">Corporate Credit Risk Unit 2 - Team B</t>
  </si>
  <si>
    <t xml:space="preserve">        Credit Administration</t>
  </si>
  <si>
    <t xml:space="preserve">Credit Administration</t>
  </si>
  <si>
    <t xml:space="preserve">            Credit Administration Unit 1</t>
  </si>
  <si>
    <t xml:space="preserve">Credit Administration Unit 1</t>
  </si>
  <si>
    <t xml:space="preserve">                Credit Administration Unit 1 - Team A</t>
  </si>
  <si>
    <t xml:space="preserve">Credit Administration Unit 1 - Team A</t>
  </si>
  <si>
    <t xml:space="preserve">                Credit Administration Unit 1 - Team B</t>
  </si>
  <si>
    <t xml:space="preserve">Credit Administration Unit 1 - Team B</t>
  </si>
  <si>
    <t xml:space="preserve">            Credit Administration Unit 2</t>
  </si>
  <si>
    <t xml:space="preserve">Credit Administration Unit 2</t>
  </si>
  <si>
    <t xml:space="preserve">                Credit Administration Unit 2 - Team A</t>
  </si>
  <si>
    <t xml:space="preserve">Credit Administration Unit 2 - Team A</t>
  </si>
  <si>
    <t xml:space="preserve">                Credit Administration Unit 2 - Team B</t>
  </si>
  <si>
    <t xml:space="preserve">Credit Administration Unit 2 - Team B</t>
  </si>
  <si>
    <t xml:space="preserve">        Retail Credit Risk</t>
  </si>
  <si>
    <t xml:space="preserve">Retail Credit Risk</t>
  </si>
  <si>
    <t xml:space="preserve">            Retail Credit Risk Unit 1</t>
  </si>
  <si>
    <t xml:space="preserve">Retail Credit Risk Unit 1</t>
  </si>
  <si>
    <t xml:space="preserve">                Retail Credit Risk Unit 1 - Team A</t>
  </si>
  <si>
    <t xml:space="preserve">Retail Credit Risk Unit 1 - Team A</t>
  </si>
  <si>
    <t xml:space="preserve">                Retail Credit Risk Unit 1 - Team B</t>
  </si>
  <si>
    <t xml:space="preserve">Retail Credit Risk Unit 1 - Team B</t>
  </si>
  <si>
    <t xml:space="preserve">            Retail Credit Risk Unit 2</t>
  </si>
  <si>
    <t xml:space="preserve">Retail Credit Risk Unit 2</t>
  </si>
  <si>
    <t xml:space="preserve">                Retail Credit Risk Unit 2 - Team A</t>
  </si>
  <si>
    <t xml:space="preserve">Retail Credit Risk Unit 2 - Team A</t>
  </si>
  <si>
    <t xml:space="preserve">                Retail Credit Risk Unit 2 - Team B</t>
  </si>
  <si>
    <t xml:space="preserve">Retail Credit Risk Unit 2 - Team B</t>
  </si>
  <si>
    <t xml:space="preserve">    Market &amp; Liquidity Risk Division</t>
  </si>
  <si>
    <t xml:space="preserve">Market &amp; Liquidity Risk Division</t>
  </si>
  <si>
    <t xml:space="preserve">        Liquidity Risk</t>
  </si>
  <si>
    <t xml:space="preserve">Liquidity Risk</t>
  </si>
  <si>
    <t xml:space="preserve">            Liquidity Risk Unit 1</t>
  </si>
  <si>
    <t xml:space="preserve">Liquidity Risk Unit 1</t>
  </si>
  <si>
    <t xml:space="preserve">                Liquidity Risk Unit 1 - Team A</t>
  </si>
  <si>
    <t xml:space="preserve">Liquidity Risk Unit 1 - Team A</t>
  </si>
  <si>
    <t xml:space="preserve">                Liquidity Risk Unit 1 - Team B</t>
  </si>
  <si>
    <t xml:space="preserve">Liquidity Risk Unit 1 - Team B</t>
  </si>
  <si>
    <t xml:space="preserve">            Liquidity Risk Unit 2</t>
  </si>
  <si>
    <t xml:space="preserve">Liquidity Risk Unit 2</t>
  </si>
  <si>
    <t xml:space="preserve">                Liquidity Risk Unit 2 - Team A</t>
  </si>
  <si>
    <t xml:space="preserve">Liquidity Risk Unit 2 - Team A</t>
  </si>
  <si>
    <t xml:space="preserve">                Liquidity Risk Unit 2 - Team B</t>
  </si>
  <si>
    <t xml:space="preserve">Liquidity Risk Unit 2 - Team B</t>
  </si>
  <si>
    <t xml:space="preserve">        Market Risk</t>
  </si>
  <si>
    <t xml:space="preserve">Market Risk</t>
  </si>
  <si>
    <t xml:space="preserve">            Market Risk Unit 1</t>
  </si>
  <si>
    <t xml:space="preserve">Market Risk Unit 1</t>
  </si>
  <si>
    <t xml:space="preserve">                Market Risk Unit 1 - Team A</t>
  </si>
  <si>
    <t xml:space="preserve">Market Risk Unit 1 - Team A</t>
  </si>
  <si>
    <t xml:space="preserve">                Market Risk Unit 1 - Team B</t>
  </si>
  <si>
    <t xml:space="preserve">Market Risk Unit 1 - Team B</t>
  </si>
  <si>
    <t xml:space="preserve">            Market Risk Unit 2</t>
  </si>
  <si>
    <t xml:space="preserve">Market Risk Unit 2</t>
  </si>
  <si>
    <t xml:space="preserve">                Market Risk Unit 2 - Team A</t>
  </si>
  <si>
    <t xml:space="preserve">Market Risk Unit 2 - Team A</t>
  </si>
  <si>
    <t xml:space="preserve">                Market Risk Unit 2 - Team B</t>
  </si>
  <si>
    <t xml:space="preserve">Market Risk Unit 2 - Team B</t>
  </si>
  <si>
    <t xml:space="preserve">    Operational Risk Division</t>
  </si>
  <si>
    <t xml:space="preserve">Operational Risk Division</t>
  </si>
  <si>
    <t xml:space="preserve">        Business Continuity</t>
  </si>
  <si>
    <t xml:space="preserve">Business Continuity</t>
  </si>
  <si>
    <t xml:space="preserve">            Business Continuity Unit 1</t>
  </si>
  <si>
    <t xml:space="preserve">Business Continuity Unit 1</t>
  </si>
  <si>
    <t xml:space="preserve">                Business Continuity Unit 1 - Team A</t>
  </si>
  <si>
    <t xml:space="preserve">Business Continuity Unit 1 - Team A</t>
  </si>
  <si>
    <t xml:space="preserve">                Business Continuity Unit 1 - Team B</t>
  </si>
  <si>
    <t xml:space="preserve">Business Continuity Unit 1 - Team B</t>
  </si>
  <si>
    <t xml:space="preserve">            Business Continuity Unit 2</t>
  </si>
  <si>
    <t xml:space="preserve">Business Continuity Unit 2</t>
  </si>
  <si>
    <t xml:space="preserve">                Business Continuity Unit 2 - Team A</t>
  </si>
  <si>
    <t xml:space="preserve">Business Continuity Unit 2 - Team A</t>
  </si>
  <si>
    <t xml:space="preserve">                Business Continuity Unit 2 - Team B</t>
  </si>
  <si>
    <t xml:space="preserve">Business Continuity Unit 2 - Team B</t>
  </si>
  <si>
    <t xml:space="preserve">        Operational Risk</t>
  </si>
  <si>
    <t xml:space="preserve">Operational Risk</t>
  </si>
  <si>
    <t xml:space="preserve">            Operational Risk Unit 1</t>
  </si>
  <si>
    <t xml:space="preserve">Operational Risk Unit 1</t>
  </si>
  <si>
    <t xml:space="preserve">                Operational Risk Unit 1 - Team A</t>
  </si>
  <si>
    <t xml:space="preserve">Operational Risk Unit 1 - Team A</t>
  </si>
  <si>
    <t xml:space="preserve">                Operational Risk Unit 1 - Team B</t>
  </si>
  <si>
    <t xml:space="preserve">Operational Risk Unit 1 - Team B</t>
  </si>
  <si>
    <t xml:space="preserve">            Operational Risk Unit 2</t>
  </si>
  <si>
    <t xml:space="preserve">Operational Risk Unit 2</t>
  </si>
  <si>
    <t xml:space="preserve">                Operational Risk Unit 2 - Team A</t>
  </si>
  <si>
    <t xml:space="preserve">Operational Risk Unit 2 - Team A</t>
  </si>
  <si>
    <t xml:space="preserve">                Operational Risk Unit 2 - Team B</t>
  </si>
  <si>
    <t xml:space="preserve">Operational Risk Unit 2 - Team B</t>
  </si>
  <si>
    <t xml:space="preserve">    Risk Analytics Division</t>
  </si>
  <si>
    <t xml:space="preserve">Risk Analytics Division</t>
  </si>
  <si>
    <t xml:space="preserve">        IFRS 9 &amp; Provisioning</t>
  </si>
  <si>
    <t xml:space="preserve">IFRS 9 &amp; Provisioning</t>
  </si>
  <si>
    <t xml:space="preserve">            IFRS 9 &amp; Provisioning Unit 1</t>
  </si>
  <si>
    <t xml:space="preserve">IFRS 9 &amp; Provisioning Unit 1</t>
  </si>
  <si>
    <t xml:space="preserve">                IFRS 9 &amp; Provisioning Unit 1 - Team A</t>
  </si>
  <si>
    <t xml:space="preserve">IFRS 9 &amp; Provisioning Unit 1 - Team A</t>
  </si>
  <si>
    <t xml:space="preserve">                IFRS 9 &amp; Provisioning Unit 1 - Team B</t>
  </si>
  <si>
    <t xml:space="preserve">IFRS 9 &amp; Provisioning Unit 1 - Team B</t>
  </si>
  <si>
    <t xml:space="preserve">            IFRS 9 &amp; Provisioning Unit 2</t>
  </si>
  <si>
    <t xml:space="preserve">IFRS 9 &amp; Provisioning Unit 2</t>
  </si>
  <si>
    <t xml:space="preserve">                IFRS 9 &amp; Provisioning Unit 2 - Team A</t>
  </si>
  <si>
    <t xml:space="preserve">IFRS 9 &amp; Provisioning Unit 2 - Team A</t>
  </si>
  <si>
    <t xml:space="preserve">                IFRS 9 &amp; Provisioning Unit 2 - Team B</t>
  </si>
  <si>
    <t xml:space="preserve">IFRS 9 &amp; Provisioning Unit 2 - Team B</t>
  </si>
  <si>
    <t xml:space="preserve">        Risk Modelling</t>
  </si>
  <si>
    <t xml:space="preserve">Risk Modelling</t>
  </si>
  <si>
    <t xml:space="preserve">            Risk Modelling Unit 1</t>
  </si>
  <si>
    <t xml:space="preserve">Risk Modelling Unit 1</t>
  </si>
  <si>
    <t xml:space="preserve">                Risk Modelling Unit 1 - Team A</t>
  </si>
  <si>
    <t xml:space="preserve">Risk Modelling Unit 1 - Team A</t>
  </si>
  <si>
    <t xml:space="preserve">                Risk Modelling Unit 1 - Team B</t>
  </si>
  <si>
    <t xml:space="preserve">Risk Modelling Unit 1 - Team B</t>
  </si>
  <si>
    <t xml:space="preserve">            Risk Modelling Unit 2</t>
  </si>
  <si>
    <t xml:space="preserve">Risk Modelling Unit 2</t>
  </si>
  <si>
    <t xml:space="preserve">                Risk Modelling Unit 2 - Team A</t>
  </si>
  <si>
    <t xml:space="preserve">Risk Modelling Unit 2 - Team A</t>
  </si>
  <si>
    <t xml:space="preserve">                Risk Modelling Unit 2 - Team B</t>
  </si>
  <si>
    <t xml:space="preserve">Risk Modelling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</si>
  <si>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</si>
  <si>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</si>
  <si>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</si>
  <si>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</si>
  <si>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</si>
  <si>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</si>
  <si>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</si>
  <si>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</si>
  <si>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</si>
  <si>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</si>
  <si>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</si>
  <si>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CC-1036</t>
  </si>
  <si>
    <t xml:space="preserve">Chief Risk Officer</t>
  </si>
  <si>
    <t xml:space="preserve">Executive</t>
  </si>
  <si>
    <t xml:space="preserve">Permanent</t>
  </si>
  <si>
    <t xml:space="preserve">CC-1000</t>
  </si>
  <si>
    <t xml:space="preserve">General Manager - Credit Risk</t>
  </si>
  <si>
    <t xml:space="preserve">Leadership</t>
  </si>
  <si>
    <t xml:space="preserve">CC-1044</t>
  </si>
  <si>
    <t xml:space="preserve">Head of Corporate Credit Risk</t>
  </si>
  <si>
    <t xml:space="preserve">CC-1018</t>
  </si>
  <si>
    <t xml:space="preserve">Manager Corporate Credit Risk</t>
  </si>
  <si>
    <t xml:space="preserve">Management</t>
  </si>
  <si>
    <t xml:space="preserve">CC-1022</t>
  </si>
  <si>
    <t xml:space="preserve">Analyst Corporate Credit Risk</t>
  </si>
  <si>
    <t xml:space="preserve">Professional</t>
  </si>
  <si>
    <t xml:space="preserve">Associate Corporate Credit Risk</t>
  </si>
  <si>
    <t xml:space="preserve">Officer Corporate Credit Risk</t>
  </si>
  <si>
    <t xml:space="preserve">CC-1052</t>
  </si>
  <si>
    <t xml:space="preserve">Senior Analyst Corporate Credit Risk</t>
  </si>
  <si>
    <t xml:space="preserve">Specialist Corporate Credit Risk</t>
  </si>
  <si>
    <t xml:space="preserve">CC-1008</t>
  </si>
  <si>
    <t xml:space="preserve">Team Lead Corporate Credit Risk</t>
  </si>
  <si>
    <t xml:space="preserve">CC-1038</t>
  </si>
  <si>
    <t xml:space="preserve">CC-1055</t>
  </si>
  <si>
    <t xml:space="preserve">CC-1054</t>
  </si>
  <si>
    <t xml:space="preserve">CC-1026</t>
  </si>
  <si>
    <t xml:space="preserve">CC-1030</t>
  </si>
  <si>
    <t xml:space="preserve">CC-1010</t>
  </si>
  <si>
    <t xml:space="preserve">Head of Credit Administration</t>
  </si>
  <si>
    <t xml:space="preserve">CC-1005</t>
  </si>
  <si>
    <t xml:space="preserve">Manager Credit Administration</t>
  </si>
  <si>
    <t xml:space="preserve">Analyst Credit Administration</t>
  </si>
  <si>
    <t xml:space="preserve">Associate Credit Administration</t>
  </si>
  <si>
    <t xml:space="preserve">CC-1012</t>
  </si>
  <si>
    <t xml:space="preserve">Officer Credit Administration</t>
  </si>
  <si>
    <t xml:space="preserve">Senior Analyst Credit Administration</t>
  </si>
  <si>
    <t xml:space="preserve">Insourced</t>
  </si>
  <si>
    <t xml:space="preserve">CC-1035</t>
  </si>
  <si>
    <t xml:space="preserve">Specialist Credit Administration</t>
  </si>
  <si>
    <t xml:space="preserve">CC-1017</t>
  </si>
  <si>
    <t xml:space="preserve">Team Lead Credit Administration</t>
  </si>
  <si>
    <t xml:space="preserve">CC-1020</t>
  </si>
  <si>
    <t xml:space="preserve">CC-1037</t>
  </si>
  <si>
    <t xml:space="preserve">CC-1059</t>
  </si>
  <si>
    <t xml:space="preserve">Senior Officer Credit Administration</t>
  </si>
  <si>
    <t xml:space="preserve">CC-1041</t>
  </si>
  <si>
    <t xml:space="preserve">CC-1027</t>
  </si>
  <si>
    <t xml:space="preserve">CC-1023</t>
  </si>
  <si>
    <t xml:space="preserve">CC-1009</t>
  </si>
  <si>
    <t xml:space="preserve">CC-1056</t>
  </si>
  <si>
    <t xml:space="preserve">CC-1021</t>
  </si>
  <si>
    <t xml:space="preserve">Loop A</t>
  </si>
  <si>
    <t xml:space="preserve">Loop B</t>
  </si>
  <si>
    <t xml:space="preserve">CC-1057</t>
  </si>
  <si>
    <t xml:space="preserve">CC-1031</t>
  </si>
  <si>
    <t xml:space="preserve">CC-1001</t>
  </si>
  <si>
    <t xml:space="preserve">Head of Retail Credit Risk</t>
  </si>
  <si>
    <t xml:space="preserve">CC-1006</t>
  </si>
  <si>
    <t xml:space="preserve">Manager Retail Credit Risk</t>
  </si>
  <si>
    <t xml:space="preserve">Analyst Retail Credit Risk</t>
  </si>
  <si>
    <t xml:space="preserve">Officer Retail Credit Risk</t>
  </si>
  <si>
    <t xml:space="preserve">Senior Analyst Retail Credit Risk</t>
  </si>
  <si>
    <t xml:space="preserve">CC-1051</t>
  </si>
  <si>
    <t xml:space="preserve">Specialist Retail Credit Risk</t>
  </si>
  <si>
    <t xml:space="preserve">Team Lead Retail Credit Risk</t>
  </si>
  <si>
    <t xml:space="preserve">CC-1046</t>
  </si>
  <si>
    <t xml:space="preserve">Associate Retail Credit Risk</t>
  </si>
  <si>
    <t xml:space="preserve">CC-1033</t>
  </si>
  <si>
    <t xml:space="preserve">CC-1049</t>
  </si>
  <si>
    <t xml:space="preserve">Senior Officer Retail Credit Risk</t>
  </si>
  <si>
    <t xml:space="preserve">CC-1039</t>
  </si>
  <si>
    <t xml:space="preserve">CC-1040</t>
  </si>
  <si>
    <t xml:space="preserve">CC-1024</t>
  </si>
  <si>
    <t xml:space="preserve">CC-1015</t>
  </si>
  <si>
    <t xml:space="preserve">CC-1047</t>
  </si>
  <si>
    <t xml:space="preserve">General Manager - Market &amp; Liquidity Risk</t>
  </si>
  <si>
    <t xml:space="preserve">Head of Liquidity Risk</t>
  </si>
  <si>
    <t xml:space="preserve">CC-1025</t>
  </si>
  <si>
    <t xml:space="preserve">Manager Liquidity Risk</t>
  </si>
  <si>
    <t xml:space="preserve">CC-1043</t>
  </si>
  <si>
    <t xml:space="preserve">Analyst Liquidity Risk</t>
  </si>
  <si>
    <t xml:space="preserve">Officer Liquidity Risk</t>
  </si>
  <si>
    <t xml:space="preserve">Senior Analyst Liquidity Risk</t>
  </si>
  <si>
    <t xml:space="preserve">Team Lead Liquidity Risk</t>
  </si>
  <si>
    <t xml:space="preserve">Associate Liquidity Risk</t>
  </si>
  <si>
    <t xml:space="preserve">Specialist Liquidity Risk</t>
  </si>
  <si>
    <t xml:space="preserve">CC-1014</t>
  </si>
  <si>
    <t xml:space="preserve">CC-1013</t>
  </si>
  <si>
    <t xml:space="preserve">CC-1029</t>
  </si>
  <si>
    <t xml:space="preserve">Head of Market Risk</t>
  </si>
  <si>
    <t xml:space="preserve">Manager Market Risk</t>
  </si>
  <si>
    <t xml:space="preserve">Analyst Market Risk</t>
  </si>
  <si>
    <t xml:space="preserve">CC-1004</t>
  </si>
  <si>
    <t xml:space="preserve">Associate Market Risk</t>
  </si>
  <si>
    <t xml:space="preserve">CC-1045</t>
  </si>
  <si>
    <t xml:space="preserve">Senior Analyst Market Risk</t>
  </si>
  <si>
    <t xml:space="preserve">Senior Officer Market Risk</t>
  </si>
  <si>
    <t xml:space="preserve">CC-1019</t>
  </si>
  <si>
    <t xml:space="preserve">Team Lead Market Risk</t>
  </si>
  <si>
    <t xml:space="preserve">Officer Market Risk</t>
  </si>
  <si>
    <t xml:space="preserve">Specialist Market Risk</t>
  </si>
  <si>
    <t xml:space="preserve">CC-1058</t>
  </si>
  <si>
    <t xml:space="preserve">CC-1032</t>
  </si>
  <si>
    <t xml:space="preserve">CC-1028</t>
  </si>
  <si>
    <t xml:space="preserve">CC-1042</t>
  </si>
  <si>
    <t xml:space="preserve">General Manager - Operational Risk</t>
  </si>
  <si>
    <t xml:space="preserve">Head of Business Continuity</t>
  </si>
  <si>
    <t xml:space="preserve">CC-1002</t>
  </si>
  <si>
    <t xml:space="preserve">Manager Business Continuity</t>
  </si>
  <si>
    <t xml:space="preserve">Analyst Business Continuity</t>
  </si>
  <si>
    <t xml:space="preserve">Associate Business Continuity</t>
  </si>
  <si>
    <t xml:space="preserve">CC-1048</t>
  </si>
  <si>
    <t xml:space="preserve">Officer Business Continuity</t>
  </si>
  <si>
    <t xml:space="preserve">Senior Analyst Business Continuity</t>
  </si>
  <si>
    <t xml:space="preserve">CC-1016</t>
  </si>
  <si>
    <t xml:space="preserve">Specialist Business Continuity</t>
  </si>
  <si>
    <t xml:space="preserve">Team Lead Business Continuity</t>
  </si>
  <si>
    <t xml:space="preserve">CC-1050</t>
  </si>
  <si>
    <t xml:space="preserve">Senior Officer Business Continuity</t>
  </si>
  <si>
    <t xml:space="preserve">Head of Operational Risk</t>
  </si>
  <si>
    <t xml:space="preserve">Manager Operational Risk</t>
  </si>
  <si>
    <t xml:space="preserve">Analyst Operational Risk</t>
  </si>
  <si>
    <t xml:space="preserve">Associate Operational Risk</t>
  </si>
  <si>
    <t xml:space="preserve">CC-1003</t>
  </si>
  <si>
    <t xml:space="preserve">Officer Operational Risk</t>
  </si>
  <si>
    <t xml:space="preserve">Senior Analyst Operational Risk</t>
  </si>
  <si>
    <t xml:space="preserve">Specialist Operational Risk</t>
  </si>
  <si>
    <t xml:space="preserve">Team Lead Operational Risk</t>
  </si>
  <si>
    <t xml:space="preserve">Senior Officer Operational Risk</t>
  </si>
  <si>
    <t xml:space="preserve">CC-1060</t>
  </si>
  <si>
    <t xml:space="preserve">CC-1053</t>
  </si>
  <si>
    <t xml:space="preserve">General Manager - Risk Analytics</t>
  </si>
  <si>
    <t xml:space="preserve">Head of IFRS 9 &amp; Provisioning</t>
  </si>
  <si>
    <t xml:space="preserve">Manager IFRS 9 &amp; Provisioning</t>
  </si>
  <si>
    <t xml:space="preserve">Analyst IFRS 9 &amp; Provisioning</t>
  </si>
  <si>
    <t xml:space="preserve">Associate IFRS 9 &amp; Provisioning</t>
  </si>
  <si>
    <t xml:space="preserve">Officer IFRS 9 &amp; Provisioning</t>
  </si>
  <si>
    <t xml:space="preserve">Senior Officer IFRS 9 &amp; Provisioning</t>
  </si>
  <si>
    <t xml:space="preserve">Specialist IFRS 9 &amp; Provisioning</t>
  </si>
  <si>
    <t xml:space="preserve">Team Lead IFRS 9 &amp; Provisioning</t>
  </si>
  <si>
    <t xml:space="preserve">Senior Analyst IFRS 9 &amp; Provisioning</t>
  </si>
  <si>
    <t xml:space="preserve">CC-1034</t>
  </si>
  <si>
    <t xml:space="preserve">Head of Risk Modelling</t>
  </si>
  <si>
    <t xml:space="preserve">Manager Risk Modelling</t>
  </si>
  <si>
    <t xml:space="preserve">Analyst Risk Modelling</t>
  </si>
  <si>
    <t xml:space="preserve">Senior Analyst Risk Modelling</t>
  </si>
  <si>
    <t xml:space="preserve">Senior Officer Risk Modelling</t>
  </si>
  <si>
    <t xml:space="preserve">Team Lead Risk Modelling</t>
  </si>
  <si>
    <t xml:space="preserve">Associate Risk Modelling</t>
  </si>
  <si>
    <t xml:space="preserve">Officer Risk Modelling</t>
  </si>
  <si>
    <t xml:space="preserve">Specialist Risk Modelling</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</si>
  <si>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</si>
  <si>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</si>
  <si>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</si>
  <si>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</si>
  <si>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</si>
  <si>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</si>
  <si>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</si>
  <si>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</si>
  <si>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</si>
  <si>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</si>
  <si>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</si>
  <si>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</si>
  <si>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</si>
  <si>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</si>
  <si>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</si>
  <si>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</si>
  <si>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</si>
  <si>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</si>
  <si>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</si>
  <si>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</si>
  <si>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</si>
  <si>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</si>
  <si>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</si>
  <si>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</si>
  <si>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</si>
  <si>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</si>
  <si>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</si>
  <si>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</si>
  <si>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</si>
  <si>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</si>
  <si>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</si>
  <si>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</si>
  <si>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</si>
  <si>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</si>
  <si>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</si>
  <si>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</si>
  <si>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</si>
  <si>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</si>
  <si>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</si>
  <si>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</si>
  <si>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</si>
  <si>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</si>
  <si>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</si>
  <si>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</si>
  <si>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</si>
  <si>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</si>
  <si>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</si>
  <si>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</si>
  <si>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</si>
  <si>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</si>
  <si>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</si>
  <si>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</si>
  <si>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</si>
  <si>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</si>
  <si>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</si>
  <si>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</si>
  <si>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</si>
  <si>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</si>
  <si>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</si>
  <si>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</si>
  <si>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</si>
  <si>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</si>
  <si>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</si>
  <si>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</si>
  <si>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</si>
  <si>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</si>
  <si>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</si>
  <si>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</si>
  <si>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</si>
  <si>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</si>
  <si>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</si>
  <si>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</si>
  <si>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</si>
  <si>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</si>
  <si>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</si>
  <si>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</si>
  <si>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</si>
  <si>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</si>
  <si>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</si>
  <si>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</si>
  <si>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</si>
  <si>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</si>
  <si>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</si>
  <si>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</si>
  <si>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</si>
  <si>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</si>
  <si>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</si>
  <si>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</si>
  <si>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</si>
  <si>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</si>
  <si>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</si>
  <si>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</si>
  <si>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</si>
  <si>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</si>
  <si>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</si>
  <si>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</si>
  <si>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</si>
  <si>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</si>
  <si>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</si>
  <si>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</si>
  <si>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</si>
  <si>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</si>
  <si>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</si>
  <si>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</si>
  <si>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</si>
  <si>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</si>
  <si>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</si>
  <si>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</si>
  <si>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</si>
  <si>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</si>
  <si>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</si>
  <si>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</si>
  <si>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</si>
  <si>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</si>
  <si>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</si>
  <si>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</si>
  <si>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</si>
  <si>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</si>
  <si>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</si>
  <si>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</si>
  <si>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</si>
  <si>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Risk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</si>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</sst>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position'!$A$36:$A$39</c:f>
              <c:strCache>
                <c:ptCount val="4"/>
                <c:pt idx="0">
                  <c:v>1. Regulatory</c:v>
                </c:pt>
                <c:pt idx="1">
                  <c:v>2. Strategic</c:v>
                </c:pt>
                <c:pt idx="2">
                  <c:v>3. Control</c:v>
                </c:pt>
                <c:pt idx="3">
                  <c:v>4. BAU</c:v>
                </c:pt>
              </c:strCache>
            </c:strRef>
          </c:cat>
          <c:val>
            <c:numRef>
              <c:f>'5. My position'!$C$36:$C$39</c:f>
              <c:numCache>
                <c:formatCode>#,##0;\(#,##0\);\-</c:formatCode>
                <c:ptCount val="4"/>
                <c:pt idx="0">
                  <c:v>0</c:v>
                </c:pt>
                <c:pt idx="1">
                  <c:v>0</c:v>
                </c:pt>
                <c:pt idx="2">
                  <c:v>0</c:v>
                </c:pt>
                <c:pt idx="3">
                  <c:v>0</c:v>
                </c:pt>
              </c:numCache>
            </c:numRef>
          </c:val>
        </c:ser>
        <c:gapWidth val="150"/>
        <c:overlap val="0"/>
        <c:axId val="39172227"/>
        <c:axId val="14546075"/>
      </c:barChart>
      <c:catAx>
        <c:axId val="3917222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46075"/>
        <c:crosses val="autoZero"/>
        <c:auto val="1"/>
        <c:lblAlgn val="ctr"/>
        <c:lblOffset val="100"/>
        <c:noMultiLvlLbl val="0"/>
      </c:catAx>
      <c:valAx>
        <c:axId val="1454607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172227"/>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position'!$A$43:$A$46</c:f>
              <c:strCache>
                <c:ptCount val="4"/>
                <c:pt idx="0">
                  <c:v>Q1</c:v>
                </c:pt>
                <c:pt idx="1">
                  <c:v>Q2</c:v>
                </c:pt>
                <c:pt idx="2">
                  <c:v>Q3</c:v>
                </c:pt>
                <c:pt idx="3">
                  <c:v>Q4</c:v>
                </c:pt>
              </c:strCache>
            </c:strRef>
          </c:cat>
          <c:val>
            <c:numRef>
              <c:f>'5. My position'!$B$43:$B$46</c:f>
              <c:numCache>
                <c:formatCode>#,##0.0;\(#,##0.0\);\-</c:formatCode>
                <c:ptCount val="4"/>
                <c:pt idx="0">
                  <c:v>0</c:v>
                </c:pt>
                <c:pt idx="1">
                  <c:v>0</c:v>
                </c:pt>
                <c:pt idx="2">
                  <c:v>0</c:v>
                </c:pt>
                <c:pt idx="3">
                  <c:v>0</c:v>
                </c:pt>
              </c:numCache>
            </c:numRef>
          </c:val>
        </c:ser>
        <c:gapWidth val="150"/>
        <c:overlap val="0"/>
        <c:axId val="63186351"/>
        <c:axId val="69558533"/>
      </c:barChart>
      <c:catAx>
        <c:axId val="6318635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558533"/>
        <c:crosses val="autoZero"/>
        <c:auto val="1"/>
        <c:lblAlgn val="ctr"/>
        <c:lblOffset val="100"/>
        <c:noMultiLvlLbl val="0"/>
      </c:catAx>
      <c:valAx>
        <c:axId val="69558533"/>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1863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0</xdr:rowOff>
    </xdr:from>
    <xdr:to>
      <xdr:col>3</xdr:col>
      <xdr:colOff>247680</xdr:colOff>
      <xdr:row>63</xdr:row>
      <xdr:rowOff>21960</xdr:rowOff>
    </xdr:to>
    <xdr:graphicFrame>
      <xdr:nvGraphicFramePr>
        <xdr:cNvPr id="0" name="Chart 1"/>
        <xdr:cNvGraphicFramePr/>
      </xdr:nvGraphicFramePr>
      <xdr:xfrm>
        <a:off x="0" y="10067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48</xdr:row>
      <xdr:rowOff>0</xdr:rowOff>
    </xdr:from>
    <xdr:to>
      <xdr:col>6</xdr:col>
      <xdr:colOff>1652760</xdr:colOff>
      <xdr:row>63</xdr:row>
      <xdr:rowOff>21960</xdr:rowOff>
    </xdr:to>
    <xdr:graphicFrame>
      <xdr:nvGraphicFramePr>
        <xdr:cNvPr id="1" name="Chart 2"/>
        <xdr:cNvGraphicFramePr/>
      </xdr:nvGraphicFramePr>
      <xdr:xfrm>
        <a:off x="6756480" y="10067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325</v>
      </c>
      <c r="D5" s="15" t="n">
        <v>290</v>
      </c>
      <c r="E5" s="15" t="n">
        <v>35</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325</v>
      </c>
      <c r="I5" s="16" t="n">
        <f aca="false">$H5-$C5</f>
        <v>0</v>
      </c>
      <c r="J5" s="17" t="s">
        <v>60</v>
      </c>
    </row>
    <row r="6" customFormat="false" ht="15" hidden="false" customHeight="false" outlineLevel="1" collapsed="false">
      <c r="A6" s="13" t="s">
        <v>61</v>
      </c>
      <c r="B6" s="14" t="s">
        <v>62</v>
      </c>
      <c r="C6" s="15" t="n">
        <v>104</v>
      </c>
      <c r="D6" s="15" t="n">
        <v>94</v>
      </c>
      <c r="E6" s="15" t="n">
        <v>10</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104</v>
      </c>
      <c r="I6" s="16" t="n">
        <f aca="false">$H6-$C6</f>
        <v>0</v>
      </c>
      <c r="J6" s="17" t="s">
        <v>63</v>
      </c>
    </row>
    <row r="7" customFormat="false" ht="15" hidden="false" customHeight="false" outlineLevel="2" collapsed="false">
      <c r="A7" s="17" t="s">
        <v>64</v>
      </c>
      <c r="B7" s="18" t="s">
        <v>65</v>
      </c>
      <c r="C7" s="19" t="n">
        <v>31</v>
      </c>
      <c r="D7" s="19" t="n">
        <v>30</v>
      </c>
      <c r="E7" s="19" t="n">
        <v>1</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31</v>
      </c>
      <c r="I7" s="20" t="n">
        <f aca="false">$H7-$C7</f>
        <v>0</v>
      </c>
      <c r="J7" s="17" t="s">
        <v>66</v>
      </c>
    </row>
    <row r="8" customFormat="false" ht="15" hidden="false" customHeight="false" outlineLevel="3" collapsed="false">
      <c r="A8" s="17" t="s">
        <v>50</v>
      </c>
      <c r="B8" s="18" t="s">
        <v>67</v>
      </c>
      <c r="C8" s="19" t="n">
        <v>17</v>
      </c>
      <c r="D8" s="19" t="n">
        <v>17</v>
      </c>
      <c r="E8" s="19" t="n">
        <v>0</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68</v>
      </c>
    </row>
    <row r="9" customFormat="false" ht="15" hidden="false" customHeight="false" outlineLevel="4" collapsed="false">
      <c r="A9" s="17" t="s">
        <v>69</v>
      </c>
      <c r="B9" s="18" t="s">
        <v>70</v>
      </c>
      <c r="C9" s="19" t="n">
        <v>10</v>
      </c>
      <c r="D9" s="19" t="n">
        <v>10</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71</v>
      </c>
    </row>
    <row r="10" customFormat="false" ht="15" hidden="false" customHeight="false" outlineLevel="4" collapsed="false">
      <c r="A10" s="17" t="s">
        <v>69</v>
      </c>
      <c r="B10" s="18" t="s">
        <v>72</v>
      </c>
      <c r="C10" s="19" t="n">
        <v>6</v>
      </c>
      <c r="D10" s="19" t="n">
        <v>6</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6</v>
      </c>
      <c r="I10" s="20" t="n">
        <f aca="false">$H10-$C10</f>
        <v>0</v>
      </c>
      <c r="J10" s="17" t="s">
        <v>73</v>
      </c>
    </row>
    <row r="11" customFormat="false" ht="15" hidden="false" customHeight="false" outlineLevel="3" collapsed="false">
      <c r="A11" s="17" t="s">
        <v>50</v>
      </c>
      <c r="B11" s="18" t="s">
        <v>74</v>
      </c>
      <c r="C11" s="19" t="n">
        <v>13</v>
      </c>
      <c r="D11" s="19" t="n">
        <v>12</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13</v>
      </c>
      <c r="I11" s="20" t="n">
        <f aca="false">$H11-$C11</f>
        <v>0</v>
      </c>
      <c r="J11" s="17" t="s">
        <v>75</v>
      </c>
    </row>
    <row r="12" customFormat="false" ht="15" hidden="false" customHeight="false" outlineLevel="4" collapsed="false">
      <c r="A12" s="17" t="s">
        <v>69</v>
      </c>
      <c r="B12" s="18" t="s">
        <v>76</v>
      </c>
      <c r="C12" s="19" t="n">
        <v>6</v>
      </c>
      <c r="D12" s="19" t="n">
        <v>5</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77</v>
      </c>
    </row>
    <row r="13" customFormat="false" ht="15" hidden="false" customHeight="false" outlineLevel="4" collapsed="false">
      <c r="A13" s="17" t="s">
        <v>69</v>
      </c>
      <c r="B13" s="18" t="s">
        <v>78</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79</v>
      </c>
    </row>
    <row r="14" customFormat="false" ht="15" hidden="false" customHeight="false" outlineLevel="2" collapsed="false">
      <c r="A14" s="17" t="s">
        <v>64</v>
      </c>
      <c r="B14" s="18" t="s">
        <v>80</v>
      </c>
      <c r="C14" s="19" t="n">
        <v>40</v>
      </c>
      <c r="D14" s="19" t="n">
        <v>32</v>
      </c>
      <c r="E14" s="19" t="n">
        <v>8</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40</v>
      </c>
      <c r="I14" s="20" t="n">
        <f aca="false">$H14-$C14</f>
        <v>0</v>
      </c>
      <c r="J14" s="17" t="s">
        <v>81</v>
      </c>
    </row>
    <row r="15" customFormat="false" ht="15" hidden="false" customHeight="false" outlineLevel="3" collapsed="false">
      <c r="A15" s="17" t="s">
        <v>50</v>
      </c>
      <c r="B15" s="18" t="s">
        <v>82</v>
      </c>
      <c r="C15" s="19" t="n">
        <v>20</v>
      </c>
      <c r="D15" s="19" t="n">
        <v>16</v>
      </c>
      <c r="E15" s="19" t="n">
        <v>4</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20</v>
      </c>
      <c r="I15" s="20" t="n">
        <f aca="false">$H15-$C15</f>
        <v>0</v>
      </c>
      <c r="J15" s="17" t="s">
        <v>83</v>
      </c>
    </row>
    <row r="16" customFormat="false" ht="15" hidden="false" customHeight="false" outlineLevel="4" collapsed="false">
      <c r="A16" s="17" t="s">
        <v>69</v>
      </c>
      <c r="B16" s="18" t="s">
        <v>84</v>
      </c>
      <c r="C16" s="19" t="n">
        <v>10</v>
      </c>
      <c r="D16" s="19" t="n">
        <v>9</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10</v>
      </c>
      <c r="I16" s="20" t="n">
        <f aca="false">$H16-$C16</f>
        <v>0</v>
      </c>
      <c r="J16" s="17" t="s">
        <v>85</v>
      </c>
    </row>
    <row r="17" customFormat="false" ht="15" hidden="false" customHeight="false" outlineLevel="4" collapsed="false">
      <c r="A17" s="17" t="s">
        <v>69</v>
      </c>
      <c r="B17" s="18" t="s">
        <v>86</v>
      </c>
      <c r="C17" s="19" t="n">
        <v>9</v>
      </c>
      <c r="D17" s="19" t="n">
        <v>6</v>
      </c>
      <c r="E17" s="19" t="n">
        <v>3</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9</v>
      </c>
      <c r="I17" s="20" t="n">
        <f aca="false">$H17-$C17</f>
        <v>0</v>
      </c>
      <c r="J17" s="17" t="s">
        <v>87</v>
      </c>
    </row>
    <row r="18" customFormat="false" ht="15" hidden="false" customHeight="false" outlineLevel="3" collapsed="false">
      <c r="A18" s="17" t="s">
        <v>50</v>
      </c>
      <c r="B18" s="18" t="s">
        <v>88</v>
      </c>
      <c r="C18" s="19" t="n">
        <v>19</v>
      </c>
      <c r="D18" s="19" t="n">
        <v>15</v>
      </c>
      <c r="E18" s="19" t="n">
        <v>4</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19</v>
      </c>
      <c r="I18" s="20" t="n">
        <f aca="false">$H18-$C18</f>
        <v>0</v>
      </c>
      <c r="J18" s="17" t="s">
        <v>89</v>
      </c>
    </row>
    <row r="19" customFormat="false" ht="15" hidden="false" customHeight="false" outlineLevel="4" collapsed="false">
      <c r="A19" s="17" t="s">
        <v>69</v>
      </c>
      <c r="B19" s="18" t="s">
        <v>90</v>
      </c>
      <c r="C19" s="19" t="n">
        <v>8</v>
      </c>
      <c r="D19" s="19" t="n">
        <v>5</v>
      </c>
      <c r="E19" s="19" t="n">
        <v>3</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8</v>
      </c>
      <c r="I19" s="20" t="n">
        <f aca="false">$H19-$C19</f>
        <v>0</v>
      </c>
      <c r="J19" s="17" t="s">
        <v>91</v>
      </c>
    </row>
    <row r="20" customFormat="false" ht="15" hidden="false" customHeight="false" outlineLevel="4" collapsed="false">
      <c r="A20" s="17" t="s">
        <v>69</v>
      </c>
      <c r="B20" s="18" t="s">
        <v>92</v>
      </c>
      <c r="C20" s="19" t="n">
        <v>10</v>
      </c>
      <c r="D20" s="19" t="n">
        <v>9</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10</v>
      </c>
      <c r="I20" s="20" t="n">
        <f aca="false">$H20-$C20</f>
        <v>0</v>
      </c>
      <c r="J20" s="17" t="s">
        <v>93</v>
      </c>
    </row>
    <row r="21" customFormat="false" ht="15" hidden="false" customHeight="false" outlineLevel="2" collapsed="false">
      <c r="A21" s="17" t="s">
        <v>64</v>
      </c>
      <c r="B21" s="18" t="s">
        <v>94</v>
      </c>
      <c r="C21" s="19" t="n">
        <v>32</v>
      </c>
      <c r="D21" s="19" t="n">
        <v>31</v>
      </c>
      <c r="E21" s="19" t="n">
        <v>1</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0</v>
      </c>
      <c r="H21" s="20" t="n">
        <f aca="false">$C21-$F21+$G21</f>
        <v>32</v>
      </c>
      <c r="I21" s="20" t="n">
        <f aca="false">$H21-$C21</f>
        <v>0</v>
      </c>
      <c r="J21" s="17" t="s">
        <v>95</v>
      </c>
    </row>
    <row r="22" customFormat="false" ht="15" hidden="false" customHeight="false" outlineLevel="3" collapsed="false">
      <c r="A22" s="17" t="s">
        <v>50</v>
      </c>
      <c r="B22" s="18" t="s">
        <v>96</v>
      </c>
      <c r="C22" s="19" t="n">
        <v>17</v>
      </c>
      <c r="D22" s="19" t="n">
        <v>16</v>
      </c>
      <c r="E22" s="19" t="n">
        <v>1</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17</v>
      </c>
      <c r="I22" s="20" t="n">
        <f aca="false">$H22-$C22</f>
        <v>0</v>
      </c>
      <c r="J22" s="17" t="s">
        <v>97</v>
      </c>
    </row>
    <row r="23" customFormat="false" ht="15" hidden="false" customHeight="false" outlineLevel="4" collapsed="false">
      <c r="A23" s="17" t="s">
        <v>69</v>
      </c>
      <c r="B23" s="18" t="s">
        <v>98</v>
      </c>
      <c r="C23" s="19" t="n">
        <v>9</v>
      </c>
      <c r="D23" s="19" t="n">
        <v>9</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9</v>
      </c>
      <c r="I23" s="20" t="n">
        <f aca="false">$H23-$C23</f>
        <v>0</v>
      </c>
      <c r="J23" s="17" t="s">
        <v>99</v>
      </c>
    </row>
    <row r="24" customFormat="false" ht="15" hidden="false" customHeight="false" outlineLevel="4" collapsed="false">
      <c r="A24" s="17" t="s">
        <v>69</v>
      </c>
      <c r="B24" s="18" t="s">
        <v>100</v>
      </c>
      <c r="C24" s="19" t="n">
        <v>7</v>
      </c>
      <c r="D24" s="19" t="n">
        <v>6</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101</v>
      </c>
    </row>
    <row r="25" customFormat="false" ht="15" hidden="false" customHeight="false" outlineLevel="3" collapsed="false">
      <c r="A25" s="17" t="s">
        <v>50</v>
      </c>
      <c r="B25" s="18" t="s">
        <v>102</v>
      </c>
      <c r="C25" s="19" t="n">
        <v>14</v>
      </c>
      <c r="D25" s="19" t="n">
        <v>14</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14</v>
      </c>
      <c r="I25" s="20" t="n">
        <f aca="false">$H25-$C25</f>
        <v>0</v>
      </c>
      <c r="J25" s="17" t="s">
        <v>103</v>
      </c>
    </row>
    <row r="26" customFormat="false" ht="15" hidden="false" customHeight="false" outlineLevel="4" collapsed="false">
      <c r="A26" s="17" t="s">
        <v>69</v>
      </c>
      <c r="B26" s="18" t="s">
        <v>104</v>
      </c>
      <c r="C26" s="19" t="n">
        <v>7</v>
      </c>
      <c r="D26" s="19" t="n">
        <v>7</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7</v>
      </c>
      <c r="I26" s="20" t="n">
        <f aca="false">$H26-$C26</f>
        <v>0</v>
      </c>
      <c r="J26" s="17" t="s">
        <v>105</v>
      </c>
    </row>
    <row r="27" customFormat="false" ht="15" hidden="false" customHeight="false" outlineLevel="4" collapsed="false">
      <c r="A27" s="17" t="s">
        <v>69</v>
      </c>
      <c r="B27" s="18" t="s">
        <v>106</v>
      </c>
      <c r="C27" s="19" t="n">
        <v>6</v>
      </c>
      <c r="D27" s="19" t="n">
        <v>6</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6</v>
      </c>
      <c r="I27" s="20" t="n">
        <f aca="false">$H27-$C27</f>
        <v>0</v>
      </c>
      <c r="J27" s="17" t="s">
        <v>107</v>
      </c>
    </row>
    <row r="28" customFormat="false" ht="15" hidden="false" customHeight="false" outlineLevel="1" collapsed="false">
      <c r="A28" s="13" t="s">
        <v>61</v>
      </c>
      <c r="B28" s="14" t="s">
        <v>108</v>
      </c>
      <c r="C28" s="15" t="n">
        <v>70</v>
      </c>
      <c r="D28" s="15" t="n">
        <v>58</v>
      </c>
      <c r="E28" s="15" t="n">
        <v>12</v>
      </c>
      <c r="F28" s="16" t="n">
        <f aca="false">SUMIFS(SeatExits,SeatDivision,$J28)+SUMIFS(SeatExits,SeatDepartment,$J28)+SUMIFS(SeatExits,SeatUnit,$J28)+SUMIFS(SeatExits,SeatSubUnit,$J28)</f>
        <v>0</v>
      </c>
      <c r="G28" s="16" t="n">
        <f aca="false">SUMIFS(AskTotal,AskDivision,$J28)+SUMIFS(AskTotal,AskDepartment,$J28)+SUMIFS(AskTotal,AskUnit,$J28)+SUMIFS(AskTotal,AskSubUnit,$J28)</f>
        <v>0</v>
      </c>
      <c r="H28" s="16" t="n">
        <f aca="false">$C28-$F28+$G28</f>
        <v>70</v>
      </c>
      <c r="I28" s="16" t="n">
        <f aca="false">$H28-$C28</f>
        <v>0</v>
      </c>
      <c r="J28" s="17" t="s">
        <v>109</v>
      </c>
    </row>
    <row r="29" customFormat="false" ht="15" hidden="false" customHeight="false" outlineLevel="2" collapsed="false">
      <c r="A29" s="17" t="s">
        <v>64</v>
      </c>
      <c r="B29" s="18" t="s">
        <v>110</v>
      </c>
      <c r="C29" s="19" t="n">
        <v>34</v>
      </c>
      <c r="D29" s="19" t="n">
        <v>28</v>
      </c>
      <c r="E29" s="19" t="n">
        <v>6</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34</v>
      </c>
      <c r="I29" s="20" t="n">
        <f aca="false">$H29-$C29</f>
        <v>0</v>
      </c>
      <c r="J29" s="17" t="s">
        <v>111</v>
      </c>
    </row>
    <row r="30" customFormat="false" ht="15" hidden="false" customHeight="false" outlineLevel="3" collapsed="false">
      <c r="A30" s="17" t="s">
        <v>50</v>
      </c>
      <c r="B30" s="18" t="s">
        <v>112</v>
      </c>
      <c r="C30" s="19" t="n">
        <v>17</v>
      </c>
      <c r="D30" s="19" t="n">
        <v>14</v>
      </c>
      <c r="E30" s="19" t="n">
        <v>3</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113</v>
      </c>
    </row>
    <row r="31" customFormat="false" ht="15" hidden="false" customHeight="false" outlineLevel="4" collapsed="false">
      <c r="A31" s="17" t="s">
        <v>69</v>
      </c>
      <c r="B31" s="18" t="s">
        <v>114</v>
      </c>
      <c r="C31" s="19" t="n">
        <v>6</v>
      </c>
      <c r="D31" s="19" t="n">
        <v>4</v>
      </c>
      <c r="E31" s="19" t="n">
        <v>2</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6</v>
      </c>
      <c r="I31" s="20" t="n">
        <f aca="false">$H31-$C31</f>
        <v>0</v>
      </c>
      <c r="J31" s="17" t="s">
        <v>115</v>
      </c>
    </row>
    <row r="32" customFormat="false" ht="15" hidden="false" customHeight="false" outlineLevel="4" collapsed="false">
      <c r="A32" s="17" t="s">
        <v>69</v>
      </c>
      <c r="B32" s="18" t="s">
        <v>116</v>
      </c>
      <c r="C32" s="19" t="n">
        <v>10</v>
      </c>
      <c r="D32" s="19" t="n">
        <v>10</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10</v>
      </c>
      <c r="I32" s="20" t="n">
        <f aca="false">$H32-$C32</f>
        <v>0</v>
      </c>
      <c r="J32" s="17" t="s">
        <v>117</v>
      </c>
    </row>
    <row r="33" customFormat="false" ht="15" hidden="false" customHeight="false" outlineLevel="3" collapsed="false">
      <c r="A33" s="17" t="s">
        <v>50</v>
      </c>
      <c r="B33" s="18" t="s">
        <v>118</v>
      </c>
      <c r="C33" s="19" t="n">
        <v>16</v>
      </c>
      <c r="D33" s="19" t="n">
        <v>13</v>
      </c>
      <c r="E33" s="19" t="n">
        <v>3</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16</v>
      </c>
      <c r="I33" s="20" t="n">
        <f aca="false">$H33-$C33</f>
        <v>0</v>
      </c>
      <c r="J33" s="17" t="s">
        <v>119</v>
      </c>
    </row>
    <row r="34" customFormat="false" ht="15" hidden="false" customHeight="false" outlineLevel="4" collapsed="false">
      <c r="A34" s="17" t="s">
        <v>69</v>
      </c>
      <c r="B34" s="18" t="s">
        <v>120</v>
      </c>
      <c r="C34" s="19" t="n">
        <v>9</v>
      </c>
      <c r="D34" s="19" t="n">
        <v>7</v>
      </c>
      <c r="E34" s="19" t="n">
        <v>2</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9</v>
      </c>
      <c r="I34" s="20" t="n">
        <f aca="false">$H34-$C34</f>
        <v>0</v>
      </c>
      <c r="J34" s="17" t="s">
        <v>121</v>
      </c>
    </row>
    <row r="35" customFormat="false" ht="15" hidden="false" customHeight="false" outlineLevel="4" collapsed="false">
      <c r="A35" s="17" t="s">
        <v>69</v>
      </c>
      <c r="B35" s="18" t="s">
        <v>122</v>
      </c>
      <c r="C35" s="19" t="n">
        <v>6</v>
      </c>
      <c r="D35" s="19" t="n">
        <v>5</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123</v>
      </c>
    </row>
    <row r="36" customFormat="false" ht="15" hidden="false" customHeight="false" outlineLevel="2" collapsed="false">
      <c r="A36" s="17" t="s">
        <v>64</v>
      </c>
      <c r="B36" s="18" t="s">
        <v>124</v>
      </c>
      <c r="C36" s="19" t="n">
        <v>35</v>
      </c>
      <c r="D36" s="19" t="n">
        <v>29</v>
      </c>
      <c r="E36" s="19" t="n">
        <v>6</v>
      </c>
      <c r="F36" s="20" t="n">
        <f aca="false">SUMIFS(SeatExits,SeatDivision,$J36)+SUMIFS(SeatExits,SeatDepartment,$J36)+SUMIFS(SeatExits,SeatUnit,$J36)+SUMIFS(SeatExits,SeatSubUnit,$J36)</f>
        <v>0</v>
      </c>
      <c r="G36" s="20" t="n">
        <f aca="false">SUMIFS(AskTotal,AskDivision,$J36)+SUMIFS(AskTotal,AskDepartment,$J36)+SUMIFS(AskTotal,AskUnit,$J36)+SUMIFS(AskTotal,AskSubUnit,$J36)</f>
        <v>0</v>
      </c>
      <c r="H36" s="20" t="n">
        <f aca="false">$C36-$F36+$G36</f>
        <v>35</v>
      </c>
      <c r="I36" s="20" t="n">
        <f aca="false">$H36-$C36</f>
        <v>0</v>
      </c>
      <c r="J36" s="17" t="s">
        <v>125</v>
      </c>
    </row>
    <row r="37" customFormat="false" ht="15" hidden="false" customHeight="false" outlineLevel="3" collapsed="false">
      <c r="A37" s="17" t="s">
        <v>50</v>
      </c>
      <c r="B37" s="18" t="s">
        <v>126</v>
      </c>
      <c r="C37" s="19" t="n">
        <v>15</v>
      </c>
      <c r="D37" s="19" t="n">
        <v>13</v>
      </c>
      <c r="E37" s="19" t="n">
        <v>2</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15</v>
      </c>
      <c r="I37" s="20" t="n">
        <f aca="false">$H37-$C37</f>
        <v>0</v>
      </c>
      <c r="J37" s="17" t="s">
        <v>127</v>
      </c>
    </row>
    <row r="38" customFormat="false" ht="15" hidden="false" customHeight="false" outlineLevel="4" collapsed="false">
      <c r="A38" s="17" t="s">
        <v>69</v>
      </c>
      <c r="B38" s="18" t="s">
        <v>128</v>
      </c>
      <c r="C38" s="19" t="n">
        <v>6</v>
      </c>
      <c r="D38" s="19" t="n">
        <v>5</v>
      </c>
      <c r="E38" s="19" t="n">
        <v>1</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6</v>
      </c>
      <c r="I38" s="20" t="n">
        <f aca="false">$H38-$C38</f>
        <v>0</v>
      </c>
      <c r="J38" s="17" t="s">
        <v>129</v>
      </c>
    </row>
    <row r="39" customFormat="false" ht="15" hidden="false" customHeight="false" outlineLevel="4" collapsed="false">
      <c r="A39" s="17" t="s">
        <v>69</v>
      </c>
      <c r="B39" s="18" t="s">
        <v>130</v>
      </c>
      <c r="C39" s="19" t="n">
        <v>8</v>
      </c>
      <c r="D39" s="19" t="n">
        <v>8</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8</v>
      </c>
      <c r="I39" s="20" t="n">
        <f aca="false">$H39-$C39</f>
        <v>0</v>
      </c>
      <c r="J39" s="17" t="s">
        <v>131</v>
      </c>
    </row>
    <row r="40" customFormat="false" ht="15" hidden="false" customHeight="false" outlineLevel="3" collapsed="false">
      <c r="A40" s="17" t="s">
        <v>50</v>
      </c>
      <c r="B40" s="18" t="s">
        <v>132</v>
      </c>
      <c r="C40" s="19" t="n">
        <v>19</v>
      </c>
      <c r="D40" s="19" t="n">
        <v>15</v>
      </c>
      <c r="E40" s="19" t="n">
        <v>4</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19</v>
      </c>
      <c r="I40" s="20" t="n">
        <f aca="false">$H40-$C40</f>
        <v>0</v>
      </c>
      <c r="J40" s="17" t="s">
        <v>133</v>
      </c>
    </row>
    <row r="41" customFormat="false" ht="15" hidden="false" customHeight="false" outlineLevel="4" collapsed="false">
      <c r="A41" s="17" t="s">
        <v>69</v>
      </c>
      <c r="B41" s="18" t="s">
        <v>134</v>
      </c>
      <c r="C41" s="19" t="n">
        <v>10</v>
      </c>
      <c r="D41" s="19" t="n">
        <v>8</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10</v>
      </c>
      <c r="I41" s="20" t="n">
        <f aca="false">$H41-$C41</f>
        <v>0</v>
      </c>
      <c r="J41" s="17" t="s">
        <v>135</v>
      </c>
    </row>
    <row r="42" customFormat="false" ht="15" hidden="false" customHeight="false" outlineLevel="4" collapsed="false">
      <c r="A42" s="17" t="s">
        <v>69</v>
      </c>
      <c r="B42" s="18" t="s">
        <v>136</v>
      </c>
      <c r="C42" s="19" t="n">
        <v>8</v>
      </c>
      <c r="D42" s="19" t="n">
        <v>7</v>
      </c>
      <c r="E42" s="19" t="n">
        <v>1</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8</v>
      </c>
      <c r="I42" s="20" t="n">
        <f aca="false">$H42-$C42</f>
        <v>0</v>
      </c>
      <c r="J42" s="17" t="s">
        <v>137</v>
      </c>
    </row>
    <row r="43" customFormat="false" ht="15" hidden="false" customHeight="false" outlineLevel="1" collapsed="false">
      <c r="A43" s="13" t="s">
        <v>61</v>
      </c>
      <c r="B43" s="14" t="s">
        <v>138</v>
      </c>
      <c r="C43" s="15" t="n">
        <v>76</v>
      </c>
      <c r="D43" s="15" t="n">
        <v>69</v>
      </c>
      <c r="E43" s="15" t="n">
        <v>7</v>
      </c>
      <c r="F43" s="16" t="n">
        <f aca="false">SUMIFS(SeatExits,SeatDivision,$J43)+SUMIFS(SeatExits,SeatDepartment,$J43)+SUMIFS(SeatExits,SeatUnit,$J43)+SUMIFS(SeatExits,SeatSubUnit,$J43)</f>
        <v>0</v>
      </c>
      <c r="G43" s="16" t="n">
        <f aca="false">SUMIFS(AskTotal,AskDivision,$J43)+SUMIFS(AskTotal,AskDepartment,$J43)+SUMIFS(AskTotal,AskUnit,$J43)+SUMIFS(AskTotal,AskSubUnit,$J43)</f>
        <v>0</v>
      </c>
      <c r="H43" s="16" t="n">
        <f aca="false">$C43-$F43+$G43</f>
        <v>76</v>
      </c>
      <c r="I43" s="16" t="n">
        <f aca="false">$H43-$C43</f>
        <v>0</v>
      </c>
      <c r="J43" s="17" t="s">
        <v>139</v>
      </c>
    </row>
    <row r="44" customFormat="false" ht="15" hidden="false" customHeight="false" outlineLevel="2" collapsed="false">
      <c r="A44" s="17" t="s">
        <v>64</v>
      </c>
      <c r="B44" s="18" t="s">
        <v>140</v>
      </c>
      <c r="C44" s="19" t="n">
        <v>37</v>
      </c>
      <c r="D44" s="19" t="n">
        <v>33</v>
      </c>
      <c r="E44" s="19" t="n">
        <v>4</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37</v>
      </c>
      <c r="I44" s="20" t="n">
        <f aca="false">$H44-$C44</f>
        <v>0</v>
      </c>
      <c r="J44" s="17" t="s">
        <v>141</v>
      </c>
    </row>
    <row r="45" customFormat="false" ht="15" hidden="false" customHeight="false" outlineLevel="3" collapsed="false">
      <c r="A45" s="17" t="s">
        <v>50</v>
      </c>
      <c r="B45" s="18" t="s">
        <v>142</v>
      </c>
      <c r="C45" s="19" t="n">
        <v>18</v>
      </c>
      <c r="D45" s="19" t="n">
        <v>16</v>
      </c>
      <c r="E45" s="19" t="n">
        <v>2</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18</v>
      </c>
      <c r="I45" s="20" t="n">
        <f aca="false">$H45-$C45</f>
        <v>0</v>
      </c>
      <c r="J45" s="17" t="s">
        <v>143</v>
      </c>
    </row>
    <row r="46" customFormat="false" ht="15" hidden="false" customHeight="false" outlineLevel="4" collapsed="false">
      <c r="A46" s="17" t="s">
        <v>69</v>
      </c>
      <c r="B46" s="18" t="s">
        <v>144</v>
      </c>
      <c r="C46" s="19" t="n">
        <v>10</v>
      </c>
      <c r="D46" s="19" t="n">
        <v>9</v>
      </c>
      <c r="E46" s="19" t="n">
        <v>1</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10</v>
      </c>
      <c r="I46" s="20" t="n">
        <f aca="false">$H46-$C46</f>
        <v>0</v>
      </c>
      <c r="J46" s="17" t="s">
        <v>145</v>
      </c>
    </row>
    <row r="47" customFormat="false" ht="15" hidden="false" customHeight="false" outlineLevel="4" collapsed="false">
      <c r="A47" s="17" t="s">
        <v>69</v>
      </c>
      <c r="B47" s="18" t="s">
        <v>146</v>
      </c>
      <c r="C47" s="19" t="n">
        <v>7</v>
      </c>
      <c r="D47" s="19" t="n">
        <v>6</v>
      </c>
      <c r="E47" s="19" t="n">
        <v>1</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7</v>
      </c>
      <c r="I47" s="20" t="n">
        <f aca="false">$H47-$C47</f>
        <v>0</v>
      </c>
      <c r="J47" s="17" t="s">
        <v>147</v>
      </c>
    </row>
    <row r="48" customFormat="false" ht="15" hidden="false" customHeight="false" outlineLevel="3" collapsed="false">
      <c r="A48" s="17" t="s">
        <v>50</v>
      </c>
      <c r="B48" s="18" t="s">
        <v>148</v>
      </c>
      <c r="C48" s="19" t="n">
        <v>18</v>
      </c>
      <c r="D48" s="19" t="n">
        <v>16</v>
      </c>
      <c r="E48" s="19" t="n">
        <v>2</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18</v>
      </c>
      <c r="I48" s="20" t="n">
        <f aca="false">$H48-$C48</f>
        <v>0</v>
      </c>
      <c r="J48" s="17" t="s">
        <v>149</v>
      </c>
    </row>
    <row r="49" customFormat="false" ht="15" hidden="false" customHeight="false" outlineLevel="4" collapsed="false">
      <c r="A49" s="17" t="s">
        <v>69</v>
      </c>
      <c r="B49" s="18" t="s">
        <v>150</v>
      </c>
      <c r="C49" s="19" t="n">
        <v>8</v>
      </c>
      <c r="D49" s="19" t="n">
        <v>7</v>
      </c>
      <c r="E49" s="19" t="n">
        <v>1</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8</v>
      </c>
      <c r="I49" s="20" t="n">
        <f aca="false">$H49-$C49</f>
        <v>0</v>
      </c>
      <c r="J49" s="17" t="s">
        <v>151</v>
      </c>
    </row>
    <row r="50" customFormat="false" ht="15" hidden="false" customHeight="false" outlineLevel="4" collapsed="false">
      <c r="A50" s="17" t="s">
        <v>69</v>
      </c>
      <c r="B50" s="18" t="s">
        <v>152</v>
      </c>
      <c r="C50" s="19" t="n">
        <v>9</v>
      </c>
      <c r="D50" s="19" t="n">
        <v>8</v>
      </c>
      <c r="E50" s="19" t="n">
        <v>1</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9</v>
      </c>
      <c r="I50" s="20" t="n">
        <f aca="false">$H50-$C50</f>
        <v>0</v>
      </c>
      <c r="J50" s="17" t="s">
        <v>153</v>
      </c>
    </row>
    <row r="51" customFormat="false" ht="15" hidden="false" customHeight="false" outlineLevel="2" collapsed="false">
      <c r="A51" s="17" t="s">
        <v>64</v>
      </c>
      <c r="B51" s="18" t="s">
        <v>154</v>
      </c>
      <c r="C51" s="19" t="n">
        <v>38</v>
      </c>
      <c r="D51" s="19" t="n">
        <v>35</v>
      </c>
      <c r="E51" s="19" t="n">
        <v>3</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0</v>
      </c>
      <c r="H51" s="20" t="n">
        <f aca="false">$C51-$F51+$G51</f>
        <v>38</v>
      </c>
      <c r="I51" s="20" t="n">
        <f aca="false">$H51-$C51</f>
        <v>0</v>
      </c>
      <c r="J51" s="17" t="s">
        <v>155</v>
      </c>
    </row>
    <row r="52" customFormat="false" ht="15" hidden="false" customHeight="false" outlineLevel="3" collapsed="false">
      <c r="A52" s="17" t="s">
        <v>50</v>
      </c>
      <c r="B52" s="18" t="s">
        <v>156</v>
      </c>
      <c r="C52" s="19" t="n">
        <v>18</v>
      </c>
      <c r="D52" s="19" t="n">
        <v>17</v>
      </c>
      <c r="E52" s="19" t="n">
        <v>1</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18</v>
      </c>
      <c r="I52" s="20" t="n">
        <f aca="false">$H52-$C52</f>
        <v>0</v>
      </c>
      <c r="J52" s="17" t="s">
        <v>157</v>
      </c>
    </row>
    <row r="53" customFormat="false" ht="15" hidden="false" customHeight="false" outlineLevel="4" collapsed="false">
      <c r="A53" s="17" t="s">
        <v>69</v>
      </c>
      <c r="B53" s="18" t="s">
        <v>158</v>
      </c>
      <c r="C53" s="19" t="n">
        <v>8</v>
      </c>
      <c r="D53" s="19" t="n">
        <v>8</v>
      </c>
      <c r="E53" s="19" t="n">
        <v>0</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8</v>
      </c>
      <c r="I53" s="20" t="n">
        <f aca="false">$H53-$C53</f>
        <v>0</v>
      </c>
      <c r="J53" s="17" t="s">
        <v>159</v>
      </c>
    </row>
    <row r="54" customFormat="false" ht="15" hidden="false" customHeight="false" outlineLevel="4" collapsed="false">
      <c r="A54" s="17" t="s">
        <v>69</v>
      </c>
      <c r="B54" s="18" t="s">
        <v>160</v>
      </c>
      <c r="C54" s="19" t="n">
        <v>9</v>
      </c>
      <c r="D54" s="19" t="n">
        <v>8</v>
      </c>
      <c r="E54" s="19" t="n">
        <v>1</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9</v>
      </c>
      <c r="I54" s="20" t="n">
        <f aca="false">$H54-$C54</f>
        <v>0</v>
      </c>
      <c r="J54" s="17" t="s">
        <v>161</v>
      </c>
    </row>
    <row r="55" customFormat="false" ht="15" hidden="false" customHeight="false" outlineLevel="3" collapsed="false">
      <c r="A55" s="17" t="s">
        <v>50</v>
      </c>
      <c r="B55" s="18" t="s">
        <v>162</v>
      </c>
      <c r="C55" s="19" t="n">
        <v>19</v>
      </c>
      <c r="D55" s="19" t="n">
        <v>17</v>
      </c>
      <c r="E55" s="19" t="n">
        <v>2</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19</v>
      </c>
      <c r="I55" s="20" t="n">
        <f aca="false">$H55-$C55</f>
        <v>0</v>
      </c>
      <c r="J55" s="17" t="s">
        <v>163</v>
      </c>
    </row>
    <row r="56" customFormat="false" ht="15" hidden="false" customHeight="false" outlineLevel="4" collapsed="false">
      <c r="A56" s="17" t="s">
        <v>69</v>
      </c>
      <c r="B56" s="18" t="s">
        <v>164</v>
      </c>
      <c r="C56" s="19" t="n">
        <v>10</v>
      </c>
      <c r="D56" s="19" t="n">
        <v>8</v>
      </c>
      <c r="E56" s="19" t="n">
        <v>2</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10</v>
      </c>
      <c r="I56" s="20" t="n">
        <f aca="false">$H56-$C56</f>
        <v>0</v>
      </c>
      <c r="J56" s="17" t="s">
        <v>165</v>
      </c>
    </row>
    <row r="57" customFormat="false" ht="15" hidden="false" customHeight="false" outlineLevel="4" collapsed="false">
      <c r="A57" s="17" t="s">
        <v>69</v>
      </c>
      <c r="B57" s="18" t="s">
        <v>166</v>
      </c>
      <c r="C57" s="19" t="n">
        <v>8</v>
      </c>
      <c r="D57" s="19" t="n">
        <v>8</v>
      </c>
      <c r="E57" s="19" t="n">
        <v>0</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8</v>
      </c>
      <c r="I57" s="20" t="n">
        <f aca="false">$H57-$C57</f>
        <v>0</v>
      </c>
      <c r="J57" s="17" t="s">
        <v>167</v>
      </c>
    </row>
    <row r="58" customFormat="false" ht="15" hidden="false" customHeight="false" outlineLevel="1" collapsed="false">
      <c r="A58" s="13" t="s">
        <v>61</v>
      </c>
      <c r="B58" s="14" t="s">
        <v>168</v>
      </c>
      <c r="C58" s="15" t="n">
        <v>74</v>
      </c>
      <c r="D58" s="15" t="n">
        <v>68</v>
      </c>
      <c r="E58" s="15" t="n">
        <v>6</v>
      </c>
      <c r="F58" s="16" t="n">
        <f aca="false">SUMIFS(SeatExits,SeatDivision,$J58)+SUMIFS(SeatExits,SeatDepartment,$J58)+SUMIFS(SeatExits,SeatUnit,$J58)+SUMIFS(SeatExits,SeatSubUnit,$J58)</f>
        <v>0</v>
      </c>
      <c r="G58" s="16" t="n">
        <f aca="false">SUMIFS(AskTotal,AskDivision,$J58)+SUMIFS(AskTotal,AskDepartment,$J58)+SUMIFS(AskTotal,AskUnit,$J58)+SUMIFS(AskTotal,AskSubUnit,$J58)</f>
        <v>0</v>
      </c>
      <c r="H58" s="16" t="n">
        <f aca="false">$C58-$F58+$G58</f>
        <v>74</v>
      </c>
      <c r="I58" s="16" t="n">
        <f aca="false">$H58-$C58</f>
        <v>0</v>
      </c>
      <c r="J58" s="17" t="s">
        <v>169</v>
      </c>
    </row>
    <row r="59" customFormat="false" ht="15" hidden="false" customHeight="false" outlineLevel="2" collapsed="false">
      <c r="A59" s="17" t="s">
        <v>64</v>
      </c>
      <c r="B59" s="18" t="s">
        <v>170</v>
      </c>
      <c r="C59" s="19" t="n">
        <v>38</v>
      </c>
      <c r="D59" s="19" t="n">
        <v>33</v>
      </c>
      <c r="E59" s="19" t="n">
        <v>5</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38</v>
      </c>
      <c r="I59" s="20" t="n">
        <f aca="false">$H59-$C59</f>
        <v>0</v>
      </c>
      <c r="J59" s="17" t="s">
        <v>171</v>
      </c>
    </row>
    <row r="60" customFormat="false" ht="15" hidden="false" customHeight="false" outlineLevel="3" collapsed="false">
      <c r="A60" s="17" t="s">
        <v>50</v>
      </c>
      <c r="B60" s="18" t="s">
        <v>172</v>
      </c>
      <c r="C60" s="19" t="n">
        <v>19</v>
      </c>
      <c r="D60" s="19" t="n">
        <v>16</v>
      </c>
      <c r="E60" s="19" t="n">
        <v>3</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19</v>
      </c>
      <c r="I60" s="20" t="n">
        <f aca="false">$H60-$C60</f>
        <v>0</v>
      </c>
      <c r="J60" s="17" t="s">
        <v>173</v>
      </c>
    </row>
    <row r="61" customFormat="false" ht="15" hidden="false" customHeight="false" outlineLevel="4" collapsed="false">
      <c r="A61" s="17" t="s">
        <v>69</v>
      </c>
      <c r="B61" s="18" t="s">
        <v>174</v>
      </c>
      <c r="C61" s="19" t="n">
        <v>8</v>
      </c>
      <c r="D61" s="19" t="n">
        <v>8</v>
      </c>
      <c r="E61" s="19" t="n">
        <v>0</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8</v>
      </c>
      <c r="I61" s="20" t="n">
        <f aca="false">$H61-$C61</f>
        <v>0</v>
      </c>
      <c r="J61" s="17" t="s">
        <v>175</v>
      </c>
    </row>
    <row r="62" customFormat="false" ht="15" hidden="false" customHeight="false" outlineLevel="4" collapsed="false">
      <c r="A62" s="17" t="s">
        <v>69</v>
      </c>
      <c r="B62" s="18" t="s">
        <v>176</v>
      </c>
      <c r="C62" s="19" t="n">
        <v>10</v>
      </c>
      <c r="D62" s="19" t="n">
        <v>8</v>
      </c>
      <c r="E62" s="19" t="n">
        <v>2</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10</v>
      </c>
      <c r="I62" s="20" t="n">
        <f aca="false">$H62-$C62</f>
        <v>0</v>
      </c>
      <c r="J62" s="17" t="s">
        <v>177</v>
      </c>
    </row>
    <row r="63" customFormat="false" ht="15" hidden="false" customHeight="false" outlineLevel="3" collapsed="false">
      <c r="A63" s="17" t="s">
        <v>50</v>
      </c>
      <c r="B63" s="18" t="s">
        <v>178</v>
      </c>
      <c r="C63" s="19" t="n">
        <v>18</v>
      </c>
      <c r="D63" s="19" t="n">
        <v>16</v>
      </c>
      <c r="E63" s="19" t="n">
        <v>2</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18</v>
      </c>
      <c r="I63" s="20" t="n">
        <f aca="false">$H63-$C63</f>
        <v>0</v>
      </c>
      <c r="J63" s="17" t="s">
        <v>179</v>
      </c>
    </row>
    <row r="64" customFormat="false" ht="15" hidden="false" customHeight="false" outlineLevel="4" collapsed="false">
      <c r="A64" s="17" t="s">
        <v>69</v>
      </c>
      <c r="B64" s="18" t="s">
        <v>180</v>
      </c>
      <c r="C64" s="19" t="n">
        <v>8</v>
      </c>
      <c r="D64" s="19" t="n">
        <v>8</v>
      </c>
      <c r="E64" s="19" t="n">
        <v>0</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8</v>
      </c>
      <c r="I64" s="20" t="n">
        <f aca="false">$H64-$C64</f>
        <v>0</v>
      </c>
      <c r="J64" s="17" t="s">
        <v>181</v>
      </c>
    </row>
    <row r="65" customFormat="false" ht="15" hidden="false" customHeight="false" outlineLevel="4" collapsed="false">
      <c r="A65" s="17" t="s">
        <v>69</v>
      </c>
      <c r="B65" s="18" t="s">
        <v>182</v>
      </c>
      <c r="C65" s="19" t="n">
        <v>9</v>
      </c>
      <c r="D65" s="19" t="n">
        <v>7</v>
      </c>
      <c r="E65" s="19" t="n">
        <v>2</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9</v>
      </c>
      <c r="I65" s="20" t="n">
        <f aca="false">$H65-$C65</f>
        <v>0</v>
      </c>
      <c r="J65" s="17" t="s">
        <v>183</v>
      </c>
    </row>
    <row r="66" customFormat="false" ht="15" hidden="false" customHeight="false" outlineLevel="2" collapsed="false">
      <c r="A66" s="17" t="s">
        <v>64</v>
      </c>
      <c r="B66" s="18" t="s">
        <v>184</v>
      </c>
      <c r="C66" s="19" t="n">
        <v>35</v>
      </c>
      <c r="D66" s="19" t="n">
        <v>34</v>
      </c>
      <c r="E66" s="19" t="n">
        <v>1</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0</v>
      </c>
      <c r="H66" s="20" t="n">
        <f aca="false">$C66-$F66+$G66</f>
        <v>35</v>
      </c>
      <c r="I66" s="20" t="n">
        <f aca="false">$H66-$C66</f>
        <v>0</v>
      </c>
      <c r="J66" s="17" t="s">
        <v>185</v>
      </c>
    </row>
    <row r="67" customFormat="false" ht="15" hidden="false" customHeight="false" outlineLevel="3" collapsed="false">
      <c r="A67" s="17" t="s">
        <v>50</v>
      </c>
      <c r="B67" s="18" t="s">
        <v>186</v>
      </c>
      <c r="C67" s="19" t="n">
        <v>14</v>
      </c>
      <c r="D67" s="19" t="n">
        <v>14</v>
      </c>
      <c r="E67" s="19" t="n">
        <v>0</v>
      </c>
      <c r="F67" s="20" t="n">
        <f aca="false">SUMIFS(SeatExits,SeatDivision,$J67)+SUMIFS(SeatExits,SeatDepartment,$J67)+SUMIFS(SeatExits,SeatUnit,$J67)+SUMIFS(SeatExits,SeatSubUnit,$J67)</f>
        <v>0</v>
      </c>
      <c r="G67" s="20" t="n">
        <f aca="false">SUMIFS(AskTotal,AskDivision,$J67)+SUMIFS(AskTotal,AskDepartment,$J67)+SUMIFS(AskTotal,AskUnit,$J67)+SUMIFS(AskTotal,AskSubUnit,$J67)</f>
        <v>0</v>
      </c>
      <c r="H67" s="20" t="n">
        <f aca="false">$C67-$F67+$G67</f>
        <v>14</v>
      </c>
      <c r="I67" s="20" t="n">
        <f aca="false">$H67-$C67</f>
        <v>0</v>
      </c>
      <c r="J67" s="17" t="s">
        <v>187</v>
      </c>
    </row>
    <row r="68" customFormat="false" ht="15" hidden="false" customHeight="false" outlineLevel="4" collapsed="false">
      <c r="A68" s="17" t="s">
        <v>69</v>
      </c>
      <c r="B68" s="18" t="s">
        <v>188</v>
      </c>
      <c r="C68" s="19" t="n">
        <v>6</v>
      </c>
      <c r="D68" s="19" t="n">
        <v>6</v>
      </c>
      <c r="E68" s="19" t="n">
        <v>0</v>
      </c>
      <c r="F68" s="20" t="n">
        <f aca="false">SUMIFS(SeatExits,SeatDivision,$J68)+SUMIFS(SeatExits,SeatDepartment,$J68)+SUMIFS(SeatExits,SeatUnit,$J68)+SUMIFS(SeatExits,SeatSubUnit,$J68)</f>
        <v>0</v>
      </c>
      <c r="G68" s="20" t="n">
        <f aca="false">SUMIFS(AskTotal,AskDivision,$J68)+SUMIFS(AskTotal,AskDepartment,$J68)+SUMIFS(AskTotal,AskUnit,$J68)+SUMIFS(AskTotal,AskSubUnit,$J68)</f>
        <v>0</v>
      </c>
      <c r="H68" s="20" t="n">
        <f aca="false">$C68-$F68+$G68</f>
        <v>6</v>
      </c>
      <c r="I68" s="20" t="n">
        <f aca="false">$H68-$C68</f>
        <v>0</v>
      </c>
      <c r="J68" s="17" t="s">
        <v>189</v>
      </c>
    </row>
    <row r="69" customFormat="false" ht="15" hidden="false" customHeight="false" outlineLevel="4" collapsed="false">
      <c r="A69" s="17" t="s">
        <v>69</v>
      </c>
      <c r="B69" s="18" t="s">
        <v>190</v>
      </c>
      <c r="C69" s="19" t="n">
        <v>7</v>
      </c>
      <c r="D69" s="19" t="n">
        <v>7</v>
      </c>
      <c r="E69" s="19" t="n">
        <v>0</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7</v>
      </c>
      <c r="I69" s="20" t="n">
        <f aca="false">$H69-$C69</f>
        <v>0</v>
      </c>
      <c r="J69" s="17" t="s">
        <v>191</v>
      </c>
    </row>
    <row r="70" customFormat="false" ht="15" hidden="false" customHeight="false" outlineLevel="3" collapsed="false">
      <c r="A70" s="17" t="s">
        <v>50</v>
      </c>
      <c r="B70" s="18" t="s">
        <v>192</v>
      </c>
      <c r="C70" s="19" t="n">
        <v>20</v>
      </c>
      <c r="D70" s="19" t="n">
        <v>19</v>
      </c>
      <c r="E70" s="19" t="n">
        <v>1</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20</v>
      </c>
      <c r="I70" s="20" t="n">
        <f aca="false">$H70-$C70</f>
        <v>0</v>
      </c>
      <c r="J70" s="17" t="s">
        <v>193</v>
      </c>
    </row>
    <row r="71" customFormat="false" ht="15" hidden="false" customHeight="false" outlineLevel="4" collapsed="false">
      <c r="A71" s="17" t="s">
        <v>69</v>
      </c>
      <c r="B71" s="18" t="s">
        <v>194</v>
      </c>
      <c r="C71" s="19" t="n">
        <v>10</v>
      </c>
      <c r="D71" s="19" t="n">
        <v>10</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10</v>
      </c>
      <c r="I71" s="20" t="n">
        <f aca="false">$H71-$C71</f>
        <v>0</v>
      </c>
      <c r="J71" s="17" t="s">
        <v>195</v>
      </c>
    </row>
    <row r="72" customFormat="false" ht="15" hidden="false" customHeight="false" outlineLevel="4" collapsed="false">
      <c r="A72" s="17" t="s">
        <v>69</v>
      </c>
      <c r="B72" s="18" t="s">
        <v>196</v>
      </c>
      <c r="C72" s="19" t="n">
        <v>9</v>
      </c>
      <c r="D72" s="19" t="n">
        <v>8</v>
      </c>
      <c r="E72" s="19" t="n">
        <v>1</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9</v>
      </c>
      <c r="I72" s="20" t="n">
        <f aca="false">$H72-$C72</f>
        <v>0</v>
      </c>
      <c r="J72" s="17" t="s">
        <v>197</v>
      </c>
    </row>
    <row r="74" customFormat="false" ht="25.5" hidden="false" customHeight="true" outlineLevel="0" collapsed="false">
      <c r="A74" s="11" t="s">
        <v>198</v>
      </c>
      <c r="B74" s="11"/>
      <c r="C74" s="11"/>
      <c r="D74" s="11"/>
      <c r="E74" s="11"/>
      <c r="F74" s="11"/>
      <c r="G74" s="11"/>
      <c r="H74" s="11"/>
      <c r="I74" s="11"/>
    </row>
  </sheetData>
  <mergeCells count="2">
    <mergeCell ref="A2:J2"/>
    <mergeCell ref="A74:I74"/>
  </mergeCells>
  <conditionalFormatting sqref="I5:I7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72">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199</v>
      </c>
    </row>
    <row r="2" customFormat="false" ht="15" hidden="false" customHeight="false" outlineLevel="0" collapsed="false">
      <c r="A2" s="2" t="s">
        <v>200</v>
      </c>
      <c r="B2" s="2"/>
      <c r="C2" s="2"/>
      <c r="D2" s="2"/>
      <c r="E2" s="2"/>
      <c r="F2" s="2"/>
      <c r="G2" s="2"/>
      <c r="H2" s="2"/>
      <c r="I2" s="2"/>
      <c r="J2" s="2"/>
    </row>
    <row r="5" customFormat="false" ht="30" hidden="false" customHeight="true" outlineLevel="0" collapsed="false">
      <c r="A5" s="12" t="s">
        <v>201</v>
      </c>
      <c r="B5" s="12" t="s">
        <v>61</v>
      </c>
      <c r="C5" s="12" t="s">
        <v>64</v>
      </c>
      <c r="D5" s="12" t="s">
        <v>50</v>
      </c>
      <c r="E5" s="12" t="s">
        <v>202</v>
      </c>
      <c r="F5" s="12" t="s">
        <v>203</v>
      </c>
      <c r="G5" s="12" t="s">
        <v>18</v>
      </c>
      <c r="H5" s="12" t="s">
        <v>204</v>
      </c>
      <c r="I5" s="12" t="s">
        <v>20</v>
      </c>
      <c r="J5" s="12" t="s">
        <v>205</v>
      </c>
      <c r="K5" s="12" t="s">
        <v>52</v>
      </c>
      <c r="L5" s="12" t="s">
        <v>53</v>
      </c>
      <c r="M5" s="12" t="s">
        <v>206</v>
      </c>
      <c r="N5" s="12" t="s">
        <v>22</v>
      </c>
      <c r="O5" s="12" t="s">
        <v>24</v>
      </c>
      <c r="P5" s="12" t="s">
        <v>207</v>
      </c>
      <c r="Q5" s="12" t="s">
        <v>208</v>
      </c>
    </row>
    <row r="6" customFormat="false" ht="15" hidden="false" customHeight="false" outlineLevel="0" collapsed="false">
      <c r="A6" s="21" t="s">
        <v>209</v>
      </c>
      <c r="B6" s="21"/>
      <c r="C6" s="21"/>
      <c r="D6" s="21"/>
      <c r="E6" s="21"/>
      <c r="F6" s="21" t="s">
        <v>210</v>
      </c>
      <c r="G6" s="21"/>
      <c r="H6" s="21" t="s">
        <v>211</v>
      </c>
      <c r="I6" s="21"/>
      <c r="J6" s="22" t="n">
        <v>1</v>
      </c>
      <c r="K6" s="22" t="n">
        <v>1</v>
      </c>
      <c r="L6" s="22" t="n">
        <v>0</v>
      </c>
      <c r="M6" s="21" t="s">
        <v>212</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213</v>
      </c>
      <c r="B7" s="21" t="s">
        <v>63</v>
      </c>
      <c r="C7" s="21"/>
      <c r="D7" s="21"/>
      <c r="E7" s="21"/>
      <c r="F7" s="21" t="s">
        <v>214</v>
      </c>
      <c r="G7" s="21"/>
      <c r="H7" s="21" t="s">
        <v>215</v>
      </c>
      <c r="I7" s="21"/>
      <c r="J7" s="22" t="n">
        <v>1</v>
      </c>
      <c r="K7" s="22" t="n">
        <v>1</v>
      </c>
      <c r="L7" s="22" t="n">
        <v>0</v>
      </c>
      <c r="M7" s="21" t="s">
        <v>212</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216</v>
      </c>
      <c r="B8" s="21" t="s">
        <v>63</v>
      </c>
      <c r="C8" s="21" t="s">
        <v>66</v>
      </c>
      <c r="D8" s="21"/>
      <c r="E8" s="21"/>
      <c r="F8" s="21" t="s">
        <v>217</v>
      </c>
      <c r="G8" s="21"/>
      <c r="H8" s="21" t="s">
        <v>215</v>
      </c>
      <c r="I8" s="21"/>
      <c r="J8" s="22" t="n">
        <v>1</v>
      </c>
      <c r="K8" s="22" t="n">
        <v>1</v>
      </c>
      <c r="L8" s="22" t="n">
        <v>0</v>
      </c>
      <c r="M8" s="21" t="s">
        <v>212</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218</v>
      </c>
      <c r="B9" s="21" t="s">
        <v>63</v>
      </c>
      <c r="C9" s="21" t="s">
        <v>66</v>
      </c>
      <c r="D9" s="21" t="s">
        <v>68</v>
      </c>
      <c r="E9" s="21"/>
      <c r="F9" s="21" t="s">
        <v>219</v>
      </c>
      <c r="G9" s="21"/>
      <c r="H9" s="21" t="s">
        <v>220</v>
      </c>
      <c r="I9" s="21"/>
      <c r="J9" s="22" t="n">
        <v>1</v>
      </c>
      <c r="K9" s="22" t="n">
        <v>1</v>
      </c>
      <c r="L9" s="22" t="n">
        <v>0</v>
      </c>
      <c r="M9" s="21" t="s">
        <v>212</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221</v>
      </c>
      <c r="B10" s="21" t="s">
        <v>63</v>
      </c>
      <c r="C10" s="21" t="s">
        <v>66</v>
      </c>
      <c r="D10" s="21" t="s">
        <v>68</v>
      </c>
      <c r="E10" s="21" t="s">
        <v>71</v>
      </c>
      <c r="F10" s="21" t="s">
        <v>222</v>
      </c>
      <c r="G10" s="21"/>
      <c r="H10" s="21" t="s">
        <v>223</v>
      </c>
      <c r="I10" s="21"/>
      <c r="J10" s="22" t="n">
        <v>1</v>
      </c>
      <c r="K10" s="22" t="n">
        <v>1</v>
      </c>
      <c r="L10" s="22" t="n">
        <v>0</v>
      </c>
      <c r="M10" s="21" t="s">
        <v>212</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c r="B11" s="21" t="s">
        <v>63</v>
      </c>
      <c r="C11" s="21" t="s">
        <v>66</v>
      </c>
      <c r="D11" s="21" t="s">
        <v>68</v>
      </c>
      <c r="E11" s="21" t="s">
        <v>71</v>
      </c>
      <c r="F11" s="21" t="s">
        <v>224</v>
      </c>
      <c r="G11" s="21"/>
      <c r="H11" s="21" t="s">
        <v>223</v>
      </c>
      <c r="I11" s="21"/>
      <c r="J11" s="22" t="n">
        <v>2</v>
      </c>
      <c r="K11" s="22" t="n">
        <v>2</v>
      </c>
      <c r="L11" s="22" t="n">
        <v>0</v>
      </c>
      <c r="M11" s="21" t="s">
        <v>212</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225</v>
      </c>
      <c r="G12" s="21"/>
      <c r="H12" s="21" t="s">
        <v>223</v>
      </c>
      <c r="I12" s="21"/>
      <c r="J12" s="22" t="n">
        <v>2</v>
      </c>
      <c r="K12" s="22" t="n">
        <v>2</v>
      </c>
      <c r="L12" s="22" t="n">
        <v>0</v>
      </c>
      <c r="M12" s="21" t="s">
        <v>212</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226</v>
      </c>
      <c r="B13" s="21" t="s">
        <v>63</v>
      </c>
      <c r="C13" s="21" t="s">
        <v>66</v>
      </c>
      <c r="D13" s="21" t="s">
        <v>68</v>
      </c>
      <c r="E13" s="21" t="s">
        <v>71</v>
      </c>
      <c r="F13" s="21" t="s">
        <v>227</v>
      </c>
      <c r="G13" s="21"/>
      <c r="H13" s="21" t="s">
        <v>223</v>
      </c>
      <c r="I13" s="21"/>
      <c r="J13" s="22" t="n">
        <v>1</v>
      </c>
      <c r="K13" s="22" t="n">
        <v>1</v>
      </c>
      <c r="L13" s="22" t="n">
        <v>0</v>
      </c>
      <c r="M13" s="21" t="s">
        <v>212</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c r="B14" s="21" t="s">
        <v>63</v>
      </c>
      <c r="C14" s="21" t="s">
        <v>66</v>
      </c>
      <c r="D14" s="21" t="s">
        <v>68</v>
      </c>
      <c r="E14" s="21" t="s">
        <v>71</v>
      </c>
      <c r="F14" s="21" t="s">
        <v>228</v>
      </c>
      <c r="G14" s="21"/>
      <c r="H14" s="21" t="s">
        <v>223</v>
      </c>
      <c r="I14" s="21"/>
      <c r="J14" s="22" t="n">
        <v>3</v>
      </c>
      <c r="K14" s="22" t="n">
        <v>3</v>
      </c>
      <c r="L14" s="22" t="n">
        <v>0</v>
      </c>
      <c r="M14" s="21" t="s">
        <v>212</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229</v>
      </c>
      <c r="B15" s="21" t="s">
        <v>63</v>
      </c>
      <c r="C15" s="21" t="s">
        <v>66</v>
      </c>
      <c r="D15" s="21" t="s">
        <v>68</v>
      </c>
      <c r="E15" s="21" t="s">
        <v>71</v>
      </c>
      <c r="F15" s="21" t="s">
        <v>230</v>
      </c>
      <c r="G15" s="21"/>
      <c r="H15" s="21" t="s">
        <v>220</v>
      </c>
      <c r="I15" s="21"/>
      <c r="J15" s="22" t="n">
        <v>1</v>
      </c>
      <c r="K15" s="22" t="n">
        <v>1</v>
      </c>
      <c r="L15" s="22" t="n">
        <v>0</v>
      </c>
      <c r="M15" s="21" t="s">
        <v>212</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c r="B16" s="21" t="s">
        <v>63</v>
      </c>
      <c r="C16" s="21" t="s">
        <v>66</v>
      </c>
      <c r="D16" s="21" t="s">
        <v>68</v>
      </c>
      <c r="E16" s="21" t="s">
        <v>73</v>
      </c>
      <c r="F16" s="21" t="s">
        <v>224</v>
      </c>
      <c r="G16" s="21"/>
      <c r="H16" s="21" t="s">
        <v>223</v>
      </c>
      <c r="I16" s="21"/>
      <c r="J16" s="22" t="n">
        <v>4</v>
      </c>
      <c r="K16" s="22" t="n">
        <v>4</v>
      </c>
      <c r="L16" s="22" t="n">
        <v>0</v>
      </c>
      <c r="M16" s="21" t="s">
        <v>212</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t="s">
        <v>231</v>
      </c>
      <c r="B17" s="21" t="s">
        <v>63</v>
      </c>
      <c r="C17" s="21" t="s">
        <v>66</v>
      </c>
      <c r="D17" s="21" t="s">
        <v>68</v>
      </c>
      <c r="E17" s="21" t="s">
        <v>73</v>
      </c>
      <c r="F17" s="21" t="s">
        <v>225</v>
      </c>
      <c r="G17" s="21"/>
      <c r="H17" s="21" t="s">
        <v>223</v>
      </c>
      <c r="I17" s="21"/>
      <c r="J17" s="22" t="n">
        <v>1</v>
      </c>
      <c r="K17" s="22" t="n">
        <v>1</v>
      </c>
      <c r="L17" s="22" t="n">
        <v>0</v>
      </c>
      <c r="M17" s="21" t="s">
        <v>212</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221</v>
      </c>
      <c r="B18" s="21" t="s">
        <v>63</v>
      </c>
      <c r="C18" s="21" t="s">
        <v>66</v>
      </c>
      <c r="D18" s="21" t="s">
        <v>68</v>
      </c>
      <c r="E18" s="21" t="s">
        <v>73</v>
      </c>
      <c r="F18" s="21" t="s">
        <v>230</v>
      </c>
      <c r="G18" s="21"/>
      <c r="H18" s="21" t="s">
        <v>220</v>
      </c>
      <c r="I18" s="21"/>
      <c r="J18" s="22" t="n">
        <v>1</v>
      </c>
      <c r="K18" s="22" t="n">
        <v>1</v>
      </c>
      <c r="L18" s="22" t="n">
        <v>0</v>
      </c>
      <c r="M18" s="21" t="s">
        <v>212</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t="s">
        <v>218</v>
      </c>
      <c r="B19" s="21" t="s">
        <v>63</v>
      </c>
      <c r="C19" s="21" t="s">
        <v>66</v>
      </c>
      <c r="D19" s="21" t="s">
        <v>75</v>
      </c>
      <c r="E19" s="21"/>
      <c r="F19" s="21" t="s">
        <v>219</v>
      </c>
      <c r="G19" s="21"/>
      <c r="H19" s="21" t="s">
        <v>220</v>
      </c>
      <c r="I19" s="21"/>
      <c r="J19" s="22" t="n">
        <v>1</v>
      </c>
      <c r="K19" s="22" t="n">
        <v>1</v>
      </c>
      <c r="L19" s="22" t="n">
        <v>0</v>
      </c>
      <c r="M19" s="21" t="s">
        <v>212</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232</v>
      </c>
      <c r="B20" s="21" t="s">
        <v>63</v>
      </c>
      <c r="C20" s="21" t="s">
        <v>66</v>
      </c>
      <c r="D20" s="21" t="s">
        <v>75</v>
      </c>
      <c r="E20" s="21" t="s">
        <v>77</v>
      </c>
      <c r="F20" s="21" t="s">
        <v>222</v>
      </c>
      <c r="G20" s="21"/>
      <c r="H20" s="21" t="s">
        <v>223</v>
      </c>
      <c r="I20" s="21"/>
      <c r="J20" s="22" t="n">
        <v>1</v>
      </c>
      <c r="K20" s="22" t="n">
        <v>1</v>
      </c>
      <c r="L20" s="22" t="n">
        <v>0</v>
      </c>
      <c r="M20" s="21" t="s">
        <v>212</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c r="B21" s="21" t="s">
        <v>63</v>
      </c>
      <c r="C21" s="21" t="s">
        <v>66</v>
      </c>
      <c r="D21" s="21" t="s">
        <v>75</v>
      </c>
      <c r="E21" s="21" t="s">
        <v>77</v>
      </c>
      <c r="F21" s="21" t="s">
        <v>224</v>
      </c>
      <c r="G21" s="21"/>
      <c r="H21" s="21" t="s">
        <v>223</v>
      </c>
      <c r="I21" s="21"/>
      <c r="J21" s="22" t="n">
        <v>2</v>
      </c>
      <c r="K21" s="22" t="n">
        <v>1</v>
      </c>
      <c r="L21" s="22" t="n">
        <v>1</v>
      </c>
      <c r="M21" s="21" t="s">
        <v>212</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c r="B22" s="21" t="s">
        <v>63</v>
      </c>
      <c r="C22" s="21" t="s">
        <v>66</v>
      </c>
      <c r="D22" s="21" t="s">
        <v>75</v>
      </c>
      <c r="E22" s="21" t="s">
        <v>77</v>
      </c>
      <c r="F22" s="21" t="s">
        <v>225</v>
      </c>
      <c r="G22" s="21"/>
      <c r="H22" s="21" t="s">
        <v>223</v>
      </c>
      <c r="I22" s="21"/>
      <c r="J22" s="22" t="n">
        <v>2</v>
      </c>
      <c r="K22" s="22" t="n">
        <v>2</v>
      </c>
      <c r="L22" s="22" t="n">
        <v>0</v>
      </c>
      <c r="M22" s="21" t="s">
        <v>212</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233</v>
      </c>
      <c r="B23" s="21" t="s">
        <v>63</v>
      </c>
      <c r="C23" s="21" t="s">
        <v>66</v>
      </c>
      <c r="D23" s="21" t="s">
        <v>75</v>
      </c>
      <c r="E23" s="21" t="s">
        <v>77</v>
      </c>
      <c r="F23" s="21" t="s">
        <v>230</v>
      </c>
      <c r="G23" s="21"/>
      <c r="H23" s="21" t="s">
        <v>220</v>
      </c>
      <c r="I23" s="21"/>
      <c r="J23" s="22" t="n">
        <v>1</v>
      </c>
      <c r="K23" s="22" t="n">
        <v>1</v>
      </c>
      <c r="L23" s="22" t="n">
        <v>0</v>
      </c>
      <c r="M23" s="21" t="s">
        <v>212</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t="s">
        <v>234</v>
      </c>
      <c r="B24" s="21" t="s">
        <v>63</v>
      </c>
      <c r="C24" s="21" t="s">
        <v>66</v>
      </c>
      <c r="D24" s="21" t="s">
        <v>75</v>
      </c>
      <c r="E24" s="21" t="s">
        <v>79</v>
      </c>
      <c r="F24" s="21" t="s">
        <v>222</v>
      </c>
      <c r="G24" s="21"/>
      <c r="H24" s="21" t="s">
        <v>223</v>
      </c>
      <c r="I24" s="21"/>
      <c r="J24" s="22" t="n">
        <v>1</v>
      </c>
      <c r="K24" s="22" t="n">
        <v>1</v>
      </c>
      <c r="L24" s="22" t="n">
        <v>0</v>
      </c>
      <c r="M24" s="21" t="s">
        <v>212</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79</v>
      </c>
      <c r="F25" s="21" t="s">
        <v>225</v>
      </c>
      <c r="G25" s="21"/>
      <c r="H25" s="21" t="s">
        <v>223</v>
      </c>
      <c r="I25" s="21"/>
      <c r="J25" s="22" t="n">
        <v>2</v>
      </c>
      <c r="K25" s="22" t="n">
        <v>2</v>
      </c>
      <c r="L25" s="22" t="n">
        <v>0</v>
      </c>
      <c r="M25" s="21" t="s">
        <v>212</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c r="B26" s="21" t="s">
        <v>63</v>
      </c>
      <c r="C26" s="21" t="s">
        <v>66</v>
      </c>
      <c r="D26" s="21" t="s">
        <v>75</v>
      </c>
      <c r="E26" s="21" t="s">
        <v>79</v>
      </c>
      <c r="F26" s="21" t="s">
        <v>227</v>
      </c>
      <c r="G26" s="21"/>
      <c r="H26" s="21" t="s">
        <v>223</v>
      </c>
      <c r="I26" s="21"/>
      <c r="J26" s="22" t="n">
        <v>2</v>
      </c>
      <c r="K26" s="22" t="n">
        <v>2</v>
      </c>
      <c r="L26" s="22" t="n">
        <v>0</v>
      </c>
      <c r="M26" s="21" t="s">
        <v>212</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235</v>
      </c>
      <c r="B27" s="21" t="s">
        <v>63</v>
      </c>
      <c r="C27" s="21" t="s">
        <v>66</v>
      </c>
      <c r="D27" s="21" t="s">
        <v>75</v>
      </c>
      <c r="E27" s="21" t="s">
        <v>79</v>
      </c>
      <c r="F27" s="21" t="s">
        <v>230</v>
      </c>
      <c r="G27" s="21"/>
      <c r="H27" s="21" t="s">
        <v>220</v>
      </c>
      <c r="I27" s="21"/>
      <c r="J27" s="22" t="n">
        <v>1</v>
      </c>
      <c r="K27" s="22" t="n">
        <v>1</v>
      </c>
      <c r="L27" s="22" t="n">
        <v>0</v>
      </c>
      <c r="M27" s="21" t="s">
        <v>212</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t="s">
        <v>236</v>
      </c>
      <c r="B28" s="21" t="s">
        <v>63</v>
      </c>
      <c r="C28" s="21" t="s">
        <v>81</v>
      </c>
      <c r="D28" s="21"/>
      <c r="E28" s="21"/>
      <c r="F28" s="21" t="s">
        <v>237</v>
      </c>
      <c r="G28" s="21"/>
      <c r="H28" s="21" t="s">
        <v>215</v>
      </c>
      <c r="I28" s="21"/>
      <c r="J28" s="22" t="n">
        <v>1</v>
      </c>
      <c r="K28" s="22" t="n">
        <v>1</v>
      </c>
      <c r="L28" s="22" t="n">
        <v>0</v>
      </c>
      <c r="M28" s="21" t="s">
        <v>212</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t="s">
        <v>238</v>
      </c>
      <c r="B29" s="21" t="s">
        <v>63</v>
      </c>
      <c r="C29" s="21" t="s">
        <v>81</v>
      </c>
      <c r="D29" s="21" t="s">
        <v>83</v>
      </c>
      <c r="E29" s="21"/>
      <c r="F29" s="21" t="s">
        <v>239</v>
      </c>
      <c r="G29" s="21"/>
      <c r="H29" s="21" t="s">
        <v>220</v>
      </c>
      <c r="I29" s="21"/>
      <c r="J29" s="22" t="n">
        <v>1</v>
      </c>
      <c r="K29" s="22" t="n">
        <v>1</v>
      </c>
      <c r="L29" s="22" t="n">
        <v>0</v>
      </c>
      <c r="M29" s="21" t="s">
        <v>212</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c r="B30" s="21" t="s">
        <v>63</v>
      </c>
      <c r="C30" s="21" t="s">
        <v>81</v>
      </c>
      <c r="D30" s="21" t="s">
        <v>83</v>
      </c>
      <c r="E30" s="21" t="s">
        <v>85</v>
      </c>
      <c r="F30" s="21" t="s">
        <v>240</v>
      </c>
      <c r="G30" s="21"/>
      <c r="H30" s="21" t="s">
        <v>223</v>
      </c>
      <c r="I30" s="21"/>
      <c r="J30" s="22" t="n">
        <v>3</v>
      </c>
      <c r="K30" s="22" t="n">
        <v>3</v>
      </c>
      <c r="L30" s="22" t="n">
        <v>0</v>
      </c>
      <c r="M30" s="21" t="s">
        <v>212</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c r="B31" s="21" t="s">
        <v>63</v>
      </c>
      <c r="C31" s="21" t="s">
        <v>81</v>
      </c>
      <c r="D31" s="21" t="s">
        <v>83</v>
      </c>
      <c r="E31" s="21" t="s">
        <v>85</v>
      </c>
      <c r="F31" s="21" t="s">
        <v>241</v>
      </c>
      <c r="G31" s="21"/>
      <c r="H31" s="21" t="s">
        <v>223</v>
      </c>
      <c r="I31" s="21"/>
      <c r="J31" s="22" t="n">
        <v>3</v>
      </c>
      <c r="K31" s="22" t="n">
        <v>2</v>
      </c>
      <c r="L31" s="22" t="n">
        <v>1</v>
      </c>
      <c r="M31" s="21" t="s">
        <v>212</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242</v>
      </c>
      <c r="B32" s="21" t="s">
        <v>63</v>
      </c>
      <c r="C32" s="21" t="s">
        <v>81</v>
      </c>
      <c r="D32" s="21" t="s">
        <v>83</v>
      </c>
      <c r="E32" s="21" t="s">
        <v>85</v>
      </c>
      <c r="F32" s="21" t="s">
        <v>243</v>
      </c>
      <c r="G32" s="21"/>
      <c r="H32" s="21" t="s">
        <v>223</v>
      </c>
      <c r="I32" s="21"/>
      <c r="J32" s="22" t="n">
        <v>1</v>
      </c>
      <c r="K32" s="22" t="n">
        <v>1</v>
      </c>
      <c r="L32" s="22" t="n">
        <v>0</v>
      </c>
      <c r="M32" s="21" t="s">
        <v>212</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213</v>
      </c>
      <c r="B33" s="21" t="s">
        <v>63</v>
      </c>
      <c r="C33" s="21" t="s">
        <v>81</v>
      </c>
      <c r="D33" s="21" t="s">
        <v>83</v>
      </c>
      <c r="E33" s="21" t="s">
        <v>85</v>
      </c>
      <c r="F33" s="21" t="s">
        <v>244</v>
      </c>
      <c r="G33" s="21"/>
      <c r="H33" s="21" t="s">
        <v>223</v>
      </c>
      <c r="I33" s="21"/>
      <c r="J33" s="22" t="n">
        <v>1</v>
      </c>
      <c r="K33" s="22" t="n">
        <v>1</v>
      </c>
      <c r="L33" s="22" t="n">
        <v>0</v>
      </c>
      <c r="M33" s="21" t="s">
        <v>245</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246</v>
      </c>
      <c r="B34" s="21" t="s">
        <v>63</v>
      </c>
      <c r="C34" s="21" t="s">
        <v>81</v>
      </c>
      <c r="D34" s="21" t="s">
        <v>83</v>
      </c>
      <c r="E34" s="21" t="s">
        <v>85</v>
      </c>
      <c r="F34" s="21" t="s">
        <v>247</v>
      </c>
      <c r="G34" s="21"/>
      <c r="H34" s="21" t="s">
        <v>223</v>
      </c>
      <c r="I34" s="21"/>
      <c r="J34" s="22" t="n">
        <v>1</v>
      </c>
      <c r="K34" s="22" t="n">
        <v>1</v>
      </c>
      <c r="L34" s="22" t="n">
        <v>0</v>
      </c>
      <c r="M34" s="21" t="s">
        <v>212</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t="s">
        <v>248</v>
      </c>
      <c r="B35" s="21" t="s">
        <v>63</v>
      </c>
      <c r="C35" s="21" t="s">
        <v>81</v>
      </c>
      <c r="D35" s="21" t="s">
        <v>83</v>
      </c>
      <c r="E35" s="21" t="s">
        <v>85</v>
      </c>
      <c r="F35" s="21" t="s">
        <v>249</v>
      </c>
      <c r="G35" s="21"/>
      <c r="H35" s="21" t="s">
        <v>220</v>
      </c>
      <c r="I35" s="21"/>
      <c r="J35" s="22" t="n">
        <v>1</v>
      </c>
      <c r="K35" s="22" t="n">
        <v>1</v>
      </c>
      <c r="L35" s="22" t="n">
        <v>0</v>
      </c>
      <c r="M35" s="21" t="s">
        <v>212</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250</v>
      </c>
      <c r="B36" s="21" t="s">
        <v>63</v>
      </c>
      <c r="C36" s="21" t="s">
        <v>81</v>
      </c>
      <c r="D36" s="21" t="s">
        <v>83</v>
      </c>
      <c r="E36" s="21" t="s">
        <v>87</v>
      </c>
      <c r="F36" s="21" t="s">
        <v>240</v>
      </c>
      <c r="G36" s="21"/>
      <c r="H36" s="21" t="s">
        <v>223</v>
      </c>
      <c r="I36" s="21"/>
      <c r="J36" s="22" t="n">
        <v>1</v>
      </c>
      <c r="K36" s="22" t="n">
        <v>1</v>
      </c>
      <c r="L36" s="22" t="n">
        <v>0</v>
      </c>
      <c r="M36" s="21" t="s">
        <v>245</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231</v>
      </c>
      <c r="B37" s="21" t="s">
        <v>63</v>
      </c>
      <c r="C37" s="21" t="s">
        <v>81</v>
      </c>
      <c r="D37" s="21" t="s">
        <v>83</v>
      </c>
      <c r="E37" s="21" t="s">
        <v>87</v>
      </c>
      <c r="F37" s="21" t="s">
        <v>240</v>
      </c>
      <c r="G37" s="21"/>
      <c r="H37" s="21" t="s">
        <v>223</v>
      </c>
      <c r="I37" s="21"/>
      <c r="J37" s="22" t="n">
        <v>1</v>
      </c>
      <c r="K37" s="22" t="n">
        <v>1</v>
      </c>
      <c r="L37" s="22" t="n">
        <v>0</v>
      </c>
      <c r="M37" s="21" t="s">
        <v>212</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c r="B38" s="21" t="s">
        <v>63</v>
      </c>
      <c r="C38" s="21" t="s">
        <v>81</v>
      </c>
      <c r="D38" s="21" t="s">
        <v>83</v>
      </c>
      <c r="E38" s="21" t="s">
        <v>87</v>
      </c>
      <c r="F38" s="21" t="s">
        <v>241</v>
      </c>
      <c r="G38" s="21"/>
      <c r="H38" s="21" t="s">
        <v>223</v>
      </c>
      <c r="I38" s="21"/>
      <c r="J38" s="22" t="n">
        <v>2</v>
      </c>
      <c r="K38" s="22" t="n">
        <v>1</v>
      </c>
      <c r="L38" s="22" t="n">
        <v>1</v>
      </c>
      <c r="M38" s="21" t="s">
        <v>212</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t="s">
        <v>251</v>
      </c>
      <c r="B39" s="21" t="s">
        <v>63</v>
      </c>
      <c r="C39" s="21" t="s">
        <v>81</v>
      </c>
      <c r="D39" s="21" t="s">
        <v>83</v>
      </c>
      <c r="E39" s="21" t="s">
        <v>87</v>
      </c>
      <c r="F39" s="21" t="s">
        <v>243</v>
      </c>
      <c r="G39" s="21"/>
      <c r="H39" s="21" t="s">
        <v>223</v>
      </c>
      <c r="I39" s="21"/>
      <c r="J39" s="22" t="n">
        <v>1</v>
      </c>
      <c r="K39" s="22" t="n">
        <v>0</v>
      </c>
      <c r="L39" s="22" t="n">
        <v>1</v>
      </c>
      <c r="M39" s="21" t="s">
        <v>245</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252</v>
      </c>
      <c r="B40" s="21" t="s">
        <v>63</v>
      </c>
      <c r="C40" s="21" t="s">
        <v>81</v>
      </c>
      <c r="D40" s="21" t="s">
        <v>83</v>
      </c>
      <c r="E40" s="21" t="s">
        <v>87</v>
      </c>
      <c r="F40" s="21" t="s">
        <v>244</v>
      </c>
      <c r="G40" s="21"/>
      <c r="H40" s="21" t="s">
        <v>223</v>
      </c>
      <c r="I40" s="21"/>
      <c r="J40" s="22" t="n">
        <v>1</v>
      </c>
      <c r="K40" s="22" t="n">
        <v>0</v>
      </c>
      <c r="L40" s="22" t="n">
        <v>1</v>
      </c>
      <c r="M40" s="21" t="s">
        <v>212</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c r="B41" s="21" t="s">
        <v>63</v>
      </c>
      <c r="C41" s="21" t="s">
        <v>81</v>
      </c>
      <c r="D41" s="21" t="s">
        <v>83</v>
      </c>
      <c r="E41" s="21" t="s">
        <v>87</v>
      </c>
      <c r="F41" s="21" t="s">
        <v>253</v>
      </c>
      <c r="G41" s="21"/>
      <c r="H41" s="21" t="s">
        <v>223</v>
      </c>
      <c r="I41" s="21"/>
      <c r="J41" s="22" t="n">
        <v>2</v>
      </c>
      <c r="K41" s="22" t="n">
        <v>2</v>
      </c>
      <c r="L41" s="22" t="n">
        <v>0</v>
      </c>
      <c r="M41" s="21" t="s">
        <v>212</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t="s">
        <v>236</v>
      </c>
      <c r="B42" s="21" t="s">
        <v>63</v>
      </c>
      <c r="C42" s="21" t="s">
        <v>81</v>
      </c>
      <c r="D42" s="21" t="s">
        <v>83</v>
      </c>
      <c r="E42" s="21" t="s">
        <v>87</v>
      </c>
      <c r="F42" s="21" t="s">
        <v>249</v>
      </c>
      <c r="G42" s="21"/>
      <c r="H42" s="21" t="s">
        <v>220</v>
      </c>
      <c r="I42" s="21"/>
      <c r="J42" s="22" t="n">
        <v>1</v>
      </c>
      <c r="K42" s="22" t="n">
        <v>1</v>
      </c>
      <c r="L42" s="22" t="n">
        <v>0</v>
      </c>
      <c r="M42" s="21" t="s">
        <v>212</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254</v>
      </c>
      <c r="B43" s="21" t="s">
        <v>63</v>
      </c>
      <c r="C43" s="21" t="s">
        <v>81</v>
      </c>
      <c r="D43" s="21" t="s">
        <v>89</v>
      </c>
      <c r="E43" s="21"/>
      <c r="F43" s="21" t="s">
        <v>239</v>
      </c>
      <c r="G43" s="21"/>
      <c r="H43" s="21" t="s">
        <v>220</v>
      </c>
      <c r="I43" s="21"/>
      <c r="J43" s="22" t="n">
        <v>1</v>
      </c>
      <c r="K43" s="22" t="n">
        <v>1</v>
      </c>
      <c r="L43" s="22" t="n">
        <v>0</v>
      </c>
      <c r="M43" s="21" t="s">
        <v>212</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c r="B44" s="21" t="s">
        <v>63</v>
      </c>
      <c r="C44" s="21" t="s">
        <v>81</v>
      </c>
      <c r="D44" s="21" t="s">
        <v>89</v>
      </c>
      <c r="E44" s="21" t="s">
        <v>91</v>
      </c>
      <c r="F44" s="21" t="s">
        <v>240</v>
      </c>
      <c r="G44" s="21"/>
      <c r="H44" s="21" t="s">
        <v>223</v>
      </c>
      <c r="I44" s="21"/>
      <c r="J44" s="22" t="n">
        <v>3</v>
      </c>
      <c r="K44" s="22" t="n">
        <v>2</v>
      </c>
      <c r="L44" s="22" t="n">
        <v>1</v>
      </c>
      <c r="M44" s="21" t="s">
        <v>212</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236</v>
      </c>
      <c r="B45" s="21" t="s">
        <v>63</v>
      </c>
      <c r="C45" s="21" t="s">
        <v>81</v>
      </c>
      <c r="D45" s="21" t="s">
        <v>89</v>
      </c>
      <c r="E45" s="21" t="s">
        <v>91</v>
      </c>
      <c r="F45" s="21" t="s">
        <v>243</v>
      </c>
      <c r="G45" s="21"/>
      <c r="H45" s="21" t="s">
        <v>223</v>
      </c>
      <c r="I45" s="21"/>
      <c r="J45" s="22" t="n">
        <v>1</v>
      </c>
      <c r="K45" s="22" t="n">
        <v>1</v>
      </c>
      <c r="L45" s="22" t="n">
        <v>0</v>
      </c>
      <c r="M45" s="21" t="s">
        <v>212</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c r="B46" s="21" t="s">
        <v>63</v>
      </c>
      <c r="C46" s="21" t="s">
        <v>81</v>
      </c>
      <c r="D46" s="21" t="s">
        <v>89</v>
      </c>
      <c r="E46" s="21" t="s">
        <v>91</v>
      </c>
      <c r="F46" s="21" t="s">
        <v>244</v>
      </c>
      <c r="G46" s="21"/>
      <c r="H46" s="21" t="s">
        <v>223</v>
      </c>
      <c r="I46" s="21"/>
      <c r="J46" s="22" t="n">
        <v>2</v>
      </c>
      <c r="K46" s="22" t="n">
        <v>1</v>
      </c>
      <c r="L46" s="22" t="n">
        <v>1</v>
      </c>
      <c r="M46" s="21" t="s">
        <v>212</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t="s">
        <v>255</v>
      </c>
      <c r="B47" s="21" t="s">
        <v>63</v>
      </c>
      <c r="C47" s="21" t="s">
        <v>81</v>
      </c>
      <c r="D47" s="21" t="s">
        <v>89</v>
      </c>
      <c r="E47" s="21" t="s">
        <v>91</v>
      </c>
      <c r="F47" s="21" t="s">
        <v>247</v>
      </c>
      <c r="G47" s="21"/>
      <c r="H47" s="21" t="s">
        <v>223</v>
      </c>
      <c r="I47" s="21"/>
      <c r="J47" s="22" t="n">
        <v>1</v>
      </c>
      <c r="K47" s="22" t="n">
        <v>1</v>
      </c>
      <c r="L47" s="22" t="n">
        <v>0</v>
      </c>
      <c r="M47" s="21" t="s">
        <v>212</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256</v>
      </c>
      <c r="B48" s="21" t="s">
        <v>63</v>
      </c>
      <c r="C48" s="21" t="s">
        <v>81</v>
      </c>
      <c r="D48" s="21" t="s">
        <v>89</v>
      </c>
      <c r="E48" s="21" t="s">
        <v>91</v>
      </c>
      <c r="F48" s="21" t="s">
        <v>249</v>
      </c>
      <c r="G48" s="21"/>
      <c r="H48" s="21" t="s">
        <v>220</v>
      </c>
      <c r="I48" s="21"/>
      <c r="J48" s="22" t="n">
        <v>1</v>
      </c>
      <c r="K48" s="22" t="n">
        <v>0</v>
      </c>
      <c r="L48" s="22" t="n">
        <v>1</v>
      </c>
      <c r="M48" s="21" t="s">
        <v>212</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t="s">
        <v>257</v>
      </c>
      <c r="B49" s="21" t="s">
        <v>63</v>
      </c>
      <c r="C49" s="21" t="s">
        <v>81</v>
      </c>
      <c r="D49" s="21" t="s">
        <v>89</v>
      </c>
      <c r="E49" s="21" t="s">
        <v>93</v>
      </c>
      <c r="F49" s="21" t="s">
        <v>240</v>
      </c>
      <c r="G49" s="21"/>
      <c r="H49" s="21" t="s">
        <v>223</v>
      </c>
      <c r="I49" s="21"/>
      <c r="J49" s="22" t="n">
        <v>1</v>
      </c>
      <c r="K49" s="22" t="n">
        <v>1</v>
      </c>
      <c r="L49" s="22" t="n">
        <v>0</v>
      </c>
      <c r="M49" s="21" t="s">
        <v>212</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258</v>
      </c>
      <c r="B50" s="21" t="s">
        <v>63</v>
      </c>
      <c r="C50" s="21" t="s">
        <v>81</v>
      </c>
      <c r="D50" s="21" t="s">
        <v>89</v>
      </c>
      <c r="E50" s="21" t="s">
        <v>93</v>
      </c>
      <c r="F50" s="21" t="s">
        <v>241</v>
      </c>
      <c r="G50" s="21"/>
      <c r="H50" s="21" t="s">
        <v>223</v>
      </c>
      <c r="I50" s="21"/>
      <c r="J50" s="22" t="n">
        <v>1</v>
      </c>
      <c r="K50" s="22" t="n">
        <v>1</v>
      </c>
      <c r="L50" s="22" t="n">
        <v>0</v>
      </c>
      <c r="M50" s="21" t="s">
        <v>245</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t="s">
        <v>259</v>
      </c>
      <c r="B51" s="21" t="s">
        <v>63</v>
      </c>
      <c r="C51" s="21" t="s">
        <v>81</v>
      </c>
      <c r="D51" s="21" t="s">
        <v>89</v>
      </c>
      <c r="E51" s="21" t="s">
        <v>93</v>
      </c>
      <c r="F51" s="21" t="s">
        <v>260</v>
      </c>
      <c r="G51" s="21"/>
      <c r="H51" s="21" t="s">
        <v>223</v>
      </c>
      <c r="I51" s="21"/>
      <c r="J51" s="22" t="n">
        <v>1</v>
      </c>
      <c r="K51" s="22" t="n">
        <v>1</v>
      </c>
      <c r="L51" s="22" t="n">
        <v>0</v>
      </c>
      <c r="M51" s="21" t="s">
        <v>212</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259</v>
      </c>
      <c r="B52" s="21" t="s">
        <v>63</v>
      </c>
      <c r="C52" s="21" t="s">
        <v>81</v>
      </c>
      <c r="D52" s="21" t="s">
        <v>89</v>
      </c>
      <c r="E52" s="21" t="s">
        <v>93</v>
      </c>
      <c r="F52" s="21" t="s">
        <v>261</v>
      </c>
      <c r="G52" s="21"/>
      <c r="H52" s="21" t="s">
        <v>223</v>
      </c>
      <c r="I52" s="21"/>
      <c r="J52" s="22" t="n">
        <v>1</v>
      </c>
      <c r="K52" s="22" t="n">
        <v>1</v>
      </c>
      <c r="L52" s="22" t="n">
        <v>0</v>
      </c>
      <c r="M52" s="21" t="s">
        <v>212</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c r="B53" s="21" t="s">
        <v>63</v>
      </c>
      <c r="C53" s="21" t="s">
        <v>81</v>
      </c>
      <c r="D53" s="21" t="s">
        <v>89</v>
      </c>
      <c r="E53" s="21" t="s">
        <v>93</v>
      </c>
      <c r="F53" s="21" t="s">
        <v>243</v>
      </c>
      <c r="G53" s="21"/>
      <c r="H53" s="21" t="s">
        <v>223</v>
      </c>
      <c r="I53" s="21"/>
      <c r="J53" s="22" t="n">
        <v>3</v>
      </c>
      <c r="K53" s="22" t="n">
        <v>3</v>
      </c>
      <c r="L53" s="22" t="n">
        <v>0</v>
      </c>
      <c r="M53" s="21" t="s">
        <v>212</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t="s">
        <v>262</v>
      </c>
      <c r="B54" s="21" t="s">
        <v>63</v>
      </c>
      <c r="C54" s="21" t="s">
        <v>81</v>
      </c>
      <c r="D54" s="21" t="s">
        <v>89</v>
      </c>
      <c r="E54" s="21" t="s">
        <v>93</v>
      </c>
      <c r="F54" s="21" t="s">
        <v>253</v>
      </c>
      <c r="G54" s="21"/>
      <c r="H54" s="21" t="s">
        <v>223</v>
      </c>
      <c r="I54" s="21"/>
      <c r="J54" s="22" t="n">
        <v>1</v>
      </c>
      <c r="K54" s="22" t="n">
        <v>1</v>
      </c>
      <c r="L54" s="22" t="n">
        <v>0</v>
      </c>
      <c r="M54" s="21" t="s">
        <v>212</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263</v>
      </c>
      <c r="B55" s="21" t="s">
        <v>63</v>
      </c>
      <c r="C55" s="21" t="s">
        <v>81</v>
      </c>
      <c r="D55" s="21" t="s">
        <v>89</v>
      </c>
      <c r="E55" s="21" t="s">
        <v>93</v>
      </c>
      <c r="F55" s="21" t="s">
        <v>247</v>
      </c>
      <c r="G55" s="21"/>
      <c r="H55" s="21" t="s">
        <v>223</v>
      </c>
      <c r="I55" s="21"/>
      <c r="J55" s="22" t="n">
        <v>1</v>
      </c>
      <c r="K55" s="22" t="n">
        <v>0</v>
      </c>
      <c r="L55" s="22" t="n">
        <v>1</v>
      </c>
      <c r="M55" s="21" t="s">
        <v>212</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264</v>
      </c>
      <c r="B56" s="21" t="s">
        <v>63</v>
      </c>
      <c r="C56" s="21" t="s">
        <v>81</v>
      </c>
      <c r="D56" s="21" t="s">
        <v>89</v>
      </c>
      <c r="E56" s="21" t="s">
        <v>93</v>
      </c>
      <c r="F56" s="21" t="s">
        <v>249</v>
      </c>
      <c r="G56" s="21"/>
      <c r="H56" s="21" t="s">
        <v>220</v>
      </c>
      <c r="I56" s="21"/>
      <c r="J56" s="22" t="n">
        <v>1</v>
      </c>
      <c r="K56" s="22" t="n">
        <v>1</v>
      </c>
      <c r="L56" s="22" t="n">
        <v>0</v>
      </c>
      <c r="M56" s="21" t="s">
        <v>212</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234</v>
      </c>
      <c r="B57" s="21" t="s">
        <v>63</v>
      </c>
      <c r="C57" s="21" t="s">
        <v>95</v>
      </c>
      <c r="D57" s="21"/>
      <c r="E57" s="21"/>
      <c r="F57" s="21" t="s">
        <v>265</v>
      </c>
      <c r="G57" s="21"/>
      <c r="H57" s="21" t="s">
        <v>215</v>
      </c>
      <c r="I57" s="21"/>
      <c r="J57" s="22" t="n">
        <v>1</v>
      </c>
      <c r="K57" s="22" t="n">
        <v>1</v>
      </c>
      <c r="L57" s="22" t="n">
        <v>0</v>
      </c>
      <c r="M57" s="21" t="s">
        <v>212</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266</v>
      </c>
      <c r="B58" s="21" t="s">
        <v>63</v>
      </c>
      <c r="C58" s="21" t="s">
        <v>95</v>
      </c>
      <c r="D58" s="21" t="s">
        <v>97</v>
      </c>
      <c r="E58" s="21"/>
      <c r="F58" s="21" t="s">
        <v>267</v>
      </c>
      <c r="G58" s="21"/>
      <c r="H58" s="21" t="s">
        <v>220</v>
      </c>
      <c r="I58" s="21"/>
      <c r="J58" s="22" t="n">
        <v>1</v>
      </c>
      <c r="K58" s="22" t="n">
        <v>1</v>
      </c>
      <c r="L58" s="22" t="n">
        <v>0</v>
      </c>
      <c r="M58" s="21" t="s">
        <v>212</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c r="B59" s="21" t="s">
        <v>63</v>
      </c>
      <c r="C59" s="21" t="s">
        <v>95</v>
      </c>
      <c r="D59" s="21" t="s">
        <v>97</v>
      </c>
      <c r="E59" s="21" t="s">
        <v>99</v>
      </c>
      <c r="F59" s="21" t="s">
        <v>268</v>
      </c>
      <c r="G59" s="21"/>
      <c r="H59" s="21" t="s">
        <v>223</v>
      </c>
      <c r="I59" s="21"/>
      <c r="J59" s="22" t="n">
        <v>2</v>
      </c>
      <c r="K59" s="22" t="n">
        <v>2</v>
      </c>
      <c r="L59" s="22" t="n">
        <v>0</v>
      </c>
      <c r="M59" s="21" t="s">
        <v>212</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c r="B60" s="21" t="s">
        <v>63</v>
      </c>
      <c r="C60" s="21" t="s">
        <v>95</v>
      </c>
      <c r="D60" s="21" t="s">
        <v>97</v>
      </c>
      <c r="E60" s="21" t="s">
        <v>99</v>
      </c>
      <c r="F60" s="21" t="s">
        <v>269</v>
      </c>
      <c r="G60" s="21"/>
      <c r="H60" s="21" t="s">
        <v>223</v>
      </c>
      <c r="I60" s="21"/>
      <c r="J60" s="22" t="n">
        <v>2</v>
      </c>
      <c r="K60" s="22" t="n">
        <v>2</v>
      </c>
      <c r="L60" s="22" t="n">
        <v>0</v>
      </c>
      <c r="M60" s="21" t="s">
        <v>212</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c r="B61" s="21" t="s">
        <v>63</v>
      </c>
      <c r="C61" s="21" t="s">
        <v>95</v>
      </c>
      <c r="D61" s="21" t="s">
        <v>97</v>
      </c>
      <c r="E61" s="21" t="s">
        <v>99</v>
      </c>
      <c r="F61" s="21" t="s">
        <v>270</v>
      </c>
      <c r="G61" s="21"/>
      <c r="H61" s="21" t="s">
        <v>223</v>
      </c>
      <c r="I61" s="21"/>
      <c r="J61" s="22" t="n">
        <v>3</v>
      </c>
      <c r="K61" s="22" t="n">
        <v>3</v>
      </c>
      <c r="L61" s="22" t="n">
        <v>0</v>
      </c>
      <c r="M61" s="21" t="s">
        <v>212</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t="s">
        <v>271</v>
      </c>
      <c r="B62" s="21" t="s">
        <v>63</v>
      </c>
      <c r="C62" s="21" t="s">
        <v>95</v>
      </c>
      <c r="D62" s="21" t="s">
        <v>97</v>
      </c>
      <c r="E62" s="21" t="s">
        <v>99</v>
      </c>
      <c r="F62" s="21" t="s">
        <v>272</v>
      </c>
      <c r="G62" s="21"/>
      <c r="H62" s="21" t="s">
        <v>223</v>
      </c>
      <c r="I62" s="21"/>
      <c r="J62" s="22" t="n">
        <v>1</v>
      </c>
      <c r="K62" s="22" t="n">
        <v>1</v>
      </c>
      <c r="L62" s="22" t="n">
        <v>0</v>
      </c>
      <c r="M62" s="21" t="s">
        <v>212</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235</v>
      </c>
      <c r="B63" s="21" t="s">
        <v>63</v>
      </c>
      <c r="C63" s="21" t="s">
        <v>95</v>
      </c>
      <c r="D63" s="21" t="s">
        <v>97</v>
      </c>
      <c r="E63" s="21" t="s">
        <v>99</v>
      </c>
      <c r="F63" s="21" t="s">
        <v>273</v>
      </c>
      <c r="G63" s="21"/>
      <c r="H63" s="21" t="s">
        <v>220</v>
      </c>
      <c r="I63" s="21"/>
      <c r="J63" s="22" t="n">
        <v>1</v>
      </c>
      <c r="K63" s="22" t="n">
        <v>1</v>
      </c>
      <c r="L63" s="22" t="n">
        <v>0</v>
      </c>
      <c r="M63" s="21" t="s">
        <v>212</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t="s">
        <v>254</v>
      </c>
      <c r="B64" s="21" t="s">
        <v>63</v>
      </c>
      <c r="C64" s="21" t="s">
        <v>95</v>
      </c>
      <c r="D64" s="21" t="s">
        <v>97</v>
      </c>
      <c r="E64" s="21" t="s">
        <v>101</v>
      </c>
      <c r="F64" s="21" t="s">
        <v>268</v>
      </c>
      <c r="G64" s="21"/>
      <c r="H64" s="21" t="s">
        <v>223</v>
      </c>
      <c r="I64" s="21"/>
      <c r="J64" s="22" t="n">
        <v>1</v>
      </c>
      <c r="K64" s="22" t="n">
        <v>1</v>
      </c>
      <c r="L64" s="22" t="n">
        <v>0</v>
      </c>
      <c r="M64" s="21" t="s">
        <v>212</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274</v>
      </c>
      <c r="B65" s="21" t="s">
        <v>63</v>
      </c>
      <c r="C65" s="21" t="s">
        <v>95</v>
      </c>
      <c r="D65" s="21" t="s">
        <v>97</v>
      </c>
      <c r="E65" s="21" t="s">
        <v>101</v>
      </c>
      <c r="F65" s="21" t="s">
        <v>275</v>
      </c>
      <c r="G65" s="21"/>
      <c r="H65" s="21" t="s">
        <v>223</v>
      </c>
      <c r="I65" s="21"/>
      <c r="J65" s="22" t="n">
        <v>1</v>
      </c>
      <c r="K65" s="22" t="n">
        <v>1</v>
      </c>
      <c r="L65" s="22" t="n">
        <v>0</v>
      </c>
      <c r="M65" s="21" t="s">
        <v>212</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t="s">
        <v>276</v>
      </c>
      <c r="B66" s="21" t="s">
        <v>63</v>
      </c>
      <c r="C66" s="21" t="s">
        <v>95</v>
      </c>
      <c r="D66" s="21" t="s">
        <v>97</v>
      </c>
      <c r="E66" s="21" t="s">
        <v>101</v>
      </c>
      <c r="F66" s="21" t="s">
        <v>269</v>
      </c>
      <c r="G66" s="21"/>
      <c r="H66" s="21" t="s">
        <v>223</v>
      </c>
      <c r="I66" s="21"/>
      <c r="J66" s="22" t="n">
        <v>1</v>
      </c>
      <c r="K66" s="22" t="n">
        <v>1</v>
      </c>
      <c r="L66" s="22" t="n">
        <v>0</v>
      </c>
      <c r="M66" s="21" t="s">
        <v>212</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t="s">
        <v>277</v>
      </c>
      <c r="B67" s="21" t="s">
        <v>63</v>
      </c>
      <c r="C67" s="21" t="s">
        <v>95</v>
      </c>
      <c r="D67" s="21" t="s">
        <v>97</v>
      </c>
      <c r="E67" s="21" t="s">
        <v>101</v>
      </c>
      <c r="F67" s="21" t="s">
        <v>270</v>
      </c>
      <c r="G67" s="21"/>
      <c r="H67" s="21" t="s">
        <v>223</v>
      </c>
      <c r="I67" s="21"/>
      <c r="J67" s="22" t="n">
        <v>1</v>
      </c>
      <c r="K67" s="22" t="n">
        <v>1</v>
      </c>
      <c r="L67" s="22" t="n">
        <v>0</v>
      </c>
      <c r="M67" s="21" t="s">
        <v>212</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248</v>
      </c>
      <c r="B68" s="21" t="s">
        <v>63</v>
      </c>
      <c r="C68" s="21" t="s">
        <v>95</v>
      </c>
      <c r="D68" s="21" t="s">
        <v>97</v>
      </c>
      <c r="E68" s="21" t="s">
        <v>101</v>
      </c>
      <c r="F68" s="21" t="s">
        <v>278</v>
      </c>
      <c r="G68" s="21"/>
      <c r="H68" s="21" t="s">
        <v>223</v>
      </c>
      <c r="I68" s="21"/>
      <c r="J68" s="22" t="n">
        <v>1</v>
      </c>
      <c r="K68" s="22" t="n">
        <v>0</v>
      </c>
      <c r="L68" s="22" t="n">
        <v>1</v>
      </c>
      <c r="M68" s="21" t="s">
        <v>212</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t="s">
        <v>271</v>
      </c>
      <c r="B69" s="21" t="s">
        <v>63</v>
      </c>
      <c r="C69" s="21" t="s">
        <v>95</v>
      </c>
      <c r="D69" s="21" t="s">
        <v>97</v>
      </c>
      <c r="E69" s="21" t="s">
        <v>101</v>
      </c>
      <c r="F69" s="21" t="s">
        <v>272</v>
      </c>
      <c r="G69" s="21"/>
      <c r="H69" s="21" t="s">
        <v>223</v>
      </c>
      <c r="I69" s="21"/>
      <c r="J69" s="22" t="n">
        <v>1</v>
      </c>
      <c r="K69" s="22" t="n">
        <v>1</v>
      </c>
      <c r="L69" s="22" t="n">
        <v>0</v>
      </c>
      <c r="M69" s="21" t="s">
        <v>212</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t="s">
        <v>279</v>
      </c>
      <c r="B70" s="21" t="s">
        <v>63</v>
      </c>
      <c r="C70" s="21" t="s">
        <v>95</v>
      </c>
      <c r="D70" s="21" t="s">
        <v>97</v>
      </c>
      <c r="E70" s="21" t="s">
        <v>101</v>
      </c>
      <c r="F70" s="21" t="s">
        <v>273</v>
      </c>
      <c r="G70" s="21"/>
      <c r="H70" s="21" t="s">
        <v>220</v>
      </c>
      <c r="I70" s="21"/>
      <c r="J70" s="22" t="n">
        <v>1</v>
      </c>
      <c r="K70" s="22" t="n">
        <v>1</v>
      </c>
      <c r="L70" s="22" t="n">
        <v>0</v>
      </c>
      <c r="M70" s="21" t="s">
        <v>212</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257</v>
      </c>
      <c r="B71" s="21" t="s">
        <v>63</v>
      </c>
      <c r="C71" s="21" t="s">
        <v>95</v>
      </c>
      <c r="D71" s="21" t="s">
        <v>103</v>
      </c>
      <c r="E71" s="21"/>
      <c r="F71" s="21" t="s">
        <v>267</v>
      </c>
      <c r="G71" s="21"/>
      <c r="H71" s="21" t="s">
        <v>220</v>
      </c>
      <c r="I71" s="21"/>
      <c r="J71" s="22" t="n">
        <v>1</v>
      </c>
      <c r="K71" s="22" t="n">
        <v>1</v>
      </c>
      <c r="L71" s="22" t="n">
        <v>0</v>
      </c>
      <c r="M71" s="21" t="s">
        <v>212</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t="s">
        <v>280</v>
      </c>
      <c r="B72" s="21" t="s">
        <v>63</v>
      </c>
      <c r="C72" s="21" t="s">
        <v>95</v>
      </c>
      <c r="D72" s="21" t="s">
        <v>103</v>
      </c>
      <c r="E72" s="21" t="s">
        <v>105</v>
      </c>
      <c r="F72" s="21" t="s">
        <v>268</v>
      </c>
      <c r="G72" s="21"/>
      <c r="H72" s="21" t="s">
        <v>223</v>
      </c>
      <c r="I72" s="21"/>
      <c r="J72" s="22" t="n">
        <v>1</v>
      </c>
      <c r="K72" s="22" t="n">
        <v>1</v>
      </c>
      <c r="L72" s="22" t="n">
        <v>0</v>
      </c>
      <c r="M72" s="21" t="s">
        <v>212</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t="s">
        <v>209</v>
      </c>
      <c r="B73" s="21" t="s">
        <v>63</v>
      </c>
      <c r="C73" s="21" t="s">
        <v>95</v>
      </c>
      <c r="D73" s="21" t="s">
        <v>103</v>
      </c>
      <c r="E73" s="21" t="s">
        <v>105</v>
      </c>
      <c r="F73" s="21" t="s">
        <v>275</v>
      </c>
      <c r="G73" s="21"/>
      <c r="H73" s="21" t="s">
        <v>223</v>
      </c>
      <c r="I73" s="21"/>
      <c r="J73" s="22" t="n">
        <v>1</v>
      </c>
      <c r="K73" s="22" t="n">
        <v>1</v>
      </c>
      <c r="L73" s="22" t="n">
        <v>0</v>
      </c>
      <c r="M73" s="21" t="s">
        <v>212</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c r="B74" s="21" t="s">
        <v>63</v>
      </c>
      <c r="C74" s="21" t="s">
        <v>95</v>
      </c>
      <c r="D74" s="21" t="s">
        <v>103</v>
      </c>
      <c r="E74" s="21" t="s">
        <v>105</v>
      </c>
      <c r="F74" s="21" t="s">
        <v>270</v>
      </c>
      <c r="G74" s="21"/>
      <c r="H74" s="21" t="s">
        <v>223</v>
      </c>
      <c r="I74" s="21"/>
      <c r="J74" s="22" t="n">
        <v>2</v>
      </c>
      <c r="K74" s="22" t="n">
        <v>2</v>
      </c>
      <c r="L74" s="22" t="n">
        <v>0</v>
      </c>
      <c r="M74" s="21" t="s">
        <v>212</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t="s">
        <v>251</v>
      </c>
      <c r="B75" s="21" t="s">
        <v>63</v>
      </c>
      <c r="C75" s="21" t="s">
        <v>95</v>
      </c>
      <c r="D75" s="21" t="s">
        <v>103</v>
      </c>
      <c r="E75" s="21" t="s">
        <v>105</v>
      </c>
      <c r="F75" s="21" t="s">
        <v>278</v>
      </c>
      <c r="G75" s="21"/>
      <c r="H75" s="21" t="s">
        <v>223</v>
      </c>
      <c r="I75" s="21"/>
      <c r="J75" s="22" t="n">
        <v>1</v>
      </c>
      <c r="K75" s="22" t="n">
        <v>1</v>
      </c>
      <c r="L75" s="22" t="n">
        <v>0</v>
      </c>
      <c r="M75" s="21" t="s">
        <v>212</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276</v>
      </c>
      <c r="B76" s="21" t="s">
        <v>63</v>
      </c>
      <c r="C76" s="21" t="s">
        <v>95</v>
      </c>
      <c r="D76" s="21" t="s">
        <v>103</v>
      </c>
      <c r="E76" s="21" t="s">
        <v>105</v>
      </c>
      <c r="F76" s="21" t="s">
        <v>272</v>
      </c>
      <c r="G76" s="21"/>
      <c r="H76" s="21" t="s">
        <v>223</v>
      </c>
      <c r="I76" s="21"/>
      <c r="J76" s="22" t="n">
        <v>1</v>
      </c>
      <c r="K76" s="22" t="n">
        <v>1</v>
      </c>
      <c r="L76" s="22" t="n">
        <v>0</v>
      </c>
      <c r="M76" s="21" t="s">
        <v>212</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209</v>
      </c>
      <c r="B77" s="21" t="s">
        <v>63</v>
      </c>
      <c r="C77" s="21" t="s">
        <v>95</v>
      </c>
      <c r="D77" s="21" t="s">
        <v>103</v>
      </c>
      <c r="E77" s="21" t="s">
        <v>105</v>
      </c>
      <c r="F77" s="21" t="s">
        <v>273</v>
      </c>
      <c r="G77" s="21"/>
      <c r="H77" s="21" t="s">
        <v>220</v>
      </c>
      <c r="I77" s="21"/>
      <c r="J77" s="22" t="n">
        <v>1</v>
      </c>
      <c r="K77" s="22" t="n">
        <v>1</v>
      </c>
      <c r="L77" s="22" t="n">
        <v>0</v>
      </c>
      <c r="M77" s="21" t="s">
        <v>212</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t="s">
        <v>281</v>
      </c>
      <c r="B78" s="21" t="s">
        <v>63</v>
      </c>
      <c r="C78" s="21" t="s">
        <v>95</v>
      </c>
      <c r="D78" s="21" t="s">
        <v>103</v>
      </c>
      <c r="E78" s="21" t="s">
        <v>107</v>
      </c>
      <c r="F78" s="21" t="s">
        <v>268</v>
      </c>
      <c r="G78" s="21"/>
      <c r="H78" s="21" t="s">
        <v>223</v>
      </c>
      <c r="I78" s="21"/>
      <c r="J78" s="22" t="n">
        <v>1</v>
      </c>
      <c r="K78" s="22" t="n">
        <v>1</v>
      </c>
      <c r="L78" s="22" t="n">
        <v>0</v>
      </c>
      <c r="M78" s="21" t="s">
        <v>212</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t="s">
        <v>233</v>
      </c>
      <c r="B79" s="21" t="s">
        <v>63</v>
      </c>
      <c r="C79" s="21" t="s">
        <v>95</v>
      </c>
      <c r="D79" s="21" t="s">
        <v>103</v>
      </c>
      <c r="E79" s="21" t="s">
        <v>107</v>
      </c>
      <c r="F79" s="21" t="s">
        <v>275</v>
      </c>
      <c r="G79" s="21"/>
      <c r="H79" s="21" t="s">
        <v>223</v>
      </c>
      <c r="I79" s="21"/>
      <c r="J79" s="22" t="n">
        <v>1</v>
      </c>
      <c r="K79" s="22" t="n">
        <v>1</v>
      </c>
      <c r="L79" s="22" t="n">
        <v>0</v>
      </c>
      <c r="M79" s="21" t="s">
        <v>212</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282</v>
      </c>
      <c r="B80" s="21" t="s">
        <v>63</v>
      </c>
      <c r="C80" s="21" t="s">
        <v>95</v>
      </c>
      <c r="D80" s="21" t="s">
        <v>103</v>
      </c>
      <c r="E80" s="21" t="s">
        <v>107</v>
      </c>
      <c r="F80" s="21" t="s">
        <v>269</v>
      </c>
      <c r="G80" s="21"/>
      <c r="H80" s="21" t="s">
        <v>223</v>
      </c>
      <c r="I80" s="21"/>
      <c r="J80" s="22" t="n">
        <v>1</v>
      </c>
      <c r="K80" s="22" t="n">
        <v>1</v>
      </c>
      <c r="L80" s="22" t="n">
        <v>0</v>
      </c>
      <c r="M80" s="21" t="s">
        <v>212</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c r="B81" s="21" t="s">
        <v>63</v>
      </c>
      <c r="C81" s="21" t="s">
        <v>95</v>
      </c>
      <c r="D81" s="21" t="s">
        <v>103</v>
      </c>
      <c r="E81" s="21" t="s">
        <v>107</v>
      </c>
      <c r="F81" s="21" t="s">
        <v>278</v>
      </c>
      <c r="G81" s="21"/>
      <c r="H81" s="21" t="s">
        <v>223</v>
      </c>
      <c r="I81" s="21"/>
      <c r="J81" s="22" t="n">
        <v>2</v>
      </c>
      <c r="K81" s="22" t="n">
        <v>2</v>
      </c>
      <c r="L81" s="22" t="n">
        <v>0</v>
      </c>
      <c r="M81" s="21" t="s">
        <v>212</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283</v>
      </c>
      <c r="B82" s="21" t="s">
        <v>63</v>
      </c>
      <c r="C82" s="21" t="s">
        <v>95</v>
      </c>
      <c r="D82" s="21" t="s">
        <v>103</v>
      </c>
      <c r="E82" s="21" t="s">
        <v>107</v>
      </c>
      <c r="F82" s="21" t="s">
        <v>273</v>
      </c>
      <c r="G82" s="21"/>
      <c r="H82" s="21" t="s">
        <v>220</v>
      </c>
      <c r="I82" s="21"/>
      <c r="J82" s="22" t="n">
        <v>1</v>
      </c>
      <c r="K82" s="22" t="n">
        <v>1</v>
      </c>
      <c r="L82" s="22" t="n">
        <v>0</v>
      </c>
      <c r="M82" s="21" t="s">
        <v>212</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282</v>
      </c>
      <c r="B83" s="21" t="s">
        <v>109</v>
      </c>
      <c r="C83" s="21"/>
      <c r="D83" s="21"/>
      <c r="E83" s="21"/>
      <c r="F83" s="21" t="s">
        <v>284</v>
      </c>
      <c r="G83" s="21"/>
      <c r="H83" s="21" t="s">
        <v>215</v>
      </c>
      <c r="I83" s="21"/>
      <c r="J83" s="22" t="n">
        <v>1</v>
      </c>
      <c r="K83" s="22" t="n">
        <v>1</v>
      </c>
      <c r="L83" s="22" t="n">
        <v>0</v>
      </c>
      <c r="M83" s="21" t="s">
        <v>212</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279</v>
      </c>
      <c r="B84" s="21" t="s">
        <v>109</v>
      </c>
      <c r="C84" s="21" t="s">
        <v>111</v>
      </c>
      <c r="D84" s="21"/>
      <c r="E84" s="21"/>
      <c r="F84" s="21" t="s">
        <v>285</v>
      </c>
      <c r="G84" s="21"/>
      <c r="H84" s="21" t="s">
        <v>215</v>
      </c>
      <c r="I84" s="21"/>
      <c r="J84" s="22" t="n">
        <v>1</v>
      </c>
      <c r="K84" s="22" t="n">
        <v>1</v>
      </c>
      <c r="L84" s="22" t="n">
        <v>0</v>
      </c>
      <c r="M84" s="21" t="s">
        <v>212</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t="s">
        <v>286</v>
      </c>
      <c r="B85" s="21" t="s">
        <v>109</v>
      </c>
      <c r="C85" s="21" t="s">
        <v>111</v>
      </c>
      <c r="D85" s="21" t="s">
        <v>113</v>
      </c>
      <c r="E85" s="21"/>
      <c r="F85" s="21" t="s">
        <v>287</v>
      </c>
      <c r="G85" s="21"/>
      <c r="H85" s="21" t="s">
        <v>220</v>
      </c>
      <c r="I85" s="21"/>
      <c r="J85" s="22" t="n">
        <v>1</v>
      </c>
      <c r="K85" s="22" t="n">
        <v>0</v>
      </c>
      <c r="L85" s="22" t="n">
        <v>1</v>
      </c>
      <c r="M85" s="21" t="s">
        <v>212</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t="s">
        <v>288</v>
      </c>
      <c r="B86" s="21" t="s">
        <v>109</v>
      </c>
      <c r="C86" s="21" t="s">
        <v>111</v>
      </c>
      <c r="D86" s="21" t="s">
        <v>113</v>
      </c>
      <c r="E86" s="21" t="s">
        <v>115</v>
      </c>
      <c r="F86" s="21" t="s">
        <v>289</v>
      </c>
      <c r="G86" s="21"/>
      <c r="H86" s="21" t="s">
        <v>223</v>
      </c>
      <c r="I86" s="21"/>
      <c r="J86" s="22" t="n">
        <v>1</v>
      </c>
      <c r="K86" s="22" t="n">
        <v>1</v>
      </c>
      <c r="L86" s="22" t="n">
        <v>0</v>
      </c>
      <c r="M86" s="21" t="s">
        <v>212</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c r="B87" s="21" t="s">
        <v>109</v>
      </c>
      <c r="C87" s="21" t="s">
        <v>111</v>
      </c>
      <c r="D87" s="21" t="s">
        <v>113</v>
      </c>
      <c r="E87" s="21" t="s">
        <v>115</v>
      </c>
      <c r="F87" s="21" t="s">
        <v>290</v>
      </c>
      <c r="G87" s="21"/>
      <c r="H87" s="21" t="s">
        <v>223</v>
      </c>
      <c r="I87" s="21"/>
      <c r="J87" s="22" t="n">
        <v>2</v>
      </c>
      <c r="K87" s="22" t="n">
        <v>1</v>
      </c>
      <c r="L87" s="22" t="n">
        <v>1</v>
      </c>
      <c r="M87" s="21" t="s">
        <v>212</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c r="B88" s="21" t="s">
        <v>109</v>
      </c>
      <c r="C88" s="21" t="s">
        <v>111</v>
      </c>
      <c r="D88" s="21" t="s">
        <v>113</v>
      </c>
      <c r="E88" s="21" t="s">
        <v>115</v>
      </c>
      <c r="F88" s="21" t="s">
        <v>291</v>
      </c>
      <c r="G88" s="21"/>
      <c r="H88" s="21" t="s">
        <v>223</v>
      </c>
      <c r="I88" s="21"/>
      <c r="J88" s="22" t="n">
        <v>2</v>
      </c>
      <c r="K88" s="22" t="n">
        <v>1</v>
      </c>
      <c r="L88" s="22" t="n">
        <v>1</v>
      </c>
      <c r="M88" s="21" t="s">
        <v>212</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t="s">
        <v>234</v>
      </c>
      <c r="B89" s="21" t="s">
        <v>109</v>
      </c>
      <c r="C89" s="21" t="s">
        <v>111</v>
      </c>
      <c r="D89" s="21" t="s">
        <v>113</v>
      </c>
      <c r="E89" s="21" t="s">
        <v>115</v>
      </c>
      <c r="F89" s="21" t="s">
        <v>292</v>
      </c>
      <c r="G89" s="21"/>
      <c r="H89" s="21" t="s">
        <v>220</v>
      </c>
      <c r="I89" s="21"/>
      <c r="J89" s="22" t="n">
        <v>1</v>
      </c>
      <c r="K89" s="22" t="n">
        <v>1</v>
      </c>
      <c r="L89" s="22" t="n">
        <v>0</v>
      </c>
      <c r="M89" s="21" t="s">
        <v>212</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c r="B90" s="21" t="s">
        <v>109</v>
      </c>
      <c r="C90" s="21" t="s">
        <v>111</v>
      </c>
      <c r="D90" s="21" t="s">
        <v>113</v>
      </c>
      <c r="E90" s="21" t="s">
        <v>117</v>
      </c>
      <c r="F90" s="21" t="s">
        <v>293</v>
      </c>
      <c r="G90" s="21"/>
      <c r="H90" s="21" t="s">
        <v>223</v>
      </c>
      <c r="I90" s="21"/>
      <c r="J90" s="22" t="n">
        <v>2</v>
      </c>
      <c r="K90" s="22" t="n">
        <v>2</v>
      </c>
      <c r="L90" s="22" t="n">
        <v>0</v>
      </c>
      <c r="M90" s="21" t="s">
        <v>212</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c r="B91" s="21" t="s">
        <v>109</v>
      </c>
      <c r="C91" s="21" t="s">
        <v>111</v>
      </c>
      <c r="D91" s="21" t="s">
        <v>113</v>
      </c>
      <c r="E91" s="21" t="s">
        <v>117</v>
      </c>
      <c r="F91" s="21" t="s">
        <v>290</v>
      </c>
      <c r="G91" s="21"/>
      <c r="H91" s="21" t="s">
        <v>223</v>
      </c>
      <c r="I91" s="21"/>
      <c r="J91" s="22" t="n">
        <v>4</v>
      </c>
      <c r="K91" s="22" t="n">
        <v>4</v>
      </c>
      <c r="L91" s="22" t="n">
        <v>0</v>
      </c>
      <c r="M91" s="21" t="s">
        <v>212</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c r="B92" s="21" t="s">
        <v>109</v>
      </c>
      <c r="C92" s="21" t="s">
        <v>111</v>
      </c>
      <c r="D92" s="21" t="s">
        <v>113</v>
      </c>
      <c r="E92" s="21" t="s">
        <v>117</v>
      </c>
      <c r="F92" s="21" t="s">
        <v>294</v>
      </c>
      <c r="G92" s="21"/>
      <c r="H92" s="21" t="s">
        <v>223</v>
      </c>
      <c r="I92" s="21"/>
      <c r="J92" s="22" t="n">
        <v>3</v>
      </c>
      <c r="K92" s="22" t="n">
        <v>3</v>
      </c>
      <c r="L92" s="22" t="n">
        <v>0</v>
      </c>
      <c r="M92" s="21" t="s">
        <v>212</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264</v>
      </c>
      <c r="B93" s="21" t="s">
        <v>109</v>
      </c>
      <c r="C93" s="21" t="s">
        <v>111</v>
      </c>
      <c r="D93" s="21" t="s">
        <v>113</v>
      </c>
      <c r="E93" s="21" t="s">
        <v>117</v>
      </c>
      <c r="F93" s="21" t="s">
        <v>292</v>
      </c>
      <c r="G93" s="21"/>
      <c r="H93" s="21" t="s">
        <v>220</v>
      </c>
      <c r="I93" s="21"/>
      <c r="J93" s="22" t="n">
        <v>1</v>
      </c>
      <c r="K93" s="22" t="n">
        <v>1</v>
      </c>
      <c r="L93" s="22" t="n">
        <v>0</v>
      </c>
      <c r="M93" s="21" t="s">
        <v>212</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226</v>
      </c>
      <c r="B94" s="21" t="s">
        <v>109</v>
      </c>
      <c r="C94" s="21" t="s">
        <v>111</v>
      </c>
      <c r="D94" s="21" t="s">
        <v>119</v>
      </c>
      <c r="E94" s="21"/>
      <c r="F94" s="21" t="s">
        <v>287</v>
      </c>
      <c r="G94" s="21"/>
      <c r="H94" s="21" t="s">
        <v>220</v>
      </c>
      <c r="I94" s="21"/>
      <c r="J94" s="22" t="n">
        <v>1</v>
      </c>
      <c r="K94" s="22" t="n">
        <v>1</v>
      </c>
      <c r="L94" s="22" t="n">
        <v>0</v>
      </c>
      <c r="M94" s="21" t="s">
        <v>212</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282</v>
      </c>
      <c r="B95" s="21" t="s">
        <v>109</v>
      </c>
      <c r="C95" s="21" t="s">
        <v>111</v>
      </c>
      <c r="D95" s="21" t="s">
        <v>119</v>
      </c>
      <c r="E95" s="21" t="s">
        <v>121</v>
      </c>
      <c r="F95" s="21" t="s">
        <v>289</v>
      </c>
      <c r="G95" s="21"/>
      <c r="H95" s="21" t="s">
        <v>223</v>
      </c>
      <c r="I95" s="21"/>
      <c r="J95" s="22" t="n">
        <v>1</v>
      </c>
      <c r="K95" s="22" t="n">
        <v>0</v>
      </c>
      <c r="L95" s="22" t="n">
        <v>1</v>
      </c>
      <c r="M95" s="21" t="s">
        <v>212</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c r="B96" s="21" t="s">
        <v>109</v>
      </c>
      <c r="C96" s="21" t="s">
        <v>111</v>
      </c>
      <c r="D96" s="21" t="s">
        <v>119</v>
      </c>
      <c r="E96" s="21" t="s">
        <v>121</v>
      </c>
      <c r="F96" s="21" t="s">
        <v>293</v>
      </c>
      <c r="G96" s="21"/>
      <c r="H96" s="21" t="s">
        <v>223</v>
      </c>
      <c r="I96" s="21"/>
      <c r="J96" s="22" t="n">
        <v>3</v>
      </c>
      <c r="K96" s="22" t="n">
        <v>2</v>
      </c>
      <c r="L96" s="22" t="n">
        <v>1</v>
      </c>
      <c r="M96" s="21" t="s">
        <v>212</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c r="B97" s="21" t="s">
        <v>109</v>
      </c>
      <c r="C97" s="21" t="s">
        <v>111</v>
      </c>
      <c r="D97" s="21" t="s">
        <v>119</v>
      </c>
      <c r="E97" s="21" t="s">
        <v>121</v>
      </c>
      <c r="F97" s="21" t="s">
        <v>290</v>
      </c>
      <c r="G97" s="21"/>
      <c r="H97" s="21" t="s">
        <v>223</v>
      </c>
      <c r="I97" s="21"/>
      <c r="J97" s="22" t="n">
        <v>3</v>
      </c>
      <c r="K97" s="22" t="n">
        <v>3</v>
      </c>
      <c r="L97" s="22" t="n">
        <v>0</v>
      </c>
      <c r="M97" s="21" t="s">
        <v>212</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295</v>
      </c>
      <c r="B98" s="21" t="s">
        <v>109</v>
      </c>
      <c r="C98" s="21" t="s">
        <v>111</v>
      </c>
      <c r="D98" s="21" t="s">
        <v>119</v>
      </c>
      <c r="E98" s="21" t="s">
        <v>121</v>
      </c>
      <c r="F98" s="21" t="s">
        <v>294</v>
      </c>
      <c r="G98" s="21"/>
      <c r="H98" s="21" t="s">
        <v>223</v>
      </c>
      <c r="I98" s="21"/>
      <c r="J98" s="22" t="n">
        <v>1</v>
      </c>
      <c r="K98" s="22" t="n">
        <v>1</v>
      </c>
      <c r="L98" s="22" t="n">
        <v>0</v>
      </c>
      <c r="M98" s="21" t="s">
        <v>212</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t="s">
        <v>296</v>
      </c>
      <c r="B99" s="21" t="s">
        <v>109</v>
      </c>
      <c r="C99" s="21" t="s">
        <v>111</v>
      </c>
      <c r="D99" s="21" t="s">
        <v>119</v>
      </c>
      <c r="E99" s="21" t="s">
        <v>121</v>
      </c>
      <c r="F99" s="21" t="s">
        <v>292</v>
      </c>
      <c r="G99" s="21"/>
      <c r="H99" s="21" t="s">
        <v>220</v>
      </c>
      <c r="I99" s="21"/>
      <c r="J99" s="22" t="n">
        <v>1</v>
      </c>
      <c r="K99" s="22" t="n">
        <v>1</v>
      </c>
      <c r="L99" s="22" t="n">
        <v>0</v>
      </c>
      <c r="M99" s="21" t="s">
        <v>212</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t="s">
        <v>263</v>
      </c>
      <c r="B100" s="21" t="s">
        <v>109</v>
      </c>
      <c r="C100" s="21" t="s">
        <v>111</v>
      </c>
      <c r="D100" s="21" t="s">
        <v>119</v>
      </c>
      <c r="E100" s="21" t="s">
        <v>123</v>
      </c>
      <c r="F100" s="21" t="s">
        <v>293</v>
      </c>
      <c r="G100" s="21"/>
      <c r="H100" s="21" t="s">
        <v>223</v>
      </c>
      <c r="I100" s="21"/>
      <c r="J100" s="22" t="n">
        <v>1</v>
      </c>
      <c r="K100" s="22" t="n">
        <v>1</v>
      </c>
      <c r="L100" s="22" t="n">
        <v>0</v>
      </c>
      <c r="M100" s="21" t="s">
        <v>212</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c r="B101" s="21" t="s">
        <v>109</v>
      </c>
      <c r="C101" s="21" t="s">
        <v>111</v>
      </c>
      <c r="D101" s="21" t="s">
        <v>119</v>
      </c>
      <c r="E101" s="21" t="s">
        <v>123</v>
      </c>
      <c r="F101" s="21" t="s">
        <v>290</v>
      </c>
      <c r="G101" s="21"/>
      <c r="H101" s="21" t="s">
        <v>223</v>
      </c>
      <c r="I101" s="21"/>
      <c r="J101" s="22" t="n">
        <v>2</v>
      </c>
      <c r="K101" s="22" t="n">
        <v>1</v>
      </c>
      <c r="L101" s="22" t="n">
        <v>1</v>
      </c>
      <c r="M101" s="21" t="s">
        <v>212</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264</v>
      </c>
      <c r="B102" s="21" t="s">
        <v>109</v>
      </c>
      <c r="C102" s="21" t="s">
        <v>111</v>
      </c>
      <c r="D102" s="21" t="s">
        <v>119</v>
      </c>
      <c r="E102" s="21" t="s">
        <v>123</v>
      </c>
      <c r="F102" s="21" t="s">
        <v>291</v>
      </c>
      <c r="G102" s="21"/>
      <c r="H102" s="21" t="s">
        <v>223</v>
      </c>
      <c r="I102" s="21"/>
      <c r="J102" s="22" t="n">
        <v>1</v>
      </c>
      <c r="K102" s="22" t="n">
        <v>1</v>
      </c>
      <c r="L102" s="22" t="n">
        <v>0</v>
      </c>
      <c r="M102" s="21" t="s">
        <v>212</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t="s">
        <v>266</v>
      </c>
      <c r="B103" s="21" t="s">
        <v>109</v>
      </c>
      <c r="C103" s="21" t="s">
        <v>111</v>
      </c>
      <c r="D103" s="21" t="s">
        <v>119</v>
      </c>
      <c r="E103" s="21" t="s">
        <v>123</v>
      </c>
      <c r="F103" s="21" t="s">
        <v>294</v>
      </c>
      <c r="G103" s="21"/>
      <c r="H103" s="21" t="s">
        <v>223</v>
      </c>
      <c r="I103" s="21"/>
      <c r="J103" s="22" t="n">
        <v>1</v>
      </c>
      <c r="K103" s="22" t="n">
        <v>1</v>
      </c>
      <c r="L103" s="22" t="n">
        <v>0</v>
      </c>
      <c r="M103" s="21" t="s">
        <v>212</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t="s">
        <v>259</v>
      </c>
      <c r="B104" s="21" t="s">
        <v>109</v>
      </c>
      <c r="C104" s="21" t="s">
        <v>111</v>
      </c>
      <c r="D104" s="21" t="s">
        <v>119</v>
      </c>
      <c r="E104" s="21" t="s">
        <v>123</v>
      </c>
      <c r="F104" s="21" t="s">
        <v>292</v>
      </c>
      <c r="G104" s="21"/>
      <c r="H104" s="21" t="s">
        <v>220</v>
      </c>
      <c r="I104" s="21"/>
      <c r="J104" s="22" t="n">
        <v>1</v>
      </c>
      <c r="K104" s="22" t="n">
        <v>1</v>
      </c>
      <c r="L104" s="22" t="n">
        <v>0</v>
      </c>
      <c r="M104" s="21" t="s">
        <v>212</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297</v>
      </c>
      <c r="B105" s="21" t="s">
        <v>109</v>
      </c>
      <c r="C105" s="21" t="s">
        <v>125</v>
      </c>
      <c r="D105" s="21"/>
      <c r="E105" s="21"/>
      <c r="F105" s="21" t="s">
        <v>298</v>
      </c>
      <c r="G105" s="21"/>
      <c r="H105" s="21" t="s">
        <v>215</v>
      </c>
      <c r="I105" s="21"/>
      <c r="J105" s="22" t="n">
        <v>1</v>
      </c>
      <c r="K105" s="22" t="n">
        <v>1</v>
      </c>
      <c r="L105" s="22" t="n">
        <v>0</v>
      </c>
      <c r="M105" s="21" t="s">
        <v>212</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t="s">
        <v>257</v>
      </c>
      <c r="B106" s="21" t="s">
        <v>109</v>
      </c>
      <c r="C106" s="21" t="s">
        <v>125</v>
      </c>
      <c r="D106" s="21" t="s">
        <v>127</v>
      </c>
      <c r="E106" s="21"/>
      <c r="F106" s="21" t="s">
        <v>299</v>
      </c>
      <c r="G106" s="21"/>
      <c r="H106" s="21" t="s">
        <v>220</v>
      </c>
      <c r="I106" s="21"/>
      <c r="J106" s="22" t="n">
        <v>1</v>
      </c>
      <c r="K106" s="22" t="n">
        <v>0</v>
      </c>
      <c r="L106" s="22" t="n">
        <v>1</v>
      </c>
      <c r="M106" s="21" t="s">
        <v>212</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238</v>
      </c>
      <c r="B107" s="21" t="s">
        <v>109</v>
      </c>
      <c r="C107" s="21" t="s">
        <v>125</v>
      </c>
      <c r="D107" s="21" t="s">
        <v>127</v>
      </c>
      <c r="E107" s="21" t="s">
        <v>129</v>
      </c>
      <c r="F107" s="21" t="s">
        <v>300</v>
      </c>
      <c r="G107" s="21"/>
      <c r="H107" s="21" t="s">
        <v>223</v>
      </c>
      <c r="I107" s="21"/>
      <c r="J107" s="22" t="n">
        <v>1</v>
      </c>
      <c r="K107" s="22" t="n">
        <v>1</v>
      </c>
      <c r="L107" s="22" t="n">
        <v>0</v>
      </c>
      <c r="M107" s="21" t="s">
        <v>245</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t="s">
        <v>282</v>
      </c>
      <c r="B108" s="21" t="s">
        <v>109</v>
      </c>
      <c r="C108" s="21" t="s">
        <v>125</v>
      </c>
      <c r="D108" s="21" t="s">
        <v>127</v>
      </c>
      <c r="E108" s="21" t="s">
        <v>129</v>
      </c>
      <c r="F108" s="21" t="s">
        <v>300</v>
      </c>
      <c r="G108" s="21"/>
      <c r="H108" s="21" t="s">
        <v>223</v>
      </c>
      <c r="I108" s="21"/>
      <c r="J108" s="22" t="n">
        <v>1</v>
      </c>
      <c r="K108" s="22" t="n">
        <v>1</v>
      </c>
      <c r="L108" s="22" t="n">
        <v>0</v>
      </c>
      <c r="M108" s="21" t="s">
        <v>212</v>
      </c>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career level, nationality mandate, capacity direction</v>
      </c>
    </row>
    <row r="109" customFormat="false" ht="15" hidden="false" customHeight="false" outlineLevel="0" collapsed="false">
      <c r="A109" s="21" t="s">
        <v>301</v>
      </c>
      <c r="B109" s="21" t="s">
        <v>109</v>
      </c>
      <c r="C109" s="21" t="s">
        <v>125</v>
      </c>
      <c r="D109" s="21" t="s">
        <v>127</v>
      </c>
      <c r="E109" s="21" t="s">
        <v>129</v>
      </c>
      <c r="F109" s="21" t="s">
        <v>302</v>
      </c>
      <c r="G109" s="21"/>
      <c r="H109" s="21" t="s">
        <v>223</v>
      </c>
      <c r="I109" s="21"/>
      <c r="J109" s="22" t="n">
        <v>1</v>
      </c>
      <c r="K109" s="22" t="n">
        <v>1</v>
      </c>
      <c r="L109" s="22" t="n">
        <v>0</v>
      </c>
      <c r="M109" s="21" t="s">
        <v>212</v>
      </c>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career level, nationality mandate, capacity direction</v>
      </c>
    </row>
    <row r="110" customFormat="false" ht="15" hidden="false" customHeight="false" outlineLevel="0" collapsed="false">
      <c r="A110" s="21" t="s">
        <v>303</v>
      </c>
      <c r="B110" s="21" t="s">
        <v>109</v>
      </c>
      <c r="C110" s="21" t="s">
        <v>125</v>
      </c>
      <c r="D110" s="21" t="s">
        <v>127</v>
      </c>
      <c r="E110" s="21" t="s">
        <v>129</v>
      </c>
      <c r="F110" s="21" t="s">
        <v>304</v>
      </c>
      <c r="G110" s="21"/>
      <c r="H110" s="21" t="s">
        <v>223</v>
      </c>
      <c r="I110" s="21"/>
      <c r="J110" s="22" t="n">
        <v>1</v>
      </c>
      <c r="K110" s="22" t="n">
        <v>0</v>
      </c>
      <c r="L110" s="22" t="n">
        <v>1</v>
      </c>
      <c r="M110" s="21" t="s">
        <v>245</v>
      </c>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career level, nationality mandate, capacity direction</v>
      </c>
    </row>
    <row r="111" customFormat="false" ht="15" hidden="false" customHeight="false" outlineLevel="0" collapsed="false">
      <c r="A111" s="21" t="s">
        <v>262</v>
      </c>
      <c r="B111" s="21" t="s">
        <v>109</v>
      </c>
      <c r="C111" s="21" t="s">
        <v>125</v>
      </c>
      <c r="D111" s="21" t="s">
        <v>127</v>
      </c>
      <c r="E111" s="21" t="s">
        <v>129</v>
      </c>
      <c r="F111" s="21" t="s">
        <v>305</v>
      </c>
      <c r="G111" s="21"/>
      <c r="H111" s="21" t="s">
        <v>223</v>
      </c>
      <c r="I111" s="21"/>
      <c r="J111" s="22" t="n">
        <v>1</v>
      </c>
      <c r="K111" s="22" t="n">
        <v>1</v>
      </c>
      <c r="L111" s="22" t="n">
        <v>0</v>
      </c>
      <c r="M111" s="21" t="s">
        <v>212</v>
      </c>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career level, nationality mandate, capacity direction</v>
      </c>
    </row>
    <row r="112" customFormat="false" ht="15" hidden="false" customHeight="false" outlineLevel="0" collapsed="false">
      <c r="A112" s="21" t="s">
        <v>306</v>
      </c>
      <c r="B112" s="21" t="s">
        <v>109</v>
      </c>
      <c r="C112" s="21" t="s">
        <v>125</v>
      </c>
      <c r="D112" s="21" t="s">
        <v>127</v>
      </c>
      <c r="E112" s="21" t="s">
        <v>129</v>
      </c>
      <c r="F112" s="21" t="s">
        <v>307</v>
      </c>
      <c r="G112" s="21"/>
      <c r="H112" s="21" t="s">
        <v>220</v>
      </c>
      <c r="I112" s="21"/>
      <c r="J112" s="22" t="n">
        <v>1</v>
      </c>
      <c r="K112" s="22" t="n">
        <v>1</v>
      </c>
      <c r="L112" s="22" t="n">
        <v>0</v>
      </c>
      <c r="M112" s="21" t="s">
        <v>212</v>
      </c>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career level, nationality mandate, capacity direction</v>
      </c>
    </row>
    <row r="113" customFormat="false" ht="15" hidden="false" customHeight="false" outlineLevel="0" collapsed="false">
      <c r="A113" s="21" t="s">
        <v>236</v>
      </c>
      <c r="B113" s="21" t="s">
        <v>109</v>
      </c>
      <c r="C113" s="21" t="s">
        <v>125</v>
      </c>
      <c r="D113" s="21" t="s">
        <v>127</v>
      </c>
      <c r="E113" s="21" t="s">
        <v>131</v>
      </c>
      <c r="F113" s="21" t="s">
        <v>300</v>
      </c>
      <c r="G113" s="21"/>
      <c r="H113" s="21" t="s">
        <v>223</v>
      </c>
      <c r="I113" s="21"/>
      <c r="J113" s="22" t="n">
        <v>1</v>
      </c>
      <c r="K113" s="22" t="n">
        <v>1</v>
      </c>
      <c r="L113" s="22" t="n">
        <v>0</v>
      </c>
      <c r="M113" s="21" t="s">
        <v>245</v>
      </c>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career level, nationality mandate, capacity direction</v>
      </c>
    </row>
    <row r="114" customFormat="false" ht="15" hidden="false" customHeight="false" outlineLevel="0" collapsed="false">
      <c r="A114" s="21"/>
      <c r="B114" s="21" t="s">
        <v>109</v>
      </c>
      <c r="C114" s="21" t="s">
        <v>125</v>
      </c>
      <c r="D114" s="21" t="s">
        <v>127</v>
      </c>
      <c r="E114" s="21" t="s">
        <v>131</v>
      </c>
      <c r="F114" s="21" t="s">
        <v>308</v>
      </c>
      <c r="G114" s="21"/>
      <c r="H114" s="21" t="s">
        <v>223</v>
      </c>
      <c r="I114" s="21"/>
      <c r="J114" s="22" t="n">
        <v>2</v>
      </c>
      <c r="K114" s="22" t="n">
        <v>2</v>
      </c>
      <c r="L114" s="22" t="n">
        <v>0</v>
      </c>
      <c r="M114" s="21" t="s">
        <v>212</v>
      </c>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career level, nationality mandate, capacity direction</v>
      </c>
    </row>
    <row r="115" customFormat="false" ht="15" hidden="false" customHeight="false" outlineLevel="0" collapsed="false">
      <c r="A115" s="21" t="s">
        <v>213</v>
      </c>
      <c r="B115" s="21" t="s">
        <v>109</v>
      </c>
      <c r="C115" s="21" t="s">
        <v>125</v>
      </c>
      <c r="D115" s="21" t="s">
        <v>127</v>
      </c>
      <c r="E115" s="21" t="s">
        <v>131</v>
      </c>
      <c r="F115" s="21" t="s">
        <v>304</v>
      </c>
      <c r="G115" s="21"/>
      <c r="H115" s="21" t="s">
        <v>223</v>
      </c>
      <c r="I115" s="21"/>
      <c r="J115" s="22" t="n">
        <v>1</v>
      </c>
      <c r="K115" s="22" t="n">
        <v>1</v>
      </c>
      <c r="L115" s="22" t="n">
        <v>0</v>
      </c>
      <c r="M115" s="21" t="s">
        <v>212</v>
      </c>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career level, nationality mandate, capacity direction</v>
      </c>
    </row>
    <row r="116" customFormat="false" ht="15" hidden="false" customHeight="false" outlineLevel="0" collapsed="false">
      <c r="A116" s="21" t="s">
        <v>306</v>
      </c>
      <c r="B116" s="21" t="s">
        <v>109</v>
      </c>
      <c r="C116" s="21" t="s">
        <v>125</v>
      </c>
      <c r="D116" s="21" t="s">
        <v>127</v>
      </c>
      <c r="E116" s="21" t="s">
        <v>131</v>
      </c>
      <c r="F116" s="21" t="s">
        <v>305</v>
      </c>
      <c r="G116" s="21"/>
      <c r="H116" s="21" t="s">
        <v>223</v>
      </c>
      <c r="I116" s="21"/>
      <c r="J116" s="22" t="n">
        <v>1</v>
      </c>
      <c r="K116" s="22" t="n">
        <v>1</v>
      </c>
      <c r="L116" s="22" t="n">
        <v>0</v>
      </c>
      <c r="M116" s="21" t="s">
        <v>212</v>
      </c>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career level, nationality mandate, capacity direction</v>
      </c>
    </row>
    <row r="117" customFormat="false" ht="15" hidden="false" customHeight="false" outlineLevel="0" collapsed="false">
      <c r="A117" s="21" t="s">
        <v>248</v>
      </c>
      <c r="B117" s="21" t="s">
        <v>109</v>
      </c>
      <c r="C117" s="21" t="s">
        <v>125</v>
      </c>
      <c r="D117" s="21" t="s">
        <v>127</v>
      </c>
      <c r="E117" s="21" t="s">
        <v>131</v>
      </c>
      <c r="F117" s="21" t="s">
        <v>309</v>
      </c>
      <c r="G117" s="21"/>
      <c r="H117" s="21" t="s">
        <v>223</v>
      </c>
      <c r="I117" s="21"/>
      <c r="J117" s="22" t="n">
        <v>1</v>
      </c>
      <c r="K117" s="22" t="n">
        <v>1</v>
      </c>
      <c r="L117" s="22" t="n">
        <v>0</v>
      </c>
      <c r="M117" s="21" t="s">
        <v>212</v>
      </c>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career level, nationality mandate, capacity direction</v>
      </c>
    </row>
    <row r="118" customFormat="false" ht="15" hidden="false" customHeight="false" outlineLevel="0" collapsed="false">
      <c r="A118" s="21" t="s">
        <v>310</v>
      </c>
      <c r="B118" s="21" t="s">
        <v>109</v>
      </c>
      <c r="C118" s="21" t="s">
        <v>125</v>
      </c>
      <c r="D118" s="21" t="s">
        <v>127</v>
      </c>
      <c r="E118" s="21" t="s">
        <v>131</v>
      </c>
      <c r="F118" s="21" t="s">
        <v>309</v>
      </c>
      <c r="G118" s="21"/>
      <c r="H118" s="21" t="s">
        <v>223</v>
      </c>
      <c r="I118" s="21"/>
      <c r="J118" s="22" t="n">
        <v>1</v>
      </c>
      <c r="K118" s="22" t="n">
        <v>1</v>
      </c>
      <c r="L118" s="22" t="n">
        <v>0</v>
      </c>
      <c r="M118" s="21" t="s">
        <v>245</v>
      </c>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career level, nationality mandate, capacity direction</v>
      </c>
    </row>
    <row r="119" customFormat="false" ht="15" hidden="false" customHeight="false" outlineLevel="0" collapsed="false">
      <c r="A119" s="21" t="s">
        <v>277</v>
      </c>
      <c r="B119" s="21" t="s">
        <v>109</v>
      </c>
      <c r="C119" s="21" t="s">
        <v>125</v>
      </c>
      <c r="D119" s="21" t="s">
        <v>127</v>
      </c>
      <c r="E119" s="21" t="s">
        <v>131</v>
      </c>
      <c r="F119" s="21" t="s">
        <v>307</v>
      </c>
      <c r="G119" s="21"/>
      <c r="H119" s="21" t="s">
        <v>220</v>
      </c>
      <c r="I119" s="21"/>
      <c r="J119" s="22" t="n">
        <v>1</v>
      </c>
      <c r="K119" s="22" t="n">
        <v>1</v>
      </c>
      <c r="L119" s="22" t="n">
        <v>0</v>
      </c>
      <c r="M119" s="21" t="s">
        <v>212</v>
      </c>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career level, nationality mandate, capacity direction</v>
      </c>
    </row>
    <row r="120" customFormat="false" ht="15" hidden="false" customHeight="false" outlineLevel="0" collapsed="false">
      <c r="A120" s="21" t="s">
        <v>229</v>
      </c>
      <c r="B120" s="21" t="s">
        <v>109</v>
      </c>
      <c r="C120" s="21" t="s">
        <v>125</v>
      </c>
      <c r="D120" s="21" t="s">
        <v>133</v>
      </c>
      <c r="E120" s="21"/>
      <c r="F120" s="21" t="s">
        <v>299</v>
      </c>
      <c r="G120" s="21"/>
      <c r="H120" s="21" t="s">
        <v>220</v>
      </c>
      <c r="I120" s="21"/>
      <c r="J120" s="22" t="n">
        <v>1</v>
      </c>
      <c r="K120" s="22" t="n">
        <v>0</v>
      </c>
      <c r="L120" s="22" t="n">
        <v>1</v>
      </c>
      <c r="M120" s="21" t="s">
        <v>245</v>
      </c>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career level, nationality mandate, capacity direction</v>
      </c>
    </row>
    <row r="121" customFormat="false" ht="15" hidden="false" customHeight="false" outlineLevel="0" collapsed="false">
      <c r="A121" s="21"/>
      <c r="B121" s="21" t="s">
        <v>109</v>
      </c>
      <c r="C121" s="21" t="s">
        <v>125</v>
      </c>
      <c r="D121" s="21" t="s">
        <v>133</v>
      </c>
      <c r="E121" s="21" t="s">
        <v>135</v>
      </c>
      <c r="F121" s="21" t="s">
        <v>300</v>
      </c>
      <c r="G121" s="21"/>
      <c r="H121" s="21" t="s">
        <v>223</v>
      </c>
      <c r="I121" s="21"/>
      <c r="J121" s="22" t="n">
        <v>4</v>
      </c>
      <c r="K121" s="22" t="n">
        <v>3</v>
      </c>
      <c r="L121" s="22" t="n">
        <v>1</v>
      </c>
      <c r="M121" s="21" t="s">
        <v>212</v>
      </c>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career level, nationality mandate, capacity direction</v>
      </c>
    </row>
    <row r="122" customFormat="false" ht="15" hidden="false" customHeight="false" outlineLevel="0" collapsed="false">
      <c r="A122" s="21" t="s">
        <v>303</v>
      </c>
      <c r="B122" s="21" t="s">
        <v>109</v>
      </c>
      <c r="C122" s="21" t="s">
        <v>125</v>
      </c>
      <c r="D122" s="21" t="s">
        <v>133</v>
      </c>
      <c r="E122" s="21" t="s">
        <v>135</v>
      </c>
      <c r="F122" s="21" t="s">
        <v>308</v>
      </c>
      <c r="G122" s="21"/>
      <c r="H122" s="21" t="s">
        <v>223</v>
      </c>
      <c r="I122" s="21"/>
      <c r="J122" s="22" t="n">
        <v>1</v>
      </c>
      <c r="K122" s="22" t="n">
        <v>1</v>
      </c>
      <c r="L122" s="22" t="n">
        <v>0</v>
      </c>
      <c r="M122" s="21" t="s">
        <v>212</v>
      </c>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career level, nationality mandate, capacity direction</v>
      </c>
    </row>
    <row r="123" customFormat="false" ht="15" hidden="false" customHeight="false" outlineLevel="0" collapsed="false">
      <c r="A123" s="21" t="s">
        <v>311</v>
      </c>
      <c r="B123" s="21" t="s">
        <v>109</v>
      </c>
      <c r="C123" s="21" t="s">
        <v>125</v>
      </c>
      <c r="D123" s="21" t="s">
        <v>133</v>
      </c>
      <c r="E123" s="21" t="s">
        <v>135</v>
      </c>
      <c r="F123" s="21" t="s">
        <v>305</v>
      </c>
      <c r="G123" s="21"/>
      <c r="H123" s="21" t="s">
        <v>223</v>
      </c>
      <c r="I123" s="21"/>
      <c r="J123" s="22" t="n">
        <v>1</v>
      </c>
      <c r="K123" s="22" t="n">
        <v>1</v>
      </c>
      <c r="L123" s="22" t="n">
        <v>0</v>
      </c>
      <c r="M123" s="21" t="s">
        <v>212</v>
      </c>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career level, nationality mandate, capacity direction</v>
      </c>
    </row>
    <row r="124" customFormat="false" ht="15" hidden="false" customHeight="false" outlineLevel="0" collapsed="false">
      <c r="A124" s="21" t="s">
        <v>280</v>
      </c>
      <c r="B124" s="21" t="s">
        <v>109</v>
      </c>
      <c r="C124" s="21" t="s">
        <v>125</v>
      </c>
      <c r="D124" s="21" t="s">
        <v>133</v>
      </c>
      <c r="E124" s="21" t="s">
        <v>135</v>
      </c>
      <c r="F124" s="21" t="s">
        <v>305</v>
      </c>
      <c r="G124" s="21"/>
      <c r="H124" s="21" t="s">
        <v>223</v>
      </c>
      <c r="I124" s="21"/>
      <c r="J124" s="22" t="n">
        <v>1</v>
      </c>
      <c r="K124" s="22" t="n">
        <v>1</v>
      </c>
      <c r="L124" s="22" t="n">
        <v>0</v>
      </c>
      <c r="M124" s="21" t="s">
        <v>245</v>
      </c>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career level, nationality mandate, capacity direction</v>
      </c>
    </row>
    <row r="125" customFormat="false" ht="15" hidden="false" customHeight="false" outlineLevel="0" collapsed="false">
      <c r="A125" s="21"/>
      <c r="B125" s="21" t="s">
        <v>109</v>
      </c>
      <c r="C125" s="21" t="s">
        <v>125</v>
      </c>
      <c r="D125" s="21" t="s">
        <v>133</v>
      </c>
      <c r="E125" s="21" t="s">
        <v>135</v>
      </c>
      <c r="F125" s="21" t="s">
        <v>309</v>
      </c>
      <c r="G125" s="21"/>
      <c r="H125" s="21" t="s">
        <v>223</v>
      </c>
      <c r="I125" s="21"/>
      <c r="J125" s="22" t="n">
        <v>2</v>
      </c>
      <c r="K125" s="22" t="n">
        <v>2</v>
      </c>
      <c r="L125" s="22" t="n">
        <v>0</v>
      </c>
      <c r="M125" s="21" t="s">
        <v>212</v>
      </c>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career level, nationality mandate, capacity direction</v>
      </c>
    </row>
    <row r="126" customFormat="false" ht="15" hidden="false" customHeight="false" outlineLevel="0" collapsed="false">
      <c r="A126" s="21" t="s">
        <v>286</v>
      </c>
      <c r="B126" s="21" t="s">
        <v>109</v>
      </c>
      <c r="C126" s="21" t="s">
        <v>125</v>
      </c>
      <c r="D126" s="21" t="s">
        <v>133</v>
      </c>
      <c r="E126" s="21" t="s">
        <v>135</v>
      </c>
      <c r="F126" s="21" t="s">
        <v>307</v>
      </c>
      <c r="G126" s="21"/>
      <c r="H126" s="21" t="s">
        <v>220</v>
      </c>
      <c r="I126" s="21"/>
      <c r="J126" s="22" t="n">
        <v>1</v>
      </c>
      <c r="K126" s="22" t="n">
        <v>0</v>
      </c>
      <c r="L126" s="22" t="n">
        <v>1</v>
      </c>
      <c r="M126" s="21" t="s">
        <v>212</v>
      </c>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career level, nationality mandate, capacity direction</v>
      </c>
    </row>
    <row r="127" customFormat="false" ht="15" hidden="false" customHeight="false" outlineLevel="0" collapsed="false">
      <c r="A127" s="21"/>
      <c r="B127" s="21" t="s">
        <v>109</v>
      </c>
      <c r="C127" s="21" t="s">
        <v>125</v>
      </c>
      <c r="D127" s="21" t="s">
        <v>133</v>
      </c>
      <c r="E127" s="21" t="s">
        <v>137</v>
      </c>
      <c r="F127" s="21" t="s">
        <v>300</v>
      </c>
      <c r="G127" s="21"/>
      <c r="H127" s="21" t="s">
        <v>223</v>
      </c>
      <c r="I127" s="21"/>
      <c r="J127" s="22" t="n">
        <v>3</v>
      </c>
      <c r="K127" s="22" t="n">
        <v>2</v>
      </c>
      <c r="L127" s="22" t="n">
        <v>1</v>
      </c>
      <c r="M127" s="21" t="s">
        <v>212</v>
      </c>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career level, nationality mandate, capacity direction</v>
      </c>
    </row>
    <row r="128" customFormat="false" ht="15" hidden="false" customHeight="false" outlineLevel="0" collapsed="false">
      <c r="A128" s="21" t="s">
        <v>312</v>
      </c>
      <c r="B128" s="21" t="s">
        <v>109</v>
      </c>
      <c r="C128" s="21" t="s">
        <v>125</v>
      </c>
      <c r="D128" s="21" t="s">
        <v>133</v>
      </c>
      <c r="E128" s="21" t="s">
        <v>137</v>
      </c>
      <c r="F128" s="21" t="s">
        <v>304</v>
      </c>
      <c r="G128" s="21"/>
      <c r="H128" s="21" t="s">
        <v>223</v>
      </c>
      <c r="I128" s="21"/>
      <c r="J128" s="22" t="n">
        <v>1</v>
      </c>
      <c r="K128" s="22" t="n">
        <v>1</v>
      </c>
      <c r="L128" s="22" t="n">
        <v>0</v>
      </c>
      <c r="M128" s="21" t="s">
        <v>212</v>
      </c>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career level, nationality mandate, capacity direction</v>
      </c>
    </row>
    <row r="129" customFormat="false" ht="15" hidden="false" customHeight="false" outlineLevel="0" collapsed="false">
      <c r="A129" s="21"/>
      <c r="B129" s="21" t="s">
        <v>109</v>
      </c>
      <c r="C129" s="21" t="s">
        <v>125</v>
      </c>
      <c r="D129" s="21" t="s">
        <v>133</v>
      </c>
      <c r="E129" s="21" t="s">
        <v>137</v>
      </c>
      <c r="F129" s="21" t="s">
        <v>305</v>
      </c>
      <c r="G129" s="21"/>
      <c r="H129" s="21" t="s">
        <v>223</v>
      </c>
      <c r="I129" s="21"/>
      <c r="J129" s="22" t="n">
        <v>2</v>
      </c>
      <c r="K129" s="22" t="n">
        <v>2</v>
      </c>
      <c r="L129" s="22" t="n">
        <v>0</v>
      </c>
      <c r="M129" s="21" t="s">
        <v>212</v>
      </c>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career level, nationality mandate, capacity direction</v>
      </c>
    </row>
    <row r="130" customFormat="false" ht="15" hidden="false" customHeight="false" outlineLevel="0" collapsed="false">
      <c r="A130" s="21" t="s">
        <v>313</v>
      </c>
      <c r="B130" s="21" t="s">
        <v>109</v>
      </c>
      <c r="C130" s="21" t="s">
        <v>125</v>
      </c>
      <c r="D130" s="21" t="s">
        <v>133</v>
      </c>
      <c r="E130" s="21" t="s">
        <v>137</v>
      </c>
      <c r="F130" s="21" t="s">
        <v>309</v>
      </c>
      <c r="G130" s="21"/>
      <c r="H130" s="21" t="s">
        <v>223</v>
      </c>
      <c r="I130" s="21"/>
      <c r="J130" s="22" t="n">
        <v>1</v>
      </c>
      <c r="K130" s="22" t="n">
        <v>1</v>
      </c>
      <c r="L130" s="22" t="n">
        <v>0</v>
      </c>
      <c r="M130" s="21" t="s">
        <v>212</v>
      </c>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career level, nationality mandate, capacity direction</v>
      </c>
    </row>
    <row r="131" customFormat="false" ht="15" hidden="false" customHeight="false" outlineLevel="0" collapsed="false">
      <c r="A131" s="21" t="s">
        <v>231</v>
      </c>
      <c r="B131" s="21" t="s">
        <v>109</v>
      </c>
      <c r="C131" s="21" t="s">
        <v>125</v>
      </c>
      <c r="D131" s="21" t="s">
        <v>133</v>
      </c>
      <c r="E131" s="21" t="s">
        <v>137</v>
      </c>
      <c r="F131" s="21" t="s">
        <v>307</v>
      </c>
      <c r="G131" s="21"/>
      <c r="H131" s="21" t="s">
        <v>220</v>
      </c>
      <c r="I131" s="21"/>
      <c r="J131" s="22" t="n">
        <v>1</v>
      </c>
      <c r="K131" s="22" t="n">
        <v>1</v>
      </c>
      <c r="L131" s="22" t="n">
        <v>0</v>
      </c>
      <c r="M131" s="21" t="s">
        <v>212</v>
      </c>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career level, nationality mandate, capacity direction</v>
      </c>
    </row>
    <row r="132" customFormat="false" ht="15" hidden="false" customHeight="false" outlineLevel="0" collapsed="false">
      <c r="A132" s="21" t="s">
        <v>306</v>
      </c>
      <c r="B132" s="21" t="s">
        <v>139</v>
      </c>
      <c r="C132" s="21"/>
      <c r="D132" s="21"/>
      <c r="E132" s="21"/>
      <c r="F132" s="21" t="s">
        <v>314</v>
      </c>
      <c r="G132" s="21"/>
      <c r="H132" s="21" t="s">
        <v>215</v>
      </c>
      <c r="I132" s="21"/>
      <c r="J132" s="22" t="n">
        <v>1</v>
      </c>
      <c r="K132" s="22" t="n">
        <v>1</v>
      </c>
      <c r="L132" s="22" t="n">
        <v>0</v>
      </c>
      <c r="M132" s="21" t="s">
        <v>212</v>
      </c>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career level, nationality mandate, capacity direction</v>
      </c>
    </row>
    <row r="133" customFormat="false" ht="15" hidden="false" customHeight="false" outlineLevel="0" collapsed="false">
      <c r="A133" s="21" t="s">
        <v>209</v>
      </c>
      <c r="B133" s="21" t="s">
        <v>139</v>
      </c>
      <c r="C133" s="21" t="s">
        <v>141</v>
      </c>
      <c r="D133" s="21"/>
      <c r="E133" s="21"/>
      <c r="F133" s="21" t="s">
        <v>315</v>
      </c>
      <c r="G133" s="21"/>
      <c r="H133" s="21" t="s">
        <v>215</v>
      </c>
      <c r="I133" s="21"/>
      <c r="J133" s="22" t="n">
        <v>1</v>
      </c>
      <c r="K133" s="22" t="n">
        <v>1</v>
      </c>
      <c r="L133" s="22" t="n">
        <v>0</v>
      </c>
      <c r="M133" s="21" t="s">
        <v>212</v>
      </c>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career level, nationality mandate, capacity direction</v>
      </c>
    </row>
    <row r="134" customFormat="false" ht="15" hidden="false" customHeight="false" outlineLevel="0" collapsed="false">
      <c r="A134" s="21" t="s">
        <v>316</v>
      </c>
      <c r="B134" s="21" t="s">
        <v>139</v>
      </c>
      <c r="C134" s="21" t="s">
        <v>141</v>
      </c>
      <c r="D134" s="21" t="s">
        <v>143</v>
      </c>
      <c r="E134" s="21"/>
      <c r="F134" s="21" t="s">
        <v>317</v>
      </c>
      <c r="G134" s="21"/>
      <c r="H134" s="21" t="s">
        <v>220</v>
      </c>
      <c r="I134" s="21"/>
      <c r="J134" s="22" t="n">
        <v>1</v>
      </c>
      <c r="K134" s="22" t="n">
        <v>1</v>
      </c>
      <c r="L134" s="22" t="n">
        <v>0</v>
      </c>
      <c r="M134" s="21" t="s">
        <v>212</v>
      </c>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career level, nationality mandate, capacity direction</v>
      </c>
    </row>
    <row r="135" customFormat="false" ht="15" hidden="false" customHeight="false" outlineLevel="0" collapsed="false">
      <c r="A135" s="21"/>
      <c r="B135" s="21" t="s">
        <v>139</v>
      </c>
      <c r="C135" s="21" t="s">
        <v>141</v>
      </c>
      <c r="D135" s="21" t="s">
        <v>143</v>
      </c>
      <c r="E135" s="21" t="s">
        <v>145</v>
      </c>
      <c r="F135" s="21" t="s">
        <v>318</v>
      </c>
      <c r="G135" s="21"/>
      <c r="H135" s="21" t="s">
        <v>223</v>
      </c>
      <c r="I135" s="21"/>
      <c r="J135" s="22" t="n">
        <v>3</v>
      </c>
      <c r="K135" s="22" t="n">
        <v>3</v>
      </c>
      <c r="L135" s="22" t="n">
        <v>0</v>
      </c>
      <c r="M135" s="21" t="s">
        <v>212</v>
      </c>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career level, nationality mandate, capacity direction</v>
      </c>
    </row>
    <row r="136" customFormat="false" ht="15" hidden="false" customHeight="false" outlineLevel="0" collapsed="false">
      <c r="A136" s="21"/>
      <c r="B136" s="21" t="s">
        <v>139</v>
      </c>
      <c r="C136" s="21" t="s">
        <v>141</v>
      </c>
      <c r="D136" s="21" t="s">
        <v>143</v>
      </c>
      <c r="E136" s="21" t="s">
        <v>145</v>
      </c>
      <c r="F136" s="21" t="s">
        <v>319</v>
      </c>
      <c r="G136" s="21"/>
      <c r="H136" s="21" t="s">
        <v>223</v>
      </c>
      <c r="I136" s="21"/>
      <c r="J136" s="22" t="n">
        <v>2</v>
      </c>
      <c r="K136" s="22" t="n">
        <v>2</v>
      </c>
      <c r="L136" s="22" t="n">
        <v>0</v>
      </c>
      <c r="M136" s="21" t="s">
        <v>212</v>
      </c>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career level, nationality mandate, capacity direction</v>
      </c>
    </row>
    <row r="137" customFormat="false" ht="15" hidden="false" customHeight="false" outlineLevel="0" collapsed="false">
      <c r="A137" s="21" t="s">
        <v>320</v>
      </c>
      <c r="B137" s="21" t="s">
        <v>139</v>
      </c>
      <c r="C137" s="21" t="s">
        <v>141</v>
      </c>
      <c r="D137" s="21" t="s">
        <v>143</v>
      </c>
      <c r="E137" s="21" t="s">
        <v>145</v>
      </c>
      <c r="F137" s="21" t="s">
        <v>321</v>
      </c>
      <c r="G137" s="21"/>
      <c r="H137" s="21" t="s">
        <v>223</v>
      </c>
      <c r="I137" s="21"/>
      <c r="J137" s="22" t="n">
        <v>1</v>
      </c>
      <c r="K137" s="22" t="n">
        <v>1</v>
      </c>
      <c r="L137" s="22" t="n">
        <v>0</v>
      </c>
      <c r="M137" s="21" t="s">
        <v>212</v>
      </c>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career level, nationality mandate, capacity direction</v>
      </c>
    </row>
    <row r="138" customFormat="false" ht="15" hidden="false" customHeight="false" outlineLevel="0" collapsed="false">
      <c r="A138" s="21" t="s">
        <v>221</v>
      </c>
      <c r="B138" s="21" t="s">
        <v>139</v>
      </c>
      <c r="C138" s="21" t="s">
        <v>141</v>
      </c>
      <c r="D138" s="21" t="s">
        <v>143</v>
      </c>
      <c r="E138" s="21" t="s">
        <v>145</v>
      </c>
      <c r="F138" s="21" t="s">
        <v>322</v>
      </c>
      <c r="G138" s="21"/>
      <c r="H138" s="21" t="s">
        <v>223</v>
      </c>
      <c r="I138" s="21"/>
      <c r="J138" s="22" t="n">
        <v>1</v>
      </c>
      <c r="K138" s="22" t="n">
        <v>1</v>
      </c>
      <c r="L138" s="22" t="n">
        <v>0</v>
      </c>
      <c r="M138" s="21" t="s">
        <v>245</v>
      </c>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career level, nationality mandate, capacity direction</v>
      </c>
    </row>
    <row r="139" customFormat="false" ht="15" hidden="false" customHeight="false" outlineLevel="0" collapsed="false">
      <c r="A139" s="21" t="s">
        <v>234</v>
      </c>
      <c r="B139" s="21" t="s">
        <v>139</v>
      </c>
      <c r="C139" s="21" t="s">
        <v>141</v>
      </c>
      <c r="D139" s="21" t="s">
        <v>143</v>
      </c>
      <c r="E139" s="21" t="s">
        <v>145</v>
      </c>
      <c r="F139" s="21" t="s">
        <v>322</v>
      </c>
      <c r="G139" s="21"/>
      <c r="H139" s="21" t="s">
        <v>223</v>
      </c>
      <c r="I139" s="21"/>
      <c r="J139" s="22" t="n">
        <v>1</v>
      </c>
      <c r="K139" s="22" t="n">
        <v>0</v>
      </c>
      <c r="L139" s="22" t="n">
        <v>1</v>
      </c>
      <c r="M139" s="21" t="s">
        <v>212</v>
      </c>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career level, nationality mandate, capacity direction</v>
      </c>
    </row>
    <row r="140" customFormat="false" ht="15" hidden="false" customHeight="false" outlineLevel="0" collapsed="false">
      <c r="A140" s="21" t="s">
        <v>323</v>
      </c>
      <c r="B140" s="21" t="s">
        <v>139</v>
      </c>
      <c r="C140" s="21" t="s">
        <v>141</v>
      </c>
      <c r="D140" s="21" t="s">
        <v>143</v>
      </c>
      <c r="E140" s="21" t="s">
        <v>145</v>
      </c>
      <c r="F140" s="21" t="s">
        <v>324</v>
      </c>
      <c r="G140" s="21"/>
      <c r="H140" s="21" t="s">
        <v>223</v>
      </c>
      <c r="I140" s="21"/>
      <c r="J140" s="22" t="n">
        <v>1</v>
      </c>
      <c r="K140" s="22" t="n">
        <v>1</v>
      </c>
      <c r="L140" s="22" t="n">
        <v>0</v>
      </c>
      <c r="M140" s="21" t="s">
        <v>212</v>
      </c>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career level, nationality mandate, capacity direction</v>
      </c>
    </row>
    <row r="141" customFormat="false" ht="15" hidden="false" customHeight="false" outlineLevel="0" collapsed="false">
      <c r="A141" s="21" t="s">
        <v>232</v>
      </c>
      <c r="B141" s="21" t="s">
        <v>139</v>
      </c>
      <c r="C141" s="21" t="s">
        <v>141</v>
      </c>
      <c r="D141" s="21" t="s">
        <v>143</v>
      </c>
      <c r="E141" s="21" t="s">
        <v>145</v>
      </c>
      <c r="F141" s="21" t="s">
        <v>325</v>
      </c>
      <c r="G141" s="21"/>
      <c r="H141" s="21" t="s">
        <v>220</v>
      </c>
      <c r="I141" s="21"/>
      <c r="J141" s="22" t="n">
        <v>1</v>
      </c>
      <c r="K141" s="22" t="n">
        <v>1</v>
      </c>
      <c r="L141" s="22" t="n">
        <v>0</v>
      </c>
      <c r="M141" s="21" t="s">
        <v>212</v>
      </c>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career level, nationality mandate, capacity direction</v>
      </c>
    </row>
    <row r="142" customFormat="false" ht="15" hidden="false" customHeight="false" outlineLevel="0" collapsed="false">
      <c r="A142" s="21"/>
      <c r="B142" s="21" t="s">
        <v>139</v>
      </c>
      <c r="C142" s="21" t="s">
        <v>141</v>
      </c>
      <c r="D142" s="21" t="s">
        <v>143</v>
      </c>
      <c r="E142" s="21" t="s">
        <v>147</v>
      </c>
      <c r="F142" s="21" t="s">
        <v>318</v>
      </c>
      <c r="G142" s="21"/>
      <c r="H142" s="21" t="s">
        <v>223</v>
      </c>
      <c r="I142" s="21"/>
      <c r="J142" s="22" t="n">
        <v>2</v>
      </c>
      <c r="K142" s="22" t="n">
        <v>2</v>
      </c>
      <c r="L142" s="22" t="n">
        <v>0</v>
      </c>
      <c r="M142" s="21" t="s">
        <v>212</v>
      </c>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career level, nationality mandate, capacity direction</v>
      </c>
    </row>
    <row r="143" customFormat="false" ht="15" hidden="false" customHeight="false" outlineLevel="0" collapsed="false">
      <c r="A143" s="21"/>
      <c r="B143" s="21" t="s">
        <v>139</v>
      </c>
      <c r="C143" s="21" t="s">
        <v>141</v>
      </c>
      <c r="D143" s="21" t="s">
        <v>143</v>
      </c>
      <c r="E143" s="21" t="s">
        <v>147</v>
      </c>
      <c r="F143" s="21" t="s">
        <v>319</v>
      </c>
      <c r="G143" s="21"/>
      <c r="H143" s="21" t="s">
        <v>223</v>
      </c>
      <c r="I143" s="21"/>
      <c r="J143" s="22" t="n">
        <v>2</v>
      </c>
      <c r="K143" s="22" t="n">
        <v>2</v>
      </c>
      <c r="L143" s="22" t="n">
        <v>0</v>
      </c>
      <c r="M143" s="21" t="s">
        <v>212</v>
      </c>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career level, nationality mandate, capacity direction</v>
      </c>
    </row>
    <row r="144" customFormat="false" ht="15" hidden="false" customHeight="false" outlineLevel="0" collapsed="false">
      <c r="A144" s="21" t="s">
        <v>295</v>
      </c>
      <c r="B144" s="21" t="s">
        <v>139</v>
      </c>
      <c r="C144" s="21" t="s">
        <v>141</v>
      </c>
      <c r="D144" s="21" t="s">
        <v>143</v>
      </c>
      <c r="E144" s="21" t="s">
        <v>147</v>
      </c>
      <c r="F144" s="21" t="s">
        <v>321</v>
      </c>
      <c r="G144" s="21"/>
      <c r="H144" s="21" t="s">
        <v>223</v>
      </c>
      <c r="I144" s="21"/>
      <c r="J144" s="22" t="n">
        <v>1</v>
      </c>
      <c r="K144" s="22" t="n">
        <v>0</v>
      </c>
      <c r="L144" s="22" t="n">
        <v>1</v>
      </c>
      <c r="M144" s="21" t="s">
        <v>212</v>
      </c>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career level, nationality mandate, capacity direction</v>
      </c>
    </row>
    <row r="145" customFormat="false" ht="15" hidden="false" customHeight="false" outlineLevel="0" collapsed="false">
      <c r="A145" s="21" t="s">
        <v>326</v>
      </c>
      <c r="B145" s="21" t="s">
        <v>139</v>
      </c>
      <c r="C145" s="21" t="s">
        <v>141</v>
      </c>
      <c r="D145" s="21" t="s">
        <v>143</v>
      </c>
      <c r="E145" s="21" t="s">
        <v>147</v>
      </c>
      <c r="F145" s="21" t="s">
        <v>327</v>
      </c>
      <c r="G145" s="21"/>
      <c r="H145" s="21" t="s">
        <v>223</v>
      </c>
      <c r="I145" s="21"/>
      <c r="J145" s="22" t="n">
        <v>1</v>
      </c>
      <c r="K145" s="22" t="n">
        <v>1</v>
      </c>
      <c r="L145" s="22" t="n">
        <v>0</v>
      </c>
      <c r="M145" s="21" t="s">
        <v>212</v>
      </c>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career level, nationality mandate, capacity direction</v>
      </c>
    </row>
    <row r="146" customFormat="false" ht="15" hidden="false" customHeight="false" outlineLevel="0" collapsed="false">
      <c r="A146" s="21" t="s">
        <v>251</v>
      </c>
      <c r="B146" s="21" t="s">
        <v>139</v>
      </c>
      <c r="C146" s="21" t="s">
        <v>141</v>
      </c>
      <c r="D146" s="21" t="s">
        <v>143</v>
      </c>
      <c r="E146" s="21" t="s">
        <v>147</v>
      </c>
      <c r="F146" s="21" t="s">
        <v>325</v>
      </c>
      <c r="G146" s="21"/>
      <c r="H146" s="21" t="s">
        <v>220</v>
      </c>
      <c r="I146" s="21"/>
      <c r="J146" s="22" t="n">
        <v>1</v>
      </c>
      <c r="K146" s="22" t="n">
        <v>1</v>
      </c>
      <c r="L146" s="22" t="n">
        <v>0</v>
      </c>
      <c r="M146" s="21" t="s">
        <v>212</v>
      </c>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career level, nationality mandate, capacity direction</v>
      </c>
    </row>
    <row r="147" customFormat="false" ht="15" hidden="false" customHeight="false" outlineLevel="0" collapsed="false">
      <c r="A147" s="21" t="s">
        <v>326</v>
      </c>
      <c r="B147" s="21" t="s">
        <v>139</v>
      </c>
      <c r="C147" s="21" t="s">
        <v>141</v>
      </c>
      <c r="D147" s="21" t="s">
        <v>149</v>
      </c>
      <c r="E147" s="21"/>
      <c r="F147" s="21" t="s">
        <v>317</v>
      </c>
      <c r="G147" s="21"/>
      <c r="H147" s="21" t="s">
        <v>220</v>
      </c>
      <c r="I147" s="21"/>
      <c r="J147" s="22" t="n">
        <v>1</v>
      </c>
      <c r="K147" s="22" t="n">
        <v>1</v>
      </c>
      <c r="L147" s="22" t="n">
        <v>0</v>
      </c>
      <c r="M147" s="21" t="s">
        <v>212</v>
      </c>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career level, nationality mandate, capacity direction</v>
      </c>
    </row>
    <row r="148" customFormat="false" ht="15" hidden="false" customHeight="false" outlineLevel="0" collapsed="false">
      <c r="A148" s="21"/>
      <c r="B148" s="21" t="s">
        <v>139</v>
      </c>
      <c r="C148" s="21" t="s">
        <v>141</v>
      </c>
      <c r="D148" s="21" t="s">
        <v>149</v>
      </c>
      <c r="E148" s="21" t="s">
        <v>151</v>
      </c>
      <c r="F148" s="21" t="s">
        <v>318</v>
      </c>
      <c r="G148" s="21"/>
      <c r="H148" s="21" t="s">
        <v>223</v>
      </c>
      <c r="I148" s="21"/>
      <c r="J148" s="22" t="n">
        <v>3</v>
      </c>
      <c r="K148" s="22" t="n">
        <v>3</v>
      </c>
      <c r="L148" s="22" t="n">
        <v>0</v>
      </c>
      <c r="M148" s="21" t="s">
        <v>212</v>
      </c>
      <c r="N148" s="21"/>
      <c r="O148" s="22"/>
      <c r="P148" s="20" t="n">
        <f aca="false">IF($N148="Reduce",N($O148),0)</f>
        <v>0</v>
      </c>
      <c r="Q148" s="23" t="str">
        <f aca="false">IF($F148="","",MID(IF($G148="",", career level","")&amp;IF($I148="",", nationality mandate","")&amp;IF($N148="",", capacity direction","")&amp;IF(N($J148)&lt;=0,", approved HC","")&amp;IF(AND($G148&lt;&gt;"",COUNTIF(CareerLevels,$G148)=0),", a career level that is not on the ladder","")&amp;IF(AND($N148="Reduce",N($O148)&lt;=0),", how many seats Reduce means","")&amp;IF(AND(N($O148)&gt;0,$N148&lt;&gt;"Reduce"),", a number of seats on a row not marked Reduce","")&amp;IF(N($O148)&gt;N($J148),", more seats given up than the row has",""),3,200))</f>
        <v>career level, nationality mandate, capacity direction</v>
      </c>
    </row>
    <row r="149" customFormat="false" ht="15" hidden="false" customHeight="false" outlineLevel="0" collapsed="false">
      <c r="A149" s="21" t="s">
        <v>295</v>
      </c>
      <c r="B149" s="21" t="s">
        <v>139</v>
      </c>
      <c r="C149" s="21" t="s">
        <v>141</v>
      </c>
      <c r="D149" s="21" t="s">
        <v>149</v>
      </c>
      <c r="E149" s="21" t="s">
        <v>151</v>
      </c>
      <c r="F149" s="21" t="s">
        <v>322</v>
      </c>
      <c r="G149" s="21"/>
      <c r="H149" s="21" t="s">
        <v>223</v>
      </c>
      <c r="I149" s="21"/>
      <c r="J149" s="22" t="n">
        <v>1</v>
      </c>
      <c r="K149" s="22" t="n">
        <v>1</v>
      </c>
      <c r="L149" s="22" t="n">
        <v>0</v>
      </c>
      <c r="M149" s="21" t="s">
        <v>212</v>
      </c>
      <c r="N149" s="21"/>
      <c r="O149" s="22"/>
      <c r="P149" s="20" t="n">
        <f aca="false">IF($N149="Reduce",N($O149),0)</f>
        <v>0</v>
      </c>
      <c r="Q149" s="23" t="str">
        <f aca="false">IF($F149="","",MID(IF($G149="",", career level","")&amp;IF($I149="",", nationality mandate","")&amp;IF($N149="",", capacity direction","")&amp;IF(N($J149)&lt;=0,", approved HC","")&amp;IF(AND($G149&lt;&gt;"",COUNTIF(CareerLevels,$G149)=0),", a career level that is not on the ladder","")&amp;IF(AND($N149="Reduce",N($O149)&lt;=0),", how many seats Reduce means","")&amp;IF(AND(N($O149)&gt;0,$N149&lt;&gt;"Reduce"),", a number of seats on a row not marked Reduce","")&amp;IF(N($O149)&gt;N($J149),", more seats given up than the row has",""),3,200))</f>
        <v>career level, nationality mandate, capacity direction</v>
      </c>
    </row>
    <row r="150" customFormat="false" ht="15" hidden="false" customHeight="false" outlineLevel="0" collapsed="false">
      <c r="A150" s="21"/>
      <c r="B150" s="21" t="s">
        <v>139</v>
      </c>
      <c r="C150" s="21" t="s">
        <v>141</v>
      </c>
      <c r="D150" s="21" t="s">
        <v>149</v>
      </c>
      <c r="E150" s="21" t="s">
        <v>151</v>
      </c>
      <c r="F150" s="21" t="s">
        <v>324</v>
      </c>
      <c r="G150" s="21"/>
      <c r="H150" s="21" t="s">
        <v>223</v>
      </c>
      <c r="I150" s="21"/>
      <c r="J150" s="22" t="n">
        <v>3</v>
      </c>
      <c r="K150" s="22" t="n">
        <v>2</v>
      </c>
      <c r="L150" s="22" t="n">
        <v>1</v>
      </c>
      <c r="M150" s="21" t="s">
        <v>212</v>
      </c>
      <c r="N150" s="21"/>
      <c r="O150" s="22"/>
      <c r="P150" s="20" t="n">
        <f aca="false">IF($N150="Reduce",N($O150),0)</f>
        <v>0</v>
      </c>
      <c r="Q150" s="23" t="str">
        <f aca="false">IF($F150="","",MID(IF($G150="",", career level","")&amp;IF($I150="",", nationality mandate","")&amp;IF($N150="",", capacity direction","")&amp;IF(N($J150)&lt;=0,", approved HC","")&amp;IF(AND($G150&lt;&gt;"",COUNTIF(CareerLevels,$G150)=0),", a career level that is not on the ladder","")&amp;IF(AND($N150="Reduce",N($O150)&lt;=0),", how many seats Reduce means","")&amp;IF(AND(N($O150)&gt;0,$N150&lt;&gt;"Reduce"),", a number of seats on a row not marked Reduce","")&amp;IF(N($O150)&gt;N($J150),", more seats given up than the row has",""),3,200))</f>
        <v>career level, nationality mandate, capacity direction</v>
      </c>
    </row>
    <row r="151" customFormat="false" ht="15" hidden="false" customHeight="false" outlineLevel="0" collapsed="false">
      <c r="A151" s="21" t="s">
        <v>242</v>
      </c>
      <c r="B151" s="21" t="s">
        <v>139</v>
      </c>
      <c r="C151" s="21" t="s">
        <v>141</v>
      </c>
      <c r="D151" s="21" t="s">
        <v>149</v>
      </c>
      <c r="E151" s="21" t="s">
        <v>151</v>
      </c>
      <c r="F151" s="21" t="s">
        <v>325</v>
      </c>
      <c r="G151" s="21"/>
      <c r="H151" s="21" t="s">
        <v>220</v>
      </c>
      <c r="I151" s="21"/>
      <c r="J151" s="22" t="n">
        <v>1</v>
      </c>
      <c r="K151" s="22" t="n">
        <v>1</v>
      </c>
      <c r="L151" s="22" t="n">
        <v>0</v>
      </c>
      <c r="M151" s="21" t="s">
        <v>212</v>
      </c>
      <c r="N151" s="21"/>
      <c r="O151" s="22"/>
      <c r="P151" s="20" t="n">
        <f aca="false">IF($N151="Reduce",N($O151),0)</f>
        <v>0</v>
      </c>
      <c r="Q151" s="23" t="str">
        <f aca="false">IF($F151="","",MID(IF($G151="",", career level","")&amp;IF($I151="",", nationality mandate","")&amp;IF($N151="",", capacity direction","")&amp;IF(N($J151)&lt;=0,", approved HC","")&amp;IF(AND($G151&lt;&gt;"",COUNTIF(CareerLevels,$G151)=0),", a career level that is not on the ladder","")&amp;IF(AND($N151="Reduce",N($O151)&lt;=0),", how many seats Reduce means","")&amp;IF(AND(N($O151)&gt;0,$N151&lt;&gt;"Reduce"),", a number of seats on a row not marked Reduce","")&amp;IF(N($O151)&gt;N($J151),", more seats given up than the row has",""),3,200))</f>
        <v>career level, nationality mandate, capacity direction</v>
      </c>
    </row>
    <row r="152" customFormat="false" ht="15" hidden="false" customHeight="false" outlineLevel="0" collapsed="false">
      <c r="A152" s="21" t="s">
        <v>303</v>
      </c>
      <c r="B152" s="21" t="s">
        <v>139</v>
      </c>
      <c r="C152" s="21" t="s">
        <v>141</v>
      </c>
      <c r="D152" s="21" t="s">
        <v>149</v>
      </c>
      <c r="E152" s="21" t="s">
        <v>153</v>
      </c>
      <c r="F152" s="21" t="s">
        <v>318</v>
      </c>
      <c r="G152" s="21"/>
      <c r="H152" s="21" t="s">
        <v>223</v>
      </c>
      <c r="I152" s="21"/>
      <c r="J152" s="22" t="n">
        <v>1</v>
      </c>
      <c r="K152" s="22" t="n">
        <v>1</v>
      </c>
      <c r="L152" s="22" t="n">
        <v>0</v>
      </c>
      <c r="M152" s="21" t="s">
        <v>212</v>
      </c>
      <c r="N152" s="21"/>
      <c r="O152" s="22"/>
      <c r="P152" s="20" t="n">
        <f aca="false">IF($N152="Reduce",N($O152),0)</f>
        <v>0</v>
      </c>
      <c r="Q152" s="23" t="str">
        <f aca="false">IF($F152="","",MID(IF($G152="",", career level","")&amp;IF($I152="",", nationality mandate","")&amp;IF($N152="",", capacity direction","")&amp;IF(N($J152)&lt;=0,", approved HC","")&amp;IF(AND($G152&lt;&gt;"",COUNTIF(CareerLevels,$G152)=0),", a career level that is not on the ladder","")&amp;IF(AND($N152="Reduce",N($O152)&lt;=0),", how many seats Reduce means","")&amp;IF(AND(N($O152)&gt;0,$N152&lt;&gt;"Reduce"),", a number of seats on a row not marked Reduce","")&amp;IF(N($O152)&gt;N($J152),", more seats given up than the row has",""),3,200))</f>
        <v>career level, nationality mandate, capacity direction</v>
      </c>
    </row>
    <row r="153" customFormat="false" ht="15" hidden="false" customHeight="false" outlineLevel="0" collapsed="false">
      <c r="A153" s="21"/>
      <c r="B153" s="21" t="s">
        <v>139</v>
      </c>
      <c r="C153" s="21" t="s">
        <v>141</v>
      </c>
      <c r="D153" s="21" t="s">
        <v>149</v>
      </c>
      <c r="E153" s="21" t="s">
        <v>153</v>
      </c>
      <c r="F153" s="21" t="s">
        <v>321</v>
      </c>
      <c r="G153" s="21"/>
      <c r="H153" s="21" t="s">
        <v>223</v>
      </c>
      <c r="I153" s="21"/>
      <c r="J153" s="22" t="n">
        <v>2</v>
      </c>
      <c r="K153" s="22" t="n">
        <v>2</v>
      </c>
      <c r="L153" s="22" t="n">
        <v>0</v>
      </c>
      <c r="M153" s="21" t="s">
        <v>212</v>
      </c>
      <c r="N153" s="21"/>
      <c r="O153" s="22"/>
      <c r="P153" s="20" t="n">
        <f aca="false">IF($N153="Reduce",N($O153),0)</f>
        <v>0</v>
      </c>
      <c r="Q153" s="23" t="str">
        <f aca="false">IF($F153="","",MID(IF($G153="",", career level","")&amp;IF($I153="",", nationality mandate","")&amp;IF($N153="",", capacity direction","")&amp;IF(N($J153)&lt;=0,", approved HC","")&amp;IF(AND($G153&lt;&gt;"",COUNTIF(CareerLevels,$G153)=0),", a career level that is not on the ladder","")&amp;IF(AND($N153="Reduce",N($O153)&lt;=0),", how many seats Reduce means","")&amp;IF(AND(N($O153)&gt;0,$N153&lt;&gt;"Reduce"),", a number of seats on a row not marked Reduce","")&amp;IF(N($O153)&gt;N($J153),", more seats given up than the row has",""),3,200))</f>
        <v>career level, nationality mandate, capacity direction</v>
      </c>
    </row>
    <row r="154" customFormat="false" ht="15" hidden="false" customHeight="false" outlineLevel="0" collapsed="false">
      <c r="A154" s="21"/>
      <c r="B154" s="21" t="s">
        <v>139</v>
      </c>
      <c r="C154" s="21" t="s">
        <v>141</v>
      </c>
      <c r="D154" s="21" t="s">
        <v>149</v>
      </c>
      <c r="E154" s="21" t="s">
        <v>153</v>
      </c>
      <c r="F154" s="21" t="s">
        <v>327</v>
      </c>
      <c r="G154" s="21"/>
      <c r="H154" s="21" t="s">
        <v>223</v>
      </c>
      <c r="I154" s="21"/>
      <c r="J154" s="22" t="n">
        <v>3</v>
      </c>
      <c r="K154" s="22" t="n">
        <v>2</v>
      </c>
      <c r="L154" s="22" t="n">
        <v>1</v>
      </c>
      <c r="M154" s="21" t="s">
        <v>212</v>
      </c>
      <c r="N154" s="21"/>
      <c r="O154" s="22"/>
      <c r="P154" s="20" t="n">
        <f aca="false">IF($N154="Reduce",N($O154),0)</f>
        <v>0</v>
      </c>
      <c r="Q154" s="23" t="str">
        <f aca="false">IF($F154="","",MID(IF($G154="",", career level","")&amp;IF($I154="",", nationality mandate","")&amp;IF($N154="",", capacity direction","")&amp;IF(N($J154)&lt;=0,", approved HC","")&amp;IF(AND($G154&lt;&gt;"",COUNTIF(CareerLevels,$G154)=0),", a career level that is not on the ladder","")&amp;IF(AND($N154="Reduce",N($O154)&lt;=0),", how many seats Reduce means","")&amp;IF(AND(N($O154)&gt;0,$N154&lt;&gt;"Reduce"),", a number of seats on a row not marked Reduce","")&amp;IF(N($O154)&gt;N($J154),", more seats given up than the row has",""),3,200))</f>
        <v>career level, nationality mandate, capacity direction</v>
      </c>
    </row>
    <row r="155" customFormat="false" ht="15" hidden="false" customHeight="false" outlineLevel="0" collapsed="false">
      <c r="A155" s="21"/>
      <c r="B155" s="21" t="s">
        <v>139</v>
      </c>
      <c r="C155" s="21" t="s">
        <v>141</v>
      </c>
      <c r="D155" s="21" t="s">
        <v>149</v>
      </c>
      <c r="E155" s="21" t="s">
        <v>153</v>
      </c>
      <c r="F155" s="21" t="s">
        <v>324</v>
      </c>
      <c r="G155" s="21"/>
      <c r="H155" s="21" t="s">
        <v>223</v>
      </c>
      <c r="I155" s="21"/>
      <c r="J155" s="22" t="n">
        <v>2</v>
      </c>
      <c r="K155" s="22" t="n">
        <v>2</v>
      </c>
      <c r="L155" s="22" t="n">
        <v>0</v>
      </c>
      <c r="M155" s="21" t="s">
        <v>212</v>
      </c>
      <c r="N155" s="21"/>
      <c r="O155" s="22"/>
      <c r="P155" s="20" t="n">
        <f aca="false">IF($N155="Reduce",N($O155),0)</f>
        <v>0</v>
      </c>
      <c r="Q155" s="23" t="str">
        <f aca="false">IF($F155="","",MID(IF($G155="",", career level","")&amp;IF($I155="",", nationality mandate","")&amp;IF($N155="",", capacity direction","")&amp;IF(N($J155)&lt;=0,", approved HC","")&amp;IF(AND($G155&lt;&gt;"",COUNTIF(CareerLevels,$G155)=0),", a career level that is not on the ladder","")&amp;IF(AND($N155="Reduce",N($O155)&lt;=0),", how many seats Reduce means","")&amp;IF(AND(N($O155)&gt;0,$N155&lt;&gt;"Reduce"),", a number of seats on a row not marked Reduce","")&amp;IF(N($O155)&gt;N($J155),", more seats given up than the row has",""),3,200))</f>
        <v>career level, nationality mandate, capacity direction</v>
      </c>
    </row>
    <row r="156" customFormat="false" ht="15" hidden="false" customHeight="false" outlineLevel="0" collapsed="false">
      <c r="A156" s="21" t="s">
        <v>252</v>
      </c>
      <c r="B156" s="21" t="s">
        <v>139</v>
      </c>
      <c r="C156" s="21" t="s">
        <v>141</v>
      </c>
      <c r="D156" s="21" t="s">
        <v>149</v>
      </c>
      <c r="E156" s="21" t="s">
        <v>153</v>
      </c>
      <c r="F156" s="21" t="s">
        <v>325</v>
      </c>
      <c r="G156" s="21"/>
      <c r="H156" s="21" t="s">
        <v>220</v>
      </c>
      <c r="I156" s="21"/>
      <c r="J156" s="22" t="n">
        <v>1</v>
      </c>
      <c r="K156" s="22" t="n">
        <v>1</v>
      </c>
      <c r="L156" s="22" t="n">
        <v>0</v>
      </c>
      <c r="M156" s="21" t="s">
        <v>212</v>
      </c>
      <c r="N156" s="21"/>
      <c r="O156" s="22"/>
      <c r="P156" s="20" t="n">
        <f aca="false">IF($N156="Reduce",N($O156),0)</f>
        <v>0</v>
      </c>
      <c r="Q156" s="23" t="str">
        <f aca="false">IF($F156="","",MID(IF($G156="",", career level","")&amp;IF($I156="",", nationality mandate","")&amp;IF($N156="",", capacity direction","")&amp;IF(N($J156)&lt;=0,", approved HC","")&amp;IF(AND($G156&lt;&gt;"",COUNTIF(CareerLevels,$G156)=0),", a career level that is not on the ladder","")&amp;IF(AND($N156="Reduce",N($O156)&lt;=0),", how many seats Reduce means","")&amp;IF(AND(N($O156)&gt;0,$N156&lt;&gt;"Reduce"),", a number of seats on a row not marked Reduce","")&amp;IF(N($O156)&gt;N($J156),", more seats given up than the row has",""),3,200))</f>
        <v>career level, nationality mandate, capacity direction</v>
      </c>
    </row>
    <row r="157" customFormat="false" ht="15" hidden="false" customHeight="false" outlineLevel="0" collapsed="false">
      <c r="A157" s="21" t="s">
        <v>303</v>
      </c>
      <c r="B157" s="21" t="s">
        <v>139</v>
      </c>
      <c r="C157" s="21" t="s">
        <v>155</v>
      </c>
      <c r="D157" s="21"/>
      <c r="E157" s="21"/>
      <c r="F157" s="21" t="s">
        <v>328</v>
      </c>
      <c r="G157" s="21"/>
      <c r="H157" s="21" t="s">
        <v>215</v>
      </c>
      <c r="I157" s="21"/>
      <c r="J157" s="22" t="n">
        <v>1</v>
      </c>
      <c r="K157" s="22" t="n">
        <v>1</v>
      </c>
      <c r="L157" s="22" t="n">
        <v>0</v>
      </c>
      <c r="M157" s="21" t="s">
        <v>245</v>
      </c>
      <c r="N157" s="21"/>
      <c r="O157" s="22"/>
      <c r="P157" s="20" t="n">
        <f aca="false">IF($N157="Reduce",N($O157),0)</f>
        <v>0</v>
      </c>
      <c r="Q157" s="23" t="str">
        <f aca="false">IF($F157="","",MID(IF($G157="",", career level","")&amp;IF($I157="",", nationality mandate","")&amp;IF($N157="",", capacity direction","")&amp;IF(N($J157)&lt;=0,", approved HC","")&amp;IF(AND($G157&lt;&gt;"",COUNTIF(CareerLevels,$G157)=0),", a career level that is not on the ladder","")&amp;IF(AND($N157="Reduce",N($O157)&lt;=0),", how many seats Reduce means","")&amp;IF(AND(N($O157)&gt;0,$N157&lt;&gt;"Reduce"),", a number of seats on a row not marked Reduce","")&amp;IF(N($O157)&gt;N($J157),", more seats given up than the row has",""),3,200))</f>
        <v>career level, nationality mandate, capacity direction</v>
      </c>
    </row>
    <row r="158" customFormat="false" ht="15" hidden="false" customHeight="false" outlineLevel="0" collapsed="false">
      <c r="A158" s="21" t="s">
        <v>251</v>
      </c>
      <c r="B158" s="21" t="s">
        <v>139</v>
      </c>
      <c r="C158" s="21" t="s">
        <v>155</v>
      </c>
      <c r="D158" s="21" t="s">
        <v>157</v>
      </c>
      <c r="E158" s="21"/>
      <c r="F158" s="21" t="s">
        <v>329</v>
      </c>
      <c r="G158" s="21"/>
      <c r="H158" s="21" t="s">
        <v>220</v>
      </c>
      <c r="I158" s="21"/>
      <c r="J158" s="22" t="n">
        <v>1</v>
      </c>
      <c r="K158" s="22" t="n">
        <v>1</v>
      </c>
      <c r="L158" s="22" t="n">
        <v>0</v>
      </c>
      <c r="M158" s="21" t="s">
        <v>212</v>
      </c>
      <c r="N158" s="21"/>
      <c r="O158" s="22"/>
      <c r="P158" s="20" t="n">
        <f aca="false">IF($N158="Reduce",N($O158),0)</f>
        <v>0</v>
      </c>
      <c r="Q158" s="23" t="str">
        <f aca="false">IF($F158="","",MID(IF($G158="",", career level","")&amp;IF($I158="",", nationality mandate","")&amp;IF($N158="",", capacity direction","")&amp;IF(N($J158)&lt;=0,", approved HC","")&amp;IF(AND($G158&lt;&gt;"",COUNTIF(CareerLevels,$G158)=0),", a career level that is not on the ladder","")&amp;IF(AND($N158="Reduce",N($O158)&lt;=0),", how many seats Reduce means","")&amp;IF(AND(N($O158)&gt;0,$N158&lt;&gt;"Reduce"),", a number of seats on a row not marked Reduce","")&amp;IF(N($O158)&gt;N($J158),", more seats given up than the row has",""),3,200))</f>
        <v>career level, nationality mandate, capacity direction</v>
      </c>
    </row>
    <row r="159" customFormat="false" ht="15" hidden="false" customHeight="false" outlineLevel="0" collapsed="false">
      <c r="A159" s="21"/>
      <c r="B159" s="21" t="s">
        <v>139</v>
      </c>
      <c r="C159" s="21" t="s">
        <v>155</v>
      </c>
      <c r="D159" s="21" t="s">
        <v>157</v>
      </c>
      <c r="E159" s="21" t="s">
        <v>159</v>
      </c>
      <c r="F159" s="21" t="s">
        <v>330</v>
      </c>
      <c r="G159" s="21"/>
      <c r="H159" s="21" t="s">
        <v>223</v>
      </c>
      <c r="I159" s="21"/>
      <c r="J159" s="22" t="n">
        <v>2</v>
      </c>
      <c r="K159" s="22" t="n">
        <v>2</v>
      </c>
      <c r="L159" s="22" t="n">
        <v>0</v>
      </c>
      <c r="M159" s="21" t="s">
        <v>212</v>
      </c>
      <c r="N159" s="21"/>
      <c r="O159" s="22"/>
      <c r="P159" s="20" t="n">
        <f aca="false">IF($N159="Reduce",N($O159),0)</f>
        <v>0</v>
      </c>
      <c r="Q159" s="23" t="str">
        <f aca="false">IF($F159="","",MID(IF($G159="",", career level","")&amp;IF($I159="",", nationality mandate","")&amp;IF($N159="",", capacity direction","")&amp;IF(N($J159)&lt;=0,", approved HC","")&amp;IF(AND($G159&lt;&gt;"",COUNTIF(CareerLevels,$G159)=0),", a career level that is not on the ladder","")&amp;IF(AND($N159="Reduce",N($O159)&lt;=0),", how many seats Reduce means","")&amp;IF(AND(N($O159)&gt;0,$N159&lt;&gt;"Reduce"),", a number of seats on a row not marked Reduce","")&amp;IF(N($O159)&gt;N($J159),", more seats given up than the row has",""),3,200))</f>
        <v>career level, nationality mandate, capacity direction</v>
      </c>
    </row>
    <row r="160" customFormat="false" ht="15" hidden="false" customHeight="false" outlineLevel="0" collapsed="false">
      <c r="A160" s="21"/>
      <c r="B160" s="21" t="s">
        <v>139</v>
      </c>
      <c r="C160" s="21" t="s">
        <v>155</v>
      </c>
      <c r="D160" s="21" t="s">
        <v>157</v>
      </c>
      <c r="E160" s="21" t="s">
        <v>159</v>
      </c>
      <c r="F160" s="21" t="s">
        <v>331</v>
      </c>
      <c r="G160" s="21"/>
      <c r="H160" s="21" t="s">
        <v>223</v>
      </c>
      <c r="I160" s="21"/>
      <c r="J160" s="22" t="n">
        <v>2</v>
      </c>
      <c r="K160" s="22" t="n">
        <v>2</v>
      </c>
      <c r="L160" s="22" t="n">
        <v>0</v>
      </c>
      <c r="M160" s="21" t="s">
        <v>212</v>
      </c>
      <c r="N160" s="21"/>
      <c r="O160" s="22"/>
      <c r="P160" s="20" t="n">
        <f aca="false">IF($N160="Reduce",N($O160),0)</f>
        <v>0</v>
      </c>
      <c r="Q160" s="23" t="str">
        <f aca="false">IF($F160="","",MID(IF($G160="",", career level","")&amp;IF($I160="",", nationality mandate","")&amp;IF($N160="",", capacity direction","")&amp;IF(N($J160)&lt;=0,", approved HC","")&amp;IF(AND($G160&lt;&gt;"",COUNTIF(CareerLevels,$G160)=0),", a career level that is not on the ladder","")&amp;IF(AND($N160="Reduce",N($O160)&lt;=0),", how many seats Reduce means","")&amp;IF(AND(N($O160)&gt;0,$N160&lt;&gt;"Reduce"),", a number of seats on a row not marked Reduce","")&amp;IF(N($O160)&gt;N($J160),", more seats given up than the row has",""),3,200))</f>
        <v>career level, nationality mandate, capacity direction</v>
      </c>
    </row>
    <row r="161" customFormat="false" ht="15" hidden="false" customHeight="false" outlineLevel="0" collapsed="false">
      <c r="A161" s="21" t="s">
        <v>332</v>
      </c>
      <c r="B161" s="21" t="s">
        <v>139</v>
      </c>
      <c r="C161" s="21" t="s">
        <v>155</v>
      </c>
      <c r="D161" s="21" t="s">
        <v>157</v>
      </c>
      <c r="E161" s="21" t="s">
        <v>159</v>
      </c>
      <c r="F161" s="21" t="s">
        <v>333</v>
      </c>
      <c r="G161" s="21"/>
      <c r="H161" s="21" t="s">
        <v>223</v>
      </c>
      <c r="I161" s="21"/>
      <c r="J161" s="22" t="n">
        <v>1</v>
      </c>
      <c r="K161" s="22" t="n">
        <v>1</v>
      </c>
      <c r="L161" s="22" t="n">
        <v>0</v>
      </c>
      <c r="M161" s="21" t="s">
        <v>212</v>
      </c>
      <c r="N161" s="21"/>
      <c r="O161" s="22"/>
      <c r="P161" s="20" t="n">
        <f aca="false">IF($N161="Reduce",N($O161),0)</f>
        <v>0</v>
      </c>
      <c r="Q161" s="23" t="str">
        <f aca="false">IF($F161="","",MID(IF($G161="",", career level","")&amp;IF($I161="",", nationality mandate","")&amp;IF($N161="",", capacity direction","")&amp;IF(N($J161)&lt;=0,", approved HC","")&amp;IF(AND($G161&lt;&gt;"",COUNTIF(CareerLevels,$G161)=0),", a career level that is not on the ladder","")&amp;IF(AND($N161="Reduce",N($O161)&lt;=0),", how many seats Reduce means","")&amp;IF(AND(N($O161)&gt;0,$N161&lt;&gt;"Reduce"),", a number of seats on a row not marked Reduce","")&amp;IF(N($O161)&gt;N($J161),", more seats given up than the row has",""),3,200))</f>
        <v>career level, nationality mandate, capacity direction</v>
      </c>
    </row>
    <row r="162" customFormat="false" ht="15" hidden="false" customHeight="false" outlineLevel="0" collapsed="false">
      <c r="A162" s="21" t="s">
        <v>301</v>
      </c>
      <c r="B162" s="21" t="s">
        <v>139</v>
      </c>
      <c r="C162" s="21" t="s">
        <v>155</v>
      </c>
      <c r="D162" s="21" t="s">
        <v>157</v>
      </c>
      <c r="E162" s="21" t="s">
        <v>159</v>
      </c>
      <c r="F162" s="21" t="s">
        <v>334</v>
      </c>
      <c r="G162" s="21"/>
      <c r="H162" s="21" t="s">
        <v>223</v>
      </c>
      <c r="I162" s="21"/>
      <c r="J162" s="22" t="n">
        <v>1</v>
      </c>
      <c r="K162" s="22" t="n">
        <v>1</v>
      </c>
      <c r="L162" s="22" t="n">
        <v>0</v>
      </c>
      <c r="M162" s="21" t="s">
        <v>212</v>
      </c>
      <c r="N162" s="21"/>
      <c r="O162" s="22"/>
      <c r="P162" s="20" t="n">
        <f aca="false">IF($N162="Reduce",N($O162),0)</f>
        <v>0</v>
      </c>
      <c r="Q162" s="23" t="str">
        <f aca="false">IF($F162="","",MID(IF($G162="",", career level","")&amp;IF($I162="",", nationality mandate","")&amp;IF($N162="",", capacity direction","")&amp;IF(N($J162)&lt;=0,", approved HC","")&amp;IF(AND($G162&lt;&gt;"",COUNTIF(CareerLevels,$G162)=0),", a career level that is not on the ladder","")&amp;IF(AND($N162="Reduce",N($O162)&lt;=0),", how many seats Reduce means","")&amp;IF(AND(N($O162)&gt;0,$N162&lt;&gt;"Reduce"),", a number of seats on a row not marked Reduce","")&amp;IF(N($O162)&gt;N($J162),", more seats given up than the row has",""),3,200))</f>
        <v>career level, nationality mandate, capacity direction</v>
      </c>
    </row>
    <row r="163" customFormat="false" ht="15" hidden="false" customHeight="false" outlineLevel="0" collapsed="false">
      <c r="A163" s="21" t="s">
        <v>283</v>
      </c>
      <c r="B163" s="21" t="s">
        <v>139</v>
      </c>
      <c r="C163" s="21" t="s">
        <v>155</v>
      </c>
      <c r="D163" s="21" t="s">
        <v>157</v>
      </c>
      <c r="E163" s="21" t="s">
        <v>159</v>
      </c>
      <c r="F163" s="21" t="s">
        <v>335</v>
      </c>
      <c r="G163" s="21"/>
      <c r="H163" s="21" t="s">
        <v>223</v>
      </c>
      <c r="I163" s="21"/>
      <c r="J163" s="22" t="n">
        <v>1</v>
      </c>
      <c r="K163" s="22" t="n">
        <v>1</v>
      </c>
      <c r="L163" s="22" t="n">
        <v>0</v>
      </c>
      <c r="M163" s="21" t="s">
        <v>212</v>
      </c>
      <c r="N163" s="21"/>
      <c r="O163" s="22"/>
      <c r="P163" s="20" t="n">
        <f aca="false">IF($N163="Reduce",N($O163),0)</f>
        <v>0</v>
      </c>
      <c r="Q163" s="23" t="str">
        <f aca="false">IF($F163="","",MID(IF($G163="",", career level","")&amp;IF($I163="",", nationality mandate","")&amp;IF($N163="",", capacity direction","")&amp;IF(N($J163)&lt;=0,", approved HC","")&amp;IF(AND($G163&lt;&gt;"",COUNTIF(CareerLevels,$G163)=0),", a career level that is not on the ladder","")&amp;IF(AND($N163="Reduce",N($O163)&lt;=0),", how many seats Reduce means","")&amp;IF(AND(N($O163)&gt;0,$N163&lt;&gt;"Reduce"),", a number of seats on a row not marked Reduce","")&amp;IF(N($O163)&gt;N($J163),", more seats given up than the row has",""),3,200))</f>
        <v>career level, nationality mandate, capacity direction</v>
      </c>
    </row>
    <row r="164" customFormat="false" ht="15" hidden="false" customHeight="false" outlineLevel="0" collapsed="false">
      <c r="A164" s="21" t="s">
        <v>296</v>
      </c>
      <c r="B164" s="21" t="s">
        <v>139</v>
      </c>
      <c r="C164" s="21" t="s">
        <v>155</v>
      </c>
      <c r="D164" s="21" t="s">
        <v>157</v>
      </c>
      <c r="E164" s="21" t="s">
        <v>159</v>
      </c>
      <c r="F164" s="21" t="s">
        <v>336</v>
      </c>
      <c r="G164" s="21"/>
      <c r="H164" s="21" t="s">
        <v>220</v>
      </c>
      <c r="I164" s="21"/>
      <c r="J164" s="22" t="n">
        <v>1</v>
      </c>
      <c r="K164" s="22" t="n">
        <v>1</v>
      </c>
      <c r="L164" s="22" t="n">
        <v>0</v>
      </c>
      <c r="M164" s="21" t="s">
        <v>245</v>
      </c>
      <c r="N164" s="21"/>
      <c r="O164" s="22"/>
      <c r="P164" s="20" t="n">
        <f aca="false">IF($N164="Reduce",N($O164),0)</f>
        <v>0</v>
      </c>
      <c r="Q164" s="23" t="str">
        <f aca="false">IF($F164="","",MID(IF($G164="",", career level","")&amp;IF($I164="",", nationality mandate","")&amp;IF($N164="",", capacity direction","")&amp;IF(N($J164)&lt;=0,", approved HC","")&amp;IF(AND($G164&lt;&gt;"",COUNTIF(CareerLevels,$G164)=0),", a career level that is not on the ladder","")&amp;IF(AND($N164="Reduce",N($O164)&lt;=0),", how many seats Reduce means","")&amp;IF(AND(N($O164)&gt;0,$N164&lt;&gt;"Reduce"),", a number of seats on a row not marked Reduce","")&amp;IF(N($O164)&gt;N($J164),", more seats given up than the row has",""),3,200))</f>
        <v>career level, nationality mandate, capacity direction</v>
      </c>
    </row>
    <row r="165" customFormat="false" ht="15" hidden="false" customHeight="false" outlineLevel="0" collapsed="false">
      <c r="A165" s="21" t="s">
        <v>296</v>
      </c>
      <c r="B165" s="21" t="s">
        <v>139</v>
      </c>
      <c r="C165" s="21" t="s">
        <v>155</v>
      </c>
      <c r="D165" s="21" t="s">
        <v>157</v>
      </c>
      <c r="E165" s="21" t="s">
        <v>161</v>
      </c>
      <c r="F165" s="21" t="s">
        <v>330</v>
      </c>
      <c r="G165" s="21"/>
      <c r="H165" s="21" t="s">
        <v>223</v>
      </c>
      <c r="I165" s="21"/>
      <c r="J165" s="22" t="n">
        <v>1</v>
      </c>
      <c r="K165" s="22" t="n">
        <v>1</v>
      </c>
      <c r="L165" s="22" t="n">
        <v>0</v>
      </c>
      <c r="M165" s="21" t="s">
        <v>212</v>
      </c>
      <c r="N165" s="21"/>
      <c r="O165" s="22"/>
      <c r="P165" s="20" t="n">
        <f aca="false">IF($N165="Reduce",N($O165),0)</f>
        <v>0</v>
      </c>
      <c r="Q165" s="23" t="str">
        <f aca="false">IF($F165="","",MID(IF($G165="",", career level","")&amp;IF($I165="",", nationality mandate","")&amp;IF($N165="",", capacity direction","")&amp;IF(N($J165)&lt;=0,", approved HC","")&amp;IF(AND($G165&lt;&gt;"",COUNTIF(CareerLevels,$G165)=0),", a career level that is not on the ladder","")&amp;IF(AND($N165="Reduce",N($O165)&lt;=0),", how many seats Reduce means","")&amp;IF(AND(N($O165)&gt;0,$N165&lt;&gt;"Reduce"),", a number of seats on a row not marked Reduce","")&amp;IF(N($O165)&gt;N($J165),", more seats given up than the row has",""),3,200))</f>
        <v>career level, nationality mandate, capacity direction</v>
      </c>
    </row>
    <row r="166" customFormat="false" ht="15" hidden="false" customHeight="false" outlineLevel="0" collapsed="false">
      <c r="A166" s="21"/>
      <c r="B166" s="21" t="s">
        <v>139</v>
      </c>
      <c r="C166" s="21" t="s">
        <v>155</v>
      </c>
      <c r="D166" s="21" t="s">
        <v>157</v>
      </c>
      <c r="E166" s="21" t="s">
        <v>161</v>
      </c>
      <c r="F166" s="21" t="s">
        <v>331</v>
      </c>
      <c r="G166" s="21"/>
      <c r="H166" s="21" t="s">
        <v>223</v>
      </c>
      <c r="I166" s="21"/>
      <c r="J166" s="22" t="n">
        <v>2</v>
      </c>
      <c r="K166" s="22" t="n">
        <v>1</v>
      </c>
      <c r="L166" s="22" t="n">
        <v>1</v>
      </c>
      <c r="M166" s="21" t="s">
        <v>212</v>
      </c>
      <c r="N166" s="21"/>
      <c r="O166" s="22"/>
      <c r="P166" s="20" t="n">
        <f aca="false">IF($N166="Reduce",N($O166),0)</f>
        <v>0</v>
      </c>
      <c r="Q166" s="23" t="str">
        <f aca="false">IF($F166="","",MID(IF($G166="",", career level","")&amp;IF($I166="",", nationality mandate","")&amp;IF($N166="",", capacity direction","")&amp;IF(N($J166)&lt;=0,", approved HC","")&amp;IF(AND($G166&lt;&gt;"",COUNTIF(CareerLevels,$G166)=0),", a career level that is not on the ladder","")&amp;IF(AND($N166="Reduce",N($O166)&lt;=0),", how many seats Reduce means","")&amp;IF(AND(N($O166)&gt;0,$N166&lt;&gt;"Reduce"),", a number of seats on a row not marked Reduce","")&amp;IF(N($O166)&gt;N($J166),", more seats given up than the row has",""),3,200))</f>
        <v>career level, nationality mandate, capacity direction</v>
      </c>
    </row>
    <row r="167" customFormat="false" ht="15" hidden="false" customHeight="false" outlineLevel="0" collapsed="false">
      <c r="A167" s="21" t="s">
        <v>277</v>
      </c>
      <c r="B167" s="21" t="s">
        <v>139</v>
      </c>
      <c r="C167" s="21" t="s">
        <v>155</v>
      </c>
      <c r="D167" s="21" t="s">
        <v>157</v>
      </c>
      <c r="E167" s="21" t="s">
        <v>161</v>
      </c>
      <c r="F167" s="21" t="s">
        <v>334</v>
      </c>
      <c r="G167" s="21"/>
      <c r="H167" s="21" t="s">
        <v>223</v>
      </c>
      <c r="I167" s="21"/>
      <c r="J167" s="22" t="n">
        <v>1</v>
      </c>
      <c r="K167" s="22" t="n">
        <v>1</v>
      </c>
      <c r="L167" s="22" t="n">
        <v>0</v>
      </c>
      <c r="M167" s="21" t="s">
        <v>212</v>
      </c>
      <c r="N167" s="21"/>
      <c r="O167" s="22"/>
      <c r="P167" s="20" t="n">
        <f aca="false">IF($N167="Reduce",N($O167),0)</f>
        <v>0</v>
      </c>
      <c r="Q167" s="23" t="str">
        <f aca="false">IF($F167="","",MID(IF($G167="",", career level","")&amp;IF($I167="",", nationality mandate","")&amp;IF($N167="",", capacity direction","")&amp;IF(N($J167)&lt;=0,", approved HC","")&amp;IF(AND($G167&lt;&gt;"",COUNTIF(CareerLevels,$G167)=0),", a career level that is not on the ladder","")&amp;IF(AND($N167="Reduce",N($O167)&lt;=0),", how many seats Reduce means","")&amp;IF(AND(N($O167)&gt;0,$N167&lt;&gt;"Reduce"),", a number of seats on a row not marked Reduce","")&amp;IF(N($O167)&gt;N($J167),", more seats given up than the row has",""),3,200))</f>
        <v>career level, nationality mandate, capacity direction</v>
      </c>
    </row>
    <row r="168" customFormat="false" ht="15" hidden="false" customHeight="false" outlineLevel="0" collapsed="false">
      <c r="A168" s="21"/>
      <c r="B168" s="21" t="s">
        <v>139</v>
      </c>
      <c r="C168" s="21" t="s">
        <v>155</v>
      </c>
      <c r="D168" s="21" t="s">
        <v>157</v>
      </c>
      <c r="E168" s="21" t="s">
        <v>161</v>
      </c>
      <c r="F168" s="21" t="s">
        <v>337</v>
      </c>
      <c r="G168" s="21"/>
      <c r="H168" s="21" t="s">
        <v>223</v>
      </c>
      <c r="I168" s="21"/>
      <c r="J168" s="22" t="n">
        <v>2</v>
      </c>
      <c r="K168" s="22" t="n">
        <v>2</v>
      </c>
      <c r="L168" s="22" t="n">
        <v>0</v>
      </c>
      <c r="M168" s="21" t="s">
        <v>212</v>
      </c>
      <c r="N168" s="21"/>
      <c r="O168" s="22"/>
      <c r="P168" s="20" t="n">
        <f aca="false">IF($N168="Reduce",N($O168),0)</f>
        <v>0</v>
      </c>
      <c r="Q168" s="23" t="str">
        <f aca="false">IF($F168="","",MID(IF($G168="",", career level","")&amp;IF($I168="",", nationality mandate","")&amp;IF($N168="",", capacity direction","")&amp;IF(N($J168)&lt;=0,", approved HC","")&amp;IF(AND($G168&lt;&gt;"",COUNTIF(CareerLevels,$G168)=0),", a career level that is not on the ladder","")&amp;IF(AND($N168="Reduce",N($O168)&lt;=0),", how many seats Reduce means","")&amp;IF(AND(N($O168)&gt;0,$N168&lt;&gt;"Reduce"),", a number of seats on a row not marked Reduce","")&amp;IF(N($O168)&gt;N($J168),", more seats given up than the row has",""),3,200))</f>
        <v>career level, nationality mandate, capacity direction</v>
      </c>
    </row>
    <row r="169" customFormat="false" ht="15" hidden="false" customHeight="false" outlineLevel="0" collapsed="false">
      <c r="A169" s="21"/>
      <c r="B169" s="21" t="s">
        <v>139</v>
      </c>
      <c r="C169" s="21" t="s">
        <v>155</v>
      </c>
      <c r="D169" s="21" t="s">
        <v>157</v>
      </c>
      <c r="E169" s="21" t="s">
        <v>161</v>
      </c>
      <c r="F169" s="21" t="s">
        <v>335</v>
      </c>
      <c r="G169" s="21"/>
      <c r="H169" s="21" t="s">
        <v>223</v>
      </c>
      <c r="I169" s="21"/>
      <c r="J169" s="22" t="n">
        <v>2</v>
      </c>
      <c r="K169" s="22" t="n">
        <v>2</v>
      </c>
      <c r="L169" s="22" t="n">
        <v>0</v>
      </c>
      <c r="M169" s="21" t="s">
        <v>212</v>
      </c>
      <c r="N169" s="21"/>
      <c r="O169" s="22"/>
      <c r="P169" s="20" t="n">
        <f aca="false">IF($N169="Reduce",N($O169),0)</f>
        <v>0</v>
      </c>
      <c r="Q169" s="23" t="str">
        <f aca="false">IF($F169="","",MID(IF($G169="",", career level","")&amp;IF($I169="",", nationality mandate","")&amp;IF($N169="",", capacity direction","")&amp;IF(N($J169)&lt;=0,", approved HC","")&amp;IF(AND($G169&lt;&gt;"",COUNTIF(CareerLevels,$G169)=0),", a career level that is not on the ladder","")&amp;IF(AND($N169="Reduce",N($O169)&lt;=0),", how many seats Reduce means","")&amp;IF(AND(N($O169)&gt;0,$N169&lt;&gt;"Reduce"),", a number of seats on a row not marked Reduce","")&amp;IF(N($O169)&gt;N($J169),", more seats given up than the row has",""),3,200))</f>
        <v>career level, nationality mandate, capacity direction</v>
      </c>
    </row>
    <row r="170" customFormat="false" ht="15" hidden="false" customHeight="false" outlineLevel="0" collapsed="false">
      <c r="A170" s="21" t="s">
        <v>303</v>
      </c>
      <c r="B170" s="21" t="s">
        <v>139</v>
      </c>
      <c r="C170" s="21" t="s">
        <v>155</v>
      </c>
      <c r="D170" s="21" t="s">
        <v>157</v>
      </c>
      <c r="E170" s="21" t="s">
        <v>161</v>
      </c>
      <c r="F170" s="21" t="s">
        <v>336</v>
      </c>
      <c r="G170" s="21"/>
      <c r="H170" s="21" t="s">
        <v>220</v>
      </c>
      <c r="I170" s="21"/>
      <c r="J170" s="22" t="n">
        <v>1</v>
      </c>
      <c r="K170" s="22" t="n">
        <v>1</v>
      </c>
      <c r="L170" s="22" t="n">
        <v>0</v>
      </c>
      <c r="M170" s="21" t="s">
        <v>212</v>
      </c>
      <c r="N170" s="21"/>
      <c r="O170" s="22"/>
      <c r="P170" s="20" t="n">
        <f aca="false">IF($N170="Reduce",N($O170),0)</f>
        <v>0</v>
      </c>
      <c r="Q170" s="23" t="str">
        <f aca="false">IF($F170="","",MID(IF($G170="",", career level","")&amp;IF($I170="",", nationality mandate","")&amp;IF($N170="",", capacity direction","")&amp;IF(N($J170)&lt;=0,", approved HC","")&amp;IF(AND($G170&lt;&gt;"",COUNTIF(CareerLevels,$G170)=0),", a career level that is not on the ladder","")&amp;IF(AND($N170="Reduce",N($O170)&lt;=0),", how many seats Reduce means","")&amp;IF(AND(N($O170)&gt;0,$N170&lt;&gt;"Reduce"),", a number of seats on a row not marked Reduce","")&amp;IF(N($O170)&gt;N($J170),", more seats given up than the row has",""),3,200))</f>
        <v>career level, nationality mandate, capacity direction</v>
      </c>
    </row>
    <row r="171" customFormat="false" ht="15" hidden="false" customHeight="false" outlineLevel="0" collapsed="false">
      <c r="A171" s="21" t="s">
        <v>338</v>
      </c>
      <c r="B171" s="21" t="s">
        <v>139</v>
      </c>
      <c r="C171" s="21" t="s">
        <v>155</v>
      </c>
      <c r="D171" s="21" t="s">
        <v>163</v>
      </c>
      <c r="E171" s="21"/>
      <c r="F171" s="21" t="s">
        <v>329</v>
      </c>
      <c r="G171" s="21"/>
      <c r="H171" s="21" t="s">
        <v>220</v>
      </c>
      <c r="I171" s="21"/>
      <c r="J171" s="22" t="n">
        <v>1</v>
      </c>
      <c r="K171" s="22" t="n">
        <v>1</v>
      </c>
      <c r="L171" s="22" t="n">
        <v>0</v>
      </c>
      <c r="M171" s="21" t="s">
        <v>212</v>
      </c>
      <c r="N171" s="21"/>
      <c r="O171" s="22"/>
      <c r="P171" s="20" t="n">
        <f aca="false">IF($N171="Reduce",N($O171),0)</f>
        <v>0</v>
      </c>
      <c r="Q171" s="23" t="str">
        <f aca="false">IF($F171="","",MID(IF($G171="",", career level","")&amp;IF($I171="",", nationality mandate","")&amp;IF($N171="",", capacity direction","")&amp;IF(N($J171)&lt;=0,", approved HC","")&amp;IF(AND($G171&lt;&gt;"",COUNTIF(CareerLevels,$G171)=0),", a career level that is not on the ladder","")&amp;IF(AND($N171="Reduce",N($O171)&lt;=0),", how many seats Reduce means","")&amp;IF(AND(N($O171)&gt;0,$N171&lt;&gt;"Reduce"),", a number of seats on a row not marked Reduce","")&amp;IF(N($O171)&gt;N($J171),", more seats given up than the row has",""),3,200))</f>
        <v>career level, nationality mandate, capacity direction</v>
      </c>
    </row>
    <row r="172" customFormat="false" ht="15" hidden="false" customHeight="false" outlineLevel="0" collapsed="false">
      <c r="A172" s="21"/>
      <c r="B172" s="21" t="s">
        <v>139</v>
      </c>
      <c r="C172" s="21" t="s">
        <v>155</v>
      </c>
      <c r="D172" s="21" t="s">
        <v>163</v>
      </c>
      <c r="E172" s="21" t="s">
        <v>165</v>
      </c>
      <c r="F172" s="21" t="s">
        <v>331</v>
      </c>
      <c r="G172" s="21"/>
      <c r="H172" s="21" t="s">
        <v>223</v>
      </c>
      <c r="I172" s="21"/>
      <c r="J172" s="22" t="n">
        <v>3</v>
      </c>
      <c r="K172" s="22" t="n">
        <v>2</v>
      </c>
      <c r="L172" s="22" t="n">
        <v>1</v>
      </c>
      <c r="M172" s="21" t="s">
        <v>212</v>
      </c>
      <c r="N172" s="21"/>
      <c r="O172" s="22"/>
      <c r="P172" s="20" t="n">
        <f aca="false">IF($N172="Reduce",N($O172),0)</f>
        <v>0</v>
      </c>
      <c r="Q172" s="23" t="str">
        <f aca="false">IF($F172="","",MID(IF($G172="",", career level","")&amp;IF($I172="",", nationality mandate","")&amp;IF($N172="",", capacity direction","")&amp;IF(N($J172)&lt;=0,", approved HC","")&amp;IF(AND($G172&lt;&gt;"",COUNTIF(CareerLevels,$G172)=0),", a career level that is not on the ladder","")&amp;IF(AND($N172="Reduce",N($O172)&lt;=0),", how many seats Reduce means","")&amp;IF(AND(N($O172)&gt;0,$N172&lt;&gt;"Reduce"),", a number of seats on a row not marked Reduce","")&amp;IF(N($O172)&gt;N($J172),", more seats given up than the row has",""),3,200))</f>
        <v>career level, nationality mandate, capacity direction</v>
      </c>
    </row>
    <row r="173" customFormat="false" ht="15" hidden="false" customHeight="false" outlineLevel="0" collapsed="false">
      <c r="A173" s="21" t="s">
        <v>339</v>
      </c>
      <c r="B173" s="21" t="s">
        <v>139</v>
      </c>
      <c r="C173" s="21" t="s">
        <v>155</v>
      </c>
      <c r="D173" s="21" t="s">
        <v>163</v>
      </c>
      <c r="E173" s="21" t="s">
        <v>165</v>
      </c>
      <c r="F173" s="21" t="s">
        <v>333</v>
      </c>
      <c r="G173" s="21"/>
      <c r="H173" s="21" t="s">
        <v>223</v>
      </c>
      <c r="I173" s="21"/>
      <c r="J173" s="22" t="n">
        <v>1</v>
      </c>
      <c r="K173" s="22" t="n">
        <v>1</v>
      </c>
      <c r="L173" s="22" t="n">
        <v>0</v>
      </c>
      <c r="M173" s="21" t="s">
        <v>212</v>
      </c>
      <c r="N173" s="21"/>
      <c r="O173" s="22"/>
      <c r="P173" s="20" t="n">
        <f aca="false">IF($N173="Reduce",N($O173),0)</f>
        <v>0</v>
      </c>
      <c r="Q173" s="23" t="str">
        <f aca="false">IF($F173="","",MID(IF($G173="",", career level","")&amp;IF($I173="",", nationality mandate","")&amp;IF($N173="",", capacity direction","")&amp;IF(N($J173)&lt;=0,", approved HC","")&amp;IF(AND($G173&lt;&gt;"",COUNTIF(CareerLevels,$G173)=0),", a career level that is not on the ladder","")&amp;IF(AND($N173="Reduce",N($O173)&lt;=0),", how many seats Reduce means","")&amp;IF(AND(N($O173)&gt;0,$N173&lt;&gt;"Reduce"),", a number of seats on a row not marked Reduce","")&amp;IF(N($O173)&gt;N($J173),", more seats given up than the row has",""),3,200))</f>
        <v>career level, nationality mandate, capacity direction</v>
      </c>
    </row>
    <row r="174" customFormat="false" ht="15" hidden="false" customHeight="false" outlineLevel="0" collapsed="false">
      <c r="A174" s="21"/>
      <c r="B174" s="21" t="s">
        <v>139</v>
      </c>
      <c r="C174" s="21" t="s">
        <v>155</v>
      </c>
      <c r="D174" s="21" t="s">
        <v>163</v>
      </c>
      <c r="E174" s="21" t="s">
        <v>165</v>
      </c>
      <c r="F174" s="21" t="s">
        <v>334</v>
      </c>
      <c r="G174" s="21"/>
      <c r="H174" s="21" t="s">
        <v>223</v>
      </c>
      <c r="I174" s="21"/>
      <c r="J174" s="22" t="n">
        <v>2</v>
      </c>
      <c r="K174" s="22" t="n">
        <v>2</v>
      </c>
      <c r="L174" s="22" t="n">
        <v>0</v>
      </c>
      <c r="M174" s="21" t="s">
        <v>212</v>
      </c>
      <c r="N174" s="21"/>
      <c r="O174" s="22"/>
      <c r="P174" s="20" t="n">
        <f aca="false">IF($N174="Reduce",N($O174),0)</f>
        <v>0</v>
      </c>
      <c r="Q174" s="23" t="str">
        <f aca="false">IF($F174="","",MID(IF($G174="",", career level","")&amp;IF($I174="",", nationality mandate","")&amp;IF($N174="",", capacity direction","")&amp;IF(N($J174)&lt;=0,", approved HC","")&amp;IF(AND($G174&lt;&gt;"",COUNTIF(CareerLevels,$G174)=0),", a career level that is not on the ladder","")&amp;IF(AND($N174="Reduce",N($O174)&lt;=0),", how many seats Reduce means","")&amp;IF(AND(N($O174)&gt;0,$N174&lt;&gt;"Reduce"),", a number of seats on a row not marked Reduce","")&amp;IF(N($O174)&gt;N($J174),", more seats given up than the row has",""),3,200))</f>
        <v>career level, nationality mandate, capacity direction</v>
      </c>
    </row>
    <row r="175" customFormat="false" ht="15" hidden="false" customHeight="false" outlineLevel="0" collapsed="false">
      <c r="A175" s="21"/>
      <c r="B175" s="21" t="s">
        <v>139</v>
      </c>
      <c r="C175" s="21" t="s">
        <v>155</v>
      </c>
      <c r="D175" s="21" t="s">
        <v>163</v>
      </c>
      <c r="E175" s="21" t="s">
        <v>165</v>
      </c>
      <c r="F175" s="21" t="s">
        <v>337</v>
      </c>
      <c r="G175" s="21"/>
      <c r="H175" s="21" t="s">
        <v>223</v>
      </c>
      <c r="I175" s="21"/>
      <c r="J175" s="22" t="n">
        <v>2</v>
      </c>
      <c r="K175" s="22" t="n">
        <v>2</v>
      </c>
      <c r="L175" s="22" t="n">
        <v>0</v>
      </c>
      <c r="M175" s="21" t="s">
        <v>212</v>
      </c>
      <c r="N175" s="21"/>
      <c r="O175" s="22"/>
      <c r="P175" s="20" t="n">
        <f aca="false">IF($N175="Reduce",N($O175),0)</f>
        <v>0</v>
      </c>
      <c r="Q175" s="23" t="str">
        <f aca="false">IF($F175="","",MID(IF($G175="",", career level","")&amp;IF($I175="",", nationality mandate","")&amp;IF($N175="",", capacity direction","")&amp;IF(N($J175)&lt;=0,", approved HC","")&amp;IF(AND($G175&lt;&gt;"",COUNTIF(CareerLevels,$G175)=0),", a career level that is not on the ladder","")&amp;IF(AND($N175="Reduce",N($O175)&lt;=0),", how many seats Reduce means","")&amp;IF(AND(N($O175)&gt;0,$N175&lt;&gt;"Reduce"),", a number of seats on a row not marked Reduce","")&amp;IF(N($O175)&gt;N($J175),", more seats given up than the row has",""),3,200))</f>
        <v>career level, nationality mandate, capacity direction</v>
      </c>
    </row>
    <row r="176" customFormat="false" ht="15" hidden="false" customHeight="false" outlineLevel="0" collapsed="false">
      <c r="A176" s="21" t="s">
        <v>323</v>
      </c>
      <c r="B176" s="21" t="s">
        <v>139</v>
      </c>
      <c r="C176" s="21" t="s">
        <v>155</v>
      </c>
      <c r="D176" s="21" t="s">
        <v>163</v>
      </c>
      <c r="E176" s="21" t="s">
        <v>165</v>
      </c>
      <c r="F176" s="21" t="s">
        <v>335</v>
      </c>
      <c r="G176" s="21"/>
      <c r="H176" s="21" t="s">
        <v>223</v>
      </c>
      <c r="I176" s="21"/>
      <c r="J176" s="22" t="n">
        <v>1</v>
      </c>
      <c r="K176" s="22" t="n">
        <v>0</v>
      </c>
      <c r="L176" s="22" t="n">
        <v>1</v>
      </c>
      <c r="M176" s="21" t="s">
        <v>212</v>
      </c>
      <c r="N176" s="21"/>
      <c r="O176" s="22"/>
      <c r="P176" s="20" t="n">
        <f aca="false">IF($N176="Reduce",N($O176),0)</f>
        <v>0</v>
      </c>
      <c r="Q176" s="23" t="str">
        <f aca="false">IF($F176="","",MID(IF($G176="",", career level","")&amp;IF($I176="",", nationality mandate","")&amp;IF($N176="",", capacity direction","")&amp;IF(N($J176)&lt;=0,", approved HC","")&amp;IF(AND($G176&lt;&gt;"",COUNTIF(CareerLevels,$G176)=0),", a career level that is not on the ladder","")&amp;IF(AND($N176="Reduce",N($O176)&lt;=0),", how many seats Reduce means","")&amp;IF(AND(N($O176)&gt;0,$N176&lt;&gt;"Reduce"),", a number of seats on a row not marked Reduce","")&amp;IF(N($O176)&gt;N($J176),", more seats given up than the row has",""),3,200))</f>
        <v>career level, nationality mandate, capacity direction</v>
      </c>
    </row>
    <row r="177" customFormat="false" ht="15" hidden="false" customHeight="false" outlineLevel="0" collapsed="false">
      <c r="A177" s="21" t="s">
        <v>296</v>
      </c>
      <c r="B177" s="21" t="s">
        <v>139</v>
      </c>
      <c r="C177" s="21" t="s">
        <v>155</v>
      </c>
      <c r="D177" s="21" t="s">
        <v>163</v>
      </c>
      <c r="E177" s="21" t="s">
        <v>165</v>
      </c>
      <c r="F177" s="21" t="s">
        <v>336</v>
      </c>
      <c r="G177" s="21"/>
      <c r="H177" s="21" t="s">
        <v>220</v>
      </c>
      <c r="I177" s="21"/>
      <c r="J177" s="22" t="n">
        <v>1</v>
      </c>
      <c r="K177" s="22" t="n">
        <v>1</v>
      </c>
      <c r="L177" s="22" t="n">
        <v>0</v>
      </c>
      <c r="M177" s="21" t="s">
        <v>212</v>
      </c>
      <c r="N177" s="21"/>
      <c r="O177" s="22"/>
      <c r="P177" s="20" t="n">
        <f aca="false">IF($N177="Reduce",N($O177),0)</f>
        <v>0</v>
      </c>
      <c r="Q177" s="23" t="str">
        <f aca="false">IF($F177="","",MID(IF($G177="",", career level","")&amp;IF($I177="",", nationality mandate","")&amp;IF($N177="",", capacity direction","")&amp;IF(N($J177)&lt;=0,", approved HC","")&amp;IF(AND($G177&lt;&gt;"",COUNTIF(CareerLevels,$G177)=0),", a career level that is not on the ladder","")&amp;IF(AND($N177="Reduce",N($O177)&lt;=0),", how many seats Reduce means","")&amp;IF(AND(N($O177)&gt;0,$N177&lt;&gt;"Reduce"),", a number of seats on a row not marked Reduce","")&amp;IF(N($O177)&gt;N($J177),", more seats given up than the row has",""),3,200))</f>
        <v>career level, nationality mandate, capacity direction</v>
      </c>
    </row>
    <row r="178" customFormat="false" ht="15" hidden="false" customHeight="false" outlineLevel="0" collapsed="false">
      <c r="A178" s="21"/>
      <c r="B178" s="21" t="s">
        <v>139</v>
      </c>
      <c r="C178" s="21" t="s">
        <v>155</v>
      </c>
      <c r="D178" s="21" t="s">
        <v>163</v>
      </c>
      <c r="E178" s="21" t="s">
        <v>167</v>
      </c>
      <c r="F178" s="21" t="s">
        <v>330</v>
      </c>
      <c r="G178" s="21"/>
      <c r="H178" s="21" t="s">
        <v>223</v>
      </c>
      <c r="I178" s="21"/>
      <c r="J178" s="22" t="n">
        <v>2</v>
      </c>
      <c r="K178" s="22" t="n">
        <v>2</v>
      </c>
      <c r="L178" s="22" t="n">
        <v>0</v>
      </c>
      <c r="M178" s="21" t="s">
        <v>212</v>
      </c>
      <c r="N178" s="21"/>
      <c r="O178" s="22"/>
      <c r="P178" s="20" t="n">
        <f aca="false">IF($N178="Reduce",N($O178),0)</f>
        <v>0</v>
      </c>
      <c r="Q178" s="23" t="str">
        <f aca="false">IF($F178="","",MID(IF($G178="",", career level","")&amp;IF($I178="",", nationality mandate","")&amp;IF($N178="",", capacity direction","")&amp;IF(N($J178)&lt;=0,", approved HC","")&amp;IF(AND($G178&lt;&gt;"",COUNTIF(CareerLevels,$G178)=0),", a career level that is not on the ladder","")&amp;IF(AND($N178="Reduce",N($O178)&lt;=0),", how many seats Reduce means","")&amp;IF(AND(N($O178)&gt;0,$N178&lt;&gt;"Reduce"),", a number of seats on a row not marked Reduce","")&amp;IF(N($O178)&gt;N($J178),", more seats given up than the row has",""),3,200))</f>
        <v>career level, nationality mandate, capacity direction</v>
      </c>
    </row>
    <row r="179" customFormat="false" ht="15" hidden="false" customHeight="false" outlineLevel="0" collapsed="false">
      <c r="A179" s="21" t="s">
        <v>262</v>
      </c>
      <c r="B179" s="21" t="s">
        <v>139</v>
      </c>
      <c r="C179" s="21" t="s">
        <v>155</v>
      </c>
      <c r="D179" s="21" t="s">
        <v>163</v>
      </c>
      <c r="E179" s="21" t="s">
        <v>167</v>
      </c>
      <c r="F179" s="21" t="s">
        <v>333</v>
      </c>
      <c r="G179" s="21"/>
      <c r="H179" s="21" t="s">
        <v>223</v>
      </c>
      <c r="I179" s="21"/>
      <c r="J179" s="22" t="n">
        <v>1</v>
      </c>
      <c r="K179" s="22" t="n">
        <v>1</v>
      </c>
      <c r="L179" s="22" t="n">
        <v>0</v>
      </c>
      <c r="M179" s="21" t="s">
        <v>212</v>
      </c>
      <c r="N179" s="21"/>
      <c r="O179" s="22"/>
      <c r="P179" s="20" t="n">
        <f aca="false">IF($N179="Reduce",N($O179),0)</f>
        <v>0</v>
      </c>
      <c r="Q179" s="23" t="str">
        <f aca="false">IF($F179="","",MID(IF($G179="",", career level","")&amp;IF($I179="",", nationality mandate","")&amp;IF($N179="",", capacity direction","")&amp;IF(N($J179)&lt;=0,", approved HC","")&amp;IF(AND($G179&lt;&gt;"",COUNTIF(CareerLevels,$G179)=0),", a career level that is not on the ladder","")&amp;IF(AND($N179="Reduce",N($O179)&lt;=0),", how many seats Reduce means","")&amp;IF(AND(N($O179)&gt;0,$N179&lt;&gt;"Reduce"),", a number of seats on a row not marked Reduce","")&amp;IF(N($O179)&gt;N($J179),", more seats given up than the row has",""),3,200))</f>
        <v>career level, nationality mandate, capacity direction</v>
      </c>
    </row>
    <row r="180" customFormat="false" ht="15" hidden="false" customHeight="false" outlineLevel="0" collapsed="false">
      <c r="A180" s="21"/>
      <c r="B180" s="21" t="s">
        <v>139</v>
      </c>
      <c r="C180" s="21" t="s">
        <v>155</v>
      </c>
      <c r="D180" s="21" t="s">
        <v>163</v>
      </c>
      <c r="E180" s="21" t="s">
        <v>167</v>
      </c>
      <c r="F180" s="21" t="s">
        <v>334</v>
      </c>
      <c r="G180" s="21"/>
      <c r="H180" s="21" t="s">
        <v>223</v>
      </c>
      <c r="I180" s="21"/>
      <c r="J180" s="22" t="n">
        <v>2</v>
      </c>
      <c r="K180" s="22" t="n">
        <v>2</v>
      </c>
      <c r="L180" s="22" t="n">
        <v>0</v>
      </c>
      <c r="M180" s="21" t="s">
        <v>212</v>
      </c>
      <c r="N180" s="21"/>
      <c r="O180" s="22"/>
      <c r="P180" s="20" t="n">
        <f aca="false">IF($N180="Reduce",N($O180),0)</f>
        <v>0</v>
      </c>
      <c r="Q180" s="23" t="str">
        <f aca="false">IF($F180="","",MID(IF($G180="",", career level","")&amp;IF($I180="",", nationality mandate","")&amp;IF($N180="",", capacity direction","")&amp;IF(N($J180)&lt;=0,", approved HC","")&amp;IF(AND($G180&lt;&gt;"",COUNTIF(CareerLevels,$G180)=0),", a career level that is not on the ladder","")&amp;IF(AND($N180="Reduce",N($O180)&lt;=0),", how many seats Reduce means","")&amp;IF(AND(N($O180)&gt;0,$N180&lt;&gt;"Reduce"),", a number of seats on a row not marked Reduce","")&amp;IF(N($O180)&gt;N($J180),", more seats given up than the row has",""),3,200))</f>
        <v>career level, nationality mandate, capacity direction</v>
      </c>
    </row>
    <row r="181" customFormat="false" ht="15" hidden="false" customHeight="false" outlineLevel="0" collapsed="false">
      <c r="A181" s="21"/>
      <c r="B181" s="21" t="s">
        <v>139</v>
      </c>
      <c r="C181" s="21" t="s">
        <v>155</v>
      </c>
      <c r="D181" s="21" t="s">
        <v>163</v>
      </c>
      <c r="E181" s="21" t="s">
        <v>167</v>
      </c>
      <c r="F181" s="21" t="s">
        <v>335</v>
      </c>
      <c r="G181" s="21"/>
      <c r="H181" s="21" t="s">
        <v>223</v>
      </c>
      <c r="I181" s="21"/>
      <c r="J181" s="22" t="n">
        <v>2</v>
      </c>
      <c r="K181" s="22" t="n">
        <v>2</v>
      </c>
      <c r="L181" s="22" t="n">
        <v>0</v>
      </c>
      <c r="M181" s="21" t="s">
        <v>212</v>
      </c>
      <c r="N181" s="21"/>
      <c r="O181" s="22"/>
      <c r="P181" s="20" t="n">
        <f aca="false">IF($N181="Reduce",N($O181),0)</f>
        <v>0</v>
      </c>
      <c r="Q181" s="23" t="str">
        <f aca="false">IF($F181="","",MID(IF($G181="",", career level","")&amp;IF($I181="",", nationality mandate","")&amp;IF($N181="",", capacity direction","")&amp;IF(N($J181)&lt;=0,", approved HC","")&amp;IF(AND($G181&lt;&gt;"",COUNTIF(CareerLevels,$G181)=0),", a career level that is not on the ladder","")&amp;IF(AND($N181="Reduce",N($O181)&lt;=0),", how many seats Reduce means","")&amp;IF(AND(N($O181)&gt;0,$N181&lt;&gt;"Reduce"),", a number of seats on a row not marked Reduce","")&amp;IF(N($O181)&gt;N($J181),", more seats given up than the row has",""),3,200))</f>
        <v>career level, nationality mandate, capacity direction</v>
      </c>
    </row>
    <row r="182" customFormat="false" ht="15" hidden="false" customHeight="false" outlineLevel="0" collapsed="false">
      <c r="A182" s="21" t="s">
        <v>316</v>
      </c>
      <c r="B182" s="21" t="s">
        <v>139</v>
      </c>
      <c r="C182" s="21" t="s">
        <v>155</v>
      </c>
      <c r="D182" s="21" t="s">
        <v>163</v>
      </c>
      <c r="E182" s="21" t="s">
        <v>167</v>
      </c>
      <c r="F182" s="21" t="s">
        <v>336</v>
      </c>
      <c r="G182" s="21"/>
      <c r="H182" s="21" t="s">
        <v>220</v>
      </c>
      <c r="I182" s="21"/>
      <c r="J182" s="22" t="n">
        <v>1</v>
      </c>
      <c r="K182" s="22" t="n">
        <v>1</v>
      </c>
      <c r="L182" s="22" t="n">
        <v>0</v>
      </c>
      <c r="M182" s="21" t="s">
        <v>212</v>
      </c>
      <c r="N182" s="21"/>
      <c r="O182" s="22"/>
      <c r="P182" s="20" t="n">
        <f aca="false">IF($N182="Reduce",N($O182),0)</f>
        <v>0</v>
      </c>
      <c r="Q182" s="23" t="str">
        <f aca="false">IF($F182="","",MID(IF($G182="",", career level","")&amp;IF($I182="",", nationality mandate","")&amp;IF($N182="",", capacity direction","")&amp;IF(N($J182)&lt;=0,", approved HC","")&amp;IF(AND($G182&lt;&gt;"",COUNTIF(CareerLevels,$G182)=0),", a career level that is not on the ladder","")&amp;IF(AND($N182="Reduce",N($O182)&lt;=0),", how many seats Reduce means","")&amp;IF(AND(N($O182)&gt;0,$N182&lt;&gt;"Reduce"),", a number of seats on a row not marked Reduce","")&amp;IF(N($O182)&gt;N($J182),", more seats given up than the row has",""),3,200))</f>
        <v>career level, nationality mandate, capacity direction</v>
      </c>
    </row>
    <row r="183" customFormat="false" ht="15" hidden="false" customHeight="false" outlineLevel="0" collapsed="false">
      <c r="A183" s="21" t="s">
        <v>248</v>
      </c>
      <c r="B183" s="21" t="s">
        <v>169</v>
      </c>
      <c r="C183" s="21"/>
      <c r="D183" s="21"/>
      <c r="E183" s="21"/>
      <c r="F183" s="21" t="s">
        <v>340</v>
      </c>
      <c r="G183" s="21"/>
      <c r="H183" s="21" t="s">
        <v>215</v>
      </c>
      <c r="I183" s="21"/>
      <c r="J183" s="22" t="n">
        <v>1</v>
      </c>
      <c r="K183" s="22" t="n">
        <v>1</v>
      </c>
      <c r="L183" s="22" t="n">
        <v>0</v>
      </c>
      <c r="M183" s="21" t="s">
        <v>212</v>
      </c>
      <c r="N183" s="21"/>
      <c r="O183" s="22"/>
      <c r="P183" s="20" t="n">
        <f aca="false">IF($N183="Reduce",N($O183),0)</f>
        <v>0</v>
      </c>
      <c r="Q183" s="23" t="str">
        <f aca="false">IF($F183="","",MID(IF($G183="",", career level","")&amp;IF($I183="",", nationality mandate","")&amp;IF($N183="",", capacity direction","")&amp;IF(N($J183)&lt;=0,", approved HC","")&amp;IF(AND($G183&lt;&gt;"",COUNTIF(CareerLevels,$G183)=0),", a career level that is not on the ladder","")&amp;IF(AND($N183="Reduce",N($O183)&lt;=0),", how many seats Reduce means","")&amp;IF(AND(N($O183)&gt;0,$N183&lt;&gt;"Reduce"),", a number of seats on a row not marked Reduce","")&amp;IF(N($O183)&gt;N($J183),", more seats given up than the row has",""),3,200))</f>
        <v>career level, nationality mandate, capacity direction</v>
      </c>
    </row>
    <row r="184" customFormat="false" ht="15" hidden="false" customHeight="false" outlineLevel="0" collapsed="false">
      <c r="A184" s="21" t="s">
        <v>332</v>
      </c>
      <c r="B184" s="21" t="s">
        <v>169</v>
      </c>
      <c r="C184" s="21" t="s">
        <v>171</v>
      </c>
      <c r="D184" s="21"/>
      <c r="E184" s="21"/>
      <c r="F184" s="21" t="s">
        <v>341</v>
      </c>
      <c r="G184" s="21"/>
      <c r="H184" s="21" t="s">
        <v>215</v>
      </c>
      <c r="I184" s="21"/>
      <c r="J184" s="22" t="n">
        <v>1</v>
      </c>
      <c r="K184" s="22" t="n">
        <v>1</v>
      </c>
      <c r="L184" s="22" t="n">
        <v>0</v>
      </c>
      <c r="M184" s="21" t="s">
        <v>212</v>
      </c>
      <c r="N184" s="21"/>
      <c r="O184" s="22"/>
      <c r="P184" s="20" t="n">
        <f aca="false">IF($N184="Reduce",N($O184),0)</f>
        <v>0</v>
      </c>
      <c r="Q184" s="23" t="str">
        <f aca="false">IF($F184="","",MID(IF($G184="",", career level","")&amp;IF($I184="",", nationality mandate","")&amp;IF($N184="",", capacity direction","")&amp;IF(N($J184)&lt;=0,", approved HC","")&amp;IF(AND($G184&lt;&gt;"",COUNTIF(CareerLevels,$G184)=0),", a career level that is not on the ladder","")&amp;IF(AND($N184="Reduce",N($O184)&lt;=0),", how many seats Reduce means","")&amp;IF(AND(N($O184)&gt;0,$N184&lt;&gt;"Reduce"),", a number of seats on a row not marked Reduce","")&amp;IF(N($O184)&gt;N($J184),", more seats given up than the row has",""),3,200))</f>
        <v>career level, nationality mandate, capacity direction</v>
      </c>
    </row>
    <row r="185" customFormat="false" ht="15" hidden="false" customHeight="false" outlineLevel="0" collapsed="false">
      <c r="A185" s="21" t="s">
        <v>295</v>
      </c>
      <c r="B185" s="21" t="s">
        <v>169</v>
      </c>
      <c r="C185" s="21" t="s">
        <v>171</v>
      </c>
      <c r="D185" s="21" t="s">
        <v>173</v>
      </c>
      <c r="E185" s="21"/>
      <c r="F185" s="21" t="s">
        <v>342</v>
      </c>
      <c r="G185" s="21"/>
      <c r="H185" s="21" t="s">
        <v>220</v>
      </c>
      <c r="I185" s="21"/>
      <c r="J185" s="22" t="n">
        <v>1</v>
      </c>
      <c r="K185" s="22" t="n">
        <v>0</v>
      </c>
      <c r="L185" s="22" t="n">
        <v>1</v>
      </c>
      <c r="M185" s="21" t="s">
        <v>212</v>
      </c>
      <c r="N185" s="21"/>
      <c r="O185" s="22"/>
      <c r="P185" s="20" t="n">
        <f aca="false">IF($N185="Reduce",N($O185),0)</f>
        <v>0</v>
      </c>
      <c r="Q185" s="23" t="str">
        <f aca="false">IF($F185="","",MID(IF($G185="",", career level","")&amp;IF($I185="",", nationality mandate","")&amp;IF($N185="",", capacity direction","")&amp;IF(N($J185)&lt;=0,", approved HC","")&amp;IF(AND($G185&lt;&gt;"",COUNTIF(CareerLevels,$G185)=0),", a career level that is not on the ladder","")&amp;IF(AND($N185="Reduce",N($O185)&lt;=0),", how many seats Reduce means","")&amp;IF(AND(N($O185)&gt;0,$N185&lt;&gt;"Reduce"),", a number of seats on a row not marked Reduce","")&amp;IF(N($O185)&gt;N($J185),", more seats given up than the row has",""),3,200))</f>
        <v>career level, nationality mandate, capacity direction</v>
      </c>
    </row>
    <row r="186" customFormat="false" ht="15" hidden="false" customHeight="false" outlineLevel="0" collapsed="false">
      <c r="A186" s="21" t="s">
        <v>218</v>
      </c>
      <c r="B186" s="21" t="s">
        <v>169</v>
      </c>
      <c r="C186" s="21" t="s">
        <v>171</v>
      </c>
      <c r="D186" s="21" t="s">
        <v>173</v>
      </c>
      <c r="E186" s="21" t="s">
        <v>175</v>
      </c>
      <c r="F186" s="21" t="s">
        <v>343</v>
      </c>
      <c r="G186" s="21"/>
      <c r="H186" s="21" t="s">
        <v>223</v>
      </c>
      <c r="I186" s="21"/>
      <c r="J186" s="22" t="n">
        <v>1</v>
      </c>
      <c r="K186" s="22" t="n">
        <v>1</v>
      </c>
      <c r="L186" s="22" t="n">
        <v>0</v>
      </c>
      <c r="M186" s="21" t="s">
        <v>212</v>
      </c>
      <c r="N186" s="21"/>
      <c r="O186" s="22"/>
      <c r="P186" s="20" t="n">
        <f aca="false">IF($N186="Reduce",N($O186),0)</f>
        <v>0</v>
      </c>
      <c r="Q186" s="23" t="str">
        <f aca="false">IF($F186="","",MID(IF($G186="",", career level","")&amp;IF($I186="",", nationality mandate","")&amp;IF($N186="",", capacity direction","")&amp;IF(N($J186)&lt;=0,", approved HC","")&amp;IF(AND($G186&lt;&gt;"",COUNTIF(CareerLevels,$G186)=0),", a career level that is not on the ladder","")&amp;IF(AND($N186="Reduce",N($O186)&lt;=0),", how many seats Reduce means","")&amp;IF(AND(N($O186)&gt;0,$N186&lt;&gt;"Reduce"),", a number of seats on a row not marked Reduce","")&amp;IF(N($O186)&gt;N($J186),", more seats given up than the row has",""),3,200))</f>
        <v>career level, nationality mandate, capacity direction</v>
      </c>
    </row>
    <row r="187" customFormat="false" ht="15" hidden="false" customHeight="false" outlineLevel="0" collapsed="false">
      <c r="A187" s="21"/>
      <c r="B187" s="21" t="s">
        <v>169</v>
      </c>
      <c r="C187" s="21" t="s">
        <v>171</v>
      </c>
      <c r="D187" s="21" t="s">
        <v>173</v>
      </c>
      <c r="E187" s="21" t="s">
        <v>175</v>
      </c>
      <c r="F187" s="21" t="s">
        <v>344</v>
      </c>
      <c r="G187" s="21"/>
      <c r="H187" s="21" t="s">
        <v>223</v>
      </c>
      <c r="I187" s="21"/>
      <c r="J187" s="22" t="n">
        <v>2</v>
      </c>
      <c r="K187" s="22" t="n">
        <v>2</v>
      </c>
      <c r="L187" s="22" t="n">
        <v>0</v>
      </c>
      <c r="M187" s="21" t="s">
        <v>212</v>
      </c>
      <c r="N187" s="21"/>
      <c r="O187" s="22"/>
      <c r="P187" s="20" t="n">
        <f aca="false">IF($N187="Reduce",N($O187),0)</f>
        <v>0</v>
      </c>
      <c r="Q187" s="23" t="str">
        <f aca="false">IF($F187="","",MID(IF($G187="",", career level","")&amp;IF($I187="",", nationality mandate","")&amp;IF($N187="",", capacity direction","")&amp;IF(N($J187)&lt;=0,", approved HC","")&amp;IF(AND($G187&lt;&gt;"",COUNTIF(CareerLevels,$G187)=0),", a career level that is not on the ladder","")&amp;IF(AND($N187="Reduce",N($O187)&lt;=0),", how many seats Reduce means","")&amp;IF(AND(N($O187)&gt;0,$N187&lt;&gt;"Reduce"),", a number of seats on a row not marked Reduce","")&amp;IF(N($O187)&gt;N($J187),", more seats given up than the row has",""),3,200))</f>
        <v>career level, nationality mandate, capacity direction</v>
      </c>
    </row>
    <row r="188" customFormat="false" ht="15" hidden="false" customHeight="false" outlineLevel="0" collapsed="false">
      <c r="A188" s="21" t="s">
        <v>246</v>
      </c>
      <c r="B188" s="21" t="s">
        <v>169</v>
      </c>
      <c r="C188" s="21" t="s">
        <v>171</v>
      </c>
      <c r="D188" s="21" t="s">
        <v>173</v>
      </c>
      <c r="E188" s="21" t="s">
        <v>175</v>
      </c>
      <c r="F188" s="21" t="s">
        <v>345</v>
      </c>
      <c r="G188" s="21"/>
      <c r="H188" s="21" t="s">
        <v>223</v>
      </c>
      <c r="I188" s="21"/>
      <c r="J188" s="22" t="n">
        <v>1</v>
      </c>
      <c r="K188" s="22" t="n">
        <v>1</v>
      </c>
      <c r="L188" s="22" t="n">
        <v>0</v>
      </c>
      <c r="M188" s="21" t="s">
        <v>212</v>
      </c>
      <c r="N188" s="21"/>
      <c r="O188" s="22"/>
      <c r="P188" s="20" t="n">
        <f aca="false">IF($N188="Reduce",N($O188),0)</f>
        <v>0</v>
      </c>
      <c r="Q188" s="23" t="str">
        <f aca="false">IF($F188="","",MID(IF($G188="",", career level","")&amp;IF($I188="",", nationality mandate","")&amp;IF($N188="",", capacity direction","")&amp;IF(N($J188)&lt;=0,", approved HC","")&amp;IF(AND($G188&lt;&gt;"",COUNTIF(CareerLevels,$G188)=0),", a career level that is not on the ladder","")&amp;IF(AND($N188="Reduce",N($O188)&lt;=0),", how many seats Reduce means","")&amp;IF(AND(N($O188)&gt;0,$N188&lt;&gt;"Reduce"),", a number of seats on a row not marked Reduce","")&amp;IF(N($O188)&gt;N($J188),", more seats given up than the row has",""),3,200))</f>
        <v>career level, nationality mandate, capacity direction</v>
      </c>
    </row>
    <row r="189" customFormat="false" ht="15" hidden="false" customHeight="false" outlineLevel="0" collapsed="false">
      <c r="A189" s="21"/>
      <c r="B189" s="21" t="s">
        <v>169</v>
      </c>
      <c r="C189" s="21" t="s">
        <v>171</v>
      </c>
      <c r="D189" s="21" t="s">
        <v>173</v>
      </c>
      <c r="E189" s="21" t="s">
        <v>175</v>
      </c>
      <c r="F189" s="21" t="s">
        <v>346</v>
      </c>
      <c r="G189" s="21"/>
      <c r="H189" s="21" t="s">
        <v>223</v>
      </c>
      <c r="I189" s="21"/>
      <c r="J189" s="22" t="n">
        <v>2</v>
      </c>
      <c r="K189" s="22" t="n">
        <v>2</v>
      </c>
      <c r="L189" s="22" t="n">
        <v>0</v>
      </c>
      <c r="M189" s="21" t="s">
        <v>212</v>
      </c>
      <c r="N189" s="21"/>
      <c r="O189" s="22"/>
      <c r="P189" s="20" t="n">
        <f aca="false">IF($N189="Reduce",N($O189),0)</f>
        <v>0</v>
      </c>
      <c r="Q189" s="23" t="str">
        <f aca="false">IF($F189="","",MID(IF($G189="",", career level","")&amp;IF($I189="",", nationality mandate","")&amp;IF($N189="",", capacity direction","")&amp;IF(N($J189)&lt;=0,", approved HC","")&amp;IF(AND($G189&lt;&gt;"",COUNTIF(CareerLevels,$G189)=0),", a career level that is not on the ladder","")&amp;IF(AND($N189="Reduce",N($O189)&lt;=0),", how many seats Reduce means","")&amp;IF(AND(N($O189)&gt;0,$N189&lt;&gt;"Reduce"),", a number of seats on a row not marked Reduce","")&amp;IF(N($O189)&gt;N($J189),", more seats given up than the row has",""),3,200))</f>
        <v>career level, nationality mandate, capacity direction</v>
      </c>
    </row>
    <row r="190" customFormat="false" ht="15" hidden="false" customHeight="false" outlineLevel="0" collapsed="false">
      <c r="A190" s="21" t="s">
        <v>255</v>
      </c>
      <c r="B190" s="21" t="s">
        <v>169</v>
      </c>
      <c r="C190" s="21" t="s">
        <v>171</v>
      </c>
      <c r="D190" s="21" t="s">
        <v>173</v>
      </c>
      <c r="E190" s="21" t="s">
        <v>175</v>
      </c>
      <c r="F190" s="21" t="s">
        <v>347</v>
      </c>
      <c r="G190" s="21"/>
      <c r="H190" s="21" t="s">
        <v>223</v>
      </c>
      <c r="I190" s="21"/>
      <c r="J190" s="22" t="n">
        <v>1</v>
      </c>
      <c r="K190" s="22" t="n">
        <v>1</v>
      </c>
      <c r="L190" s="22" t="n">
        <v>0</v>
      </c>
      <c r="M190" s="21" t="s">
        <v>212</v>
      </c>
      <c r="N190" s="21"/>
      <c r="O190" s="22"/>
      <c r="P190" s="20" t="n">
        <f aca="false">IF($N190="Reduce",N($O190),0)</f>
        <v>0</v>
      </c>
      <c r="Q190" s="23" t="str">
        <f aca="false">IF($F190="","",MID(IF($G190="",", career level","")&amp;IF($I190="",", nationality mandate","")&amp;IF($N190="",", capacity direction","")&amp;IF(N($J190)&lt;=0,", approved HC","")&amp;IF(AND($G190&lt;&gt;"",COUNTIF(CareerLevels,$G190)=0),", a career level that is not on the ladder","")&amp;IF(AND($N190="Reduce",N($O190)&lt;=0),", how many seats Reduce means","")&amp;IF(AND(N($O190)&gt;0,$N190&lt;&gt;"Reduce"),", a number of seats on a row not marked Reduce","")&amp;IF(N($O190)&gt;N($J190),", more seats given up than the row has",""),3,200))</f>
        <v>career level, nationality mandate, capacity direction</v>
      </c>
    </row>
    <row r="191" customFormat="false" ht="15" hidden="false" customHeight="false" outlineLevel="0" collapsed="false">
      <c r="A191" s="21" t="s">
        <v>246</v>
      </c>
      <c r="B191" s="21" t="s">
        <v>169</v>
      </c>
      <c r="C191" s="21" t="s">
        <v>171</v>
      </c>
      <c r="D191" s="21" t="s">
        <v>173</v>
      </c>
      <c r="E191" s="21" t="s">
        <v>175</v>
      </c>
      <c r="F191" s="21" t="s">
        <v>348</v>
      </c>
      <c r="G191" s="21"/>
      <c r="H191" s="21" t="s">
        <v>220</v>
      </c>
      <c r="I191" s="21"/>
      <c r="J191" s="22" t="n">
        <v>1</v>
      </c>
      <c r="K191" s="22" t="n">
        <v>1</v>
      </c>
      <c r="L191" s="22" t="n">
        <v>0</v>
      </c>
      <c r="M191" s="21" t="s">
        <v>212</v>
      </c>
      <c r="N191" s="21"/>
      <c r="O191" s="22"/>
      <c r="P191" s="20" t="n">
        <f aca="false">IF($N191="Reduce",N($O191),0)</f>
        <v>0</v>
      </c>
      <c r="Q191" s="23" t="str">
        <f aca="false">IF($F191="","",MID(IF($G191="",", career level","")&amp;IF($I191="",", nationality mandate","")&amp;IF($N191="",", capacity direction","")&amp;IF(N($J191)&lt;=0,", approved HC","")&amp;IF(AND($G191&lt;&gt;"",COUNTIF(CareerLevels,$G191)=0),", a career level that is not on the ladder","")&amp;IF(AND($N191="Reduce",N($O191)&lt;=0),", how many seats Reduce means","")&amp;IF(AND(N($O191)&gt;0,$N191&lt;&gt;"Reduce"),", a number of seats on a row not marked Reduce","")&amp;IF(N($O191)&gt;N($J191),", more seats given up than the row has",""),3,200))</f>
        <v>career level, nationality mandate, capacity direction</v>
      </c>
    </row>
    <row r="192" customFormat="false" ht="15" hidden="false" customHeight="false" outlineLevel="0" collapsed="false">
      <c r="A192" s="21"/>
      <c r="B192" s="21" t="s">
        <v>169</v>
      </c>
      <c r="C192" s="21" t="s">
        <v>171</v>
      </c>
      <c r="D192" s="21" t="s">
        <v>173</v>
      </c>
      <c r="E192" s="21" t="s">
        <v>177</v>
      </c>
      <c r="F192" s="21" t="s">
        <v>345</v>
      </c>
      <c r="G192" s="21"/>
      <c r="H192" s="21" t="s">
        <v>223</v>
      </c>
      <c r="I192" s="21"/>
      <c r="J192" s="22" t="n">
        <v>2</v>
      </c>
      <c r="K192" s="22" t="n">
        <v>2</v>
      </c>
      <c r="L192" s="22" t="n">
        <v>0</v>
      </c>
      <c r="M192" s="21" t="s">
        <v>212</v>
      </c>
      <c r="N192" s="21"/>
      <c r="O192" s="22"/>
      <c r="P192" s="20" t="n">
        <f aca="false">IF($N192="Reduce",N($O192),0)</f>
        <v>0</v>
      </c>
      <c r="Q192" s="23" t="str">
        <f aca="false">IF($F192="","",MID(IF($G192="",", career level","")&amp;IF($I192="",", nationality mandate","")&amp;IF($N192="",", capacity direction","")&amp;IF(N($J192)&lt;=0,", approved HC","")&amp;IF(AND($G192&lt;&gt;"",COUNTIF(CareerLevels,$G192)=0),", a career level that is not on the ladder","")&amp;IF(AND($N192="Reduce",N($O192)&lt;=0),", how many seats Reduce means","")&amp;IF(AND(N($O192)&gt;0,$N192&lt;&gt;"Reduce"),", a number of seats on a row not marked Reduce","")&amp;IF(N($O192)&gt;N($J192),", more seats given up than the row has",""),3,200))</f>
        <v>career level, nationality mandate, capacity direction</v>
      </c>
    </row>
    <row r="193" customFormat="false" ht="15" hidden="false" customHeight="false" outlineLevel="0" collapsed="false">
      <c r="A193" s="21" t="s">
        <v>271</v>
      </c>
      <c r="B193" s="21" t="s">
        <v>169</v>
      </c>
      <c r="C193" s="21" t="s">
        <v>171</v>
      </c>
      <c r="D193" s="21" t="s">
        <v>173</v>
      </c>
      <c r="E193" s="21" t="s">
        <v>177</v>
      </c>
      <c r="F193" s="21" t="s">
        <v>349</v>
      </c>
      <c r="G193" s="21"/>
      <c r="H193" s="21" t="s">
        <v>223</v>
      </c>
      <c r="I193" s="21"/>
      <c r="J193" s="22" t="n">
        <v>1</v>
      </c>
      <c r="K193" s="22" t="n">
        <v>1</v>
      </c>
      <c r="L193" s="22" t="n">
        <v>0</v>
      </c>
      <c r="M193" s="21" t="s">
        <v>212</v>
      </c>
      <c r="N193" s="21"/>
      <c r="O193" s="22"/>
      <c r="P193" s="20" t="n">
        <f aca="false">IF($N193="Reduce",N($O193),0)</f>
        <v>0</v>
      </c>
      <c r="Q193" s="23" t="str">
        <f aca="false">IF($F193="","",MID(IF($G193="",", career level","")&amp;IF($I193="",", nationality mandate","")&amp;IF($N193="",", capacity direction","")&amp;IF(N($J193)&lt;=0,", approved HC","")&amp;IF(AND($G193&lt;&gt;"",COUNTIF(CareerLevels,$G193)=0),", a career level that is not on the ladder","")&amp;IF(AND($N193="Reduce",N($O193)&lt;=0),", how many seats Reduce means","")&amp;IF(AND(N($O193)&gt;0,$N193&lt;&gt;"Reduce"),", a number of seats on a row not marked Reduce","")&amp;IF(N($O193)&gt;N($J193),", more seats given up than the row has",""),3,200))</f>
        <v>career level, nationality mandate, capacity direction</v>
      </c>
    </row>
    <row r="194" customFormat="false" ht="15" hidden="false" customHeight="false" outlineLevel="0" collapsed="false">
      <c r="A194" s="21"/>
      <c r="B194" s="21" t="s">
        <v>169</v>
      </c>
      <c r="C194" s="21" t="s">
        <v>171</v>
      </c>
      <c r="D194" s="21" t="s">
        <v>173</v>
      </c>
      <c r="E194" s="21" t="s">
        <v>177</v>
      </c>
      <c r="F194" s="21" t="s">
        <v>346</v>
      </c>
      <c r="G194" s="21"/>
      <c r="H194" s="21" t="s">
        <v>223</v>
      </c>
      <c r="I194" s="21"/>
      <c r="J194" s="22" t="n">
        <v>2</v>
      </c>
      <c r="K194" s="22" t="n">
        <v>2</v>
      </c>
      <c r="L194" s="22" t="n">
        <v>0</v>
      </c>
      <c r="M194" s="21" t="s">
        <v>212</v>
      </c>
      <c r="N194" s="21"/>
      <c r="O194" s="22"/>
      <c r="P194" s="20" t="n">
        <f aca="false">IF($N194="Reduce",N($O194),0)</f>
        <v>0</v>
      </c>
      <c r="Q194" s="23" t="str">
        <f aca="false">IF($F194="","",MID(IF($G194="",", career level","")&amp;IF($I194="",", nationality mandate","")&amp;IF($N194="",", capacity direction","")&amp;IF(N($J194)&lt;=0,", approved HC","")&amp;IF(AND($G194&lt;&gt;"",COUNTIF(CareerLevels,$G194)=0),", a career level that is not on the ladder","")&amp;IF(AND($N194="Reduce",N($O194)&lt;=0),", how many seats Reduce means","")&amp;IF(AND(N($O194)&gt;0,$N194&lt;&gt;"Reduce"),", a number of seats on a row not marked Reduce","")&amp;IF(N($O194)&gt;N($J194),", more seats given up than the row has",""),3,200))</f>
        <v>career level, nationality mandate, capacity direction</v>
      </c>
    </row>
    <row r="195" customFormat="false" ht="15" hidden="false" customHeight="false" outlineLevel="0" collapsed="false">
      <c r="A195" s="21" t="s">
        <v>263</v>
      </c>
      <c r="B195" s="21" t="s">
        <v>169</v>
      </c>
      <c r="C195" s="21" t="s">
        <v>171</v>
      </c>
      <c r="D195" s="21" t="s">
        <v>173</v>
      </c>
      <c r="E195" s="21" t="s">
        <v>177</v>
      </c>
      <c r="F195" s="21" t="s">
        <v>346</v>
      </c>
      <c r="G195" s="21"/>
      <c r="H195" s="21" t="s">
        <v>223</v>
      </c>
      <c r="I195" s="21"/>
      <c r="J195" s="22" t="n">
        <v>1</v>
      </c>
      <c r="K195" s="22" t="n">
        <v>1</v>
      </c>
      <c r="L195" s="22" t="n">
        <v>0</v>
      </c>
      <c r="M195" s="21" t="s">
        <v>245</v>
      </c>
      <c r="N195" s="21"/>
      <c r="O195" s="22"/>
      <c r="P195" s="20" t="n">
        <f aca="false">IF($N195="Reduce",N($O195),0)</f>
        <v>0</v>
      </c>
      <c r="Q195" s="23" t="str">
        <f aca="false">IF($F195="","",MID(IF($G195="",", career level","")&amp;IF($I195="",", nationality mandate","")&amp;IF($N195="",", capacity direction","")&amp;IF(N($J195)&lt;=0,", approved HC","")&amp;IF(AND($G195&lt;&gt;"",COUNTIF(CareerLevels,$G195)=0),", a career level that is not on the ladder","")&amp;IF(AND($N195="Reduce",N($O195)&lt;=0),", how many seats Reduce means","")&amp;IF(AND(N($O195)&gt;0,$N195&lt;&gt;"Reduce"),", a number of seats on a row not marked Reduce","")&amp;IF(N($O195)&gt;N($J195),", more seats given up than the row has",""),3,200))</f>
        <v>career level, nationality mandate, capacity direction</v>
      </c>
    </row>
    <row r="196" customFormat="false" ht="15" hidden="false" customHeight="false" outlineLevel="0" collapsed="false">
      <c r="A196" s="21"/>
      <c r="B196" s="21" t="s">
        <v>169</v>
      </c>
      <c r="C196" s="21" t="s">
        <v>171</v>
      </c>
      <c r="D196" s="21" t="s">
        <v>173</v>
      </c>
      <c r="E196" s="21" t="s">
        <v>177</v>
      </c>
      <c r="F196" s="21" t="s">
        <v>347</v>
      </c>
      <c r="G196" s="21"/>
      <c r="H196" s="21" t="s">
        <v>223</v>
      </c>
      <c r="I196" s="21"/>
      <c r="J196" s="22" t="n">
        <v>3</v>
      </c>
      <c r="K196" s="22" t="n">
        <v>1</v>
      </c>
      <c r="L196" s="22" t="n">
        <v>2</v>
      </c>
      <c r="M196" s="21" t="s">
        <v>212</v>
      </c>
      <c r="N196" s="21"/>
      <c r="O196" s="22"/>
      <c r="P196" s="20" t="n">
        <f aca="false">IF($N196="Reduce",N($O196),0)</f>
        <v>0</v>
      </c>
      <c r="Q196" s="23" t="str">
        <f aca="false">IF($F196="","",MID(IF($G196="",", career level","")&amp;IF($I196="",", nationality mandate","")&amp;IF($N196="",", capacity direction","")&amp;IF(N($J196)&lt;=0,", approved HC","")&amp;IF(AND($G196&lt;&gt;"",COUNTIF(CareerLevels,$G196)=0),", a career level that is not on the ladder","")&amp;IF(AND($N196="Reduce",N($O196)&lt;=0),", how many seats Reduce means","")&amp;IF(AND(N($O196)&gt;0,$N196&lt;&gt;"Reduce"),", a number of seats on a row not marked Reduce","")&amp;IF(N($O196)&gt;N($J196),", more seats given up than the row has",""),3,200))</f>
        <v>career level, nationality mandate, capacity direction</v>
      </c>
    </row>
    <row r="197" customFormat="false" ht="15" hidden="false" customHeight="false" outlineLevel="0" collapsed="false">
      <c r="A197" s="21" t="s">
        <v>209</v>
      </c>
      <c r="B197" s="21" t="s">
        <v>169</v>
      </c>
      <c r="C197" s="21" t="s">
        <v>171</v>
      </c>
      <c r="D197" s="21" t="s">
        <v>173</v>
      </c>
      <c r="E197" s="21" t="s">
        <v>177</v>
      </c>
      <c r="F197" s="21" t="s">
        <v>348</v>
      </c>
      <c r="G197" s="21"/>
      <c r="H197" s="21" t="s">
        <v>220</v>
      </c>
      <c r="I197" s="21"/>
      <c r="J197" s="22" t="n">
        <v>1</v>
      </c>
      <c r="K197" s="22" t="n">
        <v>1</v>
      </c>
      <c r="L197" s="22" t="n">
        <v>0</v>
      </c>
      <c r="M197" s="21" t="s">
        <v>212</v>
      </c>
      <c r="N197" s="21"/>
      <c r="O197" s="22"/>
      <c r="P197" s="20" t="n">
        <f aca="false">IF($N197="Reduce",N($O197),0)</f>
        <v>0</v>
      </c>
      <c r="Q197" s="23" t="str">
        <f aca="false">IF($F197="","",MID(IF($G197="",", career level","")&amp;IF($I197="",", nationality mandate","")&amp;IF($N197="",", capacity direction","")&amp;IF(N($J197)&lt;=0,", approved HC","")&amp;IF(AND($G197&lt;&gt;"",COUNTIF(CareerLevels,$G197)=0),", a career level that is not on the ladder","")&amp;IF(AND($N197="Reduce",N($O197)&lt;=0),", how many seats Reduce means","")&amp;IF(AND(N($O197)&gt;0,$N197&lt;&gt;"Reduce"),", a number of seats on a row not marked Reduce","")&amp;IF(N($O197)&gt;N($J197),", more seats given up than the row has",""),3,200))</f>
        <v>career level, nationality mandate, capacity direction</v>
      </c>
    </row>
    <row r="198" customFormat="false" ht="15" hidden="false" customHeight="false" outlineLevel="0" collapsed="false">
      <c r="A198" s="21" t="s">
        <v>231</v>
      </c>
      <c r="B198" s="21" t="s">
        <v>169</v>
      </c>
      <c r="C198" s="21" t="s">
        <v>171</v>
      </c>
      <c r="D198" s="21" t="s">
        <v>179</v>
      </c>
      <c r="E198" s="21"/>
      <c r="F198" s="21" t="s">
        <v>342</v>
      </c>
      <c r="G198" s="21"/>
      <c r="H198" s="21" t="s">
        <v>220</v>
      </c>
      <c r="I198" s="21"/>
      <c r="J198" s="22" t="n">
        <v>1</v>
      </c>
      <c r="K198" s="22" t="n">
        <v>1</v>
      </c>
      <c r="L198" s="22" t="n">
        <v>0</v>
      </c>
      <c r="M198" s="21" t="s">
        <v>212</v>
      </c>
      <c r="N198" s="21"/>
      <c r="O198" s="22"/>
      <c r="P198" s="20" t="n">
        <f aca="false">IF($N198="Reduce",N($O198),0)</f>
        <v>0</v>
      </c>
      <c r="Q198" s="23" t="str">
        <f aca="false">IF($F198="","",MID(IF($G198="",", career level","")&amp;IF($I198="",", nationality mandate","")&amp;IF($N198="",", capacity direction","")&amp;IF(N($J198)&lt;=0,", approved HC","")&amp;IF(AND($G198&lt;&gt;"",COUNTIF(CareerLevels,$G198)=0),", a career level that is not on the ladder","")&amp;IF(AND($N198="Reduce",N($O198)&lt;=0),", how many seats Reduce means","")&amp;IF(AND(N($O198)&gt;0,$N198&lt;&gt;"Reduce"),", a number of seats on a row not marked Reduce","")&amp;IF(N($O198)&gt;N($J198),", more seats given up than the row has",""),3,200))</f>
        <v>career level, nationality mandate, capacity direction</v>
      </c>
    </row>
    <row r="199" customFormat="false" ht="15" hidden="false" customHeight="false" outlineLevel="0" collapsed="false">
      <c r="A199" s="21"/>
      <c r="B199" s="21" t="s">
        <v>169</v>
      </c>
      <c r="C199" s="21" t="s">
        <v>171</v>
      </c>
      <c r="D199" s="21" t="s">
        <v>179</v>
      </c>
      <c r="E199" s="21" t="s">
        <v>181</v>
      </c>
      <c r="F199" s="21" t="s">
        <v>343</v>
      </c>
      <c r="G199" s="21"/>
      <c r="H199" s="21" t="s">
        <v>223</v>
      </c>
      <c r="I199" s="21"/>
      <c r="J199" s="22" t="n">
        <v>3</v>
      </c>
      <c r="K199" s="22" t="n">
        <v>3</v>
      </c>
      <c r="L199" s="22" t="n">
        <v>0</v>
      </c>
      <c r="M199" s="21" t="s">
        <v>212</v>
      </c>
      <c r="N199" s="21"/>
      <c r="O199" s="22"/>
      <c r="P199" s="20" t="n">
        <f aca="false">IF($N199="Reduce",N($O199),0)</f>
        <v>0</v>
      </c>
      <c r="Q199" s="23" t="str">
        <f aca="false">IF($F199="","",MID(IF($G199="",", career level","")&amp;IF($I199="",", nationality mandate","")&amp;IF($N199="",", capacity direction","")&amp;IF(N($J199)&lt;=0,", approved HC","")&amp;IF(AND($G199&lt;&gt;"",COUNTIF(CareerLevels,$G199)=0),", a career level that is not on the ladder","")&amp;IF(AND($N199="Reduce",N($O199)&lt;=0),", how many seats Reduce means","")&amp;IF(AND(N($O199)&gt;0,$N199&lt;&gt;"Reduce"),", a number of seats on a row not marked Reduce","")&amp;IF(N($O199)&gt;N($J199),", more seats given up than the row has",""),3,200))</f>
        <v>career level, nationality mandate, capacity direction</v>
      </c>
    </row>
    <row r="200" customFormat="false" ht="15" hidden="false" customHeight="false" outlineLevel="0" collapsed="false">
      <c r="A200" s="21"/>
      <c r="B200" s="21" t="s">
        <v>169</v>
      </c>
      <c r="C200" s="21" t="s">
        <v>171</v>
      </c>
      <c r="D200" s="21" t="s">
        <v>179</v>
      </c>
      <c r="E200" s="21" t="s">
        <v>181</v>
      </c>
      <c r="F200" s="21" t="s">
        <v>344</v>
      </c>
      <c r="G200" s="21"/>
      <c r="H200" s="21" t="s">
        <v>223</v>
      </c>
      <c r="I200" s="21"/>
      <c r="J200" s="22" t="n">
        <v>2</v>
      </c>
      <c r="K200" s="22" t="n">
        <v>2</v>
      </c>
      <c r="L200" s="22" t="n">
        <v>0</v>
      </c>
      <c r="M200" s="21" t="s">
        <v>212</v>
      </c>
      <c r="N200" s="21"/>
      <c r="O200" s="22"/>
      <c r="P200" s="20" t="n">
        <f aca="false">IF($N200="Reduce",N($O200),0)</f>
        <v>0</v>
      </c>
      <c r="Q200" s="23" t="str">
        <f aca="false">IF($F200="","",MID(IF($G200="",", career level","")&amp;IF($I200="",", nationality mandate","")&amp;IF($N200="",", capacity direction","")&amp;IF(N($J200)&lt;=0,", approved HC","")&amp;IF(AND($G200&lt;&gt;"",COUNTIF(CareerLevels,$G200)=0),", a career level that is not on the ladder","")&amp;IF(AND($N200="Reduce",N($O200)&lt;=0),", how many seats Reduce means","")&amp;IF(AND(N($O200)&gt;0,$N200&lt;&gt;"Reduce"),", a number of seats on a row not marked Reduce","")&amp;IF(N($O200)&gt;N($J200),", more seats given up than the row has",""),3,200))</f>
        <v>career level, nationality mandate, capacity direction</v>
      </c>
    </row>
    <row r="201" customFormat="false" ht="15" hidden="false" customHeight="false" outlineLevel="0" collapsed="false">
      <c r="A201" s="21" t="s">
        <v>229</v>
      </c>
      <c r="B201" s="21" t="s">
        <v>169</v>
      </c>
      <c r="C201" s="21" t="s">
        <v>171</v>
      </c>
      <c r="D201" s="21" t="s">
        <v>179</v>
      </c>
      <c r="E201" s="21" t="s">
        <v>181</v>
      </c>
      <c r="F201" s="21" t="s">
        <v>345</v>
      </c>
      <c r="G201" s="21"/>
      <c r="H201" s="21" t="s">
        <v>223</v>
      </c>
      <c r="I201" s="21"/>
      <c r="J201" s="22" t="n">
        <v>1</v>
      </c>
      <c r="K201" s="22" t="n">
        <v>1</v>
      </c>
      <c r="L201" s="22" t="n">
        <v>0</v>
      </c>
      <c r="M201" s="21" t="s">
        <v>212</v>
      </c>
      <c r="N201" s="21"/>
      <c r="O201" s="22"/>
      <c r="P201" s="20" t="n">
        <f aca="false">IF($N201="Reduce",N($O201),0)</f>
        <v>0</v>
      </c>
      <c r="Q201" s="23" t="str">
        <f aca="false">IF($F201="","",MID(IF($G201="",", career level","")&amp;IF($I201="",", nationality mandate","")&amp;IF($N201="",", capacity direction","")&amp;IF(N($J201)&lt;=0,", approved HC","")&amp;IF(AND($G201&lt;&gt;"",COUNTIF(CareerLevels,$G201)=0),", a career level that is not on the ladder","")&amp;IF(AND($N201="Reduce",N($O201)&lt;=0),", how many seats Reduce means","")&amp;IF(AND(N($O201)&gt;0,$N201&lt;&gt;"Reduce"),", a number of seats on a row not marked Reduce","")&amp;IF(N($O201)&gt;N($J201),", more seats given up than the row has",""),3,200))</f>
        <v>career level, nationality mandate, capacity direction</v>
      </c>
    </row>
    <row r="202" customFormat="false" ht="15" hidden="false" customHeight="false" outlineLevel="0" collapsed="false">
      <c r="A202" s="21" t="s">
        <v>259</v>
      </c>
      <c r="B202" s="21" t="s">
        <v>169</v>
      </c>
      <c r="C202" s="21" t="s">
        <v>171</v>
      </c>
      <c r="D202" s="21" t="s">
        <v>179</v>
      </c>
      <c r="E202" s="21" t="s">
        <v>181</v>
      </c>
      <c r="F202" s="21" t="s">
        <v>347</v>
      </c>
      <c r="G202" s="21"/>
      <c r="H202" s="21" t="s">
        <v>223</v>
      </c>
      <c r="I202" s="21"/>
      <c r="J202" s="22" t="n">
        <v>1</v>
      </c>
      <c r="K202" s="22" t="n">
        <v>1</v>
      </c>
      <c r="L202" s="22" t="n">
        <v>0</v>
      </c>
      <c r="M202" s="21" t="s">
        <v>245</v>
      </c>
      <c r="N202" s="21"/>
      <c r="O202" s="22"/>
      <c r="P202" s="20" t="n">
        <f aca="false">IF($N202="Reduce",N($O202),0)</f>
        <v>0</v>
      </c>
      <c r="Q202" s="23" t="str">
        <f aca="false">IF($F202="","",MID(IF($G202="",", career level","")&amp;IF($I202="",", nationality mandate","")&amp;IF($N202="",", capacity direction","")&amp;IF(N($J202)&lt;=0,", approved HC","")&amp;IF(AND($G202&lt;&gt;"",COUNTIF(CareerLevels,$G202)=0),", a career level that is not on the ladder","")&amp;IF(AND($N202="Reduce",N($O202)&lt;=0),", how many seats Reduce means","")&amp;IF(AND(N($O202)&gt;0,$N202&lt;&gt;"Reduce"),", a number of seats on a row not marked Reduce","")&amp;IF(N($O202)&gt;N($J202),", more seats given up than the row has",""),3,200))</f>
        <v>career level, nationality mandate, capacity direction</v>
      </c>
    </row>
    <row r="203" customFormat="false" ht="15" hidden="false" customHeight="false" outlineLevel="0" collapsed="false">
      <c r="A203" s="21" t="s">
        <v>234</v>
      </c>
      <c r="B203" s="21" t="s">
        <v>169</v>
      </c>
      <c r="C203" s="21" t="s">
        <v>171</v>
      </c>
      <c r="D203" s="21" t="s">
        <v>179</v>
      </c>
      <c r="E203" s="21" t="s">
        <v>181</v>
      </c>
      <c r="F203" s="21" t="s">
        <v>348</v>
      </c>
      <c r="G203" s="21"/>
      <c r="H203" s="21" t="s">
        <v>220</v>
      </c>
      <c r="I203" s="21"/>
      <c r="J203" s="22" t="n">
        <v>1</v>
      </c>
      <c r="K203" s="22" t="n">
        <v>1</v>
      </c>
      <c r="L203" s="22" t="n">
        <v>0</v>
      </c>
      <c r="M203" s="21" t="s">
        <v>212</v>
      </c>
      <c r="N203" s="21"/>
      <c r="O203" s="22"/>
      <c r="P203" s="20" t="n">
        <f aca="false">IF($N203="Reduce",N($O203),0)</f>
        <v>0</v>
      </c>
      <c r="Q203" s="23" t="str">
        <f aca="false">IF($F203="","",MID(IF($G203="",", career level","")&amp;IF($I203="",", nationality mandate","")&amp;IF($N203="",", capacity direction","")&amp;IF(N($J203)&lt;=0,", approved HC","")&amp;IF(AND($G203&lt;&gt;"",COUNTIF(CareerLevels,$G203)=0),", a career level that is not on the ladder","")&amp;IF(AND($N203="Reduce",N($O203)&lt;=0),", how many seats Reduce means","")&amp;IF(AND(N($O203)&gt;0,$N203&lt;&gt;"Reduce"),", a number of seats on a row not marked Reduce","")&amp;IF(N($O203)&gt;N($J203),", more seats given up than the row has",""),3,200))</f>
        <v>career level, nationality mandate, capacity direction</v>
      </c>
    </row>
    <row r="204" customFormat="false" ht="15" hidden="false" customHeight="false" outlineLevel="0" collapsed="false">
      <c r="A204" s="21"/>
      <c r="B204" s="21" t="s">
        <v>169</v>
      </c>
      <c r="C204" s="21" t="s">
        <v>171</v>
      </c>
      <c r="D204" s="21" t="s">
        <v>179</v>
      </c>
      <c r="E204" s="21" t="s">
        <v>183</v>
      </c>
      <c r="F204" s="21" t="s">
        <v>344</v>
      </c>
      <c r="G204" s="21"/>
      <c r="H204" s="21" t="s">
        <v>223</v>
      </c>
      <c r="I204" s="21"/>
      <c r="J204" s="22" t="n">
        <v>2</v>
      </c>
      <c r="K204" s="22" t="n">
        <v>2</v>
      </c>
      <c r="L204" s="22" t="n">
        <v>0</v>
      </c>
      <c r="M204" s="21" t="s">
        <v>212</v>
      </c>
      <c r="N204" s="21"/>
      <c r="O204" s="22"/>
      <c r="P204" s="20" t="n">
        <f aca="false">IF($N204="Reduce",N($O204),0)</f>
        <v>0</v>
      </c>
      <c r="Q204" s="23" t="str">
        <f aca="false">IF($F204="","",MID(IF($G204="",", career level","")&amp;IF($I204="",", nationality mandate","")&amp;IF($N204="",", capacity direction","")&amp;IF(N($J204)&lt;=0,", approved HC","")&amp;IF(AND($G204&lt;&gt;"",COUNTIF(CareerLevels,$G204)=0),", a career level that is not on the ladder","")&amp;IF(AND($N204="Reduce",N($O204)&lt;=0),", how many seats Reduce means","")&amp;IF(AND(N($O204)&gt;0,$N204&lt;&gt;"Reduce"),", a number of seats on a row not marked Reduce","")&amp;IF(N($O204)&gt;N($J204),", more seats given up than the row has",""),3,200))</f>
        <v>career level, nationality mandate, capacity direction</v>
      </c>
    </row>
    <row r="205" customFormat="false" ht="15" hidden="false" customHeight="false" outlineLevel="0" collapsed="false">
      <c r="A205" s="21"/>
      <c r="B205" s="21" t="s">
        <v>169</v>
      </c>
      <c r="C205" s="21" t="s">
        <v>171</v>
      </c>
      <c r="D205" s="21" t="s">
        <v>179</v>
      </c>
      <c r="E205" s="21" t="s">
        <v>183</v>
      </c>
      <c r="F205" s="21" t="s">
        <v>345</v>
      </c>
      <c r="G205" s="21"/>
      <c r="H205" s="21" t="s">
        <v>223</v>
      </c>
      <c r="I205" s="21"/>
      <c r="J205" s="22" t="n">
        <v>2</v>
      </c>
      <c r="K205" s="22" t="n">
        <v>2</v>
      </c>
      <c r="L205" s="22" t="n">
        <v>0</v>
      </c>
      <c r="M205" s="21" t="s">
        <v>212</v>
      </c>
      <c r="N205" s="21"/>
      <c r="O205" s="22"/>
      <c r="P205" s="20" t="n">
        <f aca="false">IF($N205="Reduce",N($O205),0)</f>
        <v>0</v>
      </c>
      <c r="Q205" s="23" t="str">
        <f aca="false">IF($F205="","",MID(IF($G205="",", career level","")&amp;IF($I205="",", nationality mandate","")&amp;IF($N205="",", capacity direction","")&amp;IF(N($J205)&lt;=0,", approved HC","")&amp;IF(AND($G205&lt;&gt;"",COUNTIF(CareerLevels,$G205)=0),", a career level that is not on the ladder","")&amp;IF(AND($N205="Reduce",N($O205)&lt;=0),", how many seats Reduce means","")&amp;IF(AND(N($O205)&gt;0,$N205&lt;&gt;"Reduce"),", a number of seats on a row not marked Reduce","")&amp;IF(N($O205)&gt;N($J205),", more seats given up than the row has",""),3,200))</f>
        <v>career level, nationality mandate, capacity direction</v>
      </c>
    </row>
    <row r="206" customFormat="false" ht="15" hidden="false" customHeight="false" outlineLevel="0" collapsed="false">
      <c r="A206" s="21"/>
      <c r="B206" s="21" t="s">
        <v>169</v>
      </c>
      <c r="C206" s="21" t="s">
        <v>171</v>
      </c>
      <c r="D206" s="21" t="s">
        <v>179</v>
      </c>
      <c r="E206" s="21" t="s">
        <v>183</v>
      </c>
      <c r="F206" s="21" t="s">
        <v>349</v>
      </c>
      <c r="G206" s="21"/>
      <c r="H206" s="21" t="s">
        <v>223</v>
      </c>
      <c r="I206" s="21"/>
      <c r="J206" s="22" t="n">
        <v>2</v>
      </c>
      <c r="K206" s="22" t="n">
        <v>2</v>
      </c>
      <c r="L206" s="22" t="n">
        <v>0</v>
      </c>
      <c r="M206" s="21" t="s">
        <v>212</v>
      </c>
      <c r="N206" s="21"/>
      <c r="O206" s="22"/>
      <c r="P206" s="20" t="n">
        <f aca="false">IF($N206="Reduce",N($O206),0)</f>
        <v>0</v>
      </c>
      <c r="Q206" s="23" t="str">
        <f aca="false">IF($F206="","",MID(IF($G206="",", career level","")&amp;IF($I206="",", nationality mandate","")&amp;IF($N206="",", capacity direction","")&amp;IF(N($J206)&lt;=0,", approved HC","")&amp;IF(AND($G206&lt;&gt;"",COUNTIF(CareerLevels,$G206)=0),", a career level that is not on the ladder","")&amp;IF(AND($N206="Reduce",N($O206)&lt;=0),", how many seats Reduce means","")&amp;IF(AND(N($O206)&gt;0,$N206&lt;&gt;"Reduce"),", a number of seats on a row not marked Reduce","")&amp;IF(N($O206)&gt;N($J206),", more seats given up than the row has",""),3,200))</f>
        <v>career level, nationality mandate, capacity direction</v>
      </c>
    </row>
    <row r="207" customFormat="false" ht="15" hidden="false" customHeight="false" outlineLevel="0" collapsed="false">
      <c r="A207" s="21"/>
      <c r="B207" s="21" t="s">
        <v>169</v>
      </c>
      <c r="C207" s="21" t="s">
        <v>171</v>
      </c>
      <c r="D207" s="21" t="s">
        <v>179</v>
      </c>
      <c r="E207" s="21" t="s">
        <v>183</v>
      </c>
      <c r="F207" s="21" t="s">
        <v>347</v>
      </c>
      <c r="G207" s="21"/>
      <c r="H207" s="21" t="s">
        <v>223</v>
      </c>
      <c r="I207" s="21"/>
      <c r="J207" s="22" t="n">
        <v>2</v>
      </c>
      <c r="K207" s="22" t="n">
        <v>0</v>
      </c>
      <c r="L207" s="22" t="n">
        <v>2</v>
      </c>
      <c r="M207" s="21" t="s">
        <v>212</v>
      </c>
      <c r="N207" s="21"/>
      <c r="O207" s="22"/>
      <c r="P207" s="20" t="n">
        <f aca="false">IF($N207="Reduce",N($O207),0)</f>
        <v>0</v>
      </c>
      <c r="Q207" s="23" t="str">
        <f aca="false">IF($F207="","",MID(IF($G207="",", career level","")&amp;IF($I207="",", nationality mandate","")&amp;IF($N207="",", capacity direction","")&amp;IF(N($J207)&lt;=0,", approved HC","")&amp;IF(AND($G207&lt;&gt;"",COUNTIF(CareerLevels,$G207)=0),", a career level that is not on the ladder","")&amp;IF(AND($N207="Reduce",N($O207)&lt;=0),", how many seats Reduce means","")&amp;IF(AND(N($O207)&gt;0,$N207&lt;&gt;"Reduce"),", a number of seats on a row not marked Reduce","")&amp;IF(N($O207)&gt;N($J207),", more seats given up than the row has",""),3,200))</f>
        <v>career level, nationality mandate, capacity direction</v>
      </c>
    </row>
    <row r="208" customFormat="false" ht="15" hidden="false" customHeight="false" outlineLevel="0" collapsed="false">
      <c r="A208" s="21" t="s">
        <v>350</v>
      </c>
      <c r="B208" s="21" t="s">
        <v>169</v>
      </c>
      <c r="C208" s="21" t="s">
        <v>171</v>
      </c>
      <c r="D208" s="21" t="s">
        <v>179</v>
      </c>
      <c r="E208" s="21" t="s">
        <v>183</v>
      </c>
      <c r="F208" s="21" t="s">
        <v>348</v>
      </c>
      <c r="G208" s="21"/>
      <c r="H208" s="21" t="s">
        <v>220</v>
      </c>
      <c r="I208" s="21"/>
      <c r="J208" s="22" t="n">
        <v>1</v>
      </c>
      <c r="K208" s="22" t="n">
        <v>1</v>
      </c>
      <c r="L208" s="22" t="n">
        <v>0</v>
      </c>
      <c r="M208" s="21" t="s">
        <v>212</v>
      </c>
      <c r="N208" s="21"/>
      <c r="O208" s="22"/>
      <c r="P208" s="20" t="n">
        <f aca="false">IF($N208="Reduce",N($O208),0)</f>
        <v>0</v>
      </c>
      <c r="Q208" s="23" t="str">
        <f aca="false">IF($F208="","",MID(IF($G208="",", career level","")&amp;IF($I208="",", nationality mandate","")&amp;IF($N208="",", capacity direction","")&amp;IF(N($J208)&lt;=0,", approved HC","")&amp;IF(AND($G208&lt;&gt;"",COUNTIF(CareerLevels,$G208)=0),", a career level that is not on the ladder","")&amp;IF(AND($N208="Reduce",N($O208)&lt;=0),", how many seats Reduce means","")&amp;IF(AND(N($O208)&gt;0,$N208&lt;&gt;"Reduce"),", a number of seats on a row not marked Reduce","")&amp;IF(N($O208)&gt;N($J208),", more seats given up than the row has",""),3,200))</f>
        <v>career level, nationality mandate, capacity direction</v>
      </c>
    </row>
    <row r="209" customFormat="false" ht="15" hidden="false" customHeight="false" outlineLevel="0" collapsed="false">
      <c r="A209" s="21" t="s">
        <v>266</v>
      </c>
      <c r="B209" s="21" t="s">
        <v>169</v>
      </c>
      <c r="C209" s="21" t="s">
        <v>185</v>
      </c>
      <c r="D209" s="21"/>
      <c r="E209" s="21"/>
      <c r="F209" s="21" t="s">
        <v>351</v>
      </c>
      <c r="G209" s="21"/>
      <c r="H209" s="21" t="s">
        <v>215</v>
      </c>
      <c r="I209" s="21"/>
      <c r="J209" s="22" t="n">
        <v>1</v>
      </c>
      <c r="K209" s="22" t="n">
        <v>1</v>
      </c>
      <c r="L209" s="22" t="n">
        <v>0</v>
      </c>
      <c r="M209" s="21" t="s">
        <v>212</v>
      </c>
      <c r="N209" s="21"/>
      <c r="O209" s="22"/>
      <c r="P209" s="20" t="n">
        <f aca="false">IF($N209="Reduce",N($O209),0)</f>
        <v>0</v>
      </c>
      <c r="Q209" s="23" t="str">
        <f aca="false">IF($F209="","",MID(IF($G209="",", career level","")&amp;IF($I209="",", nationality mandate","")&amp;IF($N209="",", capacity direction","")&amp;IF(N($J209)&lt;=0,", approved HC","")&amp;IF(AND($G209&lt;&gt;"",COUNTIF(CareerLevels,$G209)=0),", a career level that is not on the ladder","")&amp;IF(AND($N209="Reduce",N($O209)&lt;=0),", how many seats Reduce means","")&amp;IF(AND(N($O209)&gt;0,$N209&lt;&gt;"Reduce"),", a number of seats on a row not marked Reduce","")&amp;IF(N($O209)&gt;N($J209),", more seats given up than the row has",""),3,200))</f>
        <v>career level, nationality mandate, capacity direction</v>
      </c>
    </row>
    <row r="210" customFormat="false" ht="15" hidden="false" customHeight="false" outlineLevel="0" collapsed="false">
      <c r="A210" s="21" t="s">
        <v>251</v>
      </c>
      <c r="B210" s="21" t="s">
        <v>169</v>
      </c>
      <c r="C210" s="21" t="s">
        <v>185</v>
      </c>
      <c r="D210" s="21" t="s">
        <v>187</v>
      </c>
      <c r="E210" s="21"/>
      <c r="F210" s="21" t="s">
        <v>352</v>
      </c>
      <c r="G210" s="21"/>
      <c r="H210" s="21" t="s">
        <v>220</v>
      </c>
      <c r="I210" s="21"/>
      <c r="J210" s="22" t="n">
        <v>1</v>
      </c>
      <c r="K210" s="22" t="n">
        <v>1</v>
      </c>
      <c r="L210" s="22" t="n">
        <v>0</v>
      </c>
      <c r="M210" s="21" t="s">
        <v>212</v>
      </c>
      <c r="N210" s="21"/>
      <c r="O210" s="22"/>
      <c r="P210" s="20" t="n">
        <f aca="false">IF($N210="Reduce",N($O210),0)</f>
        <v>0</v>
      </c>
      <c r="Q210" s="23" t="str">
        <f aca="false">IF($F210="","",MID(IF($G210="",", career level","")&amp;IF($I210="",", nationality mandate","")&amp;IF($N210="",", capacity direction","")&amp;IF(N($J210)&lt;=0,", approved HC","")&amp;IF(AND($G210&lt;&gt;"",COUNTIF(CareerLevels,$G210)=0),", a career level that is not on the ladder","")&amp;IF(AND($N210="Reduce",N($O210)&lt;=0),", how many seats Reduce means","")&amp;IF(AND(N($O210)&gt;0,$N210&lt;&gt;"Reduce"),", a number of seats on a row not marked Reduce","")&amp;IF(N($O210)&gt;N($J210),", more seats given up than the row has",""),3,200))</f>
        <v>career level, nationality mandate, capacity direction</v>
      </c>
    </row>
    <row r="211" customFormat="false" ht="15" hidden="false" customHeight="false" outlineLevel="0" collapsed="false">
      <c r="A211" s="21" t="s">
        <v>276</v>
      </c>
      <c r="B211" s="21" t="s">
        <v>169</v>
      </c>
      <c r="C211" s="21" t="s">
        <v>185</v>
      </c>
      <c r="D211" s="21" t="s">
        <v>187</v>
      </c>
      <c r="E211" s="21" t="s">
        <v>189</v>
      </c>
      <c r="F211" s="21" t="s">
        <v>353</v>
      </c>
      <c r="G211" s="21"/>
      <c r="H211" s="21" t="s">
        <v>223</v>
      </c>
      <c r="I211" s="21"/>
      <c r="J211" s="22" t="n">
        <v>1</v>
      </c>
      <c r="K211" s="22" t="n">
        <v>1</v>
      </c>
      <c r="L211" s="22" t="n">
        <v>0</v>
      </c>
      <c r="M211" s="21" t="s">
        <v>245</v>
      </c>
      <c r="N211" s="21"/>
      <c r="O211" s="22"/>
      <c r="P211" s="20" t="n">
        <f aca="false">IF($N211="Reduce",N($O211),0)</f>
        <v>0</v>
      </c>
      <c r="Q211" s="23" t="str">
        <f aca="false">IF($F211="","",MID(IF($G211="",", career level","")&amp;IF($I211="",", nationality mandate","")&amp;IF($N211="",", capacity direction","")&amp;IF(N($J211)&lt;=0,", approved HC","")&amp;IF(AND($G211&lt;&gt;"",COUNTIF(CareerLevels,$G211)=0),", a career level that is not on the ladder","")&amp;IF(AND($N211="Reduce",N($O211)&lt;=0),", how many seats Reduce means","")&amp;IF(AND(N($O211)&gt;0,$N211&lt;&gt;"Reduce"),", a number of seats on a row not marked Reduce","")&amp;IF(N($O211)&gt;N($J211),", more seats given up than the row has",""),3,200))</f>
        <v>career level, nationality mandate, capacity direction</v>
      </c>
    </row>
    <row r="212" customFormat="false" ht="15" hidden="false" customHeight="false" outlineLevel="0" collapsed="false">
      <c r="A212" s="21"/>
      <c r="B212" s="21" t="s">
        <v>169</v>
      </c>
      <c r="C212" s="21" t="s">
        <v>185</v>
      </c>
      <c r="D212" s="21" t="s">
        <v>187</v>
      </c>
      <c r="E212" s="21" t="s">
        <v>189</v>
      </c>
      <c r="F212" s="21" t="s">
        <v>354</v>
      </c>
      <c r="G212" s="21"/>
      <c r="H212" s="21" t="s">
        <v>223</v>
      </c>
      <c r="I212" s="21"/>
      <c r="J212" s="22" t="n">
        <v>3</v>
      </c>
      <c r="K212" s="22" t="n">
        <v>3</v>
      </c>
      <c r="L212" s="22" t="n">
        <v>0</v>
      </c>
      <c r="M212" s="21" t="s">
        <v>212</v>
      </c>
      <c r="N212" s="21"/>
      <c r="O212" s="22"/>
      <c r="P212" s="20" t="n">
        <f aca="false">IF($N212="Reduce",N($O212),0)</f>
        <v>0</v>
      </c>
      <c r="Q212" s="23" t="str">
        <f aca="false">IF($F212="","",MID(IF($G212="",", career level","")&amp;IF($I212="",", nationality mandate","")&amp;IF($N212="",", capacity direction","")&amp;IF(N($J212)&lt;=0,", approved HC","")&amp;IF(AND($G212&lt;&gt;"",COUNTIF(CareerLevels,$G212)=0),", a career level that is not on the ladder","")&amp;IF(AND($N212="Reduce",N($O212)&lt;=0),", how many seats Reduce means","")&amp;IF(AND(N($O212)&gt;0,$N212&lt;&gt;"Reduce"),", a number of seats on a row not marked Reduce","")&amp;IF(N($O212)&gt;N($J212),", more seats given up than the row has",""),3,200))</f>
        <v>career level, nationality mandate, capacity direction</v>
      </c>
    </row>
    <row r="213" customFormat="false" ht="15" hidden="false" customHeight="false" outlineLevel="0" collapsed="false">
      <c r="A213" s="21" t="s">
        <v>252</v>
      </c>
      <c r="B213" s="21" t="s">
        <v>169</v>
      </c>
      <c r="C213" s="21" t="s">
        <v>185</v>
      </c>
      <c r="D213" s="21" t="s">
        <v>187</v>
      </c>
      <c r="E213" s="21" t="s">
        <v>189</v>
      </c>
      <c r="F213" s="21" t="s">
        <v>355</v>
      </c>
      <c r="G213" s="21"/>
      <c r="H213" s="21" t="s">
        <v>223</v>
      </c>
      <c r="I213" s="21"/>
      <c r="J213" s="22" t="n">
        <v>1</v>
      </c>
      <c r="K213" s="22" t="n">
        <v>1</v>
      </c>
      <c r="L213" s="22" t="n">
        <v>0</v>
      </c>
      <c r="M213" s="21" t="s">
        <v>212</v>
      </c>
      <c r="N213" s="21"/>
      <c r="O213" s="22"/>
      <c r="P213" s="20" t="n">
        <f aca="false">IF($N213="Reduce",N($O213),0)</f>
        <v>0</v>
      </c>
      <c r="Q213" s="23" t="str">
        <f aca="false">IF($F213="","",MID(IF($G213="",", career level","")&amp;IF($I213="",", nationality mandate","")&amp;IF($N213="",", capacity direction","")&amp;IF(N($J213)&lt;=0,", approved HC","")&amp;IF(AND($G213&lt;&gt;"",COUNTIF(CareerLevels,$G213)=0),", a career level that is not on the ladder","")&amp;IF(AND($N213="Reduce",N($O213)&lt;=0),", how many seats Reduce means","")&amp;IF(AND(N($O213)&gt;0,$N213&lt;&gt;"Reduce"),", a number of seats on a row not marked Reduce","")&amp;IF(N($O213)&gt;N($J213),", more seats given up than the row has",""),3,200))</f>
        <v>career level, nationality mandate, capacity direction</v>
      </c>
    </row>
    <row r="214" customFormat="false" ht="15" hidden="false" customHeight="false" outlineLevel="0" collapsed="false">
      <c r="A214" s="21" t="s">
        <v>234</v>
      </c>
      <c r="B214" s="21" t="s">
        <v>169</v>
      </c>
      <c r="C214" s="21" t="s">
        <v>185</v>
      </c>
      <c r="D214" s="21" t="s">
        <v>187</v>
      </c>
      <c r="E214" s="21" t="s">
        <v>189</v>
      </c>
      <c r="F214" s="21" t="s">
        <v>356</v>
      </c>
      <c r="G214" s="21"/>
      <c r="H214" s="21" t="s">
        <v>220</v>
      </c>
      <c r="I214" s="21"/>
      <c r="J214" s="22" t="n">
        <v>1</v>
      </c>
      <c r="K214" s="22" t="n">
        <v>1</v>
      </c>
      <c r="L214" s="22" t="n">
        <v>0</v>
      </c>
      <c r="M214" s="21" t="s">
        <v>212</v>
      </c>
      <c r="N214" s="21"/>
      <c r="O214" s="22"/>
      <c r="P214" s="20" t="n">
        <f aca="false">IF($N214="Reduce",N($O214),0)</f>
        <v>0</v>
      </c>
      <c r="Q214" s="23" t="str">
        <f aca="false">IF($F214="","",MID(IF($G214="",", career level","")&amp;IF($I214="",", nationality mandate","")&amp;IF($N214="",", capacity direction","")&amp;IF(N($J214)&lt;=0,", approved HC","")&amp;IF(AND($G214&lt;&gt;"",COUNTIF(CareerLevels,$G214)=0),", a career level that is not on the ladder","")&amp;IF(AND($N214="Reduce",N($O214)&lt;=0),", how many seats Reduce means","")&amp;IF(AND(N($O214)&gt;0,$N214&lt;&gt;"Reduce"),", a number of seats on a row not marked Reduce","")&amp;IF(N($O214)&gt;N($J214),", more seats given up than the row has",""),3,200))</f>
        <v>career level, nationality mandate, capacity direction</v>
      </c>
    </row>
    <row r="215" customFormat="false" ht="15" hidden="false" customHeight="false" outlineLevel="0" collapsed="false">
      <c r="A215" s="21" t="s">
        <v>248</v>
      </c>
      <c r="B215" s="21" t="s">
        <v>169</v>
      </c>
      <c r="C215" s="21" t="s">
        <v>185</v>
      </c>
      <c r="D215" s="21" t="s">
        <v>187</v>
      </c>
      <c r="E215" s="21" t="s">
        <v>191</v>
      </c>
      <c r="F215" s="21" t="s">
        <v>353</v>
      </c>
      <c r="G215" s="21"/>
      <c r="H215" s="21" t="s">
        <v>223</v>
      </c>
      <c r="I215" s="21"/>
      <c r="J215" s="22" t="n">
        <v>1</v>
      </c>
      <c r="K215" s="22" t="n">
        <v>1</v>
      </c>
      <c r="L215" s="22" t="n">
        <v>0</v>
      </c>
      <c r="M215" s="21" t="s">
        <v>212</v>
      </c>
      <c r="N215" s="21"/>
      <c r="O215" s="22"/>
      <c r="P215" s="20" t="n">
        <f aca="false">IF($N215="Reduce",N($O215),0)</f>
        <v>0</v>
      </c>
      <c r="Q215" s="23" t="str">
        <f aca="false">IF($F215="","",MID(IF($G215="",", career level","")&amp;IF($I215="",", nationality mandate","")&amp;IF($N215="",", capacity direction","")&amp;IF(N($J215)&lt;=0,", approved HC","")&amp;IF(AND($G215&lt;&gt;"",COUNTIF(CareerLevels,$G215)=0),", a career level that is not on the ladder","")&amp;IF(AND($N215="Reduce",N($O215)&lt;=0),", how many seats Reduce means","")&amp;IF(AND(N($O215)&gt;0,$N215&lt;&gt;"Reduce"),", a number of seats on a row not marked Reduce","")&amp;IF(N($O215)&gt;N($J215),", more seats given up than the row has",""),3,200))</f>
        <v>career level, nationality mandate, capacity direction</v>
      </c>
    </row>
    <row r="216" customFormat="false" ht="15" hidden="false" customHeight="false" outlineLevel="0" collapsed="false">
      <c r="A216" s="21" t="s">
        <v>312</v>
      </c>
      <c r="B216" s="21" t="s">
        <v>169</v>
      </c>
      <c r="C216" s="21" t="s">
        <v>185</v>
      </c>
      <c r="D216" s="21" t="s">
        <v>187</v>
      </c>
      <c r="E216" s="21" t="s">
        <v>191</v>
      </c>
      <c r="F216" s="21" t="s">
        <v>357</v>
      </c>
      <c r="G216" s="21"/>
      <c r="H216" s="21" t="s">
        <v>223</v>
      </c>
      <c r="I216" s="21"/>
      <c r="J216" s="22" t="n">
        <v>1</v>
      </c>
      <c r="K216" s="22" t="n">
        <v>1</v>
      </c>
      <c r="L216" s="22" t="n">
        <v>0</v>
      </c>
      <c r="M216" s="21" t="s">
        <v>212</v>
      </c>
      <c r="N216" s="21"/>
      <c r="O216" s="22"/>
      <c r="P216" s="20" t="n">
        <f aca="false">IF($N216="Reduce",N($O216),0)</f>
        <v>0</v>
      </c>
      <c r="Q216" s="23" t="str">
        <f aca="false">IF($F216="","",MID(IF($G216="",", career level","")&amp;IF($I216="",", nationality mandate","")&amp;IF($N216="",", capacity direction","")&amp;IF(N($J216)&lt;=0,", approved HC","")&amp;IF(AND($G216&lt;&gt;"",COUNTIF(CareerLevels,$G216)=0),", a career level that is not on the ladder","")&amp;IF(AND($N216="Reduce",N($O216)&lt;=0),", how many seats Reduce means","")&amp;IF(AND(N($O216)&gt;0,$N216&lt;&gt;"Reduce"),", a number of seats on a row not marked Reduce","")&amp;IF(N($O216)&gt;N($J216),", more seats given up than the row has",""),3,200))</f>
        <v>career level, nationality mandate, capacity direction</v>
      </c>
    </row>
    <row r="217" customFormat="false" ht="15" hidden="false" customHeight="false" outlineLevel="0" collapsed="false">
      <c r="A217" s="21"/>
      <c r="B217" s="21" t="s">
        <v>169</v>
      </c>
      <c r="C217" s="21" t="s">
        <v>185</v>
      </c>
      <c r="D217" s="21" t="s">
        <v>187</v>
      </c>
      <c r="E217" s="21" t="s">
        <v>191</v>
      </c>
      <c r="F217" s="21" t="s">
        <v>358</v>
      </c>
      <c r="G217" s="21"/>
      <c r="H217" s="21" t="s">
        <v>223</v>
      </c>
      <c r="I217" s="21"/>
      <c r="J217" s="22" t="n">
        <v>2</v>
      </c>
      <c r="K217" s="22" t="n">
        <v>2</v>
      </c>
      <c r="L217" s="22" t="n">
        <v>0</v>
      </c>
      <c r="M217" s="21" t="s">
        <v>212</v>
      </c>
      <c r="N217" s="21"/>
      <c r="O217" s="22"/>
      <c r="P217" s="20" t="n">
        <f aca="false">IF($N217="Reduce",N($O217),0)</f>
        <v>0</v>
      </c>
      <c r="Q217" s="23" t="str">
        <f aca="false">IF($F217="","",MID(IF($G217="",", career level","")&amp;IF($I217="",", nationality mandate","")&amp;IF($N217="",", capacity direction","")&amp;IF(N($J217)&lt;=0,", approved HC","")&amp;IF(AND($G217&lt;&gt;"",COUNTIF(CareerLevels,$G217)=0),", a career level that is not on the ladder","")&amp;IF(AND($N217="Reduce",N($O217)&lt;=0),", how many seats Reduce means","")&amp;IF(AND(N($O217)&gt;0,$N217&lt;&gt;"Reduce"),", a number of seats on a row not marked Reduce","")&amp;IF(N($O217)&gt;N($J217),", more seats given up than the row has",""),3,200))</f>
        <v>career level, nationality mandate, capacity direction</v>
      </c>
    </row>
    <row r="218" customFormat="false" ht="15" hidden="false" customHeight="false" outlineLevel="0" collapsed="false">
      <c r="A218" s="21" t="s">
        <v>209</v>
      </c>
      <c r="B218" s="21" t="s">
        <v>169</v>
      </c>
      <c r="C218" s="21" t="s">
        <v>185</v>
      </c>
      <c r="D218" s="21" t="s">
        <v>187</v>
      </c>
      <c r="E218" s="21" t="s">
        <v>191</v>
      </c>
      <c r="F218" s="21" t="s">
        <v>355</v>
      </c>
      <c r="G218" s="21"/>
      <c r="H218" s="21" t="s">
        <v>223</v>
      </c>
      <c r="I218" s="21"/>
      <c r="J218" s="22" t="n">
        <v>1</v>
      </c>
      <c r="K218" s="22" t="n">
        <v>1</v>
      </c>
      <c r="L218" s="22" t="n">
        <v>0</v>
      </c>
      <c r="M218" s="21" t="s">
        <v>212</v>
      </c>
      <c r="N218" s="21"/>
      <c r="O218" s="22"/>
      <c r="P218" s="20" t="n">
        <f aca="false">IF($N218="Reduce",N($O218),0)</f>
        <v>0</v>
      </c>
      <c r="Q218" s="23" t="str">
        <f aca="false">IF($F218="","",MID(IF($G218="",", career level","")&amp;IF($I218="",", nationality mandate","")&amp;IF($N218="",", capacity direction","")&amp;IF(N($J218)&lt;=0,", approved HC","")&amp;IF(AND($G218&lt;&gt;"",COUNTIF(CareerLevels,$G218)=0),", a career level that is not on the ladder","")&amp;IF(AND($N218="Reduce",N($O218)&lt;=0),", how many seats Reduce means","")&amp;IF(AND(N($O218)&gt;0,$N218&lt;&gt;"Reduce"),", a number of seats on a row not marked Reduce","")&amp;IF(N($O218)&gt;N($J218),", more seats given up than the row has",""),3,200))</f>
        <v>career level, nationality mandate, capacity direction</v>
      </c>
    </row>
    <row r="219" customFormat="false" ht="15" hidden="false" customHeight="false" outlineLevel="0" collapsed="false">
      <c r="A219" s="21" t="s">
        <v>256</v>
      </c>
      <c r="B219" s="21" t="s">
        <v>169</v>
      </c>
      <c r="C219" s="21" t="s">
        <v>185</v>
      </c>
      <c r="D219" s="21" t="s">
        <v>187</v>
      </c>
      <c r="E219" s="21" t="s">
        <v>191</v>
      </c>
      <c r="F219" s="21" t="s">
        <v>359</v>
      </c>
      <c r="G219" s="21"/>
      <c r="H219" s="21" t="s">
        <v>223</v>
      </c>
      <c r="I219" s="21"/>
      <c r="J219" s="22" t="n">
        <v>1</v>
      </c>
      <c r="K219" s="22" t="n">
        <v>1</v>
      </c>
      <c r="L219" s="22" t="n">
        <v>0</v>
      </c>
      <c r="M219" s="21" t="s">
        <v>212</v>
      </c>
      <c r="N219" s="21"/>
      <c r="O219" s="22"/>
      <c r="P219" s="20" t="n">
        <f aca="false">IF($N219="Reduce",N($O219),0)</f>
        <v>0</v>
      </c>
      <c r="Q219" s="23" t="str">
        <f aca="false">IF($F219="","",MID(IF($G219="",", career level","")&amp;IF($I219="",", nationality mandate","")&amp;IF($N219="",", capacity direction","")&amp;IF(N($J219)&lt;=0,", approved HC","")&amp;IF(AND($G219&lt;&gt;"",COUNTIF(CareerLevels,$G219)=0),", a career level that is not on the ladder","")&amp;IF(AND($N219="Reduce",N($O219)&lt;=0),", how many seats Reduce means","")&amp;IF(AND(N($O219)&gt;0,$N219&lt;&gt;"Reduce"),", a number of seats on a row not marked Reduce","")&amp;IF(N($O219)&gt;N($J219),", more seats given up than the row has",""),3,200))</f>
        <v>career level, nationality mandate, capacity direction</v>
      </c>
    </row>
    <row r="220" customFormat="false" ht="15" hidden="false" customHeight="false" outlineLevel="0" collapsed="false">
      <c r="A220" s="21" t="s">
        <v>279</v>
      </c>
      <c r="B220" s="21" t="s">
        <v>169</v>
      </c>
      <c r="C220" s="21" t="s">
        <v>185</v>
      </c>
      <c r="D220" s="21" t="s">
        <v>187</v>
      </c>
      <c r="E220" s="21" t="s">
        <v>191</v>
      </c>
      <c r="F220" s="21" t="s">
        <v>356</v>
      </c>
      <c r="G220" s="21"/>
      <c r="H220" s="21" t="s">
        <v>220</v>
      </c>
      <c r="I220" s="21"/>
      <c r="J220" s="22" t="n">
        <v>1</v>
      </c>
      <c r="K220" s="22" t="n">
        <v>1</v>
      </c>
      <c r="L220" s="22" t="n">
        <v>0</v>
      </c>
      <c r="M220" s="21" t="s">
        <v>245</v>
      </c>
      <c r="N220" s="21"/>
      <c r="O220" s="22"/>
      <c r="P220" s="20" t="n">
        <f aca="false">IF($N220="Reduce",N($O220),0)</f>
        <v>0</v>
      </c>
      <c r="Q220" s="23" t="str">
        <f aca="false">IF($F220="","",MID(IF($G220="",", career level","")&amp;IF($I220="",", nationality mandate","")&amp;IF($N220="",", capacity direction","")&amp;IF(N($J220)&lt;=0,", approved HC","")&amp;IF(AND($G220&lt;&gt;"",COUNTIF(CareerLevels,$G220)=0),", a career level that is not on the ladder","")&amp;IF(AND($N220="Reduce",N($O220)&lt;=0),", how many seats Reduce means","")&amp;IF(AND(N($O220)&gt;0,$N220&lt;&gt;"Reduce"),", a number of seats on a row not marked Reduce","")&amp;IF(N($O220)&gt;N($J220),", more seats given up than the row has",""),3,200))</f>
        <v>career level, nationality mandate, capacity direction</v>
      </c>
    </row>
    <row r="221" customFormat="false" ht="15" hidden="false" customHeight="false" outlineLevel="0" collapsed="false">
      <c r="A221" s="21" t="s">
        <v>266</v>
      </c>
      <c r="B221" s="21" t="s">
        <v>169</v>
      </c>
      <c r="C221" s="21" t="s">
        <v>185</v>
      </c>
      <c r="D221" s="21" t="s">
        <v>193</v>
      </c>
      <c r="E221" s="21"/>
      <c r="F221" s="21" t="s">
        <v>352</v>
      </c>
      <c r="G221" s="21"/>
      <c r="H221" s="21" t="s">
        <v>220</v>
      </c>
      <c r="I221" s="21"/>
      <c r="J221" s="22" t="n">
        <v>1</v>
      </c>
      <c r="K221" s="22" t="n">
        <v>1</v>
      </c>
      <c r="L221" s="22" t="n">
        <v>0</v>
      </c>
      <c r="M221" s="21" t="s">
        <v>212</v>
      </c>
      <c r="N221" s="21"/>
      <c r="O221" s="22"/>
      <c r="P221" s="20" t="n">
        <f aca="false">IF($N221="Reduce",N($O221),0)</f>
        <v>0</v>
      </c>
      <c r="Q221" s="23" t="str">
        <f aca="false">IF($F221="","",MID(IF($G221="",", career level","")&amp;IF($I221="",", nationality mandate","")&amp;IF($N221="",", capacity direction","")&amp;IF(N($J221)&lt;=0,", approved HC","")&amp;IF(AND($G221&lt;&gt;"",COUNTIF(CareerLevels,$G221)=0),", a career level that is not on the ladder","")&amp;IF(AND($N221="Reduce",N($O221)&lt;=0),", how many seats Reduce means","")&amp;IF(AND(N($O221)&gt;0,$N221&lt;&gt;"Reduce"),", a number of seats on a row not marked Reduce","")&amp;IF(N($O221)&gt;N($J221),", more seats given up than the row has",""),3,200))</f>
        <v>career level, nationality mandate, capacity direction</v>
      </c>
    </row>
    <row r="222" customFormat="false" ht="15" hidden="false" customHeight="false" outlineLevel="0" collapsed="false">
      <c r="A222" s="21" t="s">
        <v>252</v>
      </c>
      <c r="B222" s="21" t="s">
        <v>169</v>
      </c>
      <c r="C222" s="21" t="s">
        <v>185</v>
      </c>
      <c r="D222" s="21" t="s">
        <v>193</v>
      </c>
      <c r="E222" s="21" t="s">
        <v>195</v>
      </c>
      <c r="F222" s="21" t="s">
        <v>353</v>
      </c>
      <c r="G222" s="21"/>
      <c r="H222" s="21" t="s">
        <v>223</v>
      </c>
      <c r="I222" s="21"/>
      <c r="J222" s="22" t="n">
        <v>1</v>
      </c>
      <c r="K222" s="22" t="n">
        <v>1</v>
      </c>
      <c r="L222" s="22" t="n">
        <v>0</v>
      </c>
      <c r="M222" s="21" t="s">
        <v>212</v>
      </c>
      <c r="N222" s="21"/>
      <c r="O222" s="22"/>
      <c r="P222" s="20" t="n">
        <f aca="false">IF($N222="Reduce",N($O222),0)</f>
        <v>0</v>
      </c>
      <c r="Q222" s="23" t="str">
        <f aca="false">IF($F222="","",MID(IF($G222="",", career level","")&amp;IF($I222="",", nationality mandate","")&amp;IF($N222="",", capacity direction","")&amp;IF(N($J222)&lt;=0,", approved HC","")&amp;IF(AND($G222&lt;&gt;"",COUNTIF(CareerLevels,$G222)=0),", a career level that is not on the ladder","")&amp;IF(AND($N222="Reduce",N($O222)&lt;=0),", how many seats Reduce means","")&amp;IF(AND(N($O222)&gt;0,$N222&lt;&gt;"Reduce"),", a number of seats on a row not marked Reduce","")&amp;IF(N($O222)&gt;N($J222),", more seats given up than the row has",""),3,200))</f>
        <v>career level, nationality mandate, capacity direction</v>
      </c>
    </row>
    <row r="223" customFormat="false" ht="15" hidden="false" customHeight="false" outlineLevel="0" collapsed="false">
      <c r="A223" s="21"/>
      <c r="B223" s="21" t="s">
        <v>169</v>
      </c>
      <c r="C223" s="21" t="s">
        <v>185</v>
      </c>
      <c r="D223" s="21" t="s">
        <v>193</v>
      </c>
      <c r="E223" s="21" t="s">
        <v>195</v>
      </c>
      <c r="F223" s="21" t="s">
        <v>357</v>
      </c>
      <c r="G223" s="21"/>
      <c r="H223" s="21" t="s">
        <v>223</v>
      </c>
      <c r="I223" s="21"/>
      <c r="J223" s="22" t="n">
        <v>2</v>
      </c>
      <c r="K223" s="22" t="n">
        <v>2</v>
      </c>
      <c r="L223" s="22" t="n">
        <v>0</v>
      </c>
      <c r="M223" s="21" t="s">
        <v>212</v>
      </c>
      <c r="N223" s="21"/>
      <c r="O223" s="22"/>
      <c r="P223" s="20" t="n">
        <f aca="false">IF($N223="Reduce",N($O223),0)</f>
        <v>0</v>
      </c>
      <c r="Q223" s="23" t="str">
        <f aca="false">IF($F223="","",MID(IF($G223="",", career level","")&amp;IF($I223="",", nationality mandate","")&amp;IF($N223="",", capacity direction","")&amp;IF(N($J223)&lt;=0,", approved HC","")&amp;IF(AND($G223&lt;&gt;"",COUNTIF(CareerLevels,$G223)=0),", a career level that is not on the ladder","")&amp;IF(AND($N223="Reduce",N($O223)&lt;=0),", how many seats Reduce means","")&amp;IF(AND(N($O223)&gt;0,$N223&lt;&gt;"Reduce"),", a number of seats on a row not marked Reduce","")&amp;IF(N($O223)&gt;N($J223),", more seats given up than the row has",""),3,200))</f>
        <v>career level, nationality mandate, capacity direction</v>
      </c>
    </row>
    <row r="224" customFormat="false" ht="15" hidden="false" customHeight="false" outlineLevel="0" collapsed="false">
      <c r="A224" s="21" t="s">
        <v>339</v>
      </c>
      <c r="B224" s="21" t="s">
        <v>169</v>
      </c>
      <c r="C224" s="21" t="s">
        <v>185</v>
      </c>
      <c r="D224" s="21" t="s">
        <v>193</v>
      </c>
      <c r="E224" s="21" t="s">
        <v>195</v>
      </c>
      <c r="F224" s="21" t="s">
        <v>358</v>
      </c>
      <c r="G224" s="21"/>
      <c r="H224" s="21" t="s">
        <v>223</v>
      </c>
      <c r="I224" s="21"/>
      <c r="J224" s="22" t="n">
        <v>1</v>
      </c>
      <c r="K224" s="22" t="n">
        <v>1</v>
      </c>
      <c r="L224" s="22" t="n">
        <v>0</v>
      </c>
      <c r="M224" s="21" t="s">
        <v>212</v>
      </c>
      <c r="N224" s="21"/>
      <c r="O224" s="22"/>
      <c r="P224" s="20" t="n">
        <f aca="false">IF($N224="Reduce",N($O224),0)</f>
        <v>0</v>
      </c>
      <c r="Q224" s="23" t="str">
        <f aca="false">IF($F224="","",MID(IF($G224="",", career level","")&amp;IF($I224="",", nationality mandate","")&amp;IF($N224="",", capacity direction","")&amp;IF(N($J224)&lt;=0,", approved HC","")&amp;IF(AND($G224&lt;&gt;"",COUNTIF(CareerLevels,$G224)=0),", a career level that is not on the ladder","")&amp;IF(AND($N224="Reduce",N($O224)&lt;=0),", how many seats Reduce means","")&amp;IF(AND(N($O224)&gt;0,$N224&lt;&gt;"Reduce"),", a number of seats on a row not marked Reduce","")&amp;IF(N($O224)&gt;N($J224),", more seats given up than the row has",""),3,200))</f>
        <v>career level, nationality mandate, capacity direction</v>
      </c>
    </row>
    <row r="225" customFormat="false" ht="15" hidden="false" customHeight="false" outlineLevel="0" collapsed="false">
      <c r="A225" s="21"/>
      <c r="B225" s="21" t="s">
        <v>169</v>
      </c>
      <c r="C225" s="21" t="s">
        <v>185</v>
      </c>
      <c r="D225" s="21" t="s">
        <v>193</v>
      </c>
      <c r="E225" s="21" t="s">
        <v>195</v>
      </c>
      <c r="F225" s="21" t="s">
        <v>354</v>
      </c>
      <c r="G225" s="21"/>
      <c r="H225" s="21" t="s">
        <v>223</v>
      </c>
      <c r="I225" s="21"/>
      <c r="J225" s="22" t="n">
        <v>2</v>
      </c>
      <c r="K225" s="22" t="n">
        <v>2</v>
      </c>
      <c r="L225" s="22" t="n">
        <v>0</v>
      </c>
      <c r="M225" s="21" t="s">
        <v>212</v>
      </c>
      <c r="N225" s="21"/>
      <c r="O225" s="22"/>
      <c r="P225" s="20" t="n">
        <f aca="false">IF($N225="Reduce",N($O225),0)</f>
        <v>0</v>
      </c>
      <c r="Q225" s="23" t="str">
        <f aca="false">IF($F225="","",MID(IF($G225="",", career level","")&amp;IF($I225="",", nationality mandate","")&amp;IF($N225="",", capacity direction","")&amp;IF(N($J225)&lt;=0,", approved HC","")&amp;IF(AND($G225&lt;&gt;"",COUNTIF(CareerLevels,$G225)=0),", a career level that is not on the ladder","")&amp;IF(AND($N225="Reduce",N($O225)&lt;=0),", how many seats Reduce means","")&amp;IF(AND(N($O225)&gt;0,$N225&lt;&gt;"Reduce"),", a number of seats on a row not marked Reduce","")&amp;IF(N($O225)&gt;N($J225),", more seats given up than the row has",""),3,200))</f>
        <v>career level, nationality mandate, capacity direction</v>
      </c>
    </row>
    <row r="226" customFormat="false" ht="15" hidden="false" customHeight="false" outlineLevel="0" collapsed="false">
      <c r="A226" s="21"/>
      <c r="B226" s="21" t="s">
        <v>169</v>
      </c>
      <c r="C226" s="21" t="s">
        <v>185</v>
      </c>
      <c r="D226" s="21" t="s">
        <v>193</v>
      </c>
      <c r="E226" s="21" t="s">
        <v>195</v>
      </c>
      <c r="F226" s="21" t="s">
        <v>359</v>
      </c>
      <c r="G226" s="21"/>
      <c r="H226" s="21" t="s">
        <v>223</v>
      </c>
      <c r="I226" s="21"/>
      <c r="J226" s="22" t="n">
        <v>3</v>
      </c>
      <c r="K226" s="22" t="n">
        <v>3</v>
      </c>
      <c r="L226" s="22" t="n">
        <v>0</v>
      </c>
      <c r="M226" s="21" t="s">
        <v>212</v>
      </c>
      <c r="N226" s="21"/>
      <c r="O226" s="22"/>
      <c r="P226" s="20" t="n">
        <f aca="false">IF($N226="Reduce",N($O226),0)</f>
        <v>0</v>
      </c>
      <c r="Q226" s="23" t="str">
        <f aca="false">IF($F226="","",MID(IF($G226="",", career level","")&amp;IF($I226="",", nationality mandate","")&amp;IF($N226="",", capacity direction","")&amp;IF(N($J226)&lt;=0,", approved HC","")&amp;IF(AND($G226&lt;&gt;"",COUNTIF(CareerLevels,$G226)=0),", a career level that is not on the ladder","")&amp;IF(AND($N226="Reduce",N($O226)&lt;=0),", how many seats Reduce means","")&amp;IF(AND(N($O226)&gt;0,$N226&lt;&gt;"Reduce"),", a number of seats on a row not marked Reduce","")&amp;IF(N($O226)&gt;N($J226),", more seats given up than the row has",""),3,200))</f>
        <v>career level, nationality mandate, capacity direction</v>
      </c>
    </row>
    <row r="227" customFormat="false" ht="15" hidden="false" customHeight="false" outlineLevel="0" collapsed="false">
      <c r="A227" s="21" t="s">
        <v>332</v>
      </c>
      <c r="B227" s="21" t="s">
        <v>169</v>
      </c>
      <c r="C227" s="21" t="s">
        <v>185</v>
      </c>
      <c r="D227" s="21" t="s">
        <v>193</v>
      </c>
      <c r="E227" s="21" t="s">
        <v>195</v>
      </c>
      <c r="F227" s="21" t="s">
        <v>356</v>
      </c>
      <c r="G227" s="21"/>
      <c r="H227" s="21" t="s">
        <v>220</v>
      </c>
      <c r="I227" s="21"/>
      <c r="J227" s="22" t="n">
        <v>1</v>
      </c>
      <c r="K227" s="22" t="n">
        <v>1</v>
      </c>
      <c r="L227" s="22" t="n">
        <v>0</v>
      </c>
      <c r="M227" s="21" t="s">
        <v>212</v>
      </c>
      <c r="N227" s="21"/>
      <c r="O227" s="22"/>
      <c r="P227" s="20" t="n">
        <f aca="false">IF($N227="Reduce",N($O227),0)</f>
        <v>0</v>
      </c>
      <c r="Q227" s="23" t="str">
        <f aca="false">IF($F227="","",MID(IF($G227="",", career level","")&amp;IF($I227="",", nationality mandate","")&amp;IF($N227="",", capacity direction","")&amp;IF(N($J227)&lt;=0,", approved HC","")&amp;IF(AND($G227&lt;&gt;"",COUNTIF(CareerLevels,$G227)=0),", a career level that is not on the ladder","")&amp;IF(AND($N227="Reduce",N($O227)&lt;=0),", how many seats Reduce means","")&amp;IF(AND(N($O227)&gt;0,$N227&lt;&gt;"Reduce"),", a number of seats on a row not marked Reduce","")&amp;IF(N($O227)&gt;N($J227),", more seats given up than the row has",""),3,200))</f>
        <v>career level, nationality mandate, capacity direction</v>
      </c>
    </row>
    <row r="228" customFormat="false" ht="15" hidden="false" customHeight="false" outlineLevel="0" collapsed="false">
      <c r="A228" s="21"/>
      <c r="B228" s="21" t="s">
        <v>169</v>
      </c>
      <c r="C228" s="21" t="s">
        <v>185</v>
      </c>
      <c r="D228" s="21" t="s">
        <v>193</v>
      </c>
      <c r="E228" s="21" t="s">
        <v>197</v>
      </c>
      <c r="F228" s="21" t="s">
        <v>353</v>
      </c>
      <c r="G228" s="21"/>
      <c r="H228" s="21" t="s">
        <v>223</v>
      </c>
      <c r="I228" s="21"/>
      <c r="J228" s="22" t="n">
        <v>3</v>
      </c>
      <c r="K228" s="22" t="n">
        <v>2</v>
      </c>
      <c r="L228" s="22" t="n">
        <v>1</v>
      </c>
      <c r="M228" s="21" t="s">
        <v>212</v>
      </c>
      <c r="N228" s="21"/>
      <c r="O228" s="22"/>
      <c r="P228" s="20" t="n">
        <f aca="false">IF($N228="Reduce",N($O228),0)</f>
        <v>0</v>
      </c>
      <c r="Q228" s="23" t="str">
        <f aca="false">IF($F228="","",MID(IF($G228="",", career level","")&amp;IF($I228="",", nationality mandate","")&amp;IF($N228="",", capacity direction","")&amp;IF(N($J228)&lt;=0,", approved HC","")&amp;IF(AND($G228&lt;&gt;"",COUNTIF(CareerLevels,$G228)=0),", a career level that is not on the ladder","")&amp;IF(AND($N228="Reduce",N($O228)&lt;=0),", how many seats Reduce means","")&amp;IF(AND(N($O228)&gt;0,$N228&lt;&gt;"Reduce"),", a number of seats on a row not marked Reduce","")&amp;IF(N($O228)&gt;N($J228),", more seats given up than the row has",""),3,200))</f>
        <v>career level, nationality mandate, capacity direction</v>
      </c>
    </row>
    <row r="229" customFormat="false" ht="15" hidden="false" customHeight="false" outlineLevel="0" collapsed="false">
      <c r="A229" s="21" t="s">
        <v>234</v>
      </c>
      <c r="B229" s="21" t="s">
        <v>169</v>
      </c>
      <c r="C229" s="21" t="s">
        <v>185</v>
      </c>
      <c r="D229" s="21" t="s">
        <v>193</v>
      </c>
      <c r="E229" s="21" t="s">
        <v>197</v>
      </c>
      <c r="F229" s="21" t="s">
        <v>357</v>
      </c>
      <c r="G229" s="21"/>
      <c r="H229" s="21" t="s">
        <v>223</v>
      </c>
      <c r="I229" s="21"/>
      <c r="J229" s="22" t="n">
        <v>1</v>
      </c>
      <c r="K229" s="22" t="n">
        <v>1</v>
      </c>
      <c r="L229" s="22" t="n">
        <v>0</v>
      </c>
      <c r="M229" s="21" t="s">
        <v>212</v>
      </c>
      <c r="N229" s="21"/>
      <c r="O229" s="22"/>
      <c r="P229" s="20" t="n">
        <f aca="false">IF($N229="Reduce",N($O229),0)</f>
        <v>0</v>
      </c>
      <c r="Q229" s="23" t="str">
        <f aca="false">IF($F229="","",MID(IF($G229="",", career level","")&amp;IF($I229="",", nationality mandate","")&amp;IF($N229="",", capacity direction","")&amp;IF(N($J229)&lt;=0,", approved HC","")&amp;IF(AND($G229&lt;&gt;"",COUNTIF(CareerLevels,$G229)=0),", a career level that is not on the ladder","")&amp;IF(AND($N229="Reduce",N($O229)&lt;=0),", how many seats Reduce means","")&amp;IF(AND(N($O229)&gt;0,$N229&lt;&gt;"Reduce"),", a number of seats on a row not marked Reduce","")&amp;IF(N($O229)&gt;N($J229),", more seats given up than the row has",""),3,200))</f>
        <v>career level, nationality mandate, capacity direction</v>
      </c>
    </row>
    <row r="230" customFormat="false" ht="15" hidden="false" customHeight="false" outlineLevel="0" collapsed="false">
      <c r="A230" s="21" t="s">
        <v>280</v>
      </c>
      <c r="B230" s="21" t="s">
        <v>169</v>
      </c>
      <c r="C230" s="21" t="s">
        <v>185</v>
      </c>
      <c r="D230" s="21" t="s">
        <v>193</v>
      </c>
      <c r="E230" s="21" t="s">
        <v>197</v>
      </c>
      <c r="F230" s="21" t="s">
        <v>358</v>
      </c>
      <c r="G230" s="21"/>
      <c r="H230" s="21" t="s">
        <v>223</v>
      </c>
      <c r="I230" s="21"/>
      <c r="J230" s="22" t="n">
        <v>1</v>
      </c>
      <c r="K230" s="22" t="n">
        <v>1</v>
      </c>
      <c r="L230" s="22" t="n">
        <v>0</v>
      </c>
      <c r="M230" s="21" t="s">
        <v>212</v>
      </c>
      <c r="N230" s="21"/>
      <c r="O230" s="22"/>
      <c r="P230" s="20" t="n">
        <f aca="false">IF($N230="Reduce",N($O230),0)</f>
        <v>0</v>
      </c>
      <c r="Q230" s="23" t="str">
        <f aca="false">IF($F230="","",MID(IF($G230="",", career level","")&amp;IF($I230="",", nationality mandate","")&amp;IF($N230="",", capacity direction","")&amp;IF(N($J230)&lt;=0,", approved HC","")&amp;IF(AND($G230&lt;&gt;"",COUNTIF(CareerLevels,$G230)=0),", a career level that is not on the ladder","")&amp;IF(AND($N230="Reduce",N($O230)&lt;=0),", how many seats Reduce means","")&amp;IF(AND(N($O230)&gt;0,$N230&lt;&gt;"Reduce"),", a number of seats on a row not marked Reduce","")&amp;IF(N($O230)&gt;N($J230),", more seats given up than the row has",""),3,200))</f>
        <v>career level, nationality mandate, capacity direction</v>
      </c>
    </row>
    <row r="231" customFormat="false" ht="15" hidden="false" customHeight="false" outlineLevel="0" collapsed="false">
      <c r="A231" s="21" t="s">
        <v>235</v>
      </c>
      <c r="B231" s="21" t="s">
        <v>169</v>
      </c>
      <c r="C231" s="21" t="s">
        <v>185</v>
      </c>
      <c r="D231" s="21" t="s">
        <v>193</v>
      </c>
      <c r="E231" s="21" t="s">
        <v>197</v>
      </c>
      <c r="F231" s="21" t="s">
        <v>354</v>
      </c>
      <c r="G231" s="21"/>
      <c r="H231" s="21" t="s">
        <v>223</v>
      </c>
      <c r="I231" s="21"/>
      <c r="J231" s="22" t="n">
        <v>1</v>
      </c>
      <c r="K231" s="22" t="n">
        <v>1</v>
      </c>
      <c r="L231" s="22" t="n">
        <v>0</v>
      </c>
      <c r="M231" s="21" t="s">
        <v>245</v>
      </c>
      <c r="N231" s="21"/>
      <c r="O231" s="22"/>
      <c r="P231" s="20" t="n">
        <f aca="false">IF($N231="Reduce",N($O231),0)</f>
        <v>0</v>
      </c>
      <c r="Q231" s="23" t="str">
        <f aca="false">IF($F231="","",MID(IF($G231="",", career level","")&amp;IF($I231="",", nationality mandate","")&amp;IF($N231="",", capacity direction","")&amp;IF(N($J231)&lt;=0,", approved HC","")&amp;IF(AND($G231&lt;&gt;"",COUNTIF(CareerLevels,$G231)=0),", a career level that is not on the ladder","")&amp;IF(AND($N231="Reduce",N($O231)&lt;=0),", how many seats Reduce means","")&amp;IF(AND(N($O231)&gt;0,$N231&lt;&gt;"Reduce"),", a number of seats on a row not marked Reduce","")&amp;IF(N($O231)&gt;N($J231),", more seats given up than the row has",""),3,200))</f>
        <v>career level, nationality mandate, capacity direction</v>
      </c>
    </row>
    <row r="232" customFormat="false" ht="15" hidden="false" customHeight="false" outlineLevel="0" collapsed="false">
      <c r="A232" s="21"/>
      <c r="B232" s="21" t="s">
        <v>169</v>
      </c>
      <c r="C232" s="21" t="s">
        <v>185</v>
      </c>
      <c r="D232" s="21" t="s">
        <v>193</v>
      </c>
      <c r="E232" s="21" t="s">
        <v>197</v>
      </c>
      <c r="F232" s="21" t="s">
        <v>355</v>
      </c>
      <c r="G232" s="21"/>
      <c r="H232" s="21" t="s">
        <v>223</v>
      </c>
      <c r="I232" s="21"/>
      <c r="J232" s="22" t="n">
        <v>2</v>
      </c>
      <c r="K232" s="22" t="n">
        <v>2</v>
      </c>
      <c r="L232" s="22" t="n">
        <v>0</v>
      </c>
      <c r="M232" s="21" t="s">
        <v>212</v>
      </c>
      <c r="N232" s="21"/>
      <c r="O232" s="22"/>
      <c r="P232" s="20" t="n">
        <f aca="false">IF($N232="Reduce",N($O232),0)</f>
        <v>0</v>
      </c>
      <c r="Q232" s="23" t="str">
        <f aca="false">IF($F232="","",MID(IF($G232="",", career level","")&amp;IF($I232="",", nationality mandate","")&amp;IF($N232="",", capacity direction","")&amp;IF(N($J232)&lt;=0,", approved HC","")&amp;IF(AND($G232&lt;&gt;"",COUNTIF(CareerLevels,$G232)=0),", a career level that is not on the ladder","")&amp;IF(AND($N232="Reduce",N($O232)&lt;=0),", how many seats Reduce means","")&amp;IF(AND(N($O232)&gt;0,$N232&lt;&gt;"Reduce"),", a number of seats on a row not marked Reduce","")&amp;IF(N($O232)&gt;N($J232),", more seats given up than the row has",""),3,200))</f>
        <v>career level, nationality mandate, capacity direction</v>
      </c>
    </row>
    <row r="233" customFormat="false" ht="15" hidden="false" customHeight="false" outlineLevel="0" collapsed="false">
      <c r="A233" s="21" t="s">
        <v>209</v>
      </c>
      <c r="B233" s="21" t="s">
        <v>169</v>
      </c>
      <c r="C233" s="21" t="s">
        <v>185</v>
      </c>
      <c r="D233" s="21" t="s">
        <v>193</v>
      </c>
      <c r="E233" s="21" t="s">
        <v>197</v>
      </c>
      <c r="F233" s="21" t="s">
        <v>356</v>
      </c>
      <c r="G233" s="21"/>
      <c r="H233" s="21" t="s">
        <v>220</v>
      </c>
      <c r="I233" s="21"/>
      <c r="J233" s="22" t="n">
        <v>1</v>
      </c>
      <c r="K233" s="22" t="n">
        <v>1</v>
      </c>
      <c r="L233" s="22" t="n">
        <v>0</v>
      </c>
      <c r="M233" s="21" t="s">
        <v>212</v>
      </c>
      <c r="N233" s="21"/>
      <c r="O233" s="22"/>
      <c r="P233" s="20" t="n">
        <f aca="false">IF($N233="Reduce",N($O233),0)</f>
        <v>0</v>
      </c>
      <c r="Q233" s="23" t="str">
        <f aca="false">IF($F233="","",MID(IF($G233="",", career level","")&amp;IF($I233="",", nationality mandate","")&amp;IF($N233="",", capacity direction","")&amp;IF(N($J233)&lt;=0,", approved HC","")&amp;IF(AND($G233&lt;&gt;"",COUNTIF(CareerLevels,$G233)=0),", a career level that is not on the ladder","")&amp;IF(AND($N233="Reduce",N($O233)&lt;=0),", how many seats Reduce means","")&amp;IF(AND(N($O233)&gt;0,$N233&lt;&gt;"Reduce"),", a number of seats on a row not marked Reduce","")&amp;IF(N($O233)&gt;N($J233),", more seats given up than the row has",""),3,200))</f>
        <v>career level, nationality mandate, capacity direction</v>
      </c>
    </row>
    <row r="234" customFormat="false" ht="15" hidden="false" customHeight="false" outlineLevel="0" collapsed="false">
      <c r="A234" s="21"/>
      <c r="B234" s="21"/>
      <c r="C234" s="21"/>
      <c r="D234" s="21"/>
      <c r="E234" s="21"/>
      <c r="F234" s="21"/>
      <c r="G234" s="21"/>
      <c r="H234" s="21"/>
      <c r="I234" s="21"/>
      <c r="J234" s="22"/>
      <c r="K234" s="22"/>
      <c r="L234" s="22"/>
      <c r="M234" s="21"/>
      <c r="N234" s="21"/>
      <c r="O234" s="22"/>
      <c r="P234" s="20" t="n">
        <f aca="false">IF($N234="Reduce",N($O234),0)</f>
        <v>0</v>
      </c>
      <c r="Q234" s="23" t="str">
        <f aca="false">IF($F234="","",MID(IF($G234="",", career level","")&amp;IF($I234="",", nationality mandate","")&amp;IF($N234="",", capacity direction","")&amp;IF(N($J234)&lt;=0,", approved HC","")&amp;IF(AND($G234&lt;&gt;"",COUNTIF(CareerLevels,$G234)=0),", a career level that is not on the ladder","")&amp;IF(AND($N234="Reduce",N($O234)&lt;=0),", how many seats Reduce means","")&amp;IF(AND(N($O234)&gt;0,$N234&lt;&gt;"Reduce"),", a number of seats on a row not marked Reduce","")&amp;IF(N($O234)&gt;N($J234),", more seats given up than the row has",""),3,200))</f>
        <v/>
      </c>
    </row>
    <row r="235" customFormat="false" ht="15" hidden="false" customHeight="false" outlineLevel="0" collapsed="false">
      <c r="A235" s="21"/>
      <c r="B235" s="21"/>
      <c r="C235" s="21"/>
      <c r="D235" s="21"/>
      <c r="E235" s="21"/>
      <c r="F235" s="21"/>
      <c r="G235" s="21"/>
      <c r="H235" s="21"/>
      <c r="I235" s="21"/>
      <c r="J235" s="22"/>
      <c r="K235" s="22"/>
      <c r="L235" s="22"/>
      <c r="M235" s="21"/>
      <c r="N235" s="21"/>
      <c r="O235" s="22"/>
      <c r="P235" s="20" t="n">
        <f aca="false">IF($N235="Reduce",N($O235),0)</f>
        <v>0</v>
      </c>
      <c r="Q235" s="23" t="str">
        <f aca="false">IF($F235="","",MID(IF($G235="",", career level","")&amp;IF($I235="",", nationality mandate","")&amp;IF($N235="",", capacity direction","")&amp;IF(N($J235)&lt;=0,", approved HC","")&amp;IF(AND($G235&lt;&gt;"",COUNTIF(CareerLevels,$G235)=0),", a career level that is not on the ladder","")&amp;IF(AND($N235="Reduce",N($O235)&lt;=0),", how many seats Reduce means","")&amp;IF(AND(N($O235)&gt;0,$N235&lt;&gt;"Reduce"),", a number of seats on a row not marked Reduce","")&amp;IF(N($O235)&gt;N($J235),", more seats given up than the row has",""),3,200))</f>
        <v/>
      </c>
    </row>
    <row r="236" customFormat="false" ht="15" hidden="false" customHeight="false" outlineLevel="0" collapsed="false">
      <c r="A236" s="21"/>
      <c r="B236" s="21"/>
      <c r="C236" s="21"/>
      <c r="D236" s="21"/>
      <c r="E236" s="21"/>
      <c r="F236" s="21"/>
      <c r="G236" s="21"/>
      <c r="H236" s="21"/>
      <c r="I236" s="21"/>
      <c r="J236" s="22"/>
      <c r="K236" s="22"/>
      <c r="L236" s="22"/>
      <c r="M236" s="21"/>
      <c r="N236" s="21"/>
      <c r="O236" s="22"/>
      <c r="P236" s="20" t="n">
        <f aca="false">IF($N236="Reduce",N($O236),0)</f>
        <v>0</v>
      </c>
      <c r="Q236" s="23" t="str">
        <f aca="false">IF($F236="","",MID(IF($G236="",", career level","")&amp;IF($I236="",", nationality mandate","")&amp;IF($N236="",", capacity direction","")&amp;IF(N($J236)&lt;=0,", approved HC","")&amp;IF(AND($G236&lt;&gt;"",COUNTIF(CareerLevels,$G236)=0),", a career level that is not on the ladder","")&amp;IF(AND($N236="Reduce",N($O236)&lt;=0),", how many seats Reduce means","")&amp;IF(AND(N($O236)&gt;0,$N236&lt;&gt;"Reduce"),", a number of seats on a row not marked Reduce","")&amp;IF(N($O236)&gt;N($J236),", more seats given up than the row has",""),3,200))</f>
        <v/>
      </c>
    </row>
    <row r="237" customFormat="false" ht="15" hidden="false" customHeight="false" outlineLevel="0" collapsed="false">
      <c r="A237" s="21"/>
      <c r="B237" s="21"/>
      <c r="C237" s="21"/>
      <c r="D237" s="21"/>
      <c r="E237" s="21"/>
      <c r="F237" s="21"/>
      <c r="G237" s="21"/>
      <c r="H237" s="21"/>
      <c r="I237" s="21"/>
      <c r="J237" s="22"/>
      <c r="K237" s="22"/>
      <c r="L237" s="22"/>
      <c r="M237" s="21"/>
      <c r="N237" s="21"/>
      <c r="O237" s="22"/>
      <c r="P237" s="20" t="n">
        <f aca="false">IF($N237="Reduce",N($O237),0)</f>
        <v>0</v>
      </c>
      <c r="Q237" s="23" t="str">
        <f aca="false">IF($F237="","",MID(IF($G237="",", career level","")&amp;IF($I237="",", nationality mandate","")&amp;IF($N237="",", capacity direction","")&amp;IF(N($J237)&lt;=0,", approved HC","")&amp;IF(AND($G237&lt;&gt;"",COUNTIF(CareerLevels,$G237)=0),", a career level that is not on the ladder","")&amp;IF(AND($N237="Reduce",N($O237)&lt;=0),", how many seats Reduce means","")&amp;IF(AND(N($O237)&gt;0,$N237&lt;&gt;"Reduce"),", a number of seats on a row not marked Reduce","")&amp;IF(N($O237)&gt;N($J237),", more seats given up than the row has",""),3,200))</f>
        <v/>
      </c>
    </row>
    <row r="238" customFormat="false" ht="15" hidden="false" customHeight="false" outlineLevel="0" collapsed="false">
      <c r="A238" s="21"/>
      <c r="B238" s="21"/>
      <c r="C238" s="21"/>
      <c r="D238" s="21"/>
      <c r="E238" s="21"/>
      <c r="F238" s="21"/>
      <c r="G238" s="21"/>
      <c r="H238" s="21"/>
      <c r="I238" s="21"/>
      <c r="J238" s="22"/>
      <c r="K238" s="22"/>
      <c r="L238" s="22"/>
      <c r="M238" s="21"/>
      <c r="N238" s="21"/>
      <c r="O238" s="22"/>
      <c r="P238" s="20" t="n">
        <f aca="false">IF($N238="Reduce",N($O238),0)</f>
        <v>0</v>
      </c>
      <c r="Q238" s="23" t="str">
        <f aca="false">IF($F238="","",MID(IF($G238="",", career level","")&amp;IF($I238="",", nationality mandate","")&amp;IF($N238="",", capacity direction","")&amp;IF(N($J238)&lt;=0,", approved HC","")&amp;IF(AND($G238&lt;&gt;"",COUNTIF(CareerLevels,$G238)=0),", a career level that is not on the ladder","")&amp;IF(AND($N238="Reduce",N($O238)&lt;=0),", how many seats Reduce means","")&amp;IF(AND(N($O238)&gt;0,$N238&lt;&gt;"Reduce"),", a number of seats on a row not marked Reduce","")&amp;IF(N($O238)&gt;N($J238),", more seats given up than the row has",""),3,200))</f>
        <v/>
      </c>
    </row>
    <row r="239" customFormat="false" ht="15" hidden="false" customHeight="false" outlineLevel="0" collapsed="false">
      <c r="A239" s="21"/>
      <c r="B239" s="21"/>
      <c r="C239" s="21"/>
      <c r="D239" s="21"/>
      <c r="E239" s="21"/>
      <c r="F239" s="21"/>
      <c r="G239" s="21"/>
      <c r="H239" s="21"/>
      <c r="I239" s="21"/>
      <c r="J239" s="22"/>
      <c r="K239" s="22"/>
      <c r="L239" s="22"/>
      <c r="M239" s="21"/>
      <c r="N239" s="21"/>
      <c r="O239" s="22"/>
      <c r="P239" s="20" t="n">
        <f aca="false">IF($N239="Reduce",N($O239),0)</f>
        <v>0</v>
      </c>
      <c r="Q239" s="23" t="str">
        <f aca="false">IF($F239="","",MID(IF($G239="",", career level","")&amp;IF($I239="",", nationality mandate","")&amp;IF($N239="",", capacity direction","")&amp;IF(N($J239)&lt;=0,", approved HC","")&amp;IF(AND($G239&lt;&gt;"",COUNTIF(CareerLevels,$G239)=0),", a career level that is not on the ladder","")&amp;IF(AND($N239="Reduce",N($O239)&lt;=0),", how many seats Reduce means","")&amp;IF(AND(N($O239)&gt;0,$N239&lt;&gt;"Reduce"),", a number of seats on a row not marked Reduce","")&amp;IF(N($O239)&gt;N($J239),", more seats given up than the row has",""),3,200))</f>
        <v/>
      </c>
    </row>
    <row r="240" customFormat="false" ht="15" hidden="false" customHeight="false" outlineLevel="0" collapsed="false">
      <c r="A240" s="21"/>
      <c r="B240" s="21"/>
      <c r="C240" s="21"/>
      <c r="D240" s="21"/>
      <c r="E240" s="21"/>
      <c r="F240" s="21"/>
      <c r="G240" s="21"/>
      <c r="H240" s="21"/>
      <c r="I240" s="21"/>
      <c r="J240" s="22"/>
      <c r="K240" s="22"/>
      <c r="L240" s="22"/>
      <c r="M240" s="21"/>
      <c r="N240" s="21"/>
      <c r="O240" s="22"/>
      <c r="P240" s="20" t="n">
        <f aca="false">IF($N240="Reduce",N($O240),0)</f>
        <v>0</v>
      </c>
      <c r="Q240" s="23" t="str">
        <f aca="false">IF($F240="","",MID(IF($G240="",", career level","")&amp;IF($I240="",", nationality mandate","")&amp;IF($N240="",", capacity direction","")&amp;IF(N($J240)&lt;=0,", approved HC","")&amp;IF(AND($G240&lt;&gt;"",COUNTIF(CareerLevels,$G240)=0),", a career level that is not on the ladder","")&amp;IF(AND($N240="Reduce",N($O240)&lt;=0),", how many seats Reduce means","")&amp;IF(AND(N($O240)&gt;0,$N240&lt;&gt;"Reduce"),", a number of seats on a row not marked Reduce","")&amp;IF(N($O240)&gt;N($J240),", more seats given up than the row has",""),3,200))</f>
        <v/>
      </c>
    </row>
    <row r="241" customFormat="false" ht="15" hidden="false" customHeight="false" outlineLevel="0" collapsed="false">
      <c r="A241" s="21"/>
      <c r="B241" s="21"/>
      <c r="C241" s="21"/>
      <c r="D241" s="21"/>
      <c r="E241" s="21"/>
      <c r="F241" s="21"/>
      <c r="G241" s="21"/>
      <c r="H241" s="21"/>
      <c r="I241" s="21"/>
      <c r="J241" s="22"/>
      <c r="K241" s="22"/>
      <c r="L241" s="22"/>
      <c r="M241" s="21"/>
      <c r="N241" s="21"/>
      <c r="O241" s="22"/>
      <c r="P241" s="20" t="n">
        <f aca="false">IF($N241="Reduce",N($O241),0)</f>
        <v>0</v>
      </c>
      <c r="Q241" s="23" t="str">
        <f aca="false">IF($F241="","",MID(IF($G241="",", career level","")&amp;IF($I241="",", nationality mandate","")&amp;IF($N241="",", capacity direction","")&amp;IF(N($J241)&lt;=0,", approved HC","")&amp;IF(AND($G241&lt;&gt;"",COUNTIF(CareerLevels,$G241)=0),", a career level that is not on the ladder","")&amp;IF(AND($N241="Reduce",N($O241)&lt;=0),", how many seats Reduce means","")&amp;IF(AND(N($O241)&gt;0,$N241&lt;&gt;"Reduce"),", a number of seats on a row not marked Reduce","")&amp;IF(N($O241)&gt;N($J241),", more seats given up than the row has",""),3,200))</f>
        <v/>
      </c>
    </row>
    <row r="242" customFormat="false" ht="15" hidden="false" customHeight="false" outlineLevel="0" collapsed="false">
      <c r="A242" s="21"/>
      <c r="B242" s="21"/>
      <c r="C242" s="21"/>
      <c r="D242" s="21"/>
      <c r="E242" s="21"/>
      <c r="F242" s="21"/>
      <c r="G242" s="21"/>
      <c r="H242" s="21"/>
      <c r="I242" s="21"/>
      <c r="J242" s="22"/>
      <c r="K242" s="22"/>
      <c r="L242" s="22"/>
      <c r="M242" s="21"/>
      <c r="N242" s="21"/>
      <c r="O242" s="22"/>
      <c r="P242" s="20" t="n">
        <f aca="false">IF($N242="Reduce",N($O242),0)</f>
        <v>0</v>
      </c>
      <c r="Q242" s="23" t="str">
        <f aca="false">IF($F242="","",MID(IF($G242="",", career level","")&amp;IF($I242="",", nationality mandate","")&amp;IF($N242="",", capacity direction","")&amp;IF(N($J242)&lt;=0,", approved HC","")&amp;IF(AND($G242&lt;&gt;"",COUNTIF(CareerLevels,$G242)=0),", a career level that is not on the ladder","")&amp;IF(AND($N242="Reduce",N($O242)&lt;=0),", how many seats Reduce means","")&amp;IF(AND(N($O242)&gt;0,$N242&lt;&gt;"Reduce"),", a number of seats on a row not marked Reduce","")&amp;IF(N($O242)&gt;N($J242),", more seats given up than the row has",""),3,200))</f>
        <v/>
      </c>
    </row>
    <row r="243" customFormat="false" ht="15" hidden="false" customHeight="false" outlineLevel="0" collapsed="false">
      <c r="A243" s="21"/>
      <c r="B243" s="21"/>
      <c r="C243" s="21"/>
      <c r="D243" s="21"/>
      <c r="E243" s="21"/>
      <c r="F243" s="21"/>
      <c r="G243" s="21"/>
      <c r="H243" s="21"/>
      <c r="I243" s="21"/>
      <c r="J243" s="22"/>
      <c r="K243" s="22"/>
      <c r="L243" s="22"/>
      <c r="M243" s="21"/>
      <c r="N243" s="21"/>
      <c r="O243" s="22"/>
      <c r="P243" s="20" t="n">
        <f aca="false">IF($N243="Reduce",N($O243),0)</f>
        <v>0</v>
      </c>
      <c r="Q243" s="23" t="str">
        <f aca="false">IF($F243="","",MID(IF($G243="",", career level","")&amp;IF($I243="",", nationality mandate","")&amp;IF($N243="",", capacity direction","")&amp;IF(N($J243)&lt;=0,", approved HC","")&amp;IF(AND($G243&lt;&gt;"",COUNTIF(CareerLevels,$G243)=0),", a career level that is not on the ladder","")&amp;IF(AND($N243="Reduce",N($O243)&lt;=0),", how many seats Reduce means","")&amp;IF(AND(N($O243)&gt;0,$N243&lt;&gt;"Reduce"),", a number of seats on a row not marked Reduce","")&amp;IF(N($O243)&gt;N($J243),", more seats given up than the row has",""),3,200))</f>
        <v/>
      </c>
    </row>
    <row r="244" customFormat="false" ht="15" hidden="false" customHeight="false" outlineLevel="0" collapsed="false">
      <c r="A244" s="21"/>
      <c r="B244" s="21"/>
      <c r="C244" s="21"/>
      <c r="D244" s="21"/>
      <c r="E244" s="21"/>
      <c r="F244" s="21"/>
      <c r="G244" s="21"/>
      <c r="H244" s="21"/>
      <c r="I244" s="21"/>
      <c r="J244" s="22"/>
      <c r="K244" s="22"/>
      <c r="L244" s="22"/>
      <c r="M244" s="21"/>
      <c r="N244" s="21"/>
      <c r="O244" s="22"/>
      <c r="P244" s="20" t="n">
        <f aca="false">IF($N244="Reduce",N($O244),0)</f>
        <v>0</v>
      </c>
      <c r="Q244" s="23" t="str">
        <f aca="false">IF($F244="","",MID(IF($G244="",", career level","")&amp;IF($I244="",", nationality mandate","")&amp;IF($N244="",", capacity direction","")&amp;IF(N($J244)&lt;=0,", approved HC","")&amp;IF(AND($G244&lt;&gt;"",COUNTIF(CareerLevels,$G244)=0),", a career level that is not on the ladder","")&amp;IF(AND($N244="Reduce",N($O244)&lt;=0),", how many seats Reduce means","")&amp;IF(AND(N($O244)&gt;0,$N244&lt;&gt;"Reduce"),", a number of seats on a row not marked Reduce","")&amp;IF(N($O244)&gt;N($J244),", more seats given up than the row has",""),3,200))</f>
        <v/>
      </c>
    </row>
    <row r="245" customFormat="false" ht="15" hidden="false" customHeight="false" outlineLevel="0" collapsed="false">
      <c r="A245" s="21"/>
      <c r="B245" s="21"/>
      <c r="C245" s="21"/>
      <c r="D245" s="21"/>
      <c r="E245" s="21"/>
      <c r="F245" s="21"/>
      <c r="G245" s="21"/>
      <c r="H245" s="21"/>
      <c r="I245" s="21"/>
      <c r="J245" s="22"/>
      <c r="K245" s="22"/>
      <c r="L245" s="22"/>
      <c r="M245" s="21"/>
      <c r="N245" s="21"/>
      <c r="O245" s="22"/>
      <c r="P245" s="20" t="n">
        <f aca="false">IF($N245="Reduce",N($O245),0)</f>
        <v>0</v>
      </c>
      <c r="Q245" s="23" t="str">
        <f aca="false">IF($F245="","",MID(IF($G245="",", career level","")&amp;IF($I245="",", nationality mandate","")&amp;IF($N245="",", capacity direction","")&amp;IF(N($J245)&lt;=0,", approved HC","")&amp;IF(AND($G245&lt;&gt;"",COUNTIF(CareerLevels,$G245)=0),", a career level that is not on the ladder","")&amp;IF(AND($N245="Reduce",N($O245)&lt;=0),", how many seats Reduce means","")&amp;IF(AND(N($O245)&gt;0,$N245&lt;&gt;"Reduce"),", a number of seats on a row not marked Reduce","")&amp;IF(N($O245)&gt;N($J245),", more seats given up than the row has",""),3,200))</f>
        <v/>
      </c>
    </row>
    <row r="246" customFormat="false" ht="15" hidden="false" customHeight="false" outlineLevel="0" collapsed="false">
      <c r="A246" s="21"/>
      <c r="B246" s="21"/>
      <c r="C246" s="21"/>
      <c r="D246" s="21"/>
      <c r="E246" s="21"/>
      <c r="F246" s="21"/>
      <c r="G246" s="21"/>
      <c r="H246" s="21"/>
      <c r="I246" s="21"/>
      <c r="J246" s="22"/>
      <c r="K246" s="22"/>
      <c r="L246" s="22"/>
      <c r="M246" s="21"/>
      <c r="N246" s="21"/>
      <c r="O246" s="22"/>
      <c r="P246" s="20" t="n">
        <f aca="false">IF($N246="Reduce",N($O246),0)</f>
        <v>0</v>
      </c>
      <c r="Q246" s="23" t="str">
        <f aca="false">IF($F246="","",MID(IF($G246="",", career level","")&amp;IF($I246="",", nationality mandate","")&amp;IF($N246="",", capacity direction","")&amp;IF(N($J246)&lt;=0,", approved HC","")&amp;IF(AND($G246&lt;&gt;"",COUNTIF(CareerLevels,$G246)=0),", a career level that is not on the ladder","")&amp;IF(AND($N246="Reduce",N($O246)&lt;=0),", how many seats Reduce means","")&amp;IF(AND(N($O246)&gt;0,$N246&lt;&gt;"Reduce"),", a number of seats on a row not marked Reduce","")&amp;IF(N($O246)&gt;N($J246),", more seats given up than the row has",""),3,200))</f>
        <v/>
      </c>
    </row>
    <row r="247" customFormat="false" ht="15" hidden="false" customHeight="false" outlineLevel="0" collapsed="false">
      <c r="A247" s="21"/>
      <c r="B247" s="21"/>
      <c r="C247" s="21"/>
      <c r="D247" s="21"/>
      <c r="E247" s="21"/>
      <c r="F247" s="21"/>
      <c r="G247" s="21"/>
      <c r="H247" s="21"/>
      <c r="I247" s="21"/>
      <c r="J247" s="22"/>
      <c r="K247" s="22"/>
      <c r="L247" s="22"/>
      <c r="M247" s="21"/>
      <c r="N247" s="21"/>
      <c r="O247" s="22"/>
      <c r="P247" s="20" t="n">
        <f aca="false">IF($N247="Reduce",N($O247),0)</f>
        <v>0</v>
      </c>
      <c r="Q247" s="23" t="str">
        <f aca="false">IF($F247="","",MID(IF($G247="",", career level","")&amp;IF($I247="",", nationality mandate","")&amp;IF($N247="",", capacity direction","")&amp;IF(N($J247)&lt;=0,", approved HC","")&amp;IF(AND($G247&lt;&gt;"",COUNTIF(CareerLevels,$G247)=0),", a career level that is not on the ladder","")&amp;IF(AND($N247="Reduce",N($O247)&lt;=0),", how many seats Reduce means","")&amp;IF(AND(N($O247)&gt;0,$N247&lt;&gt;"Reduce"),", a number of seats on a row not marked Reduce","")&amp;IF(N($O247)&gt;N($J247),", more seats given up than the row has",""),3,200))</f>
        <v/>
      </c>
    </row>
    <row r="248" customFormat="false" ht="15" hidden="false" customHeight="false" outlineLevel="0" collapsed="false">
      <c r="A248" s="21"/>
      <c r="B248" s="21"/>
      <c r="C248" s="21"/>
      <c r="D248" s="21"/>
      <c r="E248" s="21"/>
      <c r="F248" s="21"/>
      <c r="G248" s="21"/>
      <c r="H248" s="21"/>
      <c r="I248" s="21"/>
      <c r="J248" s="22"/>
      <c r="K248" s="22"/>
      <c r="L248" s="22"/>
      <c r="M248" s="21"/>
      <c r="N248" s="21"/>
      <c r="O248" s="22"/>
      <c r="P248" s="20" t="n">
        <f aca="false">IF($N248="Reduce",N($O248),0)</f>
        <v>0</v>
      </c>
      <c r="Q248" s="23" t="str">
        <f aca="false">IF($F248="","",MID(IF($G248="",", career level","")&amp;IF($I248="",", nationality mandate","")&amp;IF($N248="",", capacity direction","")&amp;IF(N($J248)&lt;=0,", approved HC","")&amp;IF(AND($G248&lt;&gt;"",COUNTIF(CareerLevels,$G248)=0),", a career level that is not on the ladder","")&amp;IF(AND($N248="Reduce",N($O248)&lt;=0),", how many seats Reduce means","")&amp;IF(AND(N($O248)&gt;0,$N248&lt;&gt;"Reduce"),", a number of seats on a row not marked Reduce","")&amp;IF(N($O248)&gt;N($J248),", more seats given up than the row has",""),3,200))</f>
        <v/>
      </c>
    </row>
    <row r="249" customFormat="false" ht="15" hidden="false" customHeight="false" outlineLevel="0" collapsed="false">
      <c r="A249" s="21"/>
      <c r="B249" s="21"/>
      <c r="C249" s="21"/>
      <c r="D249" s="21"/>
      <c r="E249" s="21"/>
      <c r="F249" s="21"/>
      <c r="G249" s="21"/>
      <c r="H249" s="21"/>
      <c r="I249" s="21"/>
      <c r="J249" s="22"/>
      <c r="K249" s="22"/>
      <c r="L249" s="22"/>
      <c r="M249" s="21"/>
      <c r="N249" s="21"/>
      <c r="O249" s="22"/>
      <c r="P249" s="20" t="n">
        <f aca="false">IF($N249="Reduce",N($O249),0)</f>
        <v>0</v>
      </c>
      <c r="Q249" s="23" t="str">
        <f aca="false">IF($F249="","",MID(IF($G249="",", career level","")&amp;IF($I249="",", nationality mandate","")&amp;IF($N249="",", capacity direction","")&amp;IF(N($J249)&lt;=0,", approved HC","")&amp;IF(AND($G249&lt;&gt;"",COUNTIF(CareerLevels,$G249)=0),", a career level that is not on the ladder","")&amp;IF(AND($N249="Reduce",N($O249)&lt;=0),", how many seats Reduce means","")&amp;IF(AND(N($O249)&gt;0,$N249&lt;&gt;"Reduce"),", a number of seats on a row not marked Reduce","")&amp;IF(N($O249)&gt;N($J249),", more seats given up than the row has",""),3,200))</f>
        <v/>
      </c>
    </row>
    <row r="250" customFormat="false" ht="15" hidden="false" customHeight="false" outlineLevel="0" collapsed="false">
      <c r="A250" s="21"/>
      <c r="B250" s="21"/>
      <c r="C250" s="21"/>
      <c r="D250" s="21"/>
      <c r="E250" s="21"/>
      <c r="F250" s="21"/>
      <c r="G250" s="21"/>
      <c r="H250" s="21"/>
      <c r="I250" s="21"/>
      <c r="J250" s="22"/>
      <c r="K250" s="22"/>
      <c r="L250" s="22"/>
      <c r="M250" s="21"/>
      <c r="N250" s="21"/>
      <c r="O250" s="22"/>
      <c r="P250" s="20" t="n">
        <f aca="false">IF($N250="Reduce",N($O250),0)</f>
        <v>0</v>
      </c>
      <c r="Q250" s="23" t="str">
        <f aca="false">IF($F250="","",MID(IF($G250="",", career level","")&amp;IF($I250="",", nationality mandate","")&amp;IF($N250="",", capacity direction","")&amp;IF(N($J250)&lt;=0,", approved HC","")&amp;IF(AND($G250&lt;&gt;"",COUNTIF(CareerLevels,$G250)=0),", a career level that is not on the ladder","")&amp;IF(AND($N250="Reduce",N($O250)&lt;=0),", how many seats Reduce means","")&amp;IF(AND(N($O250)&gt;0,$N250&lt;&gt;"Reduce"),", a number of seats on a row not marked Reduce","")&amp;IF(N($O250)&gt;N($J250),", more seats given up than the row has",""),3,200))</f>
        <v/>
      </c>
    </row>
    <row r="251" customFormat="false" ht="15" hidden="false" customHeight="false" outlineLevel="0" collapsed="false">
      <c r="A251" s="21"/>
      <c r="B251" s="21"/>
      <c r="C251" s="21"/>
      <c r="D251" s="21"/>
      <c r="E251" s="21"/>
      <c r="F251" s="21"/>
      <c r="G251" s="21"/>
      <c r="H251" s="21"/>
      <c r="I251" s="21"/>
      <c r="J251" s="22"/>
      <c r="K251" s="22"/>
      <c r="L251" s="22"/>
      <c r="M251" s="21"/>
      <c r="N251" s="21"/>
      <c r="O251" s="22"/>
      <c r="P251" s="20" t="n">
        <f aca="false">IF($N251="Reduce",N($O251),0)</f>
        <v>0</v>
      </c>
      <c r="Q251" s="23" t="str">
        <f aca="false">IF($F251="","",MID(IF($G251="",", career level","")&amp;IF($I251="",", nationality mandate","")&amp;IF($N251="",", capacity direction","")&amp;IF(N($J251)&lt;=0,", approved HC","")&amp;IF(AND($G251&lt;&gt;"",COUNTIF(CareerLevels,$G251)=0),", a career level that is not on the ladder","")&amp;IF(AND($N251="Reduce",N($O251)&lt;=0),", how many seats Reduce means","")&amp;IF(AND(N($O251)&gt;0,$N251&lt;&gt;"Reduce"),", a number of seats on a row not marked Reduce","")&amp;IF(N($O251)&gt;N($J251),", more seats given up than the row has",""),3,200))</f>
        <v/>
      </c>
    </row>
    <row r="252" customFormat="false" ht="15" hidden="false" customHeight="false" outlineLevel="0" collapsed="false">
      <c r="A252" s="21"/>
      <c r="B252" s="21"/>
      <c r="C252" s="21"/>
      <c r="D252" s="21"/>
      <c r="E252" s="21"/>
      <c r="F252" s="21"/>
      <c r="G252" s="21"/>
      <c r="H252" s="21"/>
      <c r="I252" s="21"/>
      <c r="J252" s="22"/>
      <c r="K252" s="22"/>
      <c r="L252" s="22"/>
      <c r="M252" s="21"/>
      <c r="N252" s="21"/>
      <c r="O252" s="22"/>
      <c r="P252" s="20" t="n">
        <f aca="false">IF($N252="Reduce",N($O252),0)</f>
        <v>0</v>
      </c>
      <c r="Q252" s="23" t="str">
        <f aca="false">IF($F252="","",MID(IF($G252="",", career level","")&amp;IF($I252="",", nationality mandate","")&amp;IF($N252="",", capacity direction","")&amp;IF(N($J252)&lt;=0,", approved HC","")&amp;IF(AND($G252&lt;&gt;"",COUNTIF(CareerLevels,$G252)=0),", a career level that is not on the ladder","")&amp;IF(AND($N252="Reduce",N($O252)&lt;=0),", how many seats Reduce means","")&amp;IF(AND(N($O252)&gt;0,$N252&lt;&gt;"Reduce"),", a number of seats on a row not marked Reduce","")&amp;IF(N($O252)&gt;N($J252),", more seats given up than the row has",""),3,200))</f>
        <v/>
      </c>
    </row>
    <row r="253" customFormat="false" ht="15" hidden="false" customHeight="false" outlineLevel="0" collapsed="false">
      <c r="A253" s="21"/>
      <c r="B253" s="21"/>
      <c r="C253" s="21"/>
      <c r="D253" s="21"/>
      <c r="E253" s="21"/>
      <c r="F253" s="21"/>
      <c r="G253" s="21"/>
      <c r="H253" s="21"/>
      <c r="I253" s="21"/>
      <c r="J253" s="22"/>
      <c r="K253" s="22"/>
      <c r="L253" s="22"/>
      <c r="M253" s="21"/>
      <c r="N253" s="21"/>
      <c r="O253" s="22"/>
      <c r="P253" s="20" t="n">
        <f aca="false">IF($N253="Reduce",N($O253),0)</f>
        <v>0</v>
      </c>
      <c r="Q253" s="23" t="str">
        <f aca="false">IF($F253="","",MID(IF($G253="",", career level","")&amp;IF($I253="",", nationality mandate","")&amp;IF($N253="",", capacity direction","")&amp;IF(N($J253)&lt;=0,", approved HC","")&amp;IF(AND($G253&lt;&gt;"",COUNTIF(CareerLevels,$G253)=0),", a career level that is not on the ladder","")&amp;IF(AND($N253="Reduce",N($O253)&lt;=0),", how many seats Reduce means","")&amp;IF(AND(N($O253)&gt;0,$N253&lt;&gt;"Reduce"),", a number of seats on a row not marked Reduce","")&amp;IF(N($O253)&gt;N($J253),", more seats given up than the row has",""),3,200))</f>
        <v/>
      </c>
    </row>
    <row r="254" customFormat="false" ht="15" hidden="false" customHeight="false" outlineLevel="0" collapsed="false">
      <c r="A254" s="21"/>
      <c r="B254" s="21"/>
      <c r="C254" s="21"/>
      <c r="D254" s="21"/>
      <c r="E254" s="21"/>
      <c r="F254" s="21"/>
      <c r="G254" s="21"/>
      <c r="H254" s="21"/>
      <c r="I254" s="21"/>
      <c r="J254" s="22"/>
      <c r="K254" s="22"/>
      <c r="L254" s="22"/>
      <c r="M254" s="21"/>
      <c r="N254" s="21"/>
      <c r="O254" s="22"/>
      <c r="P254" s="20" t="n">
        <f aca="false">IF($N254="Reduce",N($O254),0)</f>
        <v>0</v>
      </c>
      <c r="Q254" s="23" t="str">
        <f aca="false">IF($F254="","",MID(IF($G254="",", career level","")&amp;IF($I254="",", nationality mandate","")&amp;IF($N254="",", capacity direction","")&amp;IF(N($J254)&lt;=0,", approved HC","")&amp;IF(AND($G254&lt;&gt;"",COUNTIF(CareerLevels,$G254)=0),", a career level that is not on the ladder","")&amp;IF(AND($N254="Reduce",N($O254)&lt;=0),", how many seats Reduce means","")&amp;IF(AND(N($O254)&gt;0,$N254&lt;&gt;"Reduce"),", a number of seats on a row not marked Reduce","")&amp;IF(N($O254)&gt;N($J254),", more seats given up than the row has",""),3,200))</f>
        <v/>
      </c>
    </row>
    <row r="255" customFormat="false" ht="15" hidden="false" customHeight="false" outlineLevel="0" collapsed="false">
      <c r="A255" s="21"/>
      <c r="B255" s="21"/>
      <c r="C255" s="21"/>
      <c r="D255" s="21"/>
      <c r="E255" s="21"/>
      <c r="F255" s="21"/>
      <c r="G255" s="21"/>
      <c r="H255" s="21"/>
      <c r="I255" s="21"/>
      <c r="J255" s="22"/>
      <c r="K255" s="22"/>
      <c r="L255" s="22"/>
      <c r="M255" s="21"/>
      <c r="N255" s="21"/>
      <c r="O255" s="22"/>
      <c r="P255" s="20" t="n">
        <f aca="false">IF($N255="Reduce",N($O255),0)</f>
        <v>0</v>
      </c>
      <c r="Q255" s="23" t="str">
        <f aca="false">IF($F255="","",MID(IF($G255="",", career level","")&amp;IF($I255="",", nationality mandate","")&amp;IF($N255="",", capacity direction","")&amp;IF(N($J255)&lt;=0,", approved HC","")&amp;IF(AND($G255&lt;&gt;"",COUNTIF(CareerLevels,$G255)=0),", a career level that is not on the ladder","")&amp;IF(AND($N255="Reduce",N($O255)&lt;=0),", how many seats Reduce means","")&amp;IF(AND(N($O255)&gt;0,$N255&lt;&gt;"Reduce"),", a number of seats on a row not marked Reduce","")&amp;IF(N($O255)&gt;N($J255),", more seats given up than the row has",""),3,200))</f>
        <v/>
      </c>
    </row>
    <row r="256" customFormat="false" ht="15" hidden="false" customHeight="false" outlineLevel="0" collapsed="false">
      <c r="A256" s="21"/>
      <c r="B256" s="21"/>
      <c r="C256" s="21"/>
      <c r="D256" s="21"/>
      <c r="E256" s="21"/>
      <c r="F256" s="21"/>
      <c r="G256" s="21"/>
      <c r="H256" s="21"/>
      <c r="I256" s="21"/>
      <c r="J256" s="22"/>
      <c r="K256" s="22"/>
      <c r="L256" s="22"/>
      <c r="M256" s="21"/>
      <c r="N256" s="21"/>
      <c r="O256" s="22"/>
      <c r="P256" s="20" t="n">
        <f aca="false">IF($N256="Reduce",N($O256),0)</f>
        <v>0</v>
      </c>
      <c r="Q256" s="23" t="str">
        <f aca="false">IF($F256="","",MID(IF($G256="",", career level","")&amp;IF($I256="",", nationality mandate","")&amp;IF($N256="",", capacity direction","")&amp;IF(N($J256)&lt;=0,", approved HC","")&amp;IF(AND($G256&lt;&gt;"",COUNTIF(CareerLevels,$G256)=0),", a career level that is not on the ladder","")&amp;IF(AND($N256="Reduce",N($O256)&lt;=0),", how many seats Reduce means","")&amp;IF(AND(N($O256)&gt;0,$N256&lt;&gt;"Reduce"),", a number of seats on a row not marked Reduce","")&amp;IF(N($O256)&gt;N($J256),", more seats given up than the row has",""),3,200))</f>
        <v/>
      </c>
    </row>
    <row r="257" customFormat="false" ht="15" hidden="false" customHeight="false" outlineLevel="0" collapsed="false">
      <c r="A257" s="21"/>
      <c r="B257" s="21"/>
      <c r="C257" s="21"/>
      <c r="D257" s="21"/>
      <c r="E257" s="21"/>
      <c r="F257" s="21"/>
      <c r="G257" s="21"/>
      <c r="H257" s="21"/>
      <c r="I257" s="21"/>
      <c r="J257" s="22"/>
      <c r="K257" s="22"/>
      <c r="L257" s="22"/>
      <c r="M257" s="21"/>
      <c r="N257" s="21"/>
      <c r="O257" s="22"/>
      <c r="P257" s="20" t="n">
        <f aca="false">IF($N257="Reduce",N($O257),0)</f>
        <v>0</v>
      </c>
      <c r="Q257" s="23" t="str">
        <f aca="false">IF($F257="","",MID(IF($G257="",", career level","")&amp;IF($I257="",", nationality mandate","")&amp;IF($N257="",", capacity direction","")&amp;IF(N($J257)&lt;=0,", approved HC","")&amp;IF(AND($G257&lt;&gt;"",COUNTIF(CareerLevels,$G257)=0),", a career level that is not on the ladder","")&amp;IF(AND($N257="Reduce",N($O257)&lt;=0),", how many seats Reduce means","")&amp;IF(AND(N($O257)&gt;0,$N257&lt;&gt;"Reduce"),", a number of seats on a row not marked Reduce","")&amp;IF(N($O257)&gt;N($J257),", more seats given up than the row has",""),3,200))</f>
        <v/>
      </c>
    </row>
    <row r="258" customFormat="false" ht="15" hidden="false" customHeight="false" outlineLevel="0" collapsed="false">
      <c r="A258" s="21"/>
      <c r="B258" s="21"/>
      <c r="C258" s="21"/>
      <c r="D258" s="21"/>
      <c r="E258" s="21"/>
      <c r="F258" s="21"/>
      <c r="G258" s="21"/>
      <c r="H258" s="21"/>
      <c r="I258" s="21"/>
      <c r="J258" s="22"/>
      <c r="K258" s="22"/>
      <c r="L258" s="22"/>
      <c r="M258" s="21"/>
      <c r="N258" s="21"/>
      <c r="O258" s="22"/>
      <c r="P258" s="20" t="n">
        <f aca="false">IF($N258="Reduce",N($O258),0)</f>
        <v>0</v>
      </c>
      <c r="Q258" s="23" t="str">
        <f aca="false">IF($F258="","",MID(IF($G258="",", career level","")&amp;IF($I258="",", nationality mandate","")&amp;IF($N258="",", capacity direction","")&amp;IF(N($J258)&lt;=0,", approved HC","")&amp;IF(AND($G258&lt;&gt;"",COUNTIF(CareerLevels,$G258)=0),", a career level that is not on the ladder","")&amp;IF(AND($N258="Reduce",N($O258)&lt;=0),", how many seats Reduce means","")&amp;IF(AND(N($O258)&gt;0,$N258&lt;&gt;"Reduce"),", a number of seats on a row not marked Reduce","")&amp;IF(N($O258)&gt;N($J258),", more seats given up than the row has",""),3,200))</f>
        <v/>
      </c>
    </row>
    <row r="259" customFormat="false" ht="15" hidden="false" customHeight="false" outlineLevel="0" collapsed="false">
      <c r="A259" s="21"/>
      <c r="B259" s="21"/>
      <c r="C259" s="21"/>
      <c r="D259" s="21"/>
      <c r="E259" s="21"/>
      <c r="F259" s="21"/>
      <c r="G259" s="21"/>
      <c r="H259" s="21"/>
      <c r="I259" s="21"/>
      <c r="J259" s="22"/>
      <c r="K259" s="22"/>
      <c r="L259" s="22"/>
      <c r="M259" s="21"/>
      <c r="N259" s="21"/>
      <c r="O259" s="22"/>
      <c r="P259" s="20" t="n">
        <f aca="false">IF($N259="Reduce",N($O259),0)</f>
        <v>0</v>
      </c>
      <c r="Q259" s="23" t="str">
        <f aca="false">IF($F259="","",MID(IF($G259="",", career level","")&amp;IF($I259="",", nationality mandate","")&amp;IF($N259="",", capacity direction","")&amp;IF(N($J259)&lt;=0,", approved HC","")&amp;IF(AND($G259&lt;&gt;"",COUNTIF(CareerLevels,$G259)=0),", a career level that is not on the ladder","")&amp;IF(AND($N259="Reduce",N($O259)&lt;=0),", how many seats Reduce means","")&amp;IF(AND(N($O259)&gt;0,$N259&lt;&gt;"Reduce"),", a number of seats on a row not marked Reduce","")&amp;IF(N($O259)&gt;N($J259),", more seats given up than the row has",""),3,200))</f>
        <v/>
      </c>
    </row>
    <row r="260" customFormat="false" ht="15" hidden="false" customHeight="false" outlineLevel="0" collapsed="false">
      <c r="A260" s="21"/>
      <c r="B260" s="21"/>
      <c r="C260" s="21"/>
      <c r="D260" s="21"/>
      <c r="E260" s="21"/>
      <c r="F260" s="21"/>
      <c r="G260" s="21"/>
      <c r="H260" s="21"/>
      <c r="I260" s="21"/>
      <c r="J260" s="22"/>
      <c r="K260" s="22"/>
      <c r="L260" s="22"/>
      <c r="M260" s="21"/>
      <c r="N260" s="21"/>
      <c r="O260" s="22"/>
      <c r="P260" s="20" t="n">
        <f aca="false">IF($N260="Reduce",N($O260),0)</f>
        <v>0</v>
      </c>
      <c r="Q260" s="23" t="str">
        <f aca="false">IF($F260="","",MID(IF($G260="",", career level","")&amp;IF($I260="",", nationality mandate","")&amp;IF($N260="",", capacity direction","")&amp;IF(N($J260)&lt;=0,", approved HC","")&amp;IF(AND($G260&lt;&gt;"",COUNTIF(CareerLevels,$G260)=0),", a career level that is not on the ladder","")&amp;IF(AND($N260="Reduce",N($O260)&lt;=0),", how many seats Reduce means","")&amp;IF(AND(N($O260)&gt;0,$N260&lt;&gt;"Reduce"),", a number of seats on a row not marked Reduce","")&amp;IF(N($O260)&gt;N($J260),", more seats given up than the row has",""),3,200))</f>
        <v/>
      </c>
    </row>
    <row r="261" customFormat="false" ht="15" hidden="false" customHeight="false" outlineLevel="0" collapsed="false">
      <c r="A261" s="21"/>
      <c r="B261" s="21"/>
      <c r="C261" s="21"/>
      <c r="D261" s="21"/>
      <c r="E261" s="21"/>
      <c r="F261" s="21"/>
      <c r="G261" s="21"/>
      <c r="H261" s="21"/>
      <c r="I261" s="21"/>
      <c r="J261" s="22"/>
      <c r="K261" s="22"/>
      <c r="L261" s="22"/>
      <c r="M261" s="21"/>
      <c r="N261" s="21"/>
      <c r="O261" s="22"/>
      <c r="P261" s="20" t="n">
        <f aca="false">IF($N261="Reduce",N($O261),0)</f>
        <v>0</v>
      </c>
      <c r="Q261" s="23" t="str">
        <f aca="false">IF($F261="","",MID(IF($G261="",", career level","")&amp;IF($I261="",", nationality mandate","")&amp;IF($N261="",", capacity direction","")&amp;IF(N($J261)&lt;=0,", approved HC","")&amp;IF(AND($G261&lt;&gt;"",COUNTIF(CareerLevels,$G261)=0),", a career level that is not on the ladder","")&amp;IF(AND($N261="Reduce",N($O261)&lt;=0),", how many seats Reduce means","")&amp;IF(AND(N($O261)&gt;0,$N261&lt;&gt;"Reduce"),", a number of seats on a row not marked Reduce","")&amp;IF(N($O261)&gt;N($J261),", more seats given up than the row has",""),3,200))</f>
        <v/>
      </c>
    </row>
    <row r="262" customFormat="false" ht="15" hidden="false" customHeight="false" outlineLevel="0" collapsed="false">
      <c r="A262" s="21"/>
      <c r="B262" s="21"/>
      <c r="C262" s="21"/>
      <c r="D262" s="21"/>
      <c r="E262" s="21"/>
      <c r="F262" s="21"/>
      <c r="G262" s="21"/>
      <c r="H262" s="21"/>
      <c r="I262" s="21"/>
      <c r="J262" s="22"/>
      <c r="K262" s="22"/>
      <c r="L262" s="22"/>
      <c r="M262" s="21"/>
      <c r="N262" s="21"/>
      <c r="O262" s="22"/>
      <c r="P262" s="20" t="n">
        <f aca="false">IF($N262="Reduce",N($O262),0)</f>
        <v>0</v>
      </c>
      <c r="Q262" s="23" t="str">
        <f aca="false">IF($F262="","",MID(IF($G262="",", career level","")&amp;IF($I262="",", nationality mandate","")&amp;IF($N262="",", capacity direction","")&amp;IF(N($J262)&lt;=0,", approved HC","")&amp;IF(AND($G262&lt;&gt;"",COUNTIF(CareerLevels,$G262)=0),", a career level that is not on the ladder","")&amp;IF(AND($N262="Reduce",N($O262)&lt;=0),", how many seats Reduce means","")&amp;IF(AND(N($O262)&gt;0,$N262&lt;&gt;"Reduce"),", a number of seats on a row not marked Reduce","")&amp;IF(N($O262)&gt;N($J262),", more seats given up than the row has",""),3,200))</f>
        <v/>
      </c>
    </row>
    <row r="263" customFormat="false" ht="15" hidden="false" customHeight="false" outlineLevel="0" collapsed="false">
      <c r="A263" s="21"/>
      <c r="B263" s="21"/>
      <c r="C263" s="21"/>
      <c r="D263" s="21"/>
      <c r="E263" s="21"/>
      <c r="F263" s="21"/>
      <c r="G263" s="21"/>
      <c r="H263" s="21"/>
      <c r="I263" s="21"/>
      <c r="J263" s="22"/>
      <c r="K263" s="22"/>
      <c r="L263" s="22"/>
      <c r="M263" s="21"/>
      <c r="N263" s="21"/>
      <c r="O263" s="22"/>
      <c r="P263" s="20" t="n">
        <f aca="false">IF($N263="Reduce",N($O263),0)</f>
        <v>0</v>
      </c>
      <c r="Q263" s="23" t="str">
        <f aca="false">IF($F263="","",MID(IF($G263="",", career level","")&amp;IF($I263="",", nationality mandate","")&amp;IF($N263="",", capacity direction","")&amp;IF(N($J263)&lt;=0,", approved HC","")&amp;IF(AND($G263&lt;&gt;"",COUNTIF(CareerLevels,$G263)=0),", a career level that is not on the ladder","")&amp;IF(AND($N263="Reduce",N($O263)&lt;=0),", how many seats Reduce means","")&amp;IF(AND(N($O263)&gt;0,$N263&lt;&gt;"Reduce"),", a number of seats on a row not marked Reduce","")&amp;IF(N($O263)&gt;N($J263),", more seats given up than the row has",""),3,200))</f>
        <v/>
      </c>
    </row>
    <row r="264" customFormat="false" ht="15" hidden="false" customHeight="false" outlineLevel="0" collapsed="false">
      <c r="A264" s="21"/>
      <c r="B264" s="21"/>
      <c r="C264" s="21"/>
      <c r="D264" s="21"/>
      <c r="E264" s="21"/>
      <c r="F264" s="21"/>
      <c r="G264" s="21"/>
      <c r="H264" s="21"/>
      <c r="I264" s="21"/>
      <c r="J264" s="22"/>
      <c r="K264" s="22"/>
      <c r="L264" s="22"/>
      <c r="M264" s="21"/>
      <c r="N264" s="21"/>
      <c r="O264" s="22"/>
      <c r="P264" s="20" t="n">
        <f aca="false">IF($N264="Reduce",N($O264),0)</f>
        <v>0</v>
      </c>
      <c r="Q264" s="23" t="str">
        <f aca="false">IF($F264="","",MID(IF($G264="",", career level","")&amp;IF($I264="",", nationality mandate","")&amp;IF($N264="",", capacity direction","")&amp;IF(N($J264)&lt;=0,", approved HC","")&amp;IF(AND($G264&lt;&gt;"",COUNTIF(CareerLevels,$G264)=0),", a career level that is not on the ladder","")&amp;IF(AND($N264="Reduce",N($O264)&lt;=0),", how many seats Reduce means","")&amp;IF(AND(N($O264)&gt;0,$N264&lt;&gt;"Reduce"),", a number of seats on a row not marked Reduce","")&amp;IF(N($O264)&gt;N($J264),", more seats given up than the row has",""),3,200))</f>
        <v/>
      </c>
    </row>
    <row r="265" customFormat="false" ht="15" hidden="false" customHeight="false" outlineLevel="0" collapsed="false">
      <c r="A265" s="21"/>
      <c r="B265" s="21"/>
      <c r="C265" s="21"/>
      <c r="D265" s="21"/>
      <c r="E265" s="21"/>
      <c r="F265" s="21"/>
      <c r="G265" s="21"/>
      <c r="H265" s="21"/>
      <c r="I265" s="21"/>
      <c r="J265" s="22"/>
      <c r="K265" s="22"/>
      <c r="L265" s="22"/>
      <c r="M265" s="21"/>
      <c r="N265" s="21"/>
      <c r="O265" s="22"/>
      <c r="P265" s="20" t="n">
        <f aca="false">IF($N265="Reduce",N($O265),0)</f>
        <v>0</v>
      </c>
      <c r="Q265" s="23" t="str">
        <f aca="false">IF($F265="","",MID(IF($G265="",", career level","")&amp;IF($I265="",", nationality mandate","")&amp;IF($N265="",", capacity direction","")&amp;IF(N($J265)&lt;=0,", approved HC","")&amp;IF(AND($G265&lt;&gt;"",COUNTIF(CareerLevels,$G265)=0),", a career level that is not on the ladder","")&amp;IF(AND($N265="Reduce",N($O265)&lt;=0),", how many seats Reduce means","")&amp;IF(AND(N($O265)&gt;0,$N265&lt;&gt;"Reduce"),", a number of seats on a row not marked Reduce","")&amp;IF(N($O265)&gt;N($J265),", more seats given up than the row has",""),3,200))</f>
        <v/>
      </c>
    </row>
    <row r="266" customFormat="false" ht="15" hidden="false" customHeight="false" outlineLevel="0" collapsed="false">
      <c r="A266" s="21"/>
      <c r="B266" s="21"/>
      <c r="C266" s="21"/>
      <c r="D266" s="21"/>
      <c r="E266" s="21"/>
      <c r="F266" s="21"/>
      <c r="G266" s="21"/>
      <c r="H266" s="21"/>
      <c r="I266" s="21"/>
      <c r="J266" s="22"/>
      <c r="K266" s="22"/>
      <c r="L266" s="22"/>
      <c r="M266" s="21"/>
      <c r="N266" s="21"/>
      <c r="O266" s="22"/>
      <c r="P266" s="20" t="n">
        <f aca="false">IF($N266="Reduce",N($O266),0)</f>
        <v>0</v>
      </c>
      <c r="Q266" s="23" t="str">
        <f aca="false">IF($F266="","",MID(IF($G266="",", career level","")&amp;IF($I266="",", nationality mandate","")&amp;IF($N266="",", capacity direction","")&amp;IF(N($J266)&lt;=0,", approved HC","")&amp;IF(AND($G266&lt;&gt;"",COUNTIF(CareerLevels,$G266)=0),", a career level that is not on the ladder","")&amp;IF(AND($N266="Reduce",N($O266)&lt;=0),", how many seats Reduce means","")&amp;IF(AND(N($O266)&gt;0,$N266&lt;&gt;"Reduce"),", a number of seats on a row not marked Reduce","")&amp;IF(N($O266)&gt;N($J266),", more seats given up than the row has",""),3,200))</f>
        <v/>
      </c>
    </row>
    <row r="267" customFormat="false" ht="15" hidden="false" customHeight="false" outlineLevel="0" collapsed="false">
      <c r="A267" s="21"/>
      <c r="B267" s="21"/>
      <c r="C267" s="21"/>
      <c r="D267" s="21"/>
      <c r="E267" s="21"/>
      <c r="F267" s="21"/>
      <c r="G267" s="21"/>
      <c r="H267" s="21"/>
      <c r="I267" s="21"/>
      <c r="J267" s="22"/>
      <c r="K267" s="22"/>
      <c r="L267" s="22"/>
      <c r="M267" s="21"/>
      <c r="N267" s="21"/>
      <c r="O267" s="22"/>
      <c r="P267" s="20" t="n">
        <f aca="false">IF($N267="Reduce",N($O267),0)</f>
        <v>0</v>
      </c>
      <c r="Q267" s="23" t="str">
        <f aca="false">IF($F267="","",MID(IF($G267="",", career level","")&amp;IF($I267="",", nationality mandate","")&amp;IF($N267="",", capacity direction","")&amp;IF(N($J267)&lt;=0,", approved HC","")&amp;IF(AND($G267&lt;&gt;"",COUNTIF(CareerLevels,$G267)=0),", a career level that is not on the ladder","")&amp;IF(AND($N267="Reduce",N($O267)&lt;=0),", how many seats Reduce means","")&amp;IF(AND(N($O267)&gt;0,$N267&lt;&gt;"Reduce"),", a number of seats on a row not marked Reduce","")&amp;IF(N($O267)&gt;N($J267),", more seats given up than the row has",""),3,200))</f>
        <v/>
      </c>
    </row>
    <row r="268" customFormat="false" ht="15" hidden="false" customHeight="false" outlineLevel="0" collapsed="false">
      <c r="A268" s="21"/>
      <c r="B268" s="21"/>
      <c r="C268" s="21"/>
      <c r="D268" s="21"/>
      <c r="E268" s="21"/>
      <c r="F268" s="21"/>
      <c r="G268" s="21"/>
      <c r="H268" s="21"/>
      <c r="I268" s="21"/>
      <c r="J268" s="22"/>
      <c r="K268" s="22"/>
      <c r="L268" s="22"/>
      <c r="M268" s="21"/>
      <c r="N268" s="21"/>
      <c r="O268" s="22"/>
      <c r="P268" s="20" t="n">
        <f aca="false">IF($N268="Reduce",N($O268),0)</f>
        <v>0</v>
      </c>
      <c r="Q268" s="23" t="str">
        <f aca="false">IF($F268="","",MID(IF($G268="",", career level","")&amp;IF($I268="",", nationality mandate","")&amp;IF($N268="",", capacity direction","")&amp;IF(N($J268)&lt;=0,", approved HC","")&amp;IF(AND($G268&lt;&gt;"",COUNTIF(CareerLevels,$G268)=0),", a career level that is not on the ladder","")&amp;IF(AND($N268="Reduce",N($O268)&lt;=0),", how many seats Reduce means","")&amp;IF(AND(N($O268)&gt;0,$N268&lt;&gt;"Reduce"),", a number of seats on a row not marked Reduce","")&amp;IF(N($O268)&gt;N($J268),", more seats given up than the row has",""),3,200))</f>
        <v/>
      </c>
    </row>
    <row r="269" customFormat="false" ht="15" hidden="false" customHeight="false" outlineLevel="0" collapsed="false">
      <c r="A269" s="21"/>
      <c r="B269" s="21"/>
      <c r="C269" s="21"/>
      <c r="D269" s="21"/>
      <c r="E269" s="21"/>
      <c r="F269" s="21"/>
      <c r="G269" s="21"/>
      <c r="H269" s="21"/>
      <c r="I269" s="21"/>
      <c r="J269" s="22"/>
      <c r="K269" s="22"/>
      <c r="L269" s="22"/>
      <c r="M269" s="21"/>
      <c r="N269" s="21"/>
      <c r="O269" s="22"/>
      <c r="P269" s="20" t="n">
        <f aca="false">IF($N269="Reduce",N($O269),0)</f>
        <v>0</v>
      </c>
      <c r="Q269" s="23" t="str">
        <f aca="false">IF($F269="","",MID(IF($G269="",", career level","")&amp;IF($I269="",", nationality mandate","")&amp;IF($N269="",", capacity direction","")&amp;IF(N($J269)&lt;=0,", approved HC","")&amp;IF(AND($G269&lt;&gt;"",COUNTIF(CareerLevels,$G269)=0),", a career level that is not on the ladder","")&amp;IF(AND($N269="Reduce",N($O269)&lt;=0),", how many seats Reduce means","")&amp;IF(AND(N($O269)&gt;0,$N269&lt;&gt;"Reduce"),", a number of seats on a row not marked Reduce","")&amp;IF(N($O269)&gt;N($J269),", more seats given up than the row has",""),3,200))</f>
        <v/>
      </c>
    </row>
    <row r="270" customFormat="false" ht="15" hidden="false" customHeight="false" outlineLevel="0" collapsed="false">
      <c r="A270" s="21"/>
      <c r="B270" s="21"/>
      <c r="C270" s="21"/>
      <c r="D270" s="21"/>
      <c r="E270" s="21"/>
      <c r="F270" s="21"/>
      <c r="G270" s="21"/>
      <c r="H270" s="21"/>
      <c r="I270" s="21"/>
      <c r="J270" s="22"/>
      <c r="K270" s="22"/>
      <c r="L270" s="22"/>
      <c r="M270" s="21"/>
      <c r="N270" s="21"/>
      <c r="O270" s="22"/>
      <c r="P270" s="20" t="n">
        <f aca="false">IF($N270="Reduce",N($O270),0)</f>
        <v>0</v>
      </c>
      <c r="Q270" s="23" t="str">
        <f aca="false">IF($F270="","",MID(IF($G270="",", career level","")&amp;IF($I270="",", nationality mandate","")&amp;IF($N270="",", capacity direction","")&amp;IF(N($J270)&lt;=0,", approved HC","")&amp;IF(AND($G270&lt;&gt;"",COUNTIF(CareerLevels,$G270)=0),", a career level that is not on the ladder","")&amp;IF(AND($N270="Reduce",N($O270)&lt;=0),", how many seats Reduce means","")&amp;IF(AND(N($O270)&gt;0,$N270&lt;&gt;"Reduce"),", a number of seats on a row not marked Reduce","")&amp;IF(N($O270)&gt;N($J270),", more seats given up than the row has",""),3,200))</f>
        <v/>
      </c>
    </row>
    <row r="271" customFormat="false" ht="15" hidden="false" customHeight="false" outlineLevel="0" collapsed="false">
      <c r="A271" s="21"/>
      <c r="B271" s="21"/>
      <c r="C271" s="21"/>
      <c r="D271" s="21"/>
      <c r="E271" s="21"/>
      <c r="F271" s="21"/>
      <c r="G271" s="21"/>
      <c r="H271" s="21"/>
      <c r="I271" s="21"/>
      <c r="J271" s="22"/>
      <c r="K271" s="22"/>
      <c r="L271" s="22"/>
      <c r="M271" s="21"/>
      <c r="N271" s="21"/>
      <c r="O271" s="22"/>
      <c r="P271" s="20" t="n">
        <f aca="false">IF($N271="Reduce",N($O271),0)</f>
        <v>0</v>
      </c>
      <c r="Q271" s="23" t="str">
        <f aca="false">IF($F271="","",MID(IF($G271="",", career level","")&amp;IF($I271="",", nationality mandate","")&amp;IF($N271="",", capacity direction","")&amp;IF(N($J271)&lt;=0,", approved HC","")&amp;IF(AND($G271&lt;&gt;"",COUNTIF(CareerLevels,$G271)=0),", a career level that is not on the ladder","")&amp;IF(AND($N271="Reduce",N($O271)&lt;=0),", how many seats Reduce means","")&amp;IF(AND(N($O271)&gt;0,$N271&lt;&gt;"Reduce"),", a number of seats on a row not marked Reduce","")&amp;IF(N($O271)&gt;N($J271),", more seats given up than the row has",""),3,200))</f>
        <v/>
      </c>
    </row>
    <row r="272" customFormat="false" ht="15" hidden="false" customHeight="false" outlineLevel="0" collapsed="false">
      <c r="A272" s="21"/>
      <c r="B272" s="21"/>
      <c r="C272" s="21"/>
      <c r="D272" s="21"/>
      <c r="E272" s="21"/>
      <c r="F272" s="21"/>
      <c r="G272" s="21"/>
      <c r="H272" s="21"/>
      <c r="I272" s="21"/>
      <c r="J272" s="22"/>
      <c r="K272" s="22"/>
      <c r="L272" s="22"/>
      <c r="M272" s="21"/>
      <c r="N272" s="21"/>
      <c r="O272" s="22"/>
      <c r="P272" s="20" t="n">
        <f aca="false">IF($N272="Reduce",N($O272),0)</f>
        <v>0</v>
      </c>
      <c r="Q272" s="23" t="str">
        <f aca="false">IF($F272="","",MID(IF($G272="",", career level","")&amp;IF($I272="",", nationality mandate","")&amp;IF($N272="",", capacity direction","")&amp;IF(N($J272)&lt;=0,", approved HC","")&amp;IF(AND($G272&lt;&gt;"",COUNTIF(CareerLevels,$G272)=0),", a career level that is not on the ladder","")&amp;IF(AND($N272="Reduce",N($O272)&lt;=0),", how many seats Reduce means","")&amp;IF(AND(N($O272)&gt;0,$N272&lt;&gt;"Reduce"),", a number of seats on a row not marked Reduce","")&amp;IF(N($O272)&gt;N($J272),", more seats given up than the row has",""),3,200))</f>
        <v/>
      </c>
    </row>
    <row r="273" customFormat="false" ht="15" hidden="false" customHeight="false" outlineLevel="0" collapsed="false">
      <c r="A273" s="21"/>
      <c r="B273" s="21"/>
      <c r="C273" s="21"/>
      <c r="D273" s="21"/>
      <c r="E273" s="21"/>
      <c r="F273" s="21"/>
      <c r="G273" s="21"/>
      <c r="H273" s="21"/>
      <c r="I273" s="21"/>
      <c r="J273" s="22"/>
      <c r="K273" s="22"/>
      <c r="L273" s="22"/>
      <c r="M273" s="21"/>
      <c r="N273" s="21"/>
      <c r="O273" s="22"/>
      <c r="P273" s="20" t="n">
        <f aca="false">IF($N273="Reduce",N($O273),0)</f>
        <v>0</v>
      </c>
      <c r="Q273" s="23" t="str">
        <f aca="false">IF($F273="","",MID(IF($G273="",", career level","")&amp;IF($I273="",", nationality mandate","")&amp;IF($N273="",", capacity direction","")&amp;IF(N($J273)&lt;=0,", approved HC","")&amp;IF(AND($G273&lt;&gt;"",COUNTIF(CareerLevels,$G273)=0),", a career level that is not on the ladder","")&amp;IF(AND($N273="Reduce",N($O273)&lt;=0),", how many seats Reduce means","")&amp;IF(AND(N($O273)&gt;0,$N273&lt;&gt;"Reduce"),", a number of seats on a row not marked Reduce","")&amp;IF(N($O273)&gt;N($J273),", more seats given up than the row has",""),3,200))</f>
        <v/>
      </c>
    </row>
  </sheetData>
  <sheetProtection sheet="true" sort="false" autoFilter="false"/>
  <autoFilter ref="A5:Q273"/>
  <mergeCells count="1">
    <mergeCell ref="A2:J2"/>
  </mergeCells>
  <conditionalFormatting sqref="A6:Q273">
    <cfRule type="expression" priority="2" aboveAverage="0" equalAverage="0" bottom="0" percent="0" rank="0" text="" dxfId="11">
      <formula>AND(N($J6)&gt;0,$P6=$J6)</formula>
    </cfRule>
  </conditionalFormatting>
  <conditionalFormatting sqref="P6:P273">
    <cfRule type="cellIs" priority="3" operator="greaterThan" aboveAverage="0" equalAverage="0" bottom="0" percent="0" rank="0" text="" dxfId="12">
      <formula>0</formula>
    </cfRule>
  </conditionalFormatting>
  <conditionalFormatting sqref="Q6:Q273">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273" type="list">
      <formula1>CareerLevels</formula1>
      <formula2>0</formula2>
    </dataValidation>
    <dataValidation allowBlank="true" error="Pick a value from the list." errorStyle="stop" operator="between" showDropDown="false" showErrorMessage="true" showInputMessage="false" sqref="H6:H273" type="list">
      <formula1>JobFamilies</formula1>
      <formula2>0</formula2>
    </dataValidation>
    <dataValidation allowBlank="true" error="Pick a value from the list." errorStyle="stop" operator="between" showDropDown="false" showErrorMessage="true" showInputMessage="false" sqref="I6:I273" type="list">
      <formula1>YesNo</formula1>
      <formula2>0</formula2>
    </dataValidation>
    <dataValidation allowBlank="true" error="Pick a value from the list." errorStyle="stop" operator="between" showDropDown="false" showErrorMessage="true" showInputMessage="false" sqref="M6:M273" type="list">
      <formula1>WorkerTypes</formula1>
      <formula2>0</formula2>
    </dataValidation>
    <dataValidation allowBlank="true" error="Pick a value from the list." errorStyle="stop" operator="between" showDropDown="false" showErrorMessage="true" showInputMessage="false" sqref="N6:N273"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273"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360</v>
      </c>
    </row>
    <row r="2" customFormat="false" ht="15" hidden="false" customHeight="false" outlineLevel="0" collapsed="false">
      <c r="A2" s="2" t="s">
        <v>361</v>
      </c>
      <c r="B2" s="2"/>
      <c r="C2" s="2"/>
      <c r="D2" s="2"/>
      <c r="E2" s="2"/>
      <c r="F2" s="2"/>
      <c r="G2" s="2"/>
      <c r="H2" s="2"/>
      <c r="I2" s="2"/>
      <c r="J2" s="2"/>
    </row>
    <row r="5" customFormat="false" ht="30" hidden="false" customHeight="true" outlineLevel="0" collapsed="false">
      <c r="A5" s="12" t="s">
        <v>362</v>
      </c>
      <c r="B5" s="12" t="s">
        <v>61</v>
      </c>
      <c r="C5" s="12" t="s">
        <v>50</v>
      </c>
      <c r="D5" s="12" t="s">
        <v>363</v>
      </c>
      <c r="E5" s="12" t="s">
        <v>18</v>
      </c>
      <c r="F5" s="12" t="s">
        <v>206</v>
      </c>
      <c r="G5" s="12" t="s">
        <v>364</v>
      </c>
      <c r="H5" s="12" t="s">
        <v>365</v>
      </c>
      <c r="I5" s="12" t="s">
        <v>366</v>
      </c>
      <c r="J5" s="12" t="s">
        <v>26</v>
      </c>
      <c r="K5" s="12" t="s">
        <v>367</v>
      </c>
      <c r="L5" s="12" t="s">
        <v>368</v>
      </c>
      <c r="M5" s="12" t="s">
        <v>369</v>
      </c>
      <c r="N5" s="12" t="s">
        <v>370</v>
      </c>
      <c r="O5" s="12" t="s">
        <v>208</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371</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372</v>
      </c>
    </row>
    <row r="2" customFormat="false" ht="15" hidden="false" customHeight="false" outlineLevel="0" collapsed="false">
      <c r="A2" s="2" t="s">
        <v>373</v>
      </c>
      <c r="B2" s="2"/>
      <c r="C2" s="2"/>
      <c r="D2" s="2"/>
      <c r="E2" s="2"/>
      <c r="F2" s="2"/>
      <c r="G2" s="2"/>
      <c r="H2" s="2"/>
      <c r="I2" s="2"/>
      <c r="J2" s="2"/>
    </row>
    <row r="4" customFormat="false" ht="15" hidden="false" customHeight="false" outlineLevel="0" collapsed="false">
      <c r="L4" s="25" t="s">
        <v>374</v>
      </c>
      <c r="M4" s="25"/>
      <c r="N4" s="25"/>
      <c r="O4" s="25"/>
    </row>
    <row r="5" customFormat="false" ht="30" hidden="false" customHeight="true" outlineLevel="0" collapsed="false">
      <c r="A5" s="12" t="s">
        <v>362</v>
      </c>
      <c r="B5" s="12" t="s">
        <v>61</v>
      </c>
      <c r="C5" s="12" t="s">
        <v>64</v>
      </c>
      <c r="D5" s="12" t="s">
        <v>50</v>
      </c>
      <c r="E5" s="12" t="s">
        <v>202</v>
      </c>
      <c r="F5" s="12" t="s">
        <v>363</v>
      </c>
      <c r="G5" s="12" t="s">
        <v>18</v>
      </c>
      <c r="H5" s="12" t="s">
        <v>204</v>
      </c>
      <c r="I5" s="12" t="s">
        <v>206</v>
      </c>
      <c r="J5" s="12" t="s">
        <v>375</v>
      </c>
      <c r="K5" s="12" t="s">
        <v>376</v>
      </c>
      <c r="L5" s="12" t="s">
        <v>377</v>
      </c>
      <c r="M5" s="12" t="s">
        <v>378</v>
      </c>
      <c r="N5" s="12" t="s">
        <v>379</v>
      </c>
      <c r="O5" s="12" t="s">
        <v>380</v>
      </c>
      <c r="P5" s="12" t="s">
        <v>381</v>
      </c>
      <c r="Q5" s="12" t="s">
        <v>30</v>
      </c>
      <c r="R5" s="12" t="s">
        <v>32</v>
      </c>
      <c r="S5" s="12" t="s">
        <v>208</v>
      </c>
      <c r="T5" s="12" t="s">
        <v>382</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383</v>
      </c>
    </row>
    <row r="2" customFormat="false" ht="15" hidden="false" customHeight="false" outlineLevel="0" collapsed="false">
      <c r="A2" s="2" t="s">
        <v>384</v>
      </c>
      <c r="B2" s="2"/>
      <c r="C2" s="2"/>
      <c r="D2" s="2"/>
      <c r="E2" s="2"/>
      <c r="F2" s="2"/>
      <c r="G2" s="2"/>
      <c r="H2" s="2"/>
      <c r="I2" s="2"/>
      <c r="J2" s="2"/>
    </row>
    <row r="4" customFormat="false" ht="15" hidden="false" customHeight="false" outlineLevel="0" collapsed="false">
      <c r="A4" s="3" t="s">
        <v>385</v>
      </c>
    </row>
    <row r="5" customFormat="false" ht="27.75" hidden="false" customHeight="true" outlineLevel="0" collapsed="false">
      <c r="A5" s="12" t="s">
        <v>61</v>
      </c>
      <c r="B5" s="12" t="s">
        <v>375</v>
      </c>
      <c r="C5" s="12" t="s">
        <v>386</v>
      </c>
      <c r="D5" s="12" t="s">
        <v>376</v>
      </c>
      <c r="E5" s="12" t="s">
        <v>387</v>
      </c>
      <c r="F5" s="12" t="s">
        <v>57</v>
      </c>
      <c r="G5" s="12"/>
    </row>
    <row r="6" customFormat="false" ht="15" hidden="false" customHeight="false" outlineLevel="0" collapsed="false">
      <c r="A6" s="9" t="s">
        <v>63</v>
      </c>
      <c r="B6" s="26" t="n">
        <f aca="false">SUMIFS(SeatApproved,SeatDivision,"Credit Risk Division")</f>
        <v>104</v>
      </c>
      <c r="C6" s="26" t="n">
        <f aca="false">SUMIFS(SeatExits,SeatDivision,"Credit Risk Division")</f>
        <v>0</v>
      </c>
      <c r="D6" s="26" t="n">
        <f aca="false">SUMIFS(AskTotal,AskDivision,"Credit Risk Division")</f>
        <v>0</v>
      </c>
      <c r="E6" s="26" t="n">
        <f aca="false">$B6-$C6+$D6</f>
        <v>104</v>
      </c>
      <c r="F6" s="26" t="n">
        <f aca="false">$E6-$B6</f>
        <v>0</v>
      </c>
    </row>
    <row r="7" customFormat="false" ht="15" hidden="false" customHeight="false" outlineLevel="0" collapsed="false">
      <c r="A7" s="9" t="s">
        <v>109</v>
      </c>
      <c r="B7" s="26" t="n">
        <f aca="false">SUMIFS(SeatApproved,SeatDivision,"Market &amp; Liquidity Risk Division")</f>
        <v>70</v>
      </c>
      <c r="C7" s="26" t="n">
        <f aca="false">SUMIFS(SeatExits,SeatDivision,"Market &amp; Liquidity Risk Division")</f>
        <v>0</v>
      </c>
      <c r="D7" s="26" t="n">
        <f aca="false">SUMIFS(AskTotal,AskDivision,"Market &amp; Liquidity Risk Division")</f>
        <v>0</v>
      </c>
      <c r="E7" s="26" t="n">
        <f aca="false">$B7-$C7+$D7</f>
        <v>70</v>
      </c>
      <c r="F7" s="26" t="n">
        <f aca="false">$E7-$B7</f>
        <v>0</v>
      </c>
    </row>
    <row r="8" customFormat="false" ht="15" hidden="false" customHeight="false" outlineLevel="0" collapsed="false">
      <c r="A8" s="9" t="s">
        <v>139</v>
      </c>
      <c r="B8" s="26" t="n">
        <f aca="false">SUMIFS(SeatApproved,SeatDivision,"Operational Risk Division")</f>
        <v>76</v>
      </c>
      <c r="C8" s="26" t="n">
        <f aca="false">SUMIFS(SeatExits,SeatDivision,"Operational Risk Division")</f>
        <v>0</v>
      </c>
      <c r="D8" s="26" t="n">
        <f aca="false">SUMIFS(AskTotal,AskDivision,"Operational Risk Division")</f>
        <v>0</v>
      </c>
      <c r="E8" s="26" t="n">
        <f aca="false">$B8-$C8+$D8</f>
        <v>76</v>
      </c>
      <c r="F8" s="26" t="n">
        <f aca="false">$E8-$B8</f>
        <v>0</v>
      </c>
    </row>
    <row r="9" customFormat="false" ht="15" hidden="false" customHeight="false" outlineLevel="0" collapsed="false">
      <c r="A9" s="9" t="s">
        <v>169</v>
      </c>
      <c r="B9" s="26" t="n">
        <f aca="false">SUMIFS(SeatApproved,SeatDivision,"Risk Analytics Division")</f>
        <v>74</v>
      </c>
      <c r="C9" s="26" t="n">
        <f aca="false">SUMIFS(SeatExits,SeatDivision,"Risk Analytics Division")</f>
        <v>0</v>
      </c>
      <c r="D9" s="26" t="n">
        <f aca="false">SUMIFS(AskTotal,AskDivision,"Risk Analytics Division")</f>
        <v>0</v>
      </c>
      <c r="E9" s="26" t="n">
        <f aca="false">$B9-$C9+$D9</f>
        <v>74</v>
      </c>
      <c r="F9" s="26" t="n">
        <f aca="false">$E9-$B9</f>
        <v>0</v>
      </c>
    </row>
    <row r="10" customFormat="false" ht="15" hidden="false" customHeight="false" outlineLevel="0" collapsed="false">
      <c r="A10" s="9" t="s">
        <v>388</v>
      </c>
      <c r="B10" s="26" t="n">
        <f aca="false">SUMIFS(SeatApproved,SeatDivision,"")</f>
        <v>1</v>
      </c>
      <c r="C10" s="26" t="n">
        <f aca="false">SUMIFS(SeatExits,SeatDivision,"")</f>
        <v>0</v>
      </c>
      <c r="D10" s="26" t="n">
        <f aca="false">SUMIFS(AskTotal,AskDivision,"")</f>
        <v>0</v>
      </c>
      <c r="E10" s="26" t="n">
        <f aca="false">$B10-$C10+$D10</f>
        <v>1</v>
      </c>
      <c r="F10" s="26" t="n">
        <f aca="false">$E10-$B10</f>
        <v>0</v>
      </c>
    </row>
    <row r="11" customFormat="false" ht="15" hidden="false" customHeight="false" outlineLevel="0" collapsed="false">
      <c r="A11" s="27" t="s">
        <v>389</v>
      </c>
      <c r="B11" s="16" t="n">
        <f aca="false">SUM(B6:B10)</f>
        <v>325</v>
      </c>
      <c r="C11" s="16" t="n">
        <f aca="false">SUM(C6:C10)</f>
        <v>0</v>
      </c>
      <c r="D11" s="16" t="n">
        <f aca="false">SUM(D6:D10)</f>
        <v>0</v>
      </c>
      <c r="E11" s="16" t="n">
        <f aca="false">SUM(E6:E10)</f>
        <v>325</v>
      </c>
      <c r="F11" s="16" t="n">
        <f aca="false">SUM(F6:F10)</f>
        <v>0</v>
      </c>
    </row>
    <row r="13" customFormat="false" ht="15" hidden="false" customHeight="false" outlineLevel="0" collapsed="false">
      <c r="A13" s="3" t="s">
        <v>390</v>
      </c>
      <c r="G13" s="28" t="s">
        <v>391</v>
      </c>
    </row>
    <row r="14" customFormat="false" ht="27.75" hidden="false" customHeight="true" outlineLevel="0" collapsed="false">
      <c r="A14" s="12" t="s">
        <v>61</v>
      </c>
      <c r="B14" s="12" t="s">
        <v>375</v>
      </c>
      <c r="C14" s="12" t="s">
        <v>386</v>
      </c>
      <c r="D14" s="12" t="s">
        <v>376</v>
      </c>
      <c r="E14" s="12" t="s">
        <v>387</v>
      </c>
      <c r="F14" s="12" t="s">
        <v>57</v>
      </c>
      <c r="G14" s="12"/>
    </row>
    <row r="15" customFormat="false" ht="15" hidden="false" customHeight="false" outlineLevel="0" collapsed="false">
      <c r="A15" s="9" t="s">
        <v>63</v>
      </c>
      <c r="B15" s="29" t="n">
        <f aca="false">SUMIFS(SeatApproved,SeatDivision,"Credit Risk Division",SeatLevel,INDEX(LevelList,1),SeatMandate,"Yes")*(INDEX(LevelBasic,1)+INDEX(LevelHousing,1)+INDEX(LevelTransport,1)+INDEX(LevelBasic,1)*INDEX(LevelBonus,1)+(INDEX(LevelBasic,1)+INDEX(LevelHousing,1))*GosiSaudi)+SUMIFS(SeatApproved,SeatDivision,"Credit Risk Division",SeatLevel,INDEX(LevelList,1),SeatMandate,"No")*(INDEX(LevelBasic,1)+INDEX(LevelHousing,1)+INDEX(LevelTransport,1)+INDEX(LevelBasic,1)*INDEX(LevelBonus,1)+(INDEX(LevelBasic,1)+INDEX(LevelHousing,1))*GosiOther)+SUMIFS(SeatApproved,SeatDivision,"Credit Risk Division",SeatLevel,INDEX(LevelList,2),SeatMandate,"Yes")*(INDEX(LevelBasic,2)+INDEX(LevelHousing,2)+INDEX(LevelTransport,2)+INDEX(LevelBasic,2)*INDEX(LevelBonus,2)+(INDEX(LevelBasic,2)+INDEX(LevelHousing,2))*GosiSaudi)+SUMIFS(SeatApproved,SeatDivision,"Credit Risk Division",SeatLevel,INDEX(LevelList,2),SeatMandate,"No")*(INDEX(LevelBasic,2)+INDEX(LevelHousing,2)+INDEX(LevelTransport,2)+INDEX(LevelBasic,2)*INDEX(LevelBonus,2)+(INDEX(LevelBasic,2)+INDEX(LevelHousing,2))*GosiOther)+SUMIFS(SeatApproved,SeatDivision,"Credit Risk Division",SeatLevel,INDEX(LevelList,3),SeatMandate,"Yes")*(INDEX(LevelBasic,3)+INDEX(LevelHousing,3)+INDEX(LevelTransport,3)+INDEX(LevelBasic,3)*INDEX(LevelBonus,3)+(INDEX(LevelBasic,3)+INDEX(LevelHousing,3))*GosiSaudi)+SUMIFS(SeatApproved,SeatDivision,"Credit Risk Division",SeatLevel,INDEX(LevelList,3),SeatMandate,"No")*(INDEX(LevelBasic,3)+INDEX(LevelHousing,3)+INDEX(LevelTransport,3)+INDEX(LevelBasic,3)*INDEX(LevelBonus,3)+(INDEX(LevelBasic,3)+INDEX(LevelHousing,3))*GosiOther)+SUMIFS(SeatApproved,SeatDivision,"Credit Risk Division",SeatLevel,INDEX(LevelList,4),SeatMandate,"Yes")*(INDEX(LevelBasic,4)+INDEX(LevelHousing,4)+INDEX(LevelTransport,4)+INDEX(LevelBasic,4)*INDEX(LevelBonus,4)+(INDEX(LevelBasic,4)+INDEX(LevelHousing,4))*GosiSaudi)+SUMIFS(SeatApproved,SeatDivision,"Credit Risk Division",SeatLevel,INDEX(LevelList,4),SeatMandate,"No")*(INDEX(LevelBasic,4)+INDEX(LevelHousing,4)+INDEX(LevelTransport,4)+INDEX(LevelBasic,4)*INDEX(LevelBonus,4)+(INDEX(LevelBasic,4)+INDEX(LevelHousing,4))*GosiOther)+SUMIFS(SeatApproved,SeatDivision,"Credit Risk Division",SeatLevel,INDEX(LevelList,5),SeatMandate,"Yes")*(INDEX(LevelBasic,5)+INDEX(LevelHousing,5)+INDEX(LevelTransport,5)+INDEX(LevelBasic,5)*INDEX(LevelBonus,5)+(INDEX(LevelBasic,5)+INDEX(LevelHousing,5))*GosiSaudi)+SUMIFS(SeatApproved,SeatDivision,"Credit Risk Division",SeatLevel,INDEX(LevelList,5),SeatMandate,"No")*(INDEX(LevelBasic,5)+INDEX(LevelHousing,5)+INDEX(LevelTransport,5)+INDEX(LevelBasic,5)*INDEX(LevelBonus,5)+(INDEX(LevelBasic,5)+INDEX(LevelHousing,5))*GosiOther)+SUMIFS(SeatApproved,SeatDivision,"Credit Risk Division",SeatLevel,INDEX(LevelList,6),SeatMandate,"Yes")*(INDEX(LevelBasic,6)+INDEX(LevelHousing,6)+INDEX(LevelTransport,6)+INDEX(LevelBasic,6)*INDEX(LevelBonus,6)+(INDEX(LevelBasic,6)+INDEX(LevelHousing,6))*GosiSaudi)+SUMIFS(SeatApproved,SeatDivision,"Credit Risk Division",SeatLevel,INDEX(LevelList,6),SeatMandate,"No")*(INDEX(LevelBasic,6)+INDEX(LevelHousing,6)+INDEX(LevelTransport,6)+INDEX(LevelBasic,6)*INDEX(LevelBonus,6)+(INDEX(LevelBasic,6)+INDEX(LevelHousing,6))*GosiOther)</f>
        <v>0</v>
      </c>
      <c r="C15" s="29" t="n">
        <f aca="false">SUMIFS(SeatExits,SeatDivision,"Credit Risk Division",SeatLevel,INDEX(LevelList,1),SeatMandate,"Yes")*(INDEX(LevelBasic,1)+INDEX(LevelHousing,1)+INDEX(LevelTransport,1)+INDEX(LevelBasic,1)*INDEX(LevelBonus,1)+(INDEX(LevelBasic,1)+INDEX(LevelHousing,1))*GosiSaudi)+SUMIFS(SeatExits,SeatDivision,"Credit Risk Division",SeatLevel,INDEX(LevelList,1),SeatMandate,"No")*(INDEX(LevelBasic,1)+INDEX(LevelHousing,1)+INDEX(LevelTransport,1)+INDEX(LevelBasic,1)*INDEX(LevelBonus,1)+(INDEX(LevelBasic,1)+INDEX(LevelHousing,1))*GosiOther)+SUMIFS(SeatExits,SeatDivision,"Credit Risk Division",SeatLevel,INDEX(LevelList,2),SeatMandate,"Yes")*(INDEX(LevelBasic,2)+INDEX(LevelHousing,2)+INDEX(LevelTransport,2)+INDEX(LevelBasic,2)*INDEX(LevelBonus,2)+(INDEX(LevelBasic,2)+INDEX(LevelHousing,2))*GosiSaudi)+SUMIFS(SeatExits,SeatDivision,"Credit Risk Division",SeatLevel,INDEX(LevelList,2),SeatMandate,"No")*(INDEX(LevelBasic,2)+INDEX(LevelHousing,2)+INDEX(LevelTransport,2)+INDEX(LevelBasic,2)*INDEX(LevelBonus,2)+(INDEX(LevelBasic,2)+INDEX(LevelHousing,2))*GosiOther)+SUMIFS(SeatExits,SeatDivision,"Credit Risk Division",SeatLevel,INDEX(LevelList,3),SeatMandate,"Yes")*(INDEX(LevelBasic,3)+INDEX(LevelHousing,3)+INDEX(LevelTransport,3)+INDEX(LevelBasic,3)*INDEX(LevelBonus,3)+(INDEX(LevelBasic,3)+INDEX(LevelHousing,3))*GosiSaudi)+SUMIFS(SeatExits,SeatDivision,"Credit Risk Division",SeatLevel,INDEX(LevelList,3),SeatMandate,"No")*(INDEX(LevelBasic,3)+INDEX(LevelHousing,3)+INDEX(LevelTransport,3)+INDEX(LevelBasic,3)*INDEX(LevelBonus,3)+(INDEX(LevelBasic,3)+INDEX(LevelHousing,3))*GosiOther)+SUMIFS(SeatExits,SeatDivision,"Credit Risk Division",SeatLevel,INDEX(LevelList,4),SeatMandate,"Yes")*(INDEX(LevelBasic,4)+INDEX(LevelHousing,4)+INDEX(LevelTransport,4)+INDEX(LevelBasic,4)*INDEX(LevelBonus,4)+(INDEX(LevelBasic,4)+INDEX(LevelHousing,4))*GosiSaudi)+SUMIFS(SeatExits,SeatDivision,"Credit Risk Division",SeatLevel,INDEX(LevelList,4),SeatMandate,"No")*(INDEX(LevelBasic,4)+INDEX(LevelHousing,4)+INDEX(LevelTransport,4)+INDEX(LevelBasic,4)*INDEX(LevelBonus,4)+(INDEX(LevelBasic,4)+INDEX(LevelHousing,4))*GosiOther)+SUMIFS(SeatExits,SeatDivision,"Credit Risk Division",SeatLevel,INDEX(LevelList,5),SeatMandate,"Yes")*(INDEX(LevelBasic,5)+INDEX(LevelHousing,5)+INDEX(LevelTransport,5)+INDEX(LevelBasic,5)*INDEX(LevelBonus,5)+(INDEX(LevelBasic,5)+INDEX(LevelHousing,5))*GosiSaudi)+SUMIFS(SeatExits,SeatDivision,"Credit Risk Division",SeatLevel,INDEX(LevelList,5),SeatMandate,"No")*(INDEX(LevelBasic,5)+INDEX(LevelHousing,5)+INDEX(LevelTransport,5)+INDEX(LevelBasic,5)*INDEX(LevelBonus,5)+(INDEX(LevelBasic,5)+INDEX(LevelHousing,5))*GosiOther)+SUMIFS(SeatExits,SeatDivision,"Credit Risk Division",SeatLevel,INDEX(LevelList,6),SeatMandate,"Yes")*(INDEX(LevelBasic,6)+INDEX(LevelHousing,6)+INDEX(LevelTransport,6)+INDEX(LevelBasic,6)*INDEX(LevelBonus,6)+(INDEX(LevelBasic,6)+INDEX(LevelHousing,6))*GosiSaudi)+SUMIFS(SeatExits,SeatDivision,"Credit Risk Division",SeatLevel,INDEX(LevelList,6),SeatMandate,"No")*(INDEX(LevelBasic,6)+INDEX(LevelHousing,6)+INDEX(LevelTransport,6)+INDEX(LevelBasic,6)*INDEX(LevelBonus,6)+(INDEX(LevelBasic,6)+INDEX(LevelHousing,6))*GosiOther)</f>
        <v>0</v>
      </c>
      <c r="D15" s="29" t="n">
        <f aca="false">SUMIFS(AskTotal,AskDivision,"Credit Risk Division",AskLevel,INDEX(LevelList,1))*(INDEX(LevelBasic,1)+INDEX(LevelHousing,1)+INDEX(LevelTransport,1)+INDEX(LevelBasic,1)*INDEX(LevelBonus,1)+(INDEX(LevelBasic,1)+INDEX(LevelHousing,1))*GosiSaudi)+SUMIFS(AskTotal,AskDivision,"Credit Risk Division",AskLevel,INDEX(LevelList,2))*(INDEX(LevelBasic,2)+INDEX(LevelHousing,2)+INDEX(LevelTransport,2)+INDEX(LevelBasic,2)*INDEX(LevelBonus,2)+(INDEX(LevelBasic,2)+INDEX(LevelHousing,2))*GosiSaudi)+SUMIFS(AskTotal,AskDivision,"Credit Risk Division",AskLevel,INDEX(LevelList,3))*(INDEX(LevelBasic,3)+INDEX(LevelHousing,3)+INDEX(LevelTransport,3)+INDEX(LevelBasic,3)*INDEX(LevelBonus,3)+(INDEX(LevelBasic,3)+INDEX(LevelHousing,3))*GosiSaudi)+SUMIFS(AskTotal,AskDivision,"Credit Risk Division",AskLevel,INDEX(LevelList,4))*(INDEX(LevelBasic,4)+INDEX(LevelHousing,4)+INDEX(LevelTransport,4)+INDEX(LevelBasic,4)*INDEX(LevelBonus,4)+(INDEX(LevelBasic,4)+INDEX(LevelHousing,4))*GosiSaudi)+SUMIFS(AskTotal,AskDivision,"Credit Risk Division",AskLevel,INDEX(LevelList,5))*(INDEX(LevelBasic,5)+INDEX(LevelHousing,5)+INDEX(LevelTransport,5)+INDEX(LevelBasic,5)*INDEX(LevelBonus,5)+(INDEX(LevelBasic,5)+INDEX(LevelHousing,5))*GosiSaudi)+SUMIFS(AskTotal,AskDivision,"Credit Risk 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9" t="s">
        <v>109</v>
      </c>
      <c r="B16" s="29" t="n">
        <f aca="false">SUMIFS(SeatApproved,SeatDivision,"Market &amp; Liquidity Risk Division",SeatLevel,INDEX(LevelList,1),SeatMandate,"Yes")*(INDEX(LevelBasic,1)+INDEX(LevelHousing,1)+INDEX(LevelTransport,1)+INDEX(LevelBasic,1)*INDEX(LevelBonus,1)+(INDEX(LevelBasic,1)+INDEX(LevelHousing,1))*GosiSaudi)+SUMIFS(SeatApproved,SeatDivision,"Market &amp; Liquidity Risk Division",SeatLevel,INDEX(LevelList,1),SeatMandate,"No")*(INDEX(LevelBasic,1)+INDEX(LevelHousing,1)+INDEX(LevelTransport,1)+INDEX(LevelBasic,1)*INDEX(LevelBonus,1)+(INDEX(LevelBasic,1)+INDEX(LevelHousing,1))*GosiOther)+SUMIFS(SeatApproved,SeatDivision,"Market &amp; Liquidity Risk Division",SeatLevel,INDEX(LevelList,2),SeatMandate,"Yes")*(INDEX(LevelBasic,2)+INDEX(LevelHousing,2)+INDEX(LevelTransport,2)+INDEX(LevelBasic,2)*INDEX(LevelBonus,2)+(INDEX(LevelBasic,2)+INDEX(LevelHousing,2))*GosiSaudi)+SUMIFS(SeatApproved,SeatDivision,"Market &amp; Liquidity Risk Division",SeatLevel,INDEX(LevelList,2),SeatMandate,"No")*(INDEX(LevelBasic,2)+INDEX(LevelHousing,2)+INDEX(LevelTransport,2)+INDEX(LevelBasic,2)*INDEX(LevelBonus,2)+(INDEX(LevelBasic,2)+INDEX(LevelHousing,2))*GosiOther)+SUMIFS(SeatApproved,SeatDivision,"Market &amp; Liquidity Risk Division",SeatLevel,INDEX(LevelList,3),SeatMandate,"Yes")*(INDEX(LevelBasic,3)+INDEX(LevelHousing,3)+INDEX(LevelTransport,3)+INDEX(LevelBasic,3)*INDEX(LevelBonus,3)+(INDEX(LevelBasic,3)+INDEX(LevelHousing,3))*GosiSaudi)+SUMIFS(SeatApproved,SeatDivision,"Market &amp; Liquidity Risk Division",SeatLevel,INDEX(LevelList,3),SeatMandate,"No")*(INDEX(LevelBasic,3)+INDEX(LevelHousing,3)+INDEX(LevelTransport,3)+INDEX(LevelBasic,3)*INDEX(LevelBonus,3)+(INDEX(LevelBasic,3)+INDEX(LevelHousing,3))*GosiOther)+SUMIFS(SeatApproved,SeatDivision,"Market &amp; Liquidity Risk Division",SeatLevel,INDEX(LevelList,4),SeatMandate,"Yes")*(INDEX(LevelBasic,4)+INDEX(LevelHousing,4)+INDEX(LevelTransport,4)+INDEX(LevelBasic,4)*INDEX(LevelBonus,4)+(INDEX(LevelBasic,4)+INDEX(LevelHousing,4))*GosiSaudi)+SUMIFS(SeatApproved,SeatDivision,"Market &amp; Liquidity Risk Division",SeatLevel,INDEX(LevelList,4),SeatMandate,"No")*(INDEX(LevelBasic,4)+INDEX(LevelHousing,4)+INDEX(LevelTransport,4)+INDEX(LevelBasic,4)*INDEX(LevelBonus,4)+(INDEX(LevelBasic,4)+INDEX(LevelHousing,4))*GosiOther)+SUMIFS(SeatApproved,SeatDivision,"Market &amp; Liquidity Risk Division",SeatLevel,INDEX(LevelList,5),SeatMandate,"Yes")*(INDEX(LevelBasic,5)+INDEX(LevelHousing,5)+INDEX(LevelTransport,5)+INDEX(LevelBasic,5)*INDEX(LevelBonus,5)+(INDEX(LevelBasic,5)+INDEX(LevelHousing,5))*GosiSaudi)+SUMIFS(SeatApproved,SeatDivision,"Market &amp; Liquidity Risk Division",SeatLevel,INDEX(LevelList,5),SeatMandate,"No")*(INDEX(LevelBasic,5)+INDEX(LevelHousing,5)+INDEX(LevelTransport,5)+INDEX(LevelBasic,5)*INDEX(LevelBonus,5)+(INDEX(LevelBasic,5)+INDEX(LevelHousing,5))*GosiOther)+SUMIFS(SeatApproved,SeatDivision,"Market &amp; Liquidity Risk Division",SeatLevel,INDEX(LevelList,6),SeatMandate,"Yes")*(INDEX(LevelBasic,6)+INDEX(LevelHousing,6)+INDEX(LevelTransport,6)+INDEX(LevelBasic,6)*INDEX(LevelBonus,6)+(INDEX(LevelBasic,6)+INDEX(LevelHousing,6))*GosiSaudi)+SUMIFS(SeatApproved,SeatDivision,"Market &amp; Liquidity Risk Division",SeatLevel,INDEX(LevelList,6),SeatMandate,"No")*(INDEX(LevelBasic,6)+INDEX(LevelHousing,6)+INDEX(LevelTransport,6)+INDEX(LevelBasic,6)*INDEX(LevelBonus,6)+(INDEX(LevelBasic,6)+INDEX(LevelHousing,6))*GosiOther)</f>
        <v>0</v>
      </c>
      <c r="C16" s="29" t="n">
        <f aca="false">SUMIFS(SeatExits,SeatDivision,"Market &amp; Liquidity Risk Division",SeatLevel,INDEX(LevelList,1),SeatMandate,"Yes")*(INDEX(LevelBasic,1)+INDEX(LevelHousing,1)+INDEX(LevelTransport,1)+INDEX(LevelBasic,1)*INDEX(LevelBonus,1)+(INDEX(LevelBasic,1)+INDEX(LevelHousing,1))*GosiSaudi)+SUMIFS(SeatExits,SeatDivision,"Market &amp; Liquidity Risk Division",SeatLevel,INDEX(LevelList,1),SeatMandate,"No")*(INDEX(LevelBasic,1)+INDEX(LevelHousing,1)+INDEX(LevelTransport,1)+INDEX(LevelBasic,1)*INDEX(LevelBonus,1)+(INDEX(LevelBasic,1)+INDEX(LevelHousing,1))*GosiOther)+SUMIFS(SeatExits,SeatDivision,"Market &amp; Liquidity Risk Division",SeatLevel,INDEX(LevelList,2),SeatMandate,"Yes")*(INDEX(LevelBasic,2)+INDEX(LevelHousing,2)+INDEX(LevelTransport,2)+INDEX(LevelBasic,2)*INDEX(LevelBonus,2)+(INDEX(LevelBasic,2)+INDEX(LevelHousing,2))*GosiSaudi)+SUMIFS(SeatExits,SeatDivision,"Market &amp; Liquidity Risk Division",SeatLevel,INDEX(LevelList,2),SeatMandate,"No")*(INDEX(LevelBasic,2)+INDEX(LevelHousing,2)+INDEX(LevelTransport,2)+INDEX(LevelBasic,2)*INDEX(LevelBonus,2)+(INDEX(LevelBasic,2)+INDEX(LevelHousing,2))*GosiOther)+SUMIFS(SeatExits,SeatDivision,"Market &amp; Liquidity Risk Division",SeatLevel,INDEX(LevelList,3),SeatMandate,"Yes")*(INDEX(LevelBasic,3)+INDEX(LevelHousing,3)+INDEX(LevelTransport,3)+INDEX(LevelBasic,3)*INDEX(LevelBonus,3)+(INDEX(LevelBasic,3)+INDEX(LevelHousing,3))*GosiSaudi)+SUMIFS(SeatExits,SeatDivision,"Market &amp; Liquidity Risk Division",SeatLevel,INDEX(LevelList,3),SeatMandate,"No")*(INDEX(LevelBasic,3)+INDEX(LevelHousing,3)+INDEX(LevelTransport,3)+INDEX(LevelBasic,3)*INDEX(LevelBonus,3)+(INDEX(LevelBasic,3)+INDEX(LevelHousing,3))*GosiOther)+SUMIFS(SeatExits,SeatDivision,"Market &amp; Liquidity Risk Division",SeatLevel,INDEX(LevelList,4),SeatMandate,"Yes")*(INDEX(LevelBasic,4)+INDEX(LevelHousing,4)+INDEX(LevelTransport,4)+INDEX(LevelBasic,4)*INDEX(LevelBonus,4)+(INDEX(LevelBasic,4)+INDEX(LevelHousing,4))*GosiSaudi)+SUMIFS(SeatExits,SeatDivision,"Market &amp; Liquidity Risk Division",SeatLevel,INDEX(LevelList,4),SeatMandate,"No")*(INDEX(LevelBasic,4)+INDEX(LevelHousing,4)+INDEX(LevelTransport,4)+INDEX(LevelBasic,4)*INDEX(LevelBonus,4)+(INDEX(LevelBasic,4)+INDEX(LevelHousing,4))*GosiOther)+SUMIFS(SeatExits,SeatDivision,"Market &amp; Liquidity Risk Division",SeatLevel,INDEX(LevelList,5),SeatMandate,"Yes")*(INDEX(LevelBasic,5)+INDEX(LevelHousing,5)+INDEX(LevelTransport,5)+INDEX(LevelBasic,5)*INDEX(LevelBonus,5)+(INDEX(LevelBasic,5)+INDEX(LevelHousing,5))*GosiSaudi)+SUMIFS(SeatExits,SeatDivision,"Market &amp; Liquidity Risk Division",SeatLevel,INDEX(LevelList,5),SeatMandate,"No")*(INDEX(LevelBasic,5)+INDEX(LevelHousing,5)+INDEX(LevelTransport,5)+INDEX(LevelBasic,5)*INDEX(LevelBonus,5)+(INDEX(LevelBasic,5)+INDEX(LevelHousing,5))*GosiOther)+SUMIFS(SeatExits,SeatDivision,"Market &amp; Liquidity Risk Division",SeatLevel,INDEX(LevelList,6),SeatMandate,"Yes")*(INDEX(LevelBasic,6)+INDEX(LevelHousing,6)+INDEX(LevelTransport,6)+INDEX(LevelBasic,6)*INDEX(LevelBonus,6)+(INDEX(LevelBasic,6)+INDEX(LevelHousing,6))*GosiSaudi)+SUMIFS(SeatExits,SeatDivision,"Market &amp; Liquidity Risk Division",SeatLevel,INDEX(LevelList,6),SeatMandate,"No")*(INDEX(LevelBasic,6)+INDEX(LevelHousing,6)+INDEX(LevelTransport,6)+INDEX(LevelBasic,6)*INDEX(LevelBonus,6)+(INDEX(LevelBasic,6)+INDEX(LevelHousing,6))*GosiOther)</f>
        <v>0</v>
      </c>
      <c r="D16" s="29" t="n">
        <f aca="false">SUMIFS(AskTotal,AskDivision,"Market &amp; Liquidity Risk Division",AskLevel,INDEX(LevelList,1))*(INDEX(LevelBasic,1)+INDEX(LevelHousing,1)+INDEX(LevelTransport,1)+INDEX(LevelBasic,1)*INDEX(LevelBonus,1)+(INDEX(LevelBasic,1)+INDEX(LevelHousing,1))*GosiSaudi)+SUMIFS(AskTotal,AskDivision,"Market &amp; Liquidity Risk Division",AskLevel,INDEX(LevelList,2))*(INDEX(LevelBasic,2)+INDEX(LevelHousing,2)+INDEX(LevelTransport,2)+INDEX(LevelBasic,2)*INDEX(LevelBonus,2)+(INDEX(LevelBasic,2)+INDEX(LevelHousing,2))*GosiSaudi)+SUMIFS(AskTotal,AskDivision,"Market &amp; Liquidity Risk Division",AskLevel,INDEX(LevelList,3))*(INDEX(LevelBasic,3)+INDEX(LevelHousing,3)+INDEX(LevelTransport,3)+INDEX(LevelBasic,3)*INDEX(LevelBonus,3)+(INDEX(LevelBasic,3)+INDEX(LevelHousing,3))*GosiSaudi)+SUMIFS(AskTotal,AskDivision,"Market &amp; Liquidity Risk Division",AskLevel,INDEX(LevelList,4))*(INDEX(LevelBasic,4)+INDEX(LevelHousing,4)+INDEX(LevelTransport,4)+INDEX(LevelBasic,4)*INDEX(LevelBonus,4)+(INDEX(LevelBasic,4)+INDEX(LevelHousing,4))*GosiSaudi)+SUMIFS(AskTotal,AskDivision,"Market &amp; Liquidity Risk Division",AskLevel,INDEX(LevelList,5))*(INDEX(LevelBasic,5)+INDEX(LevelHousing,5)+INDEX(LevelTransport,5)+INDEX(LevelBasic,5)*INDEX(LevelBonus,5)+(INDEX(LevelBasic,5)+INDEX(LevelHousing,5))*GosiSaudi)+SUMIFS(AskTotal,AskDivision,"Market &amp; Liquidity Risk Division",AskLevel,INDEX(LevelList,6))*(INDEX(LevelBasic,6)+INDEX(LevelHousing,6)+INDEX(LevelTransport,6)+INDEX(LevelBasic,6)*INDEX(LevelBonus,6)+(INDEX(LevelBasic,6)+INDEX(LevelHousing,6))*GosiSaudi)</f>
        <v>0</v>
      </c>
      <c r="E16" s="29" t="n">
        <f aca="false">$B16-$C16+$D16</f>
        <v>0</v>
      </c>
      <c r="F16" s="29" t="n">
        <f aca="false">$E16-$B16</f>
        <v>0</v>
      </c>
    </row>
    <row r="17" customFormat="false" ht="15" hidden="false" customHeight="false" outlineLevel="0" collapsed="false">
      <c r="A17" s="9" t="s">
        <v>139</v>
      </c>
      <c r="B17" s="29" t="n">
        <f aca="false">SUMIFS(SeatApproved,SeatDivision,"Operational Risk Division",SeatLevel,INDEX(LevelList,1),SeatMandate,"Yes")*(INDEX(LevelBasic,1)+INDEX(LevelHousing,1)+INDEX(LevelTransport,1)+INDEX(LevelBasic,1)*INDEX(LevelBonus,1)+(INDEX(LevelBasic,1)+INDEX(LevelHousing,1))*GosiSaudi)+SUMIFS(SeatApproved,SeatDivision,"Operational Risk Division",SeatLevel,INDEX(LevelList,1),SeatMandate,"No")*(INDEX(LevelBasic,1)+INDEX(LevelHousing,1)+INDEX(LevelTransport,1)+INDEX(LevelBasic,1)*INDEX(LevelBonus,1)+(INDEX(LevelBasic,1)+INDEX(LevelHousing,1))*GosiOther)+SUMIFS(SeatApproved,SeatDivision,"Operational Risk Division",SeatLevel,INDEX(LevelList,2),SeatMandate,"Yes")*(INDEX(LevelBasic,2)+INDEX(LevelHousing,2)+INDEX(LevelTransport,2)+INDEX(LevelBasic,2)*INDEX(LevelBonus,2)+(INDEX(LevelBasic,2)+INDEX(LevelHousing,2))*GosiSaudi)+SUMIFS(SeatApproved,SeatDivision,"Operational Risk Division",SeatLevel,INDEX(LevelList,2),SeatMandate,"No")*(INDEX(LevelBasic,2)+INDEX(LevelHousing,2)+INDEX(LevelTransport,2)+INDEX(LevelBasic,2)*INDEX(LevelBonus,2)+(INDEX(LevelBasic,2)+INDEX(LevelHousing,2))*GosiOther)+SUMIFS(SeatApproved,SeatDivision,"Operational Risk Division",SeatLevel,INDEX(LevelList,3),SeatMandate,"Yes")*(INDEX(LevelBasic,3)+INDEX(LevelHousing,3)+INDEX(LevelTransport,3)+INDEX(LevelBasic,3)*INDEX(LevelBonus,3)+(INDEX(LevelBasic,3)+INDEX(LevelHousing,3))*GosiSaudi)+SUMIFS(SeatApproved,SeatDivision,"Operational Risk Division",SeatLevel,INDEX(LevelList,3),SeatMandate,"No")*(INDEX(LevelBasic,3)+INDEX(LevelHousing,3)+INDEX(LevelTransport,3)+INDEX(LevelBasic,3)*INDEX(LevelBonus,3)+(INDEX(LevelBasic,3)+INDEX(LevelHousing,3))*GosiOther)+SUMIFS(SeatApproved,SeatDivision,"Operational Risk Division",SeatLevel,INDEX(LevelList,4),SeatMandate,"Yes")*(INDEX(LevelBasic,4)+INDEX(LevelHousing,4)+INDEX(LevelTransport,4)+INDEX(LevelBasic,4)*INDEX(LevelBonus,4)+(INDEX(LevelBasic,4)+INDEX(LevelHousing,4))*GosiSaudi)+SUMIFS(SeatApproved,SeatDivision,"Operational Risk Division",SeatLevel,INDEX(LevelList,4),SeatMandate,"No")*(INDEX(LevelBasic,4)+INDEX(LevelHousing,4)+INDEX(LevelTransport,4)+INDEX(LevelBasic,4)*INDEX(LevelBonus,4)+(INDEX(LevelBasic,4)+INDEX(LevelHousing,4))*GosiOther)+SUMIFS(SeatApproved,SeatDivision,"Operational Risk Division",SeatLevel,INDEX(LevelList,5),SeatMandate,"Yes")*(INDEX(LevelBasic,5)+INDEX(LevelHousing,5)+INDEX(LevelTransport,5)+INDEX(LevelBasic,5)*INDEX(LevelBonus,5)+(INDEX(LevelBasic,5)+INDEX(LevelHousing,5))*GosiSaudi)+SUMIFS(SeatApproved,SeatDivision,"Operational Risk Division",SeatLevel,INDEX(LevelList,5),SeatMandate,"No")*(INDEX(LevelBasic,5)+INDEX(LevelHousing,5)+INDEX(LevelTransport,5)+INDEX(LevelBasic,5)*INDEX(LevelBonus,5)+(INDEX(LevelBasic,5)+INDEX(LevelHousing,5))*GosiOther)+SUMIFS(SeatApproved,SeatDivision,"Operational Risk Division",SeatLevel,INDEX(LevelList,6),SeatMandate,"Yes")*(INDEX(LevelBasic,6)+INDEX(LevelHousing,6)+INDEX(LevelTransport,6)+INDEX(LevelBasic,6)*INDEX(LevelBonus,6)+(INDEX(LevelBasic,6)+INDEX(LevelHousing,6))*GosiSaudi)+SUMIFS(SeatApproved,SeatDivision,"Operational Risk Division",SeatLevel,INDEX(LevelList,6),SeatMandate,"No")*(INDEX(LevelBasic,6)+INDEX(LevelHousing,6)+INDEX(LevelTransport,6)+INDEX(LevelBasic,6)*INDEX(LevelBonus,6)+(INDEX(LevelBasic,6)+INDEX(LevelHousing,6))*GosiOther)</f>
        <v>0</v>
      </c>
      <c r="C17" s="29" t="n">
        <f aca="false">SUMIFS(SeatExits,SeatDivision,"Operational Risk Division",SeatLevel,INDEX(LevelList,1),SeatMandate,"Yes")*(INDEX(LevelBasic,1)+INDEX(LevelHousing,1)+INDEX(LevelTransport,1)+INDEX(LevelBasic,1)*INDEX(LevelBonus,1)+(INDEX(LevelBasic,1)+INDEX(LevelHousing,1))*GosiSaudi)+SUMIFS(SeatExits,SeatDivision,"Operational Risk Division",SeatLevel,INDEX(LevelList,1),SeatMandate,"No")*(INDEX(LevelBasic,1)+INDEX(LevelHousing,1)+INDEX(LevelTransport,1)+INDEX(LevelBasic,1)*INDEX(LevelBonus,1)+(INDEX(LevelBasic,1)+INDEX(LevelHousing,1))*GosiOther)+SUMIFS(SeatExits,SeatDivision,"Operational Risk Division",SeatLevel,INDEX(LevelList,2),SeatMandate,"Yes")*(INDEX(LevelBasic,2)+INDEX(LevelHousing,2)+INDEX(LevelTransport,2)+INDEX(LevelBasic,2)*INDEX(LevelBonus,2)+(INDEX(LevelBasic,2)+INDEX(LevelHousing,2))*GosiSaudi)+SUMIFS(SeatExits,SeatDivision,"Operational Risk Division",SeatLevel,INDEX(LevelList,2),SeatMandate,"No")*(INDEX(LevelBasic,2)+INDEX(LevelHousing,2)+INDEX(LevelTransport,2)+INDEX(LevelBasic,2)*INDEX(LevelBonus,2)+(INDEX(LevelBasic,2)+INDEX(LevelHousing,2))*GosiOther)+SUMIFS(SeatExits,SeatDivision,"Operational Risk Division",SeatLevel,INDEX(LevelList,3),SeatMandate,"Yes")*(INDEX(LevelBasic,3)+INDEX(LevelHousing,3)+INDEX(LevelTransport,3)+INDEX(LevelBasic,3)*INDEX(LevelBonus,3)+(INDEX(LevelBasic,3)+INDEX(LevelHousing,3))*GosiSaudi)+SUMIFS(SeatExits,SeatDivision,"Operational Risk Division",SeatLevel,INDEX(LevelList,3),SeatMandate,"No")*(INDEX(LevelBasic,3)+INDEX(LevelHousing,3)+INDEX(LevelTransport,3)+INDEX(LevelBasic,3)*INDEX(LevelBonus,3)+(INDEX(LevelBasic,3)+INDEX(LevelHousing,3))*GosiOther)+SUMIFS(SeatExits,SeatDivision,"Operational Risk Division",SeatLevel,INDEX(LevelList,4),SeatMandate,"Yes")*(INDEX(LevelBasic,4)+INDEX(LevelHousing,4)+INDEX(LevelTransport,4)+INDEX(LevelBasic,4)*INDEX(LevelBonus,4)+(INDEX(LevelBasic,4)+INDEX(LevelHousing,4))*GosiSaudi)+SUMIFS(SeatExits,SeatDivision,"Operational Risk Division",SeatLevel,INDEX(LevelList,4),SeatMandate,"No")*(INDEX(LevelBasic,4)+INDEX(LevelHousing,4)+INDEX(LevelTransport,4)+INDEX(LevelBasic,4)*INDEX(LevelBonus,4)+(INDEX(LevelBasic,4)+INDEX(LevelHousing,4))*GosiOther)+SUMIFS(SeatExits,SeatDivision,"Operational Risk Division",SeatLevel,INDEX(LevelList,5),SeatMandate,"Yes")*(INDEX(LevelBasic,5)+INDEX(LevelHousing,5)+INDEX(LevelTransport,5)+INDEX(LevelBasic,5)*INDEX(LevelBonus,5)+(INDEX(LevelBasic,5)+INDEX(LevelHousing,5))*GosiSaudi)+SUMIFS(SeatExits,SeatDivision,"Operational Risk Division",SeatLevel,INDEX(LevelList,5),SeatMandate,"No")*(INDEX(LevelBasic,5)+INDEX(LevelHousing,5)+INDEX(LevelTransport,5)+INDEX(LevelBasic,5)*INDEX(LevelBonus,5)+(INDEX(LevelBasic,5)+INDEX(LevelHousing,5))*GosiOther)+SUMIFS(SeatExits,SeatDivision,"Operational Risk Division",SeatLevel,INDEX(LevelList,6),SeatMandate,"Yes")*(INDEX(LevelBasic,6)+INDEX(LevelHousing,6)+INDEX(LevelTransport,6)+INDEX(LevelBasic,6)*INDEX(LevelBonus,6)+(INDEX(LevelBasic,6)+INDEX(LevelHousing,6))*GosiSaudi)+SUMIFS(SeatExits,SeatDivision,"Operational Risk Division",SeatLevel,INDEX(LevelList,6),SeatMandate,"No")*(INDEX(LevelBasic,6)+INDEX(LevelHousing,6)+INDEX(LevelTransport,6)+INDEX(LevelBasic,6)*INDEX(LevelBonus,6)+(INDEX(LevelBasic,6)+INDEX(LevelHousing,6))*GosiOther)</f>
        <v>0</v>
      </c>
      <c r="D17" s="29" t="n">
        <f aca="false">SUMIFS(AskTotal,AskDivision,"Operational Risk Division",AskLevel,INDEX(LevelList,1))*(INDEX(LevelBasic,1)+INDEX(LevelHousing,1)+INDEX(LevelTransport,1)+INDEX(LevelBasic,1)*INDEX(LevelBonus,1)+(INDEX(LevelBasic,1)+INDEX(LevelHousing,1))*GosiSaudi)+SUMIFS(AskTotal,AskDivision,"Operational Risk Division",AskLevel,INDEX(LevelList,2))*(INDEX(LevelBasic,2)+INDEX(LevelHousing,2)+INDEX(LevelTransport,2)+INDEX(LevelBasic,2)*INDEX(LevelBonus,2)+(INDEX(LevelBasic,2)+INDEX(LevelHousing,2))*GosiSaudi)+SUMIFS(AskTotal,AskDivision,"Operational Risk Division",AskLevel,INDEX(LevelList,3))*(INDEX(LevelBasic,3)+INDEX(LevelHousing,3)+INDEX(LevelTransport,3)+INDEX(LevelBasic,3)*INDEX(LevelBonus,3)+(INDEX(LevelBasic,3)+INDEX(LevelHousing,3))*GosiSaudi)+SUMIFS(AskTotal,AskDivision,"Operational Risk Division",AskLevel,INDEX(LevelList,4))*(INDEX(LevelBasic,4)+INDEX(LevelHousing,4)+INDEX(LevelTransport,4)+INDEX(LevelBasic,4)*INDEX(LevelBonus,4)+(INDEX(LevelBasic,4)+INDEX(LevelHousing,4))*GosiSaudi)+SUMIFS(AskTotal,AskDivision,"Operational Risk Division",AskLevel,INDEX(LevelList,5))*(INDEX(LevelBasic,5)+INDEX(LevelHousing,5)+INDEX(LevelTransport,5)+INDEX(LevelBasic,5)*INDEX(LevelBonus,5)+(INDEX(LevelBasic,5)+INDEX(LevelHousing,5))*GosiSaudi)+SUMIFS(AskTotal,AskDivision,"Operational Risk Division",AskLevel,INDEX(LevelList,6))*(INDEX(LevelBasic,6)+INDEX(LevelHousing,6)+INDEX(LevelTransport,6)+INDEX(LevelBasic,6)*INDEX(LevelBonus,6)+(INDEX(LevelBasic,6)+INDEX(LevelHousing,6))*GosiSaudi)</f>
        <v>0</v>
      </c>
      <c r="E17" s="29" t="n">
        <f aca="false">$B17-$C17+$D17</f>
        <v>0</v>
      </c>
      <c r="F17" s="29" t="n">
        <f aca="false">$E17-$B17</f>
        <v>0</v>
      </c>
    </row>
    <row r="18" customFormat="false" ht="15" hidden="false" customHeight="false" outlineLevel="0" collapsed="false">
      <c r="A18" s="9" t="s">
        <v>169</v>
      </c>
      <c r="B18" s="29" t="n">
        <f aca="false">SUMIFS(SeatApproved,SeatDivision,"Risk Analytics Division",SeatLevel,INDEX(LevelList,1),SeatMandate,"Yes")*(INDEX(LevelBasic,1)+INDEX(LevelHousing,1)+INDEX(LevelTransport,1)+INDEX(LevelBasic,1)*INDEX(LevelBonus,1)+(INDEX(LevelBasic,1)+INDEX(LevelHousing,1))*GosiSaudi)+SUMIFS(SeatApproved,SeatDivision,"Risk Analytics Division",SeatLevel,INDEX(LevelList,1),SeatMandate,"No")*(INDEX(LevelBasic,1)+INDEX(LevelHousing,1)+INDEX(LevelTransport,1)+INDEX(LevelBasic,1)*INDEX(LevelBonus,1)+(INDEX(LevelBasic,1)+INDEX(LevelHousing,1))*GosiOther)+SUMIFS(SeatApproved,SeatDivision,"Risk Analytics Division",SeatLevel,INDEX(LevelList,2),SeatMandate,"Yes")*(INDEX(LevelBasic,2)+INDEX(LevelHousing,2)+INDEX(LevelTransport,2)+INDEX(LevelBasic,2)*INDEX(LevelBonus,2)+(INDEX(LevelBasic,2)+INDEX(LevelHousing,2))*GosiSaudi)+SUMIFS(SeatApproved,SeatDivision,"Risk Analytics Division",SeatLevel,INDEX(LevelList,2),SeatMandate,"No")*(INDEX(LevelBasic,2)+INDEX(LevelHousing,2)+INDEX(LevelTransport,2)+INDEX(LevelBasic,2)*INDEX(LevelBonus,2)+(INDEX(LevelBasic,2)+INDEX(LevelHousing,2))*GosiOther)+SUMIFS(SeatApproved,SeatDivision,"Risk Analytics Division",SeatLevel,INDEX(LevelList,3),SeatMandate,"Yes")*(INDEX(LevelBasic,3)+INDEX(LevelHousing,3)+INDEX(LevelTransport,3)+INDEX(LevelBasic,3)*INDEX(LevelBonus,3)+(INDEX(LevelBasic,3)+INDEX(LevelHousing,3))*GosiSaudi)+SUMIFS(SeatApproved,SeatDivision,"Risk Analytics Division",SeatLevel,INDEX(LevelList,3),SeatMandate,"No")*(INDEX(LevelBasic,3)+INDEX(LevelHousing,3)+INDEX(LevelTransport,3)+INDEX(LevelBasic,3)*INDEX(LevelBonus,3)+(INDEX(LevelBasic,3)+INDEX(LevelHousing,3))*GosiOther)+SUMIFS(SeatApproved,SeatDivision,"Risk Analytics Division",SeatLevel,INDEX(LevelList,4),SeatMandate,"Yes")*(INDEX(LevelBasic,4)+INDEX(LevelHousing,4)+INDEX(LevelTransport,4)+INDEX(LevelBasic,4)*INDEX(LevelBonus,4)+(INDEX(LevelBasic,4)+INDEX(LevelHousing,4))*GosiSaudi)+SUMIFS(SeatApproved,SeatDivision,"Risk Analytics Division",SeatLevel,INDEX(LevelList,4),SeatMandate,"No")*(INDEX(LevelBasic,4)+INDEX(LevelHousing,4)+INDEX(LevelTransport,4)+INDEX(LevelBasic,4)*INDEX(LevelBonus,4)+(INDEX(LevelBasic,4)+INDEX(LevelHousing,4))*GosiOther)+SUMIFS(SeatApproved,SeatDivision,"Risk Analytics Division",SeatLevel,INDEX(LevelList,5),SeatMandate,"Yes")*(INDEX(LevelBasic,5)+INDEX(LevelHousing,5)+INDEX(LevelTransport,5)+INDEX(LevelBasic,5)*INDEX(LevelBonus,5)+(INDEX(LevelBasic,5)+INDEX(LevelHousing,5))*GosiSaudi)+SUMIFS(SeatApproved,SeatDivision,"Risk Analytics Division",SeatLevel,INDEX(LevelList,5),SeatMandate,"No")*(INDEX(LevelBasic,5)+INDEX(LevelHousing,5)+INDEX(LevelTransport,5)+INDEX(LevelBasic,5)*INDEX(LevelBonus,5)+(INDEX(LevelBasic,5)+INDEX(LevelHousing,5))*GosiOther)+SUMIFS(SeatApproved,SeatDivision,"Risk Analytics Division",SeatLevel,INDEX(LevelList,6),SeatMandate,"Yes")*(INDEX(LevelBasic,6)+INDEX(LevelHousing,6)+INDEX(LevelTransport,6)+INDEX(LevelBasic,6)*INDEX(LevelBonus,6)+(INDEX(LevelBasic,6)+INDEX(LevelHousing,6))*GosiSaudi)+SUMIFS(SeatApproved,SeatDivision,"Risk Analytics Division",SeatLevel,INDEX(LevelList,6),SeatMandate,"No")*(INDEX(LevelBasic,6)+INDEX(LevelHousing,6)+INDEX(LevelTransport,6)+INDEX(LevelBasic,6)*INDEX(LevelBonus,6)+(INDEX(LevelBasic,6)+INDEX(LevelHousing,6))*GosiOther)</f>
        <v>0</v>
      </c>
      <c r="C18" s="29" t="n">
        <f aca="false">SUMIFS(SeatExits,SeatDivision,"Risk Analytics Division",SeatLevel,INDEX(LevelList,1),SeatMandate,"Yes")*(INDEX(LevelBasic,1)+INDEX(LevelHousing,1)+INDEX(LevelTransport,1)+INDEX(LevelBasic,1)*INDEX(LevelBonus,1)+(INDEX(LevelBasic,1)+INDEX(LevelHousing,1))*GosiSaudi)+SUMIFS(SeatExits,SeatDivision,"Risk Analytics Division",SeatLevel,INDEX(LevelList,1),SeatMandate,"No")*(INDEX(LevelBasic,1)+INDEX(LevelHousing,1)+INDEX(LevelTransport,1)+INDEX(LevelBasic,1)*INDEX(LevelBonus,1)+(INDEX(LevelBasic,1)+INDEX(LevelHousing,1))*GosiOther)+SUMIFS(SeatExits,SeatDivision,"Risk Analytics Division",SeatLevel,INDEX(LevelList,2),SeatMandate,"Yes")*(INDEX(LevelBasic,2)+INDEX(LevelHousing,2)+INDEX(LevelTransport,2)+INDEX(LevelBasic,2)*INDEX(LevelBonus,2)+(INDEX(LevelBasic,2)+INDEX(LevelHousing,2))*GosiSaudi)+SUMIFS(SeatExits,SeatDivision,"Risk Analytics Division",SeatLevel,INDEX(LevelList,2),SeatMandate,"No")*(INDEX(LevelBasic,2)+INDEX(LevelHousing,2)+INDEX(LevelTransport,2)+INDEX(LevelBasic,2)*INDEX(LevelBonus,2)+(INDEX(LevelBasic,2)+INDEX(LevelHousing,2))*GosiOther)+SUMIFS(SeatExits,SeatDivision,"Risk Analytics Division",SeatLevel,INDEX(LevelList,3),SeatMandate,"Yes")*(INDEX(LevelBasic,3)+INDEX(LevelHousing,3)+INDEX(LevelTransport,3)+INDEX(LevelBasic,3)*INDEX(LevelBonus,3)+(INDEX(LevelBasic,3)+INDEX(LevelHousing,3))*GosiSaudi)+SUMIFS(SeatExits,SeatDivision,"Risk Analytics Division",SeatLevel,INDEX(LevelList,3),SeatMandate,"No")*(INDEX(LevelBasic,3)+INDEX(LevelHousing,3)+INDEX(LevelTransport,3)+INDEX(LevelBasic,3)*INDEX(LevelBonus,3)+(INDEX(LevelBasic,3)+INDEX(LevelHousing,3))*GosiOther)+SUMIFS(SeatExits,SeatDivision,"Risk Analytics Division",SeatLevel,INDEX(LevelList,4),SeatMandate,"Yes")*(INDEX(LevelBasic,4)+INDEX(LevelHousing,4)+INDEX(LevelTransport,4)+INDEX(LevelBasic,4)*INDEX(LevelBonus,4)+(INDEX(LevelBasic,4)+INDEX(LevelHousing,4))*GosiSaudi)+SUMIFS(SeatExits,SeatDivision,"Risk Analytics Division",SeatLevel,INDEX(LevelList,4),SeatMandate,"No")*(INDEX(LevelBasic,4)+INDEX(LevelHousing,4)+INDEX(LevelTransport,4)+INDEX(LevelBasic,4)*INDEX(LevelBonus,4)+(INDEX(LevelBasic,4)+INDEX(LevelHousing,4))*GosiOther)+SUMIFS(SeatExits,SeatDivision,"Risk Analytics Division",SeatLevel,INDEX(LevelList,5),SeatMandate,"Yes")*(INDEX(LevelBasic,5)+INDEX(LevelHousing,5)+INDEX(LevelTransport,5)+INDEX(LevelBasic,5)*INDEX(LevelBonus,5)+(INDEX(LevelBasic,5)+INDEX(LevelHousing,5))*GosiSaudi)+SUMIFS(SeatExits,SeatDivision,"Risk Analytics Division",SeatLevel,INDEX(LevelList,5),SeatMandate,"No")*(INDEX(LevelBasic,5)+INDEX(LevelHousing,5)+INDEX(LevelTransport,5)+INDEX(LevelBasic,5)*INDEX(LevelBonus,5)+(INDEX(LevelBasic,5)+INDEX(LevelHousing,5))*GosiOther)+SUMIFS(SeatExits,SeatDivision,"Risk Analytics Division",SeatLevel,INDEX(LevelList,6),SeatMandate,"Yes")*(INDEX(LevelBasic,6)+INDEX(LevelHousing,6)+INDEX(LevelTransport,6)+INDEX(LevelBasic,6)*INDEX(LevelBonus,6)+(INDEX(LevelBasic,6)+INDEX(LevelHousing,6))*GosiSaudi)+SUMIFS(SeatExits,SeatDivision,"Risk Analytics Division",SeatLevel,INDEX(LevelList,6),SeatMandate,"No")*(INDEX(LevelBasic,6)+INDEX(LevelHousing,6)+INDEX(LevelTransport,6)+INDEX(LevelBasic,6)*INDEX(LevelBonus,6)+(INDEX(LevelBasic,6)+INDEX(LevelHousing,6))*GosiOther)</f>
        <v>0</v>
      </c>
      <c r="D18" s="29" t="n">
        <f aca="false">SUMIFS(AskTotal,AskDivision,"Risk Analytics Division",AskLevel,INDEX(LevelList,1))*(INDEX(LevelBasic,1)+INDEX(LevelHousing,1)+INDEX(LevelTransport,1)+INDEX(LevelBasic,1)*INDEX(LevelBonus,1)+(INDEX(LevelBasic,1)+INDEX(LevelHousing,1))*GosiSaudi)+SUMIFS(AskTotal,AskDivision,"Risk Analytics Division",AskLevel,INDEX(LevelList,2))*(INDEX(LevelBasic,2)+INDEX(LevelHousing,2)+INDEX(LevelTransport,2)+INDEX(LevelBasic,2)*INDEX(LevelBonus,2)+(INDEX(LevelBasic,2)+INDEX(LevelHousing,2))*GosiSaudi)+SUMIFS(AskTotal,AskDivision,"Risk Analytics Division",AskLevel,INDEX(LevelList,3))*(INDEX(LevelBasic,3)+INDEX(LevelHousing,3)+INDEX(LevelTransport,3)+INDEX(LevelBasic,3)*INDEX(LevelBonus,3)+(INDEX(LevelBasic,3)+INDEX(LevelHousing,3))*GosiSaudi)+SUMIFS(AskTotal,AskDivision,"Risk Analytics Division",AskLevel,INDEX(LevelList,4))*(INDEX(LevelBasic,4)+INDEX(LevelHousing,4)+INDEX(LevelTransport,4)+INDEX(LevelBasic,4)*INDEX(LevelBonus,4)+(INDEX(LevelBasic,4)+INDEX(LevelHousing,4))*GosiSaudi)+SUMIFS(AskTotal,AskDivision,"Risk Analytics Division",AskLevel,INDEX(LevelList,5))*(INDEX(LevelBasic,5)+INDEX(LevelHousing,5)+INDEX(LevelTransport,5)+INDEX(LevelBasic,5)*INDEX(LevelBonus,5)+(INDEX(LevelBasic,5)+INDEX(LevelHousing,5))*GosiSaudi)+SUMIFS(AskTotal,AskDivision,"Risk Analytics Division",AskLevel,INDEX(LevelList,6))*(INDEX(LevelBasic,6)+INDEX(LevelHousing,6)+INDEX(LevelTransport,6)+INDEX(LevelBasic,6)*INDEX(LevelBonus,6)+(INDEX(LevelBasic,6)+INDEX(LevelHousing,6))*GosiSaudi)</f>
        <v>0</v>
      </c>
      <c r="E18" s="29" t="n">
        <f aca="false">$B18-$C18+$D18</f>
        <v>0</v>
      </c>
      <c r="F18" s="29" t="n">
        <f aca="false">$E18-$B18</f>
        <v>0</v>
      </c>
    </row>
    <row r="19" customFormat="false" ht="15" hidden="false" customHeight="false" outlineLevel="0" collapsed="false">
      <c r="A19" s="9" t="s">
        <v>388</v>
      </c>
      <c r="B19"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9"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9"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9" s="29" t="n">
        <f aca="false">$B19-$C19+$D19</f>
        <v>0</v>
      </c>
      <c r="F19" s="29" t="n">
        <f aca="false">$E19-$B19</f>
        <v>0</v>
      </c>
    </row>
    <row r="20" customFormat="false" ht="15" hidden="false" customHeight="false" outlineLevel="0" collapsed="false">
      <c r="A20" s="27" t="s">
        <v>389</v>
      </c>
      <c r="B20" s="15" t="n">
        <f aca="false">SUM(B15:B19)</f>
        <v>0</v>
      </c>
      <c r="C20" s="15" t="n">
        <f aca="false">SUM(C15:C19)</f>
        <v>0</v>
      </c>
      <c r="D20" s="15" t="n">
        <f aca="false">SUM(D15:D19)</f>
        <v>0</v>
      </c>
      <c r="E20" s="15" t="n">
        <f aca="false">SUM(E15:E19)</f>
        <v>0</v>
      </c>
      <c r="F20" s="15" t="n">
        <f aca="false">SUM(F15:F19)</f>
        <v>0</v>
      </c>
    </row>
    <row r="22" customFormat="false" ht="15" hidden="false" customHeight="false" outlineLevel="0" collapsed="false">
      <c r="A22" s="3" t="s">
        <v>392</v>
      </c>
    </row>
    <row r="23" customFormat="false" ht="15" hidden="false" customHeight="false" outlineLevel="0" collapsed="false">
      <c r="A23" s="6" t="s">
        <v>393</v>
      </c>
      <c r="B23"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3" s="30" t="s">
        <v>394</v>
      </c>
    </row>
    <row r="24" customFormat="false" ht="15" hidden="false" customHeight="false" outlineLevel="0" collapsed="false">
      <c r="A24" s="6" t="s">
        <v>395</v>
      </c>
      <c r="B24"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4" s="30" t="s">
        <v>396</v>
      </c>
    </row>
    <row r="25" customFormat="false" ht="15" hidden="false" customHeight="false" outlineLevel="0" collapsed="false">
      <c r="A25" s="6" t="s">
        <v>397</v>
      </c>
      <c r="B25" s="19" t="n">
        <f aca="false">-SUM(OutCash)</f>
        <v>-0</v>
      </c>
      <c r="C25" s="30" t="s">
        <v>398</v>
      </c>
    </row>
    <row r="26" customFormat="false" ht="15" hidden="false" customHeight="false" outlineLevel="0" collapsed="false">
      <c r="A26" s="27" t="s">
        <v>399</v>
      </c>
      <c r="B26" s="15" t="n">
        <f aca="false">$B$23+$B$24+$B$25</f>
        <v>0</v>
      </c>
      <c r="C26" s="30" t="s">
        <v>400</v>
      </c>
    </row>
    <row r="28" customFormat="false" ht="15" hidden="false" customHeight="false" outlineLevel="0" collapsed="false">
      <c r="A28" s="3" t="s">
        <v>401</v>
      </c>
    </row>
    <row r="29" customFormat="false" ht="27.75" hidden="false" customHeight="true" outlineLevel="0" collapsed="false">
      <c r="A29" s="12" t="s">
        <v>402</v>
      </c>
      <c r="B29" s="12" t="s">
        <v>403</v>
      </c>
      <c r="C29" s="12" t="s">
        <v>404</v>
      </c>
      <c r="D29" s="12" t="s">
        <v>405</v>
      </c>
      <c r="E29" s="12" t="s">
        <v>406</v>
      </c>
      <c r="F29" s="12"/>
      <c r="G29" s="12"/>
    </row>
    <row r="30" customFormat="false" ht="15" hidden="false" customHeight="false" outlineLevel="0" collapsed="false">
      <c r="A30" s="31" t="s">
        <v>407</v>
      </c>
      <c r="B30" s="32" t="n">
        <f aca="false">CostEnvelope</f>
        <v>4447</v>
      </c>
      <c r="C30" s="33" t="n">
        <f aca="false">$F$20</f>
        <v>0</v>
      </c>
      <c r="D30" s="29" t="n">
        <f aca="false">$B30-$C30</f>
        <v>4447</v>
      </c>
      <c r="E30" s="34" t="str">
        <f aca="false">IF($D30&gt;=0,"Within envelope","Over envelope")</f>
        <v>Within envelope</v>
      </c>
      <c r="G30" s="35" t="s">
        <v>408</v>
      </c>
    </row>
    <row r="31" customFormat="false" ht="15" hidden="false" customHeight="false" outlineLevel="0" collapsed="false">
      <c r="A31" s="31" t="s">
        <v>409</v>
      </c>
      <c r="B31" s="36" t="n">
        <f aca="false">HeadEnvelope</f>
        <v>16</v>
      </c>
      <c r="C31" s="37" t="n">
        <f aca="false">$F$11</f>
        <v>0</v>
      </c>
      <c r="D31" s="26" t="n">
        <f aca="false">$B31-$C31</f>
        <v>16</v>
      </c>
      <c r="E31" s="34" t="str">
        <f aca="false">IF($D31&gt;=0,"Within envelope","Over envelope")</f>
        <v>Within envelope</v>
      </c>
      <c r="G31" s="35" t="s">
        <v>410</v>
      </c>
    </row>
    <row r="32" customFormat="false" ht="15" hidden="false" customHeight="false" outlineLevel="0" collapsed="false">
      <c r="A32" s="31" t="s">
        <v>411</v>
      </c>
      <c r="B32" s="38" t="n">
        <f aca="false">SaudiTarget</f>
        <v>0.64</v>
      </c>
      <c r="C32" s="39" t="n">
        <f aca="false">IFERROR(SUMIFS(SeatApproved,SeatMandate,"Yes")/SUM(SeatApproved),0)</f>
        <v>0</v>
      </c>
      <c r="D32" s="40" t="n">
        <f aca="false">$C32-$B32</f>
        <v>-0.64</v>
      </c>
      <c r="E32" s="34" t="str">
        <f aca="false">IF($C32&gt;=$B32,"At or above target","Below target")</f>
        <v>Below target</v>
      </c>
      <c r="G32" s="35" t="s">
        <v>412</v>
      </c>
    </row>
    <row r="34" customFormat="false" ht="15" hidden="false" customHeight="false" outlineLevel="0" collapsed="false">
      <c r="A34" s="3" t="s">
        <v>413</v>
      </c>
      <c r="G34" s="28" t="s">
        <v>414</v>
      </c>
    </row>
    <row r="35" customFormat="false" ht="27.75" hidden="false" customHeight="true" outlineLevel="0" collapsed="false">
      <c r="A35" s="12" t="s">
        <v>415</v>
      </c>
      <c r="B35" s="12" t="s">
        <v>376</v>
      </c>
      <c r="C35" s="12" t="s">
        <v>416</v>
      </c>
      <c r="D35" s="12" t="s">
        <v>417</v>
      </c>
      <c r="E35" s="12" t="s">
        <v>418</v>
      </c>
      <c r="F35" s="12"/>
      <c r="G35" s="12"/>
    </row>
    <row r="36" customFormat="false" ht="15" hidden="false" customHeight="false" outlineLevel="0" collapsed="false">
      <c r="A36" s="9" t="s">
        <v>419</v>
      </c>
      <c r="B36" s="26" t="n">
        <f aca="false">SUMIFS(AskTotal,AskCategory,"Regulatory")</f>
        <v>0</v>
      </c>
      <c r="C36"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6" s="29" t="n">
        <f aca="false">SUM($C$36:$C36)</f>
        <v>0</v>
      </c>
      <c r="E36" s="34" t="str">
        <f aca="false">IF($D36&lt;=CostEnvelope,"Yes","No")</f>
        <v>Yes</v>
      </c>
      <c r="G36" s="35" t="s">
        <v>420</v>
      </c>
    </row>
    <row r="37" customFormat="false" ht="15" hidden="false" customHeight="false" outlineLevel="0" collapsed="false">
      <c r="A37" s="9" t="s">
        <v>421</v>
      </c>
      <c r="B37" s="26" t="n">
        <f aca="false">SUMIFS(AskTotal,AskCategory,"Strategic")</f>
        <v>0</v>
      </c>
      <c r="C37"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7" s="29" t="n">
        <f aca="false">SUM($C$36:$C37)</f>
        <v>0</v>
      </c>
      <c r="E37" s="34" t="str">
        <f aca="false">IF($D37&lt;=CostEnvelope,"Yes","No")</f>
        <v>Yes</v>
      </c>
      <c r="G37" s="35" t="s">
        <v>422</v>
      </c>
    </row>
    <row r="38" customFormat="false" ht="15" hidden="false" customHeight="false" outlineLevel="0" collapsed="false">
      <c r="A38" s="9" t="s">
        <v>423</v>
      </c>
      <c r="B38" s="26" t="n">
        <f aca="false">SUMIFS(AskTotal,AskCategory,"Control")</f>
        <v>0</v>
      </c>
      <c r="C38"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8" s="29" t="n">
        <f aca="false">SUM($C$36:$C38)</f>
        <v>0</v>
      </c>
      <c r="E38" s="34" t="str">
        <f aca="false">IF($D38&lt;=CostEnvelope,"Yes","No")</f>
        <v>Yes</v>
      </c>
      <c r="G38" s="35" t="s">
        <v>424</v>
      </c>
    </row>
    <row r="39" customFormat="false" ht="15" hidden="false" customHeight="false" outlineLevel="0" collapsed="false">
      <c r="A39" s="9" t="s">
        <v>425</v>
      </c>
      <c r="B39" s="26" t="n">
        <f aca="false">SUMIFS(AskTotal,AskCategory,"BAU")</f>
        <v>0</v>
      </c>
      <c r="C39"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9" s="29" t="n">
        <f aca="false">SUM($C$36:$C39)</f>
        <v>0</v>
      </c>
      <c r="E39" s="34" t="str">
        <f aca="false">IF($D39&lt;=CostEnvelope,"Yes","No")</f>
        <v>Yes</v>
      </c>
      <c r="G39" s="35" t="s">
        <v>426</v>
      </c>
    </row>
    <row r="41" customFormat="false" ht="15" hidden="false" customHeight="false" outlineLevel="0" collapsed="false">
      <c r="A41" s="3" t="s">
        <v>427</v>
      </c>
    </row>
    <row r="42" customFormat="false" ht="27.75" hidden="false" customHeight="true" outlineLevel="0" collapsed="false">
      <c r="A42" s="12" t="s">
        <v>374</v>
      </c>
      <c r="B42" s="12" t="s">
        <v>376</v>
      </c>
      <c r="C42" s="12" t="s">
        <v>428</v>
      </c>
      <c r="D42" s="12" t="s">
        <v>429</v>
      </c>
      <c r="E42" s="12"/>
      <c r="F42" s="12"/>
      <c r="G42" s="12"/>
    </row>
    <row r="43" customFormat="false" ht="15" hidden="false" customHeight="false" outlineLevel="0" collapsed="false">
      <c r="A43" s="9" t="s">
        <v>377</v>
      </c>
      <c r="B43" s="26" t="n">
        <f aca="false">SUM(AskQ1)</f>
        <v>0</v>
      </c>
      <c r="C43" s="41" t="n">
        <v>1</v>
      </c>
      <c r="D43"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4" customFormat="false" ht="15" hidden="false" customHeight="false" outlineLevel="0" collapsed="false">
      <c r="A44" s="9" t="s">
        <v>378</v>
      </c>
      <c r="B44" s="26" t="n">
        <f aca="false">SUM(AskQ2)</f>
        <v>0</v>
      </c>
      <c r="C44" s="41" t="n">
        <v>0.75</v>
      </c>
      <c r="D44"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5" customFormat="false" ht="15" hidden="false" customHeight="false" outlineLevel="0" collapsed="false">
      <c r="A45" s="9" t="s">
        <v>379</v>
      </c>
      <c r="B45" s="26" t="n">
        <f aca="false">SUM(AskQ3)</f>
        <v>0</v>
      </c>
      <c r="C45" s="41" t="n">
        <v>0.5</v>
      </c>
      <c r="D45"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6" customFormat="false" ht="15" hidden="false" customHeight="false" outlineLevel="0" collapsed="false">
      <c r="A46" s="9" t="s">
        <v>380</v>
      </c>
      <c r="B46" s="26" t="n">
        <f aca="false">SUM(AskQ4)</f>
        <v>0</v>
      </c>
      <c r="C46" s="41" t="n">
        <v>0.25</v>
      </c>
      <c r="D46"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8" customFormat="false" ht="15" hidden="false" customHeight="false" outlineLevel="0" collapsed="false">
      <c r="A68" s="3" t="s">
        <v>430</v>
      </c>
      <c r="G68" s="28" t="s">
        <v>431</v>
      </c>
    </row>
    <row r="69" customFormat="false" ht="27.75" hidden="false" customHeight="true" outlineLevel="0" collapsed="false">
      <c r="A69" s="12" t="s">
        <v>61</v>
      </c>
      <c r="B69" s="12" t="s">
        <v>375</v>
      </c>
      <c r="C69" s="12" t="s">
        <v>207</v>
      </c>
      <c r="D69" s="12" t="s">
        <v>376</v>
      </c>
      <c r="E69" s="12" t="s">
        <v>387</v>
      </c>
      <c r="F69" s="12" t="s">
        <v>432</v>
      </c>
      <c r="G69" s="12" t="s">
        <v>416</v>
      </c>
      <c r="H69" s="12" t="s">
        <v>369</v>
      </c>
    </row>
    <row r="70" customFormat="false" ht="15" hidden="false" customHeight="false" outlineLevel="0" collapsed="false">
      <c r="A70" s="10" t="str">
        <f aca="false">$A6</f>
        <v>Credit Risk Division</v>
      </c>
      <c r="B70" s="26" t="n">
        <f aca="false">$B6</f>
        <v>104</v>
      </c>
      <c r="C70" s="26" t="n">
        <f aca="false">$C6</f>
        <v>0</v>
      </c>
      <c r="D70" s="26" t="n">
        <f aca="false">$D6</f>
        <v>0</v>
      </c>
      <c r="E70" s="26" t="n">
        <f aca="false">$E6</f>
        <v>104</v>
      </c>
      <c r="F70" s="26" t="n">
        <f aca="false">SUMIFS(SeatApproved,SeatDivision,"Credit Risk Division",SeatMandate,"Yes")</f>
        <v>0</v>
      </c>
      <c r="G70" s="29" t="n">
        <f aca="false">$E15</f>
        <v>0</v>
      </c>
      <c r="H70" s="29" t="n">
        <f aca="false">SUMIFS(OutCash,OutDivision,"Credit Risk Division")</f>
        <v>0</v>
      </c>
    </row>
    <row r="71" customFormat="false" ht="15" hidden="false" customHeight="false" outlineLevel="0" collapsed="false">
      <c r="A71" s="10" t="str">
        <f aca="false">$A7</f>
        <v>Market &amp; Liquidity Risk Division</v>
      </c>
      <c r="B71" s="26" t="n">
        <f aca="false">$B7</f>
        <v>70</v>
      </c>
      <c r="C71" s="26" t="n">
        <f aca="false">$C7</f>
        <v>0</v>
      </c>
      <c r="D71" s="26" t="n">
        <f aca="false">$D7</f>
        <v>0</v>
      </c>
      <c r="E71" s="26" t="n">
        <f aca="false">$E7</f>
        <v>70</v>
      </c>
      <c r="F71" s="26" t="n">
        <f aca="false">SUMIFS(SeatApproved,SeatDivision,"Market &amp; Liquidity Risk Division",SeatMandate,"Yes")</f>
        <v>0</v>
      </c>
      <c r="G71" s="29" t="n">
        <f aca="false">$E16</f>
        <v>0</v>
      </c>
      <c r="H71" s="29" t="n">
        <f aca="false">SUMIFS(OutCash,OutDivision,"Market &amp; Liquidity Risk Division")</f>
        <v>0</v>
      </c>
    </row>
    <row r="72" customFormat="false" ht="15" hidden="false" customHeight="false" outlineLevel="0" collapsed="false">
      <c r="A72" s="10" t="str">
        <f aca="false">$A8</f>
        <v>Operational Risk Division</v>
      </c>
      <c r="B72" s="26" t="n">
        <f aca="false">$B8</f>
        <v>76</v>
      </c>
      <c r="C72" s="26" t="n">
        <f aca="false">$C8</f>
        <v>0</v>
      </c>
      <c r="D72" s="26" t="n">
        <f aca="false">$D8</f>
        <v>0</v>
      </c>
      <c r="E72" s="26" t="n">
        <f aca="false">$E8</f>
        <v>76</v>
      </c>
      <c r="F72" s="26" t="n">
        <f aca="false">SUMIFS(SeatApproved,SeatDivision,"Operational Risk Division",SeatMandate,"Yes")</f>
        <v>0</v>
      </c>
      <c r="G72" s="29" t="n">
        <f aca="false">$E17</f>
        <v>0</v>
      </c>
      <c r="H72" s="29" t="n">
        <f aca="false">SUMIFS(OutCash,OutDivision,"Operational Risk Division")</f>
        <v>0</v>
      </c>
    </row>
    <row r="73" customFormat="false" ht="15" hidden="false" customHeight="false" outlineLevel="0" collapsed="false">
      <c r="A73" s="10" t="str">
        <f aca="false">$A9</f>
        <v>Risk Analytics Division</v>
      </c>
      <c r="B73" s="26" t="n">
        <f aca="false">$B9</f>
        <v>74</v>
      </c>
      <c r="C73" s="26" t="n">
        <f aca="false">$C9</f>
        <v>0</v>
      </c>
      <c r="D73" s="26" t="n">
        <f aca="false">$D9</f>
        <v>0</v>
      </c>
      <c r="E73" s="26" t="n">
        <f aca="false">$E9</f>
        <v>74</v>
      </c>
      <c r="F73" s="26" t="n">
        <f aca="false">SUMIFS(SeatApproved,SeatDivision,"Risk Analytics Division",SeatMandate,"Yes")</f>
        <v>0</v>
      </c>
      <c r="G73" s="29" t="n">
        <f aca="false">$E18</f>
        <v>0</v>
      </c>
      <c r="H73" s="29" t="n">
        <f aca="false">SUMIFS(OutCash,OutDivision,"Risk Analytics Division")</f>
        <v>0</v>
      </c>
    </row>
    <row r="74" customFormat="false" ht="15" hidden="false" customHeight="false" outlineLevel="0" collapsed="false">
      <c r="A74" s="10" t="str">
        <f aca="false">$A10</f>
        <v>Reporting to the group directly</v>
      </c>
      <c r="B74" s="26" t="n">
        <f aca="false">$B10</f>
        <v>1</v>
      </c>
      <c r="C74" s="26" t="n">
        <f aca="false">$C10</f>
        <v>0</v>
      </c>
      <c r="D74" s="26" t="n">
        <f aca="false">$D10</f>
        <v>0</v>
      </c>
      <c r="E74" s="26" t="n">
        <f aca="false">$E10</f>
        <v>1</v>
      </c>
      <c r="F74" s="26" t="n">
        <f aca="false">SUMIFS(SeatApproved,SeatDivision,"",SeatMandate,"Yes")</f>
        <v>0</v>
      </c>
      <c r="G74" s="29" t="n">
        <f aca="false">$E19</f>
        <v>0</v>
      </c>
      <c r="H74" s="29" t="n">
        <f aca="false">SUMIFS(OutCash,OutDivision,"")</f>
        <v>0</v>
      </c>
    </row>
  </sheetData>
  <sheetProtection sheet="true" sort="false" autoFilter="false"/>
  <mergeCells count="1">
    <mergeCell ref="A2:J2"/>
  </mergeCells>
  <conditionalFormatting sqref="F6:F10">
    <cfRule type="cellIs" priority="2" operator="lessThan" aboveAverage="0" equalAverage="0" bottom="0" percent="0" rank="0" text="" dxfId="15">
      <formula>0</formula>
    </cfRule>
  </conditionalFormatting>
  <conditionalFormatting sqref="E30:E32">
    <cfRule type="expression" priority="3" aboveAverage="0" equalAverage="0" bottom="0" percent="0" rank="0" text="" dxfId="1">
      <formula>OR($E30="Over envelope",$E30="Below target")</formula>
    </cfRule>
    <cfRule type="expression" priority="4" aboveAverage="0" equalAverage="0" bottom="0" percent="0" rank="0" text="" dxfId="0">
      <formula>OR($E30="Within envelope",$E30="At or above target")</formula>
    </cfRule>
  </conditionalFormatting>
  <conditionalFormatting sqref="E36:E39">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433</v>
      </c>
    </row>
    <row r="2" customFormat="false" ht="15" hidden="false" customHeight="false" outlineLevel="0" collapsed="false">
      <c r="A2" s="2" t="s">
        <v>434</v>
      </c>
      <c r="B2" s="2"/>
      <c r="C2" s="2"/>
      <c r="D2" s="2"/>
      <c r="E2" s="2"/>
      <c r="F2" s="2"/>
      <c r="G2" s="2"/>
      <c r="H2" s="2"/>
      <c r="I2" s="2"/>
      <c r="J2" s="2"/>
    </row>
    <row r="4" customFormat="false" ht="15" hidden="false" customHeight="false" outlineLevel="0" collapsed="false">
      <c r="A4" s="3" t="s">
        <v>435</v>
      </c>
    </row>
    <row r="5" customFormat="false" ht="27.75" hidden="false" customHeight="true" outlineLevel="0" collapsed="false">
      <c r="A5" s="12" t="s">
        <v>436</v>
      </c>
      <c r="B5" s="12" t="s">
        <v>437</v>
      </c>
      <c r="C5" s="12" t="s">
        <v>406</v>
      </c>
      <c r="D5" s="12" t="s">
        <v>438</v>
      </c>
    </row>
    <row r="6" customFormat="false" ht="25.5" hidden="false" customHeight="true" outlineLevel="0" collapsed="false">
      <c r="A6" s="9" t="s">
        <v>439</v>
      </c>
      <c r="B6" s="29" t="n">
        <f aca="false">COUNTIF(SeatProblem,"?*")</f>
        <v>228</v>
      </c>
      <c r="C6" s="42" t="str">
        <f aca="false">IF($B6=0,"OK","Fix")</f>
        <v>Fix</v>
      </c>
      <c r="D6" s="43" t="s">
        <v>440</v>
      </c>
    </row>
    <row r="7" customFormat="false" ht="25.5" hidden="false" customHeight="true" outlineLevel="0" collapsed="false">
      <c r="A7" s="9" t="s">
        <v>441</v>
      </c>
      <c r="B7" s="29" t="n">
        <f aca="false">SUMPRODUCT((SeatTitle&lt;&gt;"")*(SeatLevel=""))</f>
        <v>228</v>
      </c>
      <c r="C7" s="42" t="str">
        <f aca="false">IF($B7=0,"OK","Fix")</f>
        <v>Fix</v>
      </c>
      <c r="D7" s="43" t="s">
        <v>442</v>
      </c>
    </row>
    <row r="8" customFormat="false" ht="25.5" hidden="false" customHeight="true" outlineLevel="0" collapsed="false">
      <c r="A8" s="9" t="s">
        <v>443</v>
      </c>
      <c r="B8" s="29" t="n">
        <f aca="false">SUMPRODUCT((SeatTitle&lt;&gt;"")*(SeatDirection=""))</f>
        <v>228</v>
      </c>
      <c r="C8" s="42" t="str">
        <f aca="false">IF($B8=0,"OK","Fix")</f>
        <v>Fix</v>
      </c>
      <c r="D8" s="43" t="s">
        <v>444</v>
      </c>
    </row>
    <row r="9" customFormat="false" ht="25.5" hidden="false" customHeight="true" outlineLevel="0" collapsed="false">
      <c r="A9" s="9" t="s">
        <v>445</v>
      </c>
      <c r="B9" s="29" t="n">
        <f aca="false">SUMPRODUCT((SeatDirection="Reduce")*(N(SeatSlated)&lt;=0))</f>
        <v>0</v>
      </c>
      <c r="C9" s="42" t="str">
        <f aca="false">IF($B9=0,"OK","Fix")</f>
        <v>OK</v>
      </c>
      <c r="D9" s="43" t="s">
        <v>446</v>
      </c>
    </row>
    <row r="10" customFormat="false" ht="25.5" hidden="false" customHeight="true" outlineLevel="0" collapsed="false">
      <c r="A10" s="9" t="s">
        <v>447</v>
      </c>
      <c r="B10" s="29" t="n">
        <f aca="false">SUMPRODUCT((N(SeatSlated)&gt;0)*(SeatDirection&lt;&gt;"Reduce"))</f>
        <v>0</v>
      </c>
      <c r="C10" s="42" t="str">
        <f aca="false">IF($B10=0,"OK","Fix")</f>
        <v>OK</v>
      </c>
      <c r="D10" s="43" t="s">
        <v>448</v>
      </c>
    </row>
    <row r="11" customFormat="false" ht="25.5" hidden="false" customHeight="true" outlineLevel="0" collapsed="false">
      <c r="A11" s="9" t="s">
        <v>449</v>
      </c>
      <c r="B11" s="29" t="n">
        <f aca="false">SUMPRODUCT((N(SeatSlated)&gt;N(SeatApproved))*1)</f>
        <v>0</v>
      </c>
      <c r="C11" s="42" t="str">
        <f aca="false">IF($B11=0,"OK","Fix")</f>
        <v>OK</v>
      </c>
      <c r="D11" s="43" t="s">
        <v>450</v>
      </c>
    </row>
    <row r="12" customFormat="false" ht="25.5" hidden="false" customHeight="true" outlineLevel="0" collapsed="false">
      <c r="A12" s="9" t="s">
        <v>451</v>
      </c>
      <c r="B12" s="29" t="n">
        <f aca="false">COUNTIF(OutProblem,"?*")</f>
        <v>0</v>
      </c>
      <c r="C12" s="42" t="str">
        <f aca="false">IF($B12=0,"OK","Fix")</f>
        <v>OK</v>
      </c>
      <c r="D12" s="43" t="s">
        <v>452</v>
      </c>
    </row>
    <row r="13" customFormat="false" ht="25.5" hidden="false" customHeight="true" outlineLevel="0" collapsed="false">
      <c r="A13" s="9" t="s">
        <v>453</v>
      </c>
      <c r="B13" s="29" t="n">
        <f aca="false">SUMPRODUCT((OutDisposition="Surrender to fund new asks")*(COUNTIFS(OutUnit,OutUnit,OutTitle,OutTitle,OutDisposition,"Surrender to fund new asks")&gt;SUMIFS(SeatSlated,SeatUnit,OutUnit,SeatTitle,OutTitle)))</f>
        <v>0</v>
      </c>
      <c r="C13" s="42" t="str">
        <f aca="false">IF($B13=0,"OK","Fix")</f>
        <v>OK</v>
      </c>
      <c r="D13" s="43" t="s">
        <v>454</v>
      </c>
    </row>
    <row r="14" customFormat="false" ht="25.5" hidden="false" customHeight="true" outlineLevel="0" collapsed="false">
      <c r="A14" s="9" t="s">
        <v>455</v>
      </c>
      <c r="B14" s="29" t="n">
        <f aca="false">COUNTIF(AskProblem,"?*")</f>
        <v>0</v>
      </c>
      <c r="C14" s="42" t="str">
        <f aca="false">IF($B14=0,"OK","Fix")</f>
        <v>OK</v>
      </c>
      <c r="D14" s="43" t="s">
        <v>456</v>
      </c>
    </row>
    <row r="15" customFormat="false" ht="25.5" hidden="false" customHeight="true" outlineLevel="0" collapsed="false">
      <c r="A15" s="9" t="s">
        <v>457</v>
      </c>
      <c r="B15" s="29" t="n">
        <f aca="false">SUMPRODUCT((AskTitle&lt;&gt;"")*(N(AskTotal)&lt;=0))</f>
        <v>0</v>
      </c>
      <c r="C15" s="42" t="str">
        <f aca="false">IF($B15=0,"OK","Fix")</f>
        <v>OK</v>
      </c>
      <c r="D15" s="43" t="s">
        <v>458</v>
      </c>
    </row>
    <row r="16" customFormat="false" ht="25.5" hidden="false" customHeight="true" outlineLevel="0" collapsed="false">
      <c r="A16" s="9" t="s">
        <v>459</v>
      </c>
      <c r="B16" s="29" t="n">
        <f aca="false">SUMPRODUCT((AskUnit&lt;&gt;"")*(COUNTIF(UnitList,AskUnit)=0))</f>
        <v>0</v>
      </c>
      <c r="C16" s="42" t="str">
        <f aca="false">IF($B16=0,"OK","Fix")</f>
        <v>OK</v>
      </c>
      <c r="D16" s="43" t="s">
        <v>460</v>
      </c>
    </row>
    <row r="18" customFormat="false" ht="15" hidden="false" customHeight="false" outlineLevel="0" collapsed="false">
      <c r="A18" s="3" t="s">
        <v>461</v>
      </c>
    </row>
    <row r="19" customFormat="false" ht="27.75" hidden="false" customHeight="true" outlineLevel="0" collapsed="false">
      <c r="A19" s="12" t="s">
        <v>436</v>
      </c>
      <c r="B19" s="12" t="s">
        <v>437</v>
      </c>
      <c r="C19" s="12" t="s">
        <v>406</v>
      </c>
      <c r="D19" s="12" t="s">
        <v>438</v>
      </c>
    </row>
    <row r="20" customFormat="false" ht="25.5" hidden="false" customHeight="true" outlineLevel="0" collapsed="false">
      <c r="A20" s="9" t="s">
        <v>462</v>
      </c>
      <c r="B20" s="29" t="n">
        <f aca="false">IF(CostMine&gt;CostLimit,1,0)</f>
        <v>0</v>
      </c>
      <c r="C20" s="42" t="str">
        <f aca="false">IF($B20=0,"OK","Review")</f>
        <v>OK</v>
      </c>
      <c r="D20" s="43" t="s">
        <v>463</v>
      </c>
    </row>
    <row r="21" customFormat="false" ht="25.5" hidden="false" customHeight="true" outlineLevel="0" collapsed="false">
      <c r="A21" s="9" t="s">
        <v>464</v>
      </c>
      <c r="B21" s="29" t="n">
        <f aca="false">IF(HeadMine&gt;HeadLimit,1,0)</f>
        <v>0</v>
      </c>
      <c r="C21" s="42" t="str">
        <f aca="false">IF($B21=0,"OK","Review")</f>
        <v>OK</v>
      </c>
      <c r="D21" s="43" t="s">
        <v>465</v>
      </c>
    </row>
    <row r="22" customFormat="false" ht="25.5" hidden="false" customHeight="true" outlineLevel="0" collapsed="false">
      <c r="A22" s="9" t="s">
        <v>466</v>
      </c>
      <c r="B22" s="29" t="n">
        <f aca="false">IF(MandateMine&lt;MandateLimit,1,0)</f>
        <v>1</v>
      </c>
      <c r="C22" s="42" t="str">
        <f aca="false">IF($B22=0,"OK","Review")</f>
        <v>Review</v>
      </c>
      <c r="D22" s="43" t="s">
        <v>467</v>
      </c>
    </row>
    <row r="24" customFormat="false" ht="15" hidden="false" customHeight="false" outlineLevel="0" collapsed="false">
      <c r="A24" s="3" t="s">
        <v>468</v>
      </c>
      <c r="D24" s="28" t="s">
        <v>469</v>
      </c>
    </row>
    <row r="25" customFormat="false" ht="27.75" hidden="false" customHeight="true" outlineLevel="0" collapsed="false">
      <c r="A25" s="12" t="s">
        <v>470</v>
      </c>
      <c r="B25" s="12" t="s">
        <v>50</v>
      </c>
      <c r="C25" s="12" t="s">
        <v>363</v>
      </c>
      <c r="D25" s="12" t="s">
        <v>471</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472</v>
      </c>
    </row>
    <row r="48" customFormat="false" ht="15" hidden="false" customHeight="false" outlineLevel="0" collapsed="false">
      <c r="A48" s="6" t="s">
        <v>473</v>
      </c>
      <c r="B48" s="45" t="str">
        <f aca="false">IF(SUM($B$6:$B$16)=0,"Yes","No")</f>
        <v>No</v>
      </c>
      <c r="C48" s="30" t="s">
        <v>474</v>
      </c>
    </row>
    <row r="49" customFormat="false" ht="15" hidden="false" customHeight="false" outlineLevel="0" collapsed="false">
      <c r="A49" s="6" t="s">
        <v>475</v>
      </c>
      <c r="B49" s="21"/>
    </row>
    <row r="50" customFormat="false" ht="15" hidden="false" customHeight="false" outlineLevel="0" collapsed="false">
      <c r="A50" s="6" t="s">
        <v>476</v>
      </c>
      <c r="B50" s="21"/>
    </row>
    <row r="51" customFormat="false" ht="15" hidden="false" customHeight="false" outlineLevel="0" collapsed="false">
      <c r="A51" s="6" t="s">
        <v>477</v>
      </c>
      <c r="B51" s="21"/>
    </row>
    <row r="52" customFormat="false" ht="15" hidden="false" customHeight="false" outlineLevel="0" collapsed="false">
      <c r="A52" s="3" t="s">
        <v>478</v>
      </c>
      <c r="B52" s="46" t="s">
        <v>479</v>
      </c>
      <c r="C52" s="30" t="s">
        <v>480</v>
      </c>
    </row>
    <row r="54" customFormat="false" ht="25.5" hidden="false" customHeight="true" outlineLevel="0" collapsed="false">
      <c r="A54" s="11" t="s">
        <v>481</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482</v>
      </c>
      <c r="B2" s="2"/>
      <c r="C2" s="2"/>
      <c r="D2" s="2"/>
      <c r="E2" s="2"/>
      <c r="F2" s="2"/>
      <c r="G2" s="2"/>
      <c r="H2" s="2"/>
      <c r="I2" s="2"/>
      <c r="J2" s="2"/>
    </row>
    <row r="4" customFormat="false" ht="30" hidden="false" customHeight="true" outlineLevel="0" collapsed="false">
      <c r="A4" s="12" t="s">
        <v>483</v>
      </c>
      <c r="B4" s="12" t="s">
        <v>484</v>
      </c>
    </row>
    <row r="5" customFormat="false" ht="27.75" hidden="false" customHeight="true" outlineLevel="0" collapsed="false">
      <c r="A5" s="47" t="s">
        <v>485</v>
      </c>
      <c r="B5" s="48" t="s">
        <v>486</v>
      </c>
    </row>
    <row r="6" customFormat="false" ht="27.75" hidden="false" customHeight="true" outlineLevel="0" collapsed="false">
      <c r="A6" s="47" t="s">
        <v>205</v>
      </c>
      <c r="B6" s="48" t="s">
        <v>487</v>
      </c>
    </row>
    <row r="7" customFormat="false" ht="27.75" hidden="false" customHeight="true" outlineLevel="0" collapsed="false">
      <c r="A7" s="47" t="s">
        <v>488</v>
      </c>
      <c r="B7" s="48" t="s">
        <v>489</v>
      </c>
    </row>
    <row r="8" customFormat="false" ht="27.75" hidden="false" customHeight="true" outlineLevel="0" collapsed="false">
      <c r="A8" s="47" t="s">
        <v>490</v>
      </c>
      <c r="B8" s="48" t="s">
        <v>491</v>
      </c>
    </row>
    <row r="9" customFormat="false" ht="27.75" hidden="false" customHeight="true" outlineLevel="0" collapsed="false">
      <c r="A9" s="47" t="s">
        <v>492</v>
      </c>
      <c r="B9" s="48" t="s">
        <v>493</v>
      </c>
    </row>
    <row r="10" customFormat="false" ht="27.75" hidden="false" customHeight="true" outlineLevel="0" collapsed="false">
      <c r="A10" s="47" t="s">
        <v>206</v>
      </c>
      <c r="B10" s="48" t="s">
        <v>494</v>
      </c>
    </row>
    <row r="11" customFormat="false" ht="27.75" hidden="false" customHeight="true" outlineLevel="0" collapsed="false">
      <c r="A11" s="47" t="s">
        <v>495</v>
      </c>
      <c r="B11" s="48" t="s">
        <v>496</v>
      </c>
    </row>
    <row r="12" customFormat="false" ht="27.75" hidden="false" customHeight="true" outlineLevel="0" collapsed="false">
      <c r="A12" s="47" t="s">
        <v>497</v>
      </c>
      <c r="B12" s="48" t="s">
        <v>498</v>
      </c>
    </row>
    <row r="13" customFormat="false" ht="27.75" hidden="false" customHeight="true" outlineLevel="0" collapsed="false">
      <c r="A13" s="47" t="s">
        <v>499</v>
      </c>
      <c r="B13" s="48" t="s">
        <v>500</v>
      </c>
    </row>
    <row r="14" customFormat="false" ht="27.75" hidden="false" customHeight="true" outlineLevel="0" collapsed="false">
      <c r="A14" s="47" t="s">
        <v>501</v>
      </c>
      <c r="B14" s="48" t="s">
        <v>502</v>
      </c>
    </row>
    <row r="15" customFormat="false" ht="27.75" hidden="false" customHeight="true" outlineLevel="0" collapsed="false">
      <c r="A15" s="47" t="s">
        <v>24</v>
      </c>
      <c r="B15" s="48" t="s">
        <v>503</v>
      </c>
    </row>
    <row r="16" customFormat="false" ht="27.75" hidden="false" customHeight="true" outlineLevel="0" collapsed="false">
      <c r="A16" s="47" t="s">
        <v>360</v>
      </c>
      <c r="B16" s="48" t="s">
        <v>504</v>
      </c>
    </row>
    <row r="17" customFormat="false" ht="27.75" hidden="false" customHeight="true" outlineLevel="0" collapsed="false">
      <c r="A17" s="47" t="s">
        <v>505</v>
      </c>
      <c r="B17" s="48" t="s">
        <v>506</v>
      </c>
    </row>
    <row r="18" customFormat="false" ht="27.75" hidden="false" customHeight="true" outlineLevel="0" collapsed="false">
      <c r="A18" s="47" t="s">
        <v>507</v>
      </c>
      <c r="B18" s="48" t="s">
        <v>508</v>
      </c>
    </row>
    <row r="19" customFormat="false" ht="27.75" hidden="false" customHeight="true" outlineLevel="0" collapsed="false">
      <c r="A19" s="47" t="s">
        <v>509</v>
      </c>
      <c r="B19" s="48" t="s">
        <v>510</v>
      </c>
    </row>
    <row r="20" customFormat="false" ht="27.75" hidden="false" customHeight="true" outlineLevel="0" collapsed="false">
      <c r="A20" s="47" t="s">
        <v>416</v>
      </c>
      <c r="B20" s="48" t="s">
        <v>511</v>
      </c>
    </row>
    <row r="21" customFormat="false" ht="27.75" hidden="false" customHeight="true" outlineLevel="0" collapsed="false">
      <c r="A21" s="47" t="s">
        <v>512</v>
      </c>
      <c r="B21" s="48" t="s">
        <v>513</v>
      </c>
    </row>
    <row r="22" customFormat="false" ht="27.75" hidden="false" customHeight="true" outlineLevel="0" collapsed="false">
      <c r="A22" s="47" t="s">
        <v>514</v>
      </c>
      <c r="B22" s="48" t="s">
        <v>515</v>
      </c>
    </row>
    <row r="23" customFormat="false" ht="27.75" hidden="false" customHeight="true" outlineLevel="0" collapsed="false">
      <c r="A23" s="47" t="s">
        <v>516</v>
      </c>
      <c r="B23" s="48" t="s">
        <v>517</v>
      </c>
    </row>
    <row r="24" customFormat="false" ht="27.75" hidden="false" customHeight="true" outlineLevel="0" collapsed="false">
      <c r="A24" s="47" t="s">
        <v>518</v>
      </c>
      <c r="B24" s="48" t="s">
        <v>519</v>
      </c>
    </row>
    <row r="25" customFormat="false" ht="27.75" hidden="false" customHeight="true" outlineLevel="0" collapsed="false">
      <c r="A25" s="47" t="s">
        <v>415</v>
      </c>
      <c r="B25" s="48" t="s">
        <v>520</v>
      </c>
    </row>
    <row r="26" customFormat="false" ht="27.75" hidden="false" customHeight="true" outlineLevel="0" collapsed="false">
      <c r="A26" s="47" t="s">
        <v>30</v>
      </c>
      <c r="B26" s="48" t="s">
        <v>521</v>
      </c>
    </row>
    <row r="27" customFormat="false" ht="27.75" hidden="false" customHeight="true" outlineLevel="0" collapsed="false">
      <c r="A27" s="47" t="s">
        <v>522</v>
      </c>
      <c r="B27" s="48" t="s">
        <v>523</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524</v>
      </c>
    </row>
    <row r="2" customFormat="false" ht="15" hidden="false" customHeight="false" outlineLevel="0" collapsed="false">
      <c r="A2" s="2" t="s">
        <v>525</v>
      </c>
      <c r="B2" s="2"/>
      <c r="C2" s="2"/>
      <c r="D2" s="2"/>
      <c r="E2" s="2"/>
      <c r="F2" s="2"/>
      <c r="G2" s="2"/>
      <c r="H2" s="2"/>
      <c r="I2" s="2"/>
      <c r="J2" s="2"/>
    </row>
    <row r="4" customFormat="false" ht="15" hidden="false" customHeight="false" outlineLevel="0" collapsed="false">
      <c r="A4" s="3" t="s">
        <v>526</v>
      </c>
    </row>
    <row r="5" customFormat="false" ht="15" hidden="false" customHeight="false" outlineLevel="0" collapsed="false">
      <c r="A5" s="6" t="s">
        <v>527</v>
      </c>
      <c r="B5" s="49" t="n">
        <v>2027</v>
      </c>
    </row>
    <row r="6" customFormat="false" ht="15" hidden="false" customHeight="false" outlineLevel="0" collapsed="false">
      <c r="A6" s="6" t="s">
        <v>528</v>
      </c>
      <c r="B6" s="49" t="n">
        <v>2026</v>
      </c>
    </row>
    <row r="7" customFormat="false" ht="15" hidden="false" customHeight="false" outlineLevel="0" collapsed="false">
      <c r="A7" s="6" t="s">
        <v>529</v>
      </c>
      <c r="B7" s="50" t="n">
        <v>0.09</v>
      </c>
    </row>
    <row r="8" customFormat="false" ht="15" hidden="false" customHeight="false" outlineLevel="0" collapsed="false">
      <c r="A8" s="6" t="s">
        <v>530</v>
      </c>
      <c r="B8" s="50" t="n">
        <v>0.03</v>
      </c>
    </row>
    <row r="9" customFormat="false" ht="15" hidden="false" customHeight="false" outlineLevel="0" collapsed="false">
      <c r="A9" s="6" t="s">
        <v>531</v>
      </c>
      <c r="B9" s="50" t="n">
        <v>0.04</v>
      </c>
    </row>
    <row r="10" customFormat="false" ht="15" hidden="false" customHeight="false" outlineLevel="0" collapsed="false">
      <c r="A10" s="6" t="s">
        <v>532</v>
      </c>
      <c r="B10" s="50" t="n">
        <v>0.1175</v>
      </c>
    </row>
    <row r="11" customFormat="false" ht="15" hidden="false" customHeight="false" outlineLevel="0" collapsed="false">
      <c r="A11" s="6" t="s">
        <v>533</v>
      </c>
      <c r="B11" s="50" t="n">
        <v>0.02</v>
      </c>
    </row>
    <row r="12" customFormat="false" ht="15" hidden="false" customHeight="false" outlineLevel="0" collapsed="false">
      <c r="A12" s="6" t="s">
        <v>59</v>
      </c>
      <c r="B12" s="49" t="s">
        <v>60</v>
      </c>
    </row>
    <row r="14" customFormat="false" ht="15" hidden="false" customHeight="false" outlineLevel="0" collapsed="false">
      <c r="A14" s="3" t="s">
        <v>534</v>
      </c>
    </row>
    <row r="15" customFormat="false" ht="15" hidden="false" customHeight="false" outlineLevel="0" collapsed="false">
      <c r="A15" s="6" t="s">
        <v>535</v>
      </c>
      <c r="B15" s="51" t="n">
        <v>4447</v>
      </c>
      <c r="C15" s="30" t="s">
        <v>536</v>
      </c>
    </row>
    <row r="16" customFormat="false" ht="15" hidden="false" customHeight="false" outlineLevel="0" collapsed="false">
      <c r="A16" s="6" t="s">
        <v>537</v>
      </c>
      <c r="B16" s="51" t="n">
        <v>16</v>
      </c>
      <c r="C16" s="30" t="s">
        <v>538</v>
      </c>
    </row>
    <row r="17" customFormat="false" ht="15" hidden="false" customHeight="false" outlineLevel="0" collapsed="false">
      <c r="A17" s="6" t="s">
        <v>539</v>
      </c>
      <c r="B17" s="50" t="n">
        <v>0.64</v>
      </c>
      <c r="C17" s="30" t="s">
        <v>540</v>
      </c>
    </row>
    <row r="19" customFormat="false" ht="15" hidden="false" customHeight="false" outlineLevel="0" collapsed="false">
      <c r="A19" s="3" t="s">
        <v>541</v>
      </c>
      <c r="G19" s="28" t="s">
        <v>542</v>
      </c>
    </row>
    <row r="20" customFormat="false" ht="30" hidden="false" customHeight="true" outlineLevel="0" collapsed="false">
      <c r="A20" s="12" t="s">
        <v>490</v>
      </c>
      <c r="B20" s="12" t="s">
        <v>543</v>
      </c>
      <c r="C20" s="12" t="s">
        <v>544</v>
      </c>
      <c r="D20" s="12" t="s">
        <v>545</v>
      </c>
      <c r="E20" s="12" t="s">
        <v>546</v>
      </c>
      <c r="F20" s="12" t="s">
        <v>547</v>
      </c>
      <c r="G20" s="12" t="s">
        <v>548</v>
      </c>
    </row>
    <row r="21" customFormat="false" ht="15" hidden="false" customHeight="false" outlineLevel="0" collapsed="false">
      <c r="A21" s="0" t="s">
        <v>211</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549</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220</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223</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550</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551</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552</v>
      </c>
    </row>
    <row r="29" customFormat="false" ht="30" hidden="false" customHeight="true" outlineLevel="0" collapsed="false">
      <c r="A29" s="12" t="s">
        <v>30</v>
      </c>
      <c r="B29" s="12" t="s">
        <v>381</v>
      </c>
      <c r="C29" s="12" t="s">
        <v>553</v>
      </c>
    </row>
    <row r="30" customFormat="false" ht="15" hidden="false" customHeight="false" outlineLevel="0" collapsed="false">
      <c r="A30" s="0" t="s">
        <v>554</v>
      </c>
      <c r="B30" s="0" t="s">
        <v>555</v>
      </c>
      <c r="C30" s="0" t="n">
        <v>1</v>
      </c>
    </row>
    <row r="31" customFormat="false" ht="15" hidden="false" customHeight="false" outlineLevel="0" collapsed="false">
      <c r="A31" s="0" t="s">
        <v>556</v>
      </c>
      <c r="B31" s="0" t="s">
        <v>555</v>
      </c>
      <c r="C31" s="0" t="n">
        <v>1</v>
      </c>
    </row>
    <row r="32" customFormat="false" ht="15" hidden="false" customHeight="false" outlineLevel="0" collapsed="false">
      <c r="A32" s="0" t="s">
        <v>557</v>
      </c>
      <c r="B32" s="0" t="s">
        <v>555</v>
      </c>
      <c r="C32" s="0" t="n">
        <v>1</v>
      </c>
    </row>
    <row r="33" customFormat="false" ht="15" hidden="false" customHeight="false" outlineLevel="0" collapsed="false">
      <c r="A33" s="0" t="s">
        <v>558</v>
      </c>
      <c r="B33" s="0" t="s">
        <v>555</v>
      </c>
      <c r="C33" s="0" t="n">
        <v>1</v>
      </c>
    </row>
    <row r="34" customFormat="false" ht="15" hidden="false" customHeight="false" outlineLevel="0" collapsed="false">
      <c r="A34" s="0" t="s">
        <v>559</v>
      </c>
      <c r="B34" s="0" t="s">
        <v>560</v>
      </c>
      <c r="C34" s="0" t="n">
        <v>2</v>
      </c>
    </row>
    <row r="35" customFormat="false" ht="15" hidden="false" customHeight="false" outlineLevel="0" collapsed="false">
      <c r="A35" s="0" t="s">
        <v>561</v>
      </c>
      <c r="B35" s="0" t="s">
        <v>560</v>
      </c>
      <c r="C35" s="0" t="n">
        <v>2</v>
      </c>
    </row>
    <row r="36" customFormat="false" ht="15" hidden="false" customHeight="false" outlineLevel="0" collapsed="false">
      <c r="A36" s="0" t="s">
        <v>562</v>
      </c>
      <c r="B36" s="0" t="s">
        <v>560</v>
      </c>
      <c r="C36" s="0" t="n">
        <v>2</v>
      </c>
    </row>
    <row r="37" customFormat="false" ht="15" hidden="false" customHeight="false" outlineLevel="0" collapsed="false">
      <c r="A37" s="0" t="s">
        <v>563</v>
      </c>
      <c r="B37" s="0" t="s">
        <v>560</v>
      </c>
      <c r="C37" s="0" t="n">
        <v>2</v>
      </c>
    </row>
    <row r="38" customFormat="false" ht="15" hidden="false" customHeight="false" outlineLevel="0" collapsed="false">
      <c r="A38" s="0" t="s">
        <v>564</v>
      </c>
      <c r="B38" s="0" t="s">
        <v>560</v>
      </c>
      <c r="C38" s="0" t="n">
        <v>2</v>
      </c>
    </row>
    <row r="39" customFormat="false" ht="15" hidden="false" customHeight="false" outlineLevel="0" collapsed="false">
      <c r="A39" s="0" t="s">
        <v>565</v>
      </c>
      <c r="B39" s="0" t="s">
        <v>566</v>
      </c>
      <c r="C39" s="0" t="n">
        <v>3</v>
      </c>
    </row>
    <row r="40" customFormat="false" ht="15" hidden="false" customHeight="false" outlineLevel="0" collapsed="false">
      <c r="A40" s="0" t="s">
        <v>567</v>
      </c>
      <c r="B40" s="0" t="s">
        <v>566</v>
      </c>
      <c r="C40" s="0" t="n">
        <v>3</v>
      </c>
    </row>
    <row r="41" customFormat="false" ht="15" hidden="false" customHeight="false" outlineLevel="0" collapsed="false">
      <c r="A41" s="0" t="s">
        <v>568</v>
      </c>
      <c r="B41" s="0" t="s">
        <v>566</v>
      </c>
      <c r="C41" s="0" t="n">
        <v>3</v>
      </c>
    </row>
    <row r="42" customFormat="false" ht="15" hidden="false" customHeight="false" outlineLevel="0" collapsed="false">
      <c r="A42" s="0" t="s">
        <v>569</v>
      </c>
      <c r="B42" s="0" t="s">
        <v>570</v>
      </c>
      <c r="C42" s="0" t="n">
        <v>4</v>
      </c>
    </row>
    <row r="43" customFormat="false" ht="15" hidden="false" customHeight="false" outlineLevel="0" collapsed="false">
      <c r="A43" s="0" t="s">
        <v>571</v>
      </c>
      <c r="B43" s="0" t="s">
        <v>570</v>
      </c>
      <c r="C43" s="0" t="n">
        <v>4</v>
      </c>
    </row>
    <row r="44" customFormat="false" ht="15" hidden="false" customHeight="false" outlineLevel="0" collapsed="false">
      <c r="A44" s="0" t="s">
        <v>572</v>
      </c>
      <c r="B44" s="0" t="s">
        <v>570</v>
      </c>
      <c r="C44" s="0" t="n">
        <v>4</v>
      </c>
    </row>
    <row r="45" customFormat="false" ht="15" hidden="false" customHeight="false" outlineLevel="0" collapsed="false">
      <c r="A45" s="0" t="s">
        <v>573</v>
      </c>
      <c r="B45" s="0" t="s">
        <v>570</v>
      </c>
      <c r="C45" s="0" t="n">
        <v>4</v>
      </c>
    </row>
    <row r="46" customFormat="false" ht="15" hidden="false" customHeight="false" outlineLevel="0" collapsed="false">
      <c r="A46" s="0" t="s">
        <v>574</v>
      </c>
      <c r="B46" s="0" t="s">
        <v>570</v>
      </c>
      <c r="C46" s="0" t="n">
        <v>4</v>
      </c>
    </row>
    <row r="47" customFormat="false" ht="15" hidden="false" customHeight="false" outlineLevel="0" collapsed="false">
      <c r="A47" s="0" t="s">
        <v>575</v>
      </c>
      <c r="B47" s="0" t="s">
        <v>570</v>
      </c>
      <c r="C47" s="0" t="n">
        <v>4</v>
      </c>
    </row>
    <row r="48" customFormat="false" ht="15" hidden="false" customHeight="false" outlineLevel="0" collapsed="false">
      <c r="A48" s="0" t="s">
        <v>576</v>
      </c>
      <c r="B48" s="0" t="s">
        <v>570</v>
      </c>
      <c r="C48" s="0" t="n">
        <v>4</v>
      </c>
    </row>
    <row r="50" customFormat="false" ht="15" hidden="false" customHeight="false" outlineLevel="0" collapsed="false">
      <c r="A50" s="6" t="s">
        <v>577</v>
      </c>
      <c r="C50" s="6" t="s">
        <v>578</v>
      </c>
      <c r="E50" s="6" t="s">
        <v>579</v>
      </c>
      <c r="G50" s="6" t="s">
        <v>580</v>
      </c>
      <c r="I50" s="6" t="s">
        <v>581</v>
      </c>
      <c r="K50" s="6" t="s">
        <v>582</v>
      </c>
      <c r="M50" s="6" t="s">
        <v>381</v>
      </c>
      <c r="O50" s="6" t="s">
        <v>583</v>
      </c>
      <c r="Q50" s="6" t="s">
        <v>584</v>
      </c>
      <c r="S50" s="6" t="s">
        <v>585</v>
      </c>
      <c r="U50" s="6" t="s">
        <v>586</v>
      </c>
      <c r="W50" s="6" t="s">
        <v>587</v>
      </c>
    </row>
    <row r="51" customFormat="false" ht="15" hidden="false" customHeight="false" outlineLevel="0" collapsed="false">
      <c r="A51" s="0" t="s">
        <v>377</v>
      </c>
      <c r="C51" s="0" t="s">
        <v>212</v>
      </c>
      <c r="E51" s="0" t="s">
        <v>497</v>
      </c>
      <c r="G51" s="0" t="s">
        <v>588</v>
      </c>
      <c r="I51" s="0" t="s">
        <v>505</v>
      </c>
      <c r="K51" s="0" t="s">
        <v>59</v>
      </c>
      <c r="M51" s="0" t="s">
        <v>555</v>
      </c>
      <c r="O51" s="0" t="s">
        <v>589</v>
      </c>
      <c r="Q51" s="0" t="s">
        <v>211</v>
      </c>
      <c r="S51" s="0" t="s">
        <v>211</v>
      </c>
      <c r="U51" s="0" t="s">
        <v>63</v>
      </c>
      <c r="W51" s="0" t="s">
        <v>66</v>
      </c>
    </row>
    <row r="52" customFormat="false" ht="15" hidden="false" customHeight="false" outlineLevel="0" collapsed="false">
      <c r="A52" s="0" t="s">
        <v>378</v>
      </c>
      <c r="C52" s="0" t="s">
        <v>245</v>
      </c>
      <c r="E52" s="0" t="s">
        <v>499</v>
      </c>
      <c r="G52" s="0" t="s">
        <v>590</v>
      </c>
      <c r="I52" s="0" t="s">
        <v>507</v>
      </c>
      <c r="K52" s="0" t="s">
        <v>61</v>
      </c>
      <c r="M52" s="0" t="s">
        <v>560</v>
      </c>
      <c r="O52" s="0" t="s">
        <v>591</v>
      </c>
      <c r="Q52" s="0" t="s">
        <v>549</v>
      </c>
      <c r="S52" s="0" t="s">
        <v>215</v>
      </c>
      <c r="U52" s="0" t="s">
        <v>109</v>
      </c>
      <c r="W52" s="0" t="s">
        <v>68</v>
      </c>
    </row>
    <row r="53" customFormat="false" ht="15" hidden="false" customHeight="false" outlineLevel="0" collapsed="false">
      <c r="A53" s="0" t="s">
        <v>379</v>
      </c>
      <c r="C53" s="0" t="s">
        <v>592</v>
      </c>
      <c r="E53" s="0" t="s">
        <v>501</v>
      </c>
      <c r="G53" s="0" t="s">
        <v>593</v>
      </c>
      <c r="I53" s="0" t="s">
        <v>509</v>
      </c>
      <c r="K53" s="0" t="s">
        <v>64</v>
      </c>
      <c r="M53" s="0" t="s">
        <v>566</v>
      </c>
      <c r="Q53" s="0" t="s">
        <v>220</v>
      </c>
      <c r="S53" s="0" t="s">
        <v>220</v>
      </c>
      <c r="U53" s="0" t="s">
        <v>139</v>
      </c>
      <c r="W53" s="0" t="s">
        <v>71</v>
      </c>
    </row>
    <row r="54" customFormat="false" ht="15" hidden="false" customHeight="false" outlineLevel="0" collapsed="false">
      <c r="A54" s="0" t="s">
        <v>380</v>
      </c>
      <c r="G54" s="0" t="s">
        <v>594</v>
      </c>
      <c r="K54" s="0" t="s">
        <v>50</v>
      </c>
      <c r="M54" s="0" t="s">
        <v>570</v>
      </c>
      <c r="Q54" s="0" t="s">
        <v>223</v>
      </c>
      <c r="S54" s="0" t="s">
        <v>223</v>
      </c>
      <c r="U54" s="0" t="s">
        <v>169</v>
      </c>
      <c r="W54" s="0" t="s">
        <v>73</v>
      </c>
    </row>
    <row r="55" customFormat="false" ht="15" hidden="false" customHeight="false" outlineLevel="0" collapsed="false">
      <c r="G55" s="0" t="s">
        <v>576</v>
      </c>
      <c r="K55" s="0" t="s">
        <v>69</v>
      </c>
      <c r="Q55" s="0" t="s">
        <v>550</v>
      </c>
      <c r="W55" s="0" t="s">
        <v>75</v>
      </c>
    </row>
    <row r="56" customFormat="false" ht="15" hidden="false" customHeight="false" outlineLevel="0" collapsed="false">
      <c r="K56" s="0" t="s">
        <v>595</v>
      </c>
      <c r="Q56" s="0" t="s">
        <v>551</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95</v>
      </c>
    </row>
    <row r="66" customFormat="false" ht="15" hidden="false" customHeight="false" outlineLevel="0" collapsed="false">
      <c r="W66" s="0" t="s">
        <v>97</v>
      </c>
    </row>
    <row r="67" customFormat="false" ht="15" hidden="false" customHeight="false" outlineLevel="0" collapsed="false">
      <c r="W67" s="0" t="s">
        <v>99</v>
      </c>
    </row>
    <row r="68" customFormat="false" ht="15" hidden="false" customHeight="false" outlineLevel="0" collapsed="false">
      <c r="W68" s="0" t="s">
        <v>101</v>
      </c>
    </row>
    <row r="69" customFormat="false" ht="15" hidden="false" customHeight="false" outlineLevel="0" collapsed="false">
      <c r="W69" s="0" t="s">
        <v>103</v>
      </c>
    </row>
    <row r="70" customFormat="false" ht="15" hidden="false" customHeight="false" outlineLevel="0" collapsed="false">
      <c r="W70" s="0" t="s">
        <v>105</v>
      </c>
    </row>
    <row r="71" customFormat="false" ht="15" hidden="false" customHeight="false" outlineLevel="0" collapsed="false">
      <c r="W71" s="0" t="s">
        <v>107</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79" customFormat="false" ht="15" hidden="false" customHeight="false" outlineLevel="0" collapsed="false">
      <c r="W79" s="0" t="s">
        <v>125</v>
      </c>
    </row>
    <row r="80" customFormat="false" ht="15" hidden="false" customHeight="false" outlineLevel="0" collapsed="false">
      <c r="W80" s="0" t="s">
        <v>127</v>
      </c>
    </row>
    <row r="81" customFormat="false" ht="15" hidden="false" customHeight="false" outlineLevel="0" collapsed="false">
      <c r="W81" s="0" t="s">
        <v>129</v>
      </c>
    </row>
    <row r="82" customFormat="false" ht="15" hidden="false" customHeight="false" outlineLevel="0" collapsed="false">
      <c r="W82" s="0" t="s">
        <v>131</v>
      </c>
    </row>
    <row r="83" customFormat="false" ht="15" hidden="false" customHeight="false" outlineLevel="0" collapsed="false">
      <c r="W83" s="0" t="s">
        <v>133</v>
      </c>
    </row>
    <row r="84" customFormat="false" ht="15" hidden="false" customHeight="false" outlineLevel="0" collapsed="false">
      <c r="W84" s="0" t="s">
        <v>135</v>
      </c>
    </row>
    <row r="85" customFormat="false" ht="15" hidden="false" customHeight="false" outlineLevel="0" collapsed="false">
      <c r="W85" s="0" t="s">
        <v>137</v>
      </c>
    </row>
    <row r="86" customFormat="false" ht="15" hidden="false" customHeight="false" outlineLevel="0" collapsed="false">
      <c r="W86" s="0" t="s">
        <v>141</v>
      </c>
    </row>
    <row r="87" customFormat="false" ht="15" hidden="false" customHeight="false" outlineLevel="0" collapsed="false">
      <c r="W87" s="0" t="s">
        <v>143</v>
      </c>
    </row>
    <row r="88" customFormat="false" ht="15" hidden="false" customHeight="false" outlineLevel="0" collapsed="false">
      <c r="W88" s="0" t="s">
        <v>145</v>
      </c>
    </row>
    <row r="89" customFormat="false" ht="15" hidden="false" customHeight="false" outlineLevel="0" collapsed="false">
      <c r="W89" s="0" t="s">
        <v>147</v>
      </c>
    </row>
    <row r="90" customFormat="false" ht="15" hidden="false" customHeight="false" outlineLevel="0" collapsed="false">
      <c r="W90" s="0" t="s">
        <v>149</v>
      </c>
    </row>
    <row r="91" customFormat="false" ht="15" hidden="false" customHeight="false" outlineLevel="0" collapsed="false">
      <c r="W91" s="0" t="s">
        <v>151</v>
      </c>
    </row>
    <row r="92" customFormat="false" ht="15" hidden="false" customHeight="false" outlineLevel="0" collapsed="false">
      <c r="W92" s="0" t="s">
        <v>153</v>
      </c>
    </row>
    <row r="93" customFormat="false" ht="15" hidden="false" customHeight="false" outlineLevel="0" collapsed="false">
      <c r="W93" s="0" t="s">
        <v>155</v>
      </c>
    </row>
    <row r="94" customFormat="false" ht="15" hidden="false" customHeight="false" outlineLevel="0" collapsed="false">
      <c r="W94" s="0" t="s">
        <v>157</v>
      </c>
    </row>
    <row r="95" customFormat="false" ht="15" hidden="false" customHeight="false" outlineLevel="0" collapsed="false">
      <c r="W95" s="0" t="s">
        <v>159</v>
      </c>
    </row>
    <row r="96" customFormat="false" ht="15" hidden="false" customHeight="false" outlineLevel="0" collapsed="false">
      <c r="W96" s="0" t="s">
        <v>161</v>
      </c>
    </row>
    <row r="97" customFormat="false" ht="15" hidden="false" customHeight="false" outlineLevel="0" collapsed="false">
      <c r="W97" s="0" t="s">
        <v>163</v>
      </c>
    </row>
    <row r="98" customFormat="false" ht="15" hidden="false" customHeight="false" outlineLevel="0" collapsed="false">
      <c r="W98" s="0" t="s">
        <v>165</v>
      </c>
    </row>
    <row r="99" customFormat="false" ht="15" hidden="false" customHeight="false" outlineLevel="0" collapsed="false">
      <c r="W99" s="0" t="s">
        <v>167</v>
      </c>
    </row>
    <row r="100" customFormat="false" ht="15" hidden="false" customHeight="false" outlineLevel="0" collapsed="false">
      <c r="W100" s="0" t="s">
        <v>171</v>
      </c>
    </row>
    <row r="101" customFormat="false" ht="15" hidden="false" customHeight="false" outlineLevel="0" collapsed="false">
      <c r="W101" s="0" t="s">
        <v>173</v>
      </c>
    </row>
    <row r="102" customFormat="false" ht="15" hidden="false" customHeight="false" outlineLevel="0" collapsed="false">
      <c r="W102" s="0" t="s">
        <v>175</v>
      </c>
    </row>
    <row r="103" customFormat="false" ht="15" hidden="false" customHeight="false" outlineLevel="0" collapsed="false">
      <c r="W103" s="0" t="s">
        <v>177</v>
      </c>
    </row>
    <row r="104" customFormat="false" ht="15" hidden="false" customHeight="false" outlineLevel="0" collapsed="false">
      <c r="W104" s="0" t="s">
        <v>179</v>
      </c>
    </row>
    <row r="105" customFormat="false" ht="15" hidden="false" customHeight="false" outlineLevel="0" collapsed="false">
      <c r="W105" s="0" t="s">
        <v>181</v>
      </c>
    </row>
    <row r="106" customFormat="false" ht="15" hidden="false" customHeight="false" outlineLevel="0" collapsed="false">
      <c r="W106" s="0" t="s">
        <v>183</v>
      </c>
    </row>
    <row r="107" customFormat="false" ht="15" hidden="false" customHeight="false" outlineLevel="0" collapsed="false">
      <c r="W107" s="0" t="s">
        <v>185</v>
      </c>
    </row>
    <row r="108" customFormat="false" ht="15" hidden="false" customHeight="false" outlineLevel="0" collapsed="false">
      <c r="W108" s="0" t="s">
        <v>187</v>
      </c>
    </row>
    <row r="109" customFormat="false" ht="15" hidden="false" customHeight="false" outlineLevel="0" collapsed="false">
      <c r="W109" s="0" t="s">
        <v>189</v>
      </c>
    </row>
    <row r="110" customFormat="false" ht="15" hidden="false" customHeight="false" outlineLevel="0" collapsed="false">
      <c r="W110" s="0" t="s">
        <v>191</v>
      </c>
    </row>
    <row r="111" customFormat="false" ht="15" hidden="false" customHeight="false" outlineLevel="0" collapsed="false">
      <c r="W111" s="0" t="s">
        <v>193</v>
      </c>
    </row>
    <row r="112" customFormat="false" ht="15" hidden="false" customHeight="false" outlineLevel="0" collapsed="false">
      <c r="W112" s="0" t="s">
        <v>195</v>
      </c>
    </row>
    <row r="113" customFormat="false" ht="15" hidden="false" customHeight="false" outlineLevel="0" collapsed="false">
      <c r="W113" s="0" t="s">
        <v>197</v>
      </c>
    </row>
    <row r="116" customFormat="false" ht="15" hidden="false" customHeight="false" outlineLevel="0" collapsed="false">
      <c r="A116" s="3" t="s">
        <v>596</v>
      </c>
    </row>
    <row r="117" customFormat="false" ht="15" hidden="false" customHeight="false" outlineLevel="0" collapsed="false">
      <c r="A117" s="6" t="s">
        <v>497</v>
      </c>
      <c r="B117" s="17" t="s">
        <v>597</v>
      </c>
    </row>
    <row r="118" customFormat="false" ht="15" hidden="false" customHeight="false" outlineLevel="0" collapsed="false">
      <c r="A118" s="6" t="s">
        <v>499</v>
      </c>
      <c r="B118" s="17" t="s">
        <v>500</v>
      </c>
    </row>
    <row r="119" customFormat="false" ht="15" hidden="false" customHeight="false" outlineLevel="0" collapsed="false">
      <c r="A119" s="6" t="s">
        <v>501</v>
      </c>
      <c r="B119" s="17" t="s">
        <v>598</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2026-09-07T13:45:50Z</dcterms:created>
  <dc:creator>Capacity exercise toolkit</dc:creator>
  <dc:description/>
  <dc:language>en-US</dc:language>
  <cp:lastModifiedBy/>
  <dcterms:modified xsi:type="dcterms:W3CDTF">2026-09-07T13:46:17Z</dcterms:modified>
  <cp:revision>1</cp:revision>
  <dc:subject/>
  <dc:title>2027 Capacity Exercise - Risk Group</dc:title>
</cp:coreProperties>
</file>

<file path=docProps/custom.xml><?xml version="1.0" encoding="utf-8"?>
<Properties xmlns="http://schemas.openxmlformats.org/officeDocument/2006/custom-properties" xmlns:vt="http://schemas.openxmlformats.org/officeDocument/2006/docPropsVTypes"/>
</file>