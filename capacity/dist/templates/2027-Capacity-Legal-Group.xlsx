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capacity'!$A$5:$Q$147</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position'!$B$26</definedName>
    <definedName function="false" hidden="false" name="CostMine" vbProcedure="false">'5. My position'!$C$26</definedName>
    <definedName function="false" hidden="false" name="DirectionList" vbProcedure="false">Ref!$E$51:$E$53</definedName>
    <definedName function="false" hidden="false" name="DispositionList" vbProcedure="false">Ref!$I$51:$I$53</definedName>
    <definedName function="false" hidden="false" name="DivisionList" vbProcedure="false">Ref!$U$51:$U$52</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position'!$B$27</definedName>
    <definedName function="false" hidden="false" name="HeadMine" vbProcedure="false">'5. My position'!$C$27</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position'!$B$28</definedName>
    <definedName function="false" hidden="false" name="MandateMine" vbProcedure="false">'5. My position'!$C$28</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capacity'!$J$6:$J$147</definedName>
    <definedName function="false" hidden="false" name="SeatDepartment" vbProcedure="false">'2. Current capacity'!$C$6:$C$147</definedName>
    <definedName function="false" hidden="false" name="SeatDirection" vbProcedure="false">'2. Current capacity'!$N$6:$N$147</definedName>
    <definedName function="false" hidden="false" name="SeatDivision" vbProcedure="false">'2. Current capacity'!$B$6:$B$147</definedName>
    <definedName function="false" hidden="false" name="SeatExits" vbProcedure="false">'2. Current capacity'!$P$6:$P$147</definedName>
    <definedName function="false" hidden="false" name="SeatFilled" vbProcedure="false">'2. Current capacity'!$K$6:$K$147</definedName>
    <definedName function="false" hidden="false" name="SeatLevel" vbProcedure="false">'2. Current capacity'!$G$6:$G$147</definedName>
    <definedName function="false" hidden="false" name="SeatMandate" vbProcedure="false">'2. Current capacity'!$I$6:$I$147</definedName>
    <definedName function="false" hidden="false" name="SeatProblem" vbProcedure="false">'2. Current capacity'!$Q$6:$Q$147</definedName>
    <definedName function="false" hidden="false" name="SeatSlated" vbProcedure="false">'2. Current capacity'!$O$6:$O$147</definedName>
    <definedName function="false" hidden="false" name="SeatSubUnit" vbProcedure="false">'2. Current capacity'!$E$6:$E$147</definedName>
    <definedName function="false" hidden="false" name="SeatTitle" vbProcedure="false">'2. Current capacity'!$F$6:$F$147</definedName>
    <definedName function="false" hidden="false" name="SeatUnit" vbProcedure="false">'2. Current capacity'!$D$6:$D$147</definedName>
    <definedName function="false" hidden="false" name="SeatVacant" vbProcedure="false">'2. Current capacity'!$L$6:$L$147</definedName>
    <definedName function="false" hidden="false" name="SeatWorkerType" vbProcedure="false">'2. Current capacity'!$M$6:$M$147</definedName>
    <definedName function="false" hidden="false" name="UnitList" vbProcedure="false">Ref!$W$51:$W$78</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<sst xmlns="http://schemas.openxmlformats.org/spreadsheetml/2006/main" count="1327" uniqueCount="462">
  <si>
    <t xml:space="preserve">2027 Capacity Exercise</t>
  </si>
  <si>
    <t xml:space="preserve">Legal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</si>
  <si>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</si>
  <si>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</si>
  <si>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</si>
  <si>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</si>
  <si>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</si>
  <si>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</si>
  <si>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</si>
  <si>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</si>
  <si>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</si>
  <si>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</si>
  <si>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</si>
  <si>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</si>
  <si>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</si>
  <si>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</si>
  <si>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</si>
  <si>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</si>
  <si>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</si>
  <si>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</si>
  <si>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</si>
  <si>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</si>
  <si>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</si>
  <si>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</si>
  <si>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</si>
  <si>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</si>
  <si>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</si>
  <si>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</si>
  <si>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</si>
  <si>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</si>
  <si>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</si>
  <si>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</si>
  <si>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</si>
  <si>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</si>
  <si>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</si>
  <si>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</si>
  <si>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</si>
  <si>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</si>
  <si>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</si>
  <si>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</si>
  <si>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</si>
  <si>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</si>
  <si>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</si>
  <si>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</si>
  <si>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</si>
  <si>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</si>
  <si>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</si>
  <si>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</si>
  <si>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Legal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</si>
  <si>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</si>
  <si>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</si>
  <si>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</si>
  <si>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</si>
  <si>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</si>
  <si>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</si>
  <si>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</si>
  <si>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</si>
  <si>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</si>
  <si>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</si>
  <si>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</si>
  <si>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Legal Group</t>
  </si>
  <si>
    <t xml:space="preserve">Division</t>
  </si>
  <si>
    <t xml:space="preserve">    Corporate Legal Division</t>
  </si>
  <si>
    <t xml:space="preserve">Corporate Legal Division</t>
  </si>
  <si>
    <t xml:space="preserve">Department</t>
  </si>
  <si>
    <t xml:space="preserve">        Contracts</t>
  </si>
  <si>
    <t xml:space="preserve">Contracts</t>
  </si>
  <si>
    <t xml:space="preserve">            Contracts Unit 1</t>
  </si>
  <si>
    <t xml:space="preserve">Contracts Unit 1</t>
  </si>
  <si>
    <t xml:space="preserve">Sub-unit</t>
  </si>
  <si>
    <t xml:space="preserve">                Contracts Unit 1 - Team A</t>
  </si>
  <si>
    <t xml:space="preserve">Contracts Unit 1 - Team A</t>
  </si>
  <si>
    <t xml:space="preserve">                Contracts Unit 1 - Team B</t>
  </si>
  <si>
    <t xml:space="preserve">Contracts Unit 1 - Team B</t>
  </si>
  <si>
    <t xml:space="preserve">            Contracts Unit 2</t>
  </si>
  <si>
    <t xml:space="preserve">Contracts Unit 2</t>
  </si>
  <si>
    <t xml:space="preserve">                Contracts Unit 2 - Team A</t>
  </si>
  <si>
    <t xml:space="preserve">Contracts Unit 2 - Team A</t>
  </si>
  <si>
    <t xml:space="preserve">                Contracts Unit 2 - Team B</t>
  </si>
  <si>
    <t xml:space="preserve">Contracts Unit 2 - Team B</t>
  </si>
  <si>
    <t xml:space="preserve">        Corporate Legal</t>
  </si>
  <si>
    <t xml:space="preserve">Corporate Legal</t>
  </si>
  <si>
    <t xml:space="preserve">            Corporate Legal Unit 1</t>
  </si>
  <si>
    <t xml:space="preserve">Corporate Legal Unit 1</t>
  </si>
  <si>
    <t xml:space="preserve">                Corporate Legal Unit 1 - Team A</t>
  </si>
  <si>
    <t xml:space="preserve">Corporate Legal Unit 1 - Team A</t>
  </si>
  <si>
    <t xml:space="preserve">                Corporate Legal Unit 1 - Team B</t>
  </si>
  <si>
    <t xml:space="preserve">Corporate Legal Unit 1 - Team B</t>
  </si>
  <si>
    <t xml:space="preserve">            Corporate Legal Unit 2</t>
  </si>
  <si>
    <t xml:space="preserve">Corporate Legal Unit 2</t>
  </si>
  <si>
    <t xml:space="preserve">                Corporate Legal Unit 2 - Team A</t>
  </si>
  <si>
    <t xml:space="preserve">Corporate Legal Unit 2 - Team A</t>
  </si>
  <si>
    <t xml:space="preserve">                Corporate Legal Unit 2 - Team B</t>
  </si>
  <si>
    <t xml:space="preserve">Corporate Legal Unit 2 - Team B</t>
  </si>
  <si>
    <t xml:space="preserve">    Litigation &amp; Recovery Division</t>
  </si>
  <si>
    <t xml:space="preserve">Litigation &amp; Recovery Division</t>
  </si>
  <si>
    <t xml:space="preserve">        Legal Recoveries</t>
  </si>
  <si>
    <t xml:space="preserve">Legal Recoveries</t>
  </si>
  <si>
    <t xml:space="preserve">            Legal Recoveries Unit 1</t>
  </si>
  <si>
    <t xml:space="preserve">Legal Recoveries Unit 1</t>
  </si>
  <si>
    <t xml:space="preserve">                Legal Recoveries Unit 1 - Team A</t>
  </si>
  <si>
    <t xml:space="preserve">Legal Recoveries Unit 1 - Team A</t>
  </si>
  <si>
    <t xml:space="preserve">                Legal Recoveries Unit 1 - Team B</t>
  </si>
  <si>
    <t xml:space="preserve">Legal Recoveries Unit 1 - Team B</t>
  </si>
  <si>
    <t xml:space="preserve">            Legal Recoveries Unit 2</t>
  </si>
  <si>
    <t xml:space="preserve">Legal Recoveries Unit 2</t>
  </si>
  <si>
    <t xml:space="preserve">                Legal Recoveries Unit 2 - Team A</t>
  </si>
  <si>
    <t xml:space="preserve">Legal Recoveries Unit 2 - Team A</t>
  </si>
  <si>
    <t xml:space="preserve">                Legal Recoveries Unit 2 - Team B</t>
  </si>
  <si>
    <t xml:space="preserve">Legal Recoveries Unit 2 - Team B</t>
  </si>
  <si>
    <t xml:space="preserve">        Litigation</t>
  </si>
  <si>
    <t xml:space="preserve">Litigation</t>
  </si>
  <si>
    <t xml:space="preserve">            Litigation Unit 1</t>
  </si>
  <si>
    <t xml:space="preserve">Litigation Unit 1</t>
  </si>
  <si>
    <t xml:space="preserve">                Litigation Unit 1 - Team A</t>
  </si>
  <si>
    <t xml:space="preserve">Litigation Unit 1 - Team A</t>
  </si>
  <si>
    <t xml:space="preserve">                Litigation Unit 1 - Team B</t>
  </si>
  <si>
    <t xml:space="preserve">Litigation Unit 1 - Team B</t>
  </si>
  <si>
    <t xml:space="preserve">            Litigation Unit 2</t>
  </si>
  <si>
    <t xml:space="preserve">Litigation Unit 2</t>
  </si>
  <si>
    <t xml:space="preserve">                Litigation Unit 2 - Team A</t>
  </si>
  <si>
    <t xml:space="preserve">Litigation Unit 2 - Team A</t>
  </si>
  <si>
    <t xml:space="preserve">                Litigation Unit 2 - Team B</t>
  </si>
  <si>
    <t xml:space="preserve">Litigation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</si>
  <si>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</si>
  <si>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</si>
  <si>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</si>
  <si>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</si>
  <si>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</si>
  <si>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</si>
  <si>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</si>
  <si>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</si>
  <si>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</si>
  <si>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</si>
  <si>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</si>
  <si>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CC-1006</t>
  </si>
  <si>
    <t xml:space="preserve">General Counsel</t>
  </si>
  <si>
    <t xml:space="preserve">Executive</t>
  </si>
  <si>
    <t xml:space="preserve">Permanent</t>
  </si>
  <si>
    <t xml:space="preserve">CC-1033</t>
  </si>
  <si>
    <t xml:space="preserve">General Manager - Corporate Legal</t>
  </si>
  <si>
    <t xml:space="preserve">Leadership</t>
  </si>
  <si>
    <t xml:space="preserve">CC-1004</t>
  </si>
  <si>
    <t xml:space="preserve">Head of Contracts</t>
  </si>
  <si>
    <t xml:space="preserve">CC-1052</t>
  </si>
  <si>
    <t xml:space="preserve">Manager Contracts</t>
  </si>
  <si>
    <t xml:space="preserve">Management</t>
  </si>
  <si>
    <t xml:space="preserve">CC-1037</t>
  </si>
  <si>
    <t xml:space="preserve">Analyst Contracts</t>
  </si>
  <si>
    <t xml:space="preserve">Professional</t>
  </si>
  <si>
    <t xml:space="preserve">CC-1044</t>
  </si>
  <si>
    <t xml:space="preserve">Associate Contracts</t>
  </si>
  <si>
    <t xml:space="preserve">Officer Contracts</t>
  </si>
  <si>
    <t xml:space="preserve">CC-1007</t>
  </si>
  <si>
    <t xml:space="preserve">Senior Officer Contracts</t>
  </si>
  <si>
    <t xml:space="preserve">Specialist Contracts</t>
  </si>
  <si>
    <t xml:space="preserve">Team Lead Contracts</t>
  </si>
  <si>
    <t xml:space="preserve">CC-1050</t>
  </si>
  <si>
    <t xml:space="preserve">CC-1008</t>
  </si>
  <si>
    <t xml:space="preserve">Senior Analyst Contracts</t>
  </si>
  <si>
    <t xml:space="preserve">CC-1015</t>
  </si>
  <si>
    <t xml:space="preserve">CC-1011</t>
  </si>
  <si>
    <t xml:space="preserve">CC-1039</t>
  </si>
  <si>
    <t xml:space="preserve">CC-1030</t>
  </si>
  <si>
    <t xml:space="preserve">CC-1020</t>
  </si>
  <si>
    <t xml:space="preserve">Insourced</t>
  </si>
  <si>
    <t xml:space="preserve">CC-1041</t>
  </si>
  <si>
    <t xml:space="preserve">CC-1049</t>
  </si>
  <si>
    <t xml:space="preserve">Head of Corporate Legal</t>
  </si>
  <si>
    <t xml:space="preserve">Manager Corporate Legal</t>
  </si>
  <si>
    <t xml:space="preserve">Officer Corporate Legal</t>
  </si>
  <si>
    <t xml:space="preserve">CC-1019</t>
  </si>
  <si>
    <t xml:space="preserve">Senior Analyst Corporate Legal</t>
  </si>
  <si>
    <t xml:space="preserve">Senior Officer Corporate Legal</t>
  </si>
  <si>
    <t xml:space="preserve">CC-1045</t>
  </si>
  <si>
    <t xml:space="preserve">Specialist Corporate Legal</t>
  </si>
  <si>
    <t xml:space="preserve">Team Lead Corporate Legal</t>
  </si>
  <si>
    <t xml:space="preserve">Analyst Corporate Legal</t>
  </si>
  <si>
    <t xml:space="preserve">CC-1047</t>
  </si>
  <si>
    <t xml:space="preserve">Associate Corporate Legal</t>
  </si>
  <si>
    <t xml:space="preserve">CC-1013</t>
  </si>
  <si>
    <t xml:space="preserve">CC-1017</t>
  </si>
  <si>
    <t xml:space="preserve">CC-1032</t>
  </si>
  <si>
    <t xml:space="preserve">CC-1054</t>
  </si>
  <si>
    <t xml:space="preserve">CC-1048</t>
  </si>
  <si>
    <t xml:space="preserve">CC-1026</t>
  </si>
  <si>
    <t xml:space="preserve">CC-1003</t>
  </si>
  <si>
    <t xml:space="preserve">General Manager - Litigation &amp; Recovery</t>
  </si>
  <si>
    <t xml:space="preserve">Head of Legal Recoveries</t>
  </si>
  <si>
    <t xml:space="preserve">CC-1060</t>
  </si>
  <si>
    <t xml:space="preserve">Manager Legal Recoveries</t>
  </si>
  <si>
    <t xml:space="preserve">CC-1043</t>
  </si>
  <si>
    <t xml:space="preserve">Analyst Legal Recoveries</t>
  </si>
  <si>
    <t xml:space="preserve">Officer Legal Recoveries</t>
  </si>
  <si>
    <t xml:space="preserve">CC-1016</t>
  </si>
  <si>
    <t xml:space="preserve">Senior Officer Legal Recoveries</t>
  </si>
  <si>
    <t xml:space="preserve">Specialist Legal Recoveries</t>
  </si>
  <si>
    <t xml:space="preserve">Team Lead Legal Recoveries</t>
  </si>
  <si>
    <t xml:space="preserve">CC-1053</t>
  </si>
  <si>
    <t xml:space="preserve">Senior Analyst Legal Recoveries</t>
  </si>
  <si>
    <t xml:space="preserve">CC-1023</t>
  </si>
  <si>
    <t xml:space="preserve">CC-1055</t>
  </si>
  <si>
    <t xml:space="preserve">Associate Legal Recoveries</t>
  </si>
  <si>
    <t xml:space="preserve">CC-1025</t>
  </si>
  <si>
    <t xml:space="preserve">CC-1042</t>
  </si>
  <si>
    <t xml:space="preserve">CC-1005</t>
  </si>
  <si>
    <t xml:space="preserve">CC-1014</t>
  </si>
  <si>
    <t xml:space="preserve">CC-1000</t>
  </si>
  <si>
    <t xml:space="preserve">CC-1021</t>
  </si>
  <si>
    <t xml:space="preserve">Head of Litigation</t>
  </si>
  <si>
    <t xml:space="preserve">CC-1057</t>
  </si>
  <si>
    <t xml:space="preserve">Manager Litigation</t>
  </si>
  <si>
    <t xml:space="preserve">CC-1027</t>
  </si>
  <si>
    <t xml:space="preserve">Analyst Litigation</t>
  </si>
  <si>
    <t xml:space="preserve">Associate Litigation</t>
  </si>
  <si>
    <t xml:space="preserve">Senior Analyst Litigation</t>
  </si>
  <si>
    <t xml:space="preserve">Senior Officer Litigation</t>
  </si>
  <si>
    <t xml:space="preserve">Specialist Litigation</t>
  </si>
  <si>
    <t xml:space="preserve">Team Lead Litigation</t>
  </si>
  <si>
    <t xml:space="preserve">CC-1028</t>
  </si>
  <si>
    <t xml:space="preserve">CC-1018</t>
  </si>
  <si>
    <t xml:space="preserve">Officer Litigation</t>
  </si>
  <si>
    <t xml:space="preserve">CC-1058</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</si>
  <si>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</si>
  <si>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</si>
  <si>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</si>
  <si>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</si>
  <si>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</si>
  <si>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</si>
  <si>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</si>
  <si>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</si>
  <si>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</si>
  <si>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</si>
  <si>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</si>
  <si>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</si>
  <si>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</si>
  <si>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</si>
  <si>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</si>
  <si>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</si>
  <si>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</si>
  <si>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</si>
  <si>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</si>
  <si>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</si>
  <si>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</si>
  <si>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</si>
  <si>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</si>
  <si>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</si>
  <si>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</si>
  <si>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</si>
  <si>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</si>
  <si>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</si>
  <si>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</si>
  <si>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</si>
  <si>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</si>
  <si>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</si>
  <si>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</si>
  <si>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</si>
  <si>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</si>
  <si>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</si>
  <si>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</si>
  <si>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</si>
  <si>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</si>
  <si>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</si>
  <si>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</si>
  <si>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</si>
  <si>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</si>
  <si>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</si>
  <si>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</si>
  <si>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</si>
  <si>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</si>
  <si>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</si>
  <si>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</si>
  <si>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</si>
  <si>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</si>
  <si>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</si>
  <si>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</si>
  <si>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</si>
  <si>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</si>
  <si>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</si>
  <si>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</si>
  <si>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</si>
  <si>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</si>
  <si>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</si>
  <si>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</si>
  <si>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</si>
  <si>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</si>
  <si>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</si>
  <si>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</si>
  <si>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</si>
  <si>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</si>
  <si>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</si>
  <si>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</si>
  <si>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</si>
  <si>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</si>
  <si>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</si>
  <si>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</si>
  <si>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</si>
  <si>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</si>
  <si>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</si>
  <si>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</si>
  <si>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</si>
  <si>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</si>
  <si>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</si>
  <si>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</si>
  <si>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</si>
  <si>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</si>
  <si>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</si>
  <si>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</si>
  <si>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</si>
  <si>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</si>
  <si>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</si>
  <si>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</si>
  <si>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</si>
  <si>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</si>
  <si>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</si>
  <si>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</si>
  <si>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</si>
  <si>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</si>
  <si>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</si>
  <si>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</si>
  <si>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</si>
  <si>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</si>
  <si>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</si>
  <si>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</si>
  <si>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</si>
  <si>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</si>
  <si>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</si>
  <si>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</si>
  <si>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</si>
  <si>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</si>
  <si>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</si>
  <si>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</si>
  <si>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</si>
  <si>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</si>
  <si>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</si>
  <si>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</si>
  <si>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</si>
  <si>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</si>
  <si>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</si>
  <si>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</si>
  <si>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</si>
  <si>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</si>
  <si>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</si>
  <si>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</si>
  <si>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Legal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</si>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</sst>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position'!$A$32:$A$35</c:f>
              <c:strCache>
                <c:ptCount val="4"/>
                <c:pt idx="0">
                  <c:v>1. Regulatory</c:v>
                </c:pt>
                <c:pt idx="1">
                  <c:v>2. Strategic</c:v>
                </c:pt>
                <c:pt idx="2">
                  <c:v>3. Control</c:v>
                </c:pt>
                <c:pt idx="3">
                  <c:v>4. BAU</c:v>
                </c:pt>
              </c:strCache>
            </c:strRef>
          </c:cat>
          <c:val>
            <c:numRef>
              <c:f>'5. My position'!$C$32:$C$35</c:f>
              <c:numCache>
                <c:formatCode>#,##0;\(#,##0\);\-</c:formatCode>
                <c:ptCount val="4"/>
                <c:pt idx="0">
                  <c:v>0</c:v>
                </c:pt>
                <c:pt idx="1">
                  <c:v>0</c:v>
                </c:pt>
                <c:pt idx="2">
                  <c:v>0</c:v>
                </c:pt>
                <c:pt idx="3">
                  <c:v>0</c:v>
                </c:pt>
              </c:numCache>
            </c:numRef>
          </c:val>
        </c:ser>
        <c:gapWidth val="150"/>
        <c:overlap val="0"/>
        <c:axId val="27033695"/>
        <c:axId val="13207811"/>
      </c:barChart>
      <c:catAx>
        <c:axId val="2703369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207811"/>
        <c:crosses val="autoZero"/>
        <c:auto val="1"/>
        <c:lblAlgn val="ctr"/>
        <c:lblOffset val="100"/>
        <c:noMultiLvlLbl val="0"/>
      </c:catAx>
      <c:valAx>
        <c:axId val="1320781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33695"/>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position'!$A$39:$A$42</c:f>
              <c:strCache>
                <c:ptCount val="4"/>
                <c:pt idx="0">
                  <c:v>Q1</c:v>
                </c:pt>
                <c:pt idx="1">
                  <c:v>Q2</c:v>
                </c:pt>
                <c:pt idx="2">
                  <c:v>Q3</c:v>
                </c:pt>
                <c:pt idx="3">
                  <c:v>Q4</c:v>
                </c:pt>
              </c:strCache>
            </c:strRef>
          </c:cat>
          <c:val>
            <c:numRef>
              <c:f>'5. My position'!$B$39:$B$42</c:f>
              <c:numCache>
                <c:formatCode>#,##0.0;\(#,##0.0\);\-</c:formatCode>
                <c:ptCount val="4"/>
                <c:pt idx="0">
                  <c:v>0</c:v>
                </c:pt>
                <c:pt idx="1">
                  <c:v>0</c:v>
                </c:pt>
                <c:pt idx="2">
                  <c:v>0</c:v>
                </c:pt>
                <c:pt idx="3">
                  <c:v>0</c:v>
                </c:pt>
              </c:numCache>
            </c:numRef>
          </c:val>
        </c:ser>
        <c:gapWidth val="150"/>
        <c:overlap val="0"/>
        <c:axId val="42722453"/>
        <c:axId val="67669279"/>
      </c:barChart>
      <c:catAx>
        <c:axId val="427224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69279"/>
        <c:crosses val="autoZero"/>
        <c:auto val="1"/>
        <c:lblAlgn val="ctr"/>
        <c:lblOffset val="100"/>
        <c:noMultiLvlLbl val="0"/>
      </c:catAx>
      <c:valAx>
        <c:axId val="67669279"/>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7224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0</xdr:rowOff>
    </xdr:from>
    <xdr:to>
      <xdr:col>3</xdr:col>
      <xdr:colOff>247680</xdr:colOff>
      <xdr:row>59</xdr:row>
      <xdr:rowOff>22320</xdr:rowOff>
    </xdr:to>
    <xdr:graphicFrame>
      <xdr:nvGraphicFramePr>
        <xdr:cNvPr id="0" name="Chart 1"/>
        <xdr:cNvGraphicFramePr/>
      </xdr:nvGraphicFramePr>
      <xdr:xfrm>
        <a:off x="0" y="9306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44</xdr:row>
      <xdr:rowOff>0</xdr:rowOff>
    </xdr:from>
    <xdr:to>
      <xdr:col>6</xdr:col>
      <xdr:colOff>1652760</xdr:colOff>
      <xdr:row>59</xdr:row>
      <xdr:rowOff>22320</xdr:rowOff>
    </xdr:to>
    <xdr:graphicFrame>
      <xdr:nvGraphicFramePr>
        <xdr:cNvPr id="1" name="Chart 2"/>
        <xdr:cNvGraphicFramePr/>
      </xdr:nvGraphicFramePr>
      <xdr:xfrm>
        <a:off x="675648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137</v>
      </c>
      <c r="D5" s="15" t="n">
        <v>120</v>
      </c>
      <c r="E5" s="15" t="n">
        <v>17</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137</v>
      </c>
      <c r="I5" s="16" t="n">
        <f aca="false">$H5-$C5</f>
        <v>0</v>
      </c>
      <c r="J5" s="17" t="s">
        <v>60</v>
      </c>
    </row>
    <row r="6" customFormat="false" ht="15" hidden="false" customHeight="false" outlineLevel="1" collapsed="false">
      <c r="A6" s="13" t="s">
        <v>61</v>
      </c>
      <c r="B6" s="14" t="s">
        <v>62</v>
      </c>
      <c r="C6" s="15" t="n">
        <v>68</v>
      </c>
      <c r="D6" s="15" t="n">
        <v>57</v>
      </c>
      <c r="E6" s="15" t="n">
        <v>11</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68</v>
      </c>
      <c r="I6" s="16" t="n">
        <f aca="false">$H6-$C6</f>
        <v>0</v>
      </c>
      <c r="J6" s="17" t="s">
        <v>63</v>
      </c>
    </row>
    <row r="7" customFormat="false" ht="15" hidden="false" customHeight="false" outlineLevel="2" collapsed="false">
      <c r="A7" s="17" t="s">
        <v>64</v>
      </c>
      <c r="B7" s="18" t="s">
        <v>65</v>
      </c>
      <c r="C7" s="19" t="n">
        <v>31</v>
      </c>
      <c r="D7" s="19" t="n">
        <v>24</v>
      </c>
      <c r="E7" s="19" t="n">
        <v>7</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31</v>
      </c>
      <c r="I7" s="20" t="n">
        <f aca="false">$H7-$C7</f>
        <v>0</v>
      </c>
      <c r="J7" s="17" t="s">
        <v>66</v>
      </c>
    </row>
    <row r="8" customFormat="false" ht="15" hidden="false" customHeight="false" outlineLevel="3" collapsed="false">
      <c r="A8" s="17" t="s">
        <v>50</v>
      </c>
      <c r="B8" s="18" t="s">
        <v>67</v>
      </c>
      <c r="C8" s="19" t="n">
        <v>17</v>
      </c>
      <c r="D8" s="19" t="n">
        <v>12</v>
      </c>
      <c r="E8" s="19" t="n">
        <v>5</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68</v>
      </c>
    </row>
    <row r="9" customFormat="false" ht="15" hidden="false" customHeight="false" outlineLevel="4" collapsed="false">
      <c r="A9" s="17" t="s">
        <v>69</v>
      </c>
      <c r="B9" s="18" t="s">
        <v>70</v>
      </c>
      <c r="C9" s="19" t="n">
        <v>8</v>
      </c>
      <c r="D9" s="19" t="n">
        <v>5</v>
      </c>
      <c r="E9" s="19" t="n">
        <v>3</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8</v>
      </c>
      <c r="I9" s="20" t="n">
        <f aca="false">$H9-$C9</f>
        <v>0</v>
      </c>
      <c r="J9" s="17" t="s">
        <v>71</v>
      </c>
    </row>
    <row r="10" customFormat="false" ht="15" hidden="false" customHeight="false" outlineLevel="4" collapsed="false">
      <c r="A10" s="17" t="s">
        <v>69</v>
      </c>
      <c r="B10" s="18" t="s">
        <v>72</v>
      </c>
      <c r="C10" s="19" t="n">
        <v>8</v>
      </c>
      <c r="D10" s="19" t="n">
        <v>6</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73</v>
      </c>
    </row>
    <row r="11" customFormat="false" ht="15" hidden="false" customHeight="false" outlineLevel="3" collapsed="false">
      <c r="A11" s="17" t="s">
        <v>50</v>
      </c>
      <c r="B11" s="18" t="s">
        <v>74</v>
      </c>
      <c r="C11" s="19" t="n">
        <v>13</v>
      </c>
      <c r="D11" s="19" t="n">
        <v>11</v>
      </c>
      <c r="E11" s="19" t="n">
        <v>2</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13</v>
      </c>
      <c r="I11" s="20" t="n">
        <f aca="false">$H11-$C11</f>
        <v>0</v>
      </c>
      <c r="J11" s="17" t="s">
        <v>75</v>
      </c>
    </row>
    <row r="12" customFormat="false" ht="15" hidden="false" customHeight="false" outlineLevel="4" collapsed="false">
      <c r="A12" s="17" t="s">
        <v>69</v>
      </c>
      <c r="B12" s="18" t="s">
        <v>76</v>
      </c>
      <c r="C12" s="19" t="n">
        <v>6</v>
      </c>
      <c r="D12" s="19" t="n">
        <v>4</v>
      </c>
      <c r="E12" s="19" t="n">
        <v>2</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6</v>
      </c>
      <c r="I12" s="20" t="n">
        <f aca="false">$H12-$C12</f>
        <v>0</v>
      </c>
      <c r="J12" s="17" t="s">
        <v>77</v>
      </c>
    </row>
    <row r="13" customFormat="false" ht="15" hidden="false" customHeight="false" outlineLevel="4" collapsed="false">
      <c r="A13" s="17" t="s">
        <v>69</v>
      </c>
      <c r="B13" s="18" t="s">
        <v>78</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79</v>
      </c>
    </row>
    <row r="14" customFormat="false" ht="15" hidden="false" customHeight="false" outlineLevel="2" collapsed="false">
      <c r="A14" s="17" t="s">
        <v>64</v>
      </c>
      <c r="B14" s="18" t="s">
        <v>80</v>
      </c>
      <c r="C14" s="19" t="n">
        <v>36</v>
      </c>
      <c r="D14" s="19" t="n">
        <v>32</v>
      </c>
      <c r="E14" s="19" t="n">
        <v>4</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36</v>
      </c>
      <c r="I14" s="20" t="n">
        <f aca="false">$H14-$C14</f>
        <v>0</v>
      </c>
      <c r="J14" s="17" t="s">
        <v>81</v>
      </c>
    </row>
    <row r="15" customFormat="false" ht="15" hidden="false" customHeight="false" outlineLevel="3" collapsed="false">
      <c r="A15" s="17" t="s">
        <v>50</v>
      </c>
      <c r="B15" s="18" t="s">
        <v>82</v>
      </c>
      <c r="C15" s="19" t="n">
        <v>18</v>
      </c>
      <c r="D15" s="19" t="n">
        <v>17</v>
      </c>
      <c r="E15" s="19" t="n">
        <v>1</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18</v>
      </c>
      <c r="I15" s="20" t="n">
        <f aca="false">$H15-$C15</f>
        <v>0</v>
      </c>
      <c r="J15" s="17" t="s">
        <v>83</v>
      </c>
    </row>
    <row r="16" customFormat="false" ht="15" hidden="false" customHeight="false" outlineLevel="4" collapsed="false">
      <c r="A16" s="17" t="s">
        <v>69</v>
      </c>
      <c r="B16" s="18" t="s">
        <v>84</v>
      </c>
      <c r="C16" s="19" t="n">
        <v>7</v>
      </c>
      <c r="D16" s="19" t="n">
        <v>7</v>
      </c>
      <c r="E16" s="19" t="n">
        <v>0</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85</v>
      </c>
    </row>
    <row r="17" customFormat="false" ht="15" hidden="false" customHeight="false" outlineLevel="4" collapsed="false">
      <c r="A17" s="17" t="s">
        <v>69</v>
      </c>
      <c r="B17" s="18" t="s">
        <v>86</v>
      </c>
      <c r="C17" s="19" t="n">
        <v>10</v>
      </c>
      <c r="D17" s="19" t="n">
        <v>9</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10</v>
      </c>
      <c r="I17" s="20" t="n">
        <f aca="false">$H17-$C17</f>
        <v>0</v>
      </c>
      <c r="J17" s="17" t="s">
        <v>87</v>
      </c>
    </row>
    <row r="18" customFormat="false" ht="15" hidden="false" customHeight="false" outlineLevel="3" collapsed="false">
      <c r="A18" s="17" t="s">
        <v>50</v>
      </c>
      <c r="B18" s="18" t="s">
        <v>88</v>
      </c>
      <c r="C18" s="19" t="n">
        <v>17</v>
      </c>
      <c r="D18" s="19" t="n">
        <v>14</v>
      </c>
      <c r="E18" s="19" t="n">
        <v>3</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17</v>
      </c>
      <c r="I18" s="20" t="n">
        <f aca="false">$H18-$C18</f>
        <v>0</v>
      </c>
      <c r="J18" s="17" t="s">
        <v>89</v>
      </c>
    </row>
    <row r="19" customFormat="false" ht="15" hidden="false" customHeight="false" outlineLevel="4" collapsed="false">
      <c r="A19" s="17" t="s">
        <v>69</v>
      </c>
      <c r="B19" s="18" t="s">
        <v>90</v>
      </c>
      <c r="C19" s="19" t="n">
        <v>7</v>
      </c>
      <c r="D19" s="19" t="n">
        <v>5</v>
      </c>
      <c r="E19" s="19" t="n">
        <v>2</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7</v>
      </c>
      <c r="I19" s="20" t="n">
        <f aca="false">$H19-$C19</f>
        <v>0</v>
      </c>
      <c r="J19" s="17" t="s">
        <v>91</v>
      </c>
    </row>
    <row r="20" customFormat="false" ht="15" hidden="false" customHeight="false" outlineLevel="4" collapsed="false">
      <c r="A20" s="17" t="s">
        <v>69</v>
      </c>
      <c r="B20" s="18" t="s">
        <v>92</v>
      </c>
      <c r="C20" s="19" t="n">
        <v>9</v>
      </c>
      <c r="D20" s="19" t="n">
        <v>8</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9</v>
      </c>
      <c r="I20" s="20" t="n">
        <f aca="false">$H20-$C20</f>
        <v>0</v>
      </c>
      <c r="J20" s="17" t="s">
        <v>93</v>
      </c>
    </row>
    <row r="21" customFormat="false" ht="15" hidden="false" customHeight="false" outlineLevel="1" collapsed="false">
      <c r="A21" s="13" t="s">
        <v>61</v>
      </c>
      <c r="B21" s="14" t="s">
        <v>94</v>
      </c>
      <c r="C21" s="15" t="n">
        <v>68</v>
      </c>
      <c r="D21" s="15" t="n">
        <v>62</v>
      </c>
      <c r="E21" s="15" t="n">
        <v>6</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68</v>
      </c>
      <c r="I21" s="16" t="n">
        <f aca="false">$H21-$C21</f>
        <v>0</v>
      </c>
      <c r="J21" s="17" t="s">
        <v>95</v>
      </c>
    </row>
    <row r="22" customFormat="false" ht="15" hidden="false" customHeight="false" outlineLevel="2" collapsed="false">
      <c r="A22" s="17" t="s">
        <v>64</v>
      </c>
      <c r="B22" s="18" t="s">
        <v>96</v>
      </c>
      <c r="C22" s="19" t="n">
        <v>33</v>
      </c>
      <c r="D22" s="19" t="n">
        <v>31</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33</v>
      </c>
      <c r="I22" s="20" t="n">
        <f aca="false">$H22-$C22</f>
        <v>0</v>
      </c>
      <c r="J22" s="17" t="s">
        <v>97</v>
      </c>
    </row>
    <row r="23" customFormat="false" ht="15" hidden="false" customHeight="false" outlineLevel="3" collapsed="false">
      <c r="A23" s="17" t="s">
        <v>50</v>
      </c>
      <c r="B23" s="18" t="s">
        <v>98</v>
      </c>
      <c r="C23" s="19" t="n">
        <v>15</v>
      </c>
      <c r="D23" s="19" t="n">
        <v>14</v>
      </c>
      <c r="E23" s="19" t="n">
        <v>1</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15</v>
      </c>
      <c r="I23" s="20" t="n">
        <f aca="false">$H23-$C23</f>
        <v>0</v>
      </c>
      <c r="J23" s="17" t="s">
        <v>99</v>
      </c>
    </row>
    <row r="24" customFormat="false" ht="15" hidden="false" customHeight="false" outlineLevel="4" collapsed="false">
      <c r="A24" s="17" t="s">
        <v>69</v>
      </c>
      <c r="B24" s="18" t="s">
        <v>100</v>
      </c>
      <c r="C24" s="19" t="n">
        <v>8</v>
      </c>
      <c r="D24" s="19" t="n">
        <v>7</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8</v>
      </c>
      <c r="I24" s="20" t="n">
        <f aca="false">$H24-$C24</f>
        <v>0</v>
      </c>
      <c r="J24" s="17" t="s">
        <v>101</v>
      </c>
    </row>
    <row r="25" customFormat="false" ht="15" hidden="false" customHeight="false" outlineLevel="4" collapsed="false">
      <c r="A25" s="17" t="s">
        <v>69</v>
      </c>
      <c r="B25" s="18" t="s">
        <v>102</v>
      </c>
      <c r="C25" s="19" t="n">
        <v>6</v>
      </c>
      <c r="D25" s="19" t="n">
        <v>6</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6</v>
      </c>
      <c r="I25" s="20" t="n">
        <f aca="false">$H25-$C25</f>
        <v>0</v>
      </c>
      <c r="J25" s="17" t="s">
        <v>103</v>
      </c>
    </row>
    <row r="26" customFormat="false" ht="15" hidden="false" customHeight="false" outlineLevel="3" collapsed="false">
      <c r="A26" s="17" t="s">
        <v>50</v>
      </c>
      <c r="B26" s="18" t="s">
        <v>104</v>
      </c>
      <c r="C26" s="19" t="n">
        <v>17</v>
      </c>
      <c r="D26" s="19" t="n">
        <v>16</v>
      </c>
      <c r="E26" s="19" t="n">
        <v>1</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17</v>
      </c>
      <c r="I26" s="20" t="n">
        <f aca="false">$H26-$C26</f>
        <v>0</v>
      </c>
      <c r="J26" s="17" t="s">
        <v>105</v>
      </c>
    </row>
    <row r="27" customFormat="false" ht="15" hidden="false" customHeight="false" outlineLevel="4" collapsed="false">
      <c r="A27" s="17" t="s">
        <v>69</v>
      </c>
      <c r="B27" s="18" t="s">
        <v>106</v>
      </c>
      <c r="C27" s="19" t="n">
        <v>6</v>
      </c>
      <c r="D27" s="19" t="n">
        <v>6</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6</v>
      </c>
      <c r="I27" s="20" t="n">
        <f aca="false">$H27-$C27</f>
        <v>0</v>
      </c>
      <c r="J27" s="17" t="s">
        <v>107</v>
      </c>
    </row>
    <row r="28" customFormat="false" ht="15" hidden="false" customHeight="false" outlineLevel="4" collapsed="false">
      <c r="A28" s="17" t="s">
        <v>69</v>
      </c>
      <c r="B28" s="18" t="s">
        <v>108</v>
      </c>
      <c r="C28" s="19" t="n">
        <v>10</v>
      </c>
      <c r="D28" s="19" t="n">
        <v>9</v>
      </c>
      <c r="E28" s="19" t="n">
        <v>1</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10</v>
      </c>
      <c r="I28" s="20" t="n">
        <f aca="false">$H28-$C28</f>
        <v>0</v>
      </c>
      <c r="J28" s="17" t="s">
        <v>109</v>
      </c>
    </row>
    <row r="29" customFormat="false" ht="15" hidden="false" customHeight="false" outlineLevel="2" collapsed="false">
      <c r="A29" s="17" t="s">
        <v>64</v>
      </c>
      <c r="B29" s="18" t="s">
        <v>110</v>
      </c>
      <c r="C29" s="19" t="n">
        <v>34</v>
      </c>
      <c r="D29" s="19" t="n">
        <v>30</v>
      </c>
      <c r="E29" s="19" t="n">
        <v>4</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34</v>
      </c>
      <c r="I29" s="20" t="n">
        <f aca="false">$H29-$C29</f>
        <v>0</v>
      </c>
      <c r="J29" s="17" t="s">
        <v>111</v>
      </c>
    </row>
    <row r="30" customFormat="false" ht="15" hidden="false" customHeight="false" outlineLevel="3" collapsed="false">
      <c r="A30" s="17" t="s">
        <v>50</v>
      </c>
      <c r="B30" s="18" t="s">
        <v>112</v>
      </c>
      <c r="C30" s="19" t="n">
        <v>16</v>
      </c>
      <c r="D30" s="19" t="n">
        <v>14</v>
      </c>
      <c r="E30" s="19" t="n">
        <v>2</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16</v>
      </c>
      <c r="I30" s="20" t="n">
        <f aca="false">$H30-$C30</f>
        <v>0</v>
      </c>
      <c r="J30" s="17" t="s">
        <v>113</v>
      </c>
    </row>
    <row r="31" customFormat="false" ht="15" hidden="false" customHeight="false" outlineLevel="4" collapsed="false">
      <c r="A31" s="17" t="s">
        <v>69</v>
      </c>
      <c r="B31" s="18" t="s">
        <v>114</v>
      </c>
      <c r="C31" s="19" t="n">
        <v>8</v>
      </c>
      <c r="D31" s="19" t="n">
        <v>7</v>
      </c>
      <c r="E31" s="19" t="n">
        <v>1</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115</v>
      </c>
    </row>
    <row r="32" customFormat="false" ht="15" hidden="false" customHeight="false" outlineLevel="4" collapsed="false">
      <c r="A32" s="17" t="s">
        <v>69</v>
      </c>
      <c r="B32" s="18" t="s">
        <v>116</v>
      </c>
      <c r="C32" s="19" t="n">
        <v>7</v>
      </c>
      <c r="D32" s="19" t="n">
        <v>7</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7</v>
      </c>
      <c r="I32" s="20" t="n">
        <f aca="false">$H32-$C32</f>
        <v>0</v>
      </c>
      <c r="J32" s="17" t="s">
        <v>117</v>
      </c>
    </row>
    <row r="33" customFormat="false" ht="15" hidden="false" customHeight="false" outlineLevel="3" collapsed="false">
      <c r="A33" s="17" t="s">
        <v>50</v>
      </c>
      <c r="B33" s="18" t="s">
        <v>118</v>
      </c>
      <c r="C33" s="19" t="n">
        <v>17</v>
      </c>
      <c r="D33" s="19" t="n">
        <v>15</v>
      </c>
      <c r="E33" s="19" t="n">
        <v>2</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17</v>
      </c>
      <c r="I33" s="20" t="n">
        <f aca="false">$H33-$C33</f>
        <v>0</v>
      </c>
      <c r="J33" s="17" t="s">
        <v>119</v>
      </c>
    </row>
    <row r="34" customFormat="false" ht="15" hidden="false" customHeight="false" outlineLevel="4" collapsed="false">
      <c r="A34" s="17" t="s">
        <v>69</v>
      </c>
      <c r="B34" s="18" t="s">
        <v>120</v>
      </c>
      <c r="C34" s="19" t="n">
        <v>6</v>
      </c>
      <c r="D34" s="19" t="n">
        <v>5</v>
      </c>
      <c r="E34" s="19" t="n">
        <v>1</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6</v>
      </c>
      <c r="I34" s="20" t="n">
        <f aca="false">$H34-$C34</f>
        <v>0</v>
      </c>
      <c r="J34" s="17" t="s">
        <v>121</v>
      </c>
    </row>
    <row r="35" customFormat="false" ht="15" hidden="false" customHeight="false" outlineLevel="4" collapsed="false">
      <c r="A35" s="17" t="s">
        <v>69</v>
      </c>
      <c r="B35" s="18" t="s">
        <v>122</v>
      </c>
      <c r="C35" s="19" t="n">
        <v>10</v>
      </c>
      <c r="D35" s="19" t="n">
        <v>9</v>
      </c>
      <c r="E35" s="19" t="n">
        <v>1</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10</v>
      </c>
      <c r="I35" s="20" t="n">
        <f aca="false">$H35-$C35</f>
        <v>0</v>
      </c>
      <c r="J35" s="17" t="s">
        <v>123</v>
      </c>
    </row>
    <row r="37" customFormat="false" ht="25.5" hidden="false" customHeight="true" outlineLevel="0" collapsed="false">
      <c r="A37" s="11" t="s">
        <v>124</v>
      </c>
      <c r="B37" s="11"/>
      <c r="C37" s="11"/>
      <c r="D37" s="11"/>
      <c r="E37" s="11"/>
      <c r="F37" s="11"/>
      <c r="G37" s="11"/>
      <c r="H37" s="11"/>
      <c r="I37" s="11"/>
    </row>
  </sheetData>
  <mergeCells count="2">
    <mergeCell ref="A2:J2"/>
    <mergeCell ref="A37:I37"/>
  </mergeCells>
  <conditionalFormatting sqref="I5:I3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3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125</v>
      </c>
    </row>
    <row r="2" customFormat="false" ht="15" hidden="false" customHeight="false" outlineLevel="0" collapsed="false">
      <c r="A2" s="2" t="s">
        <v>126</v>
      </c>
      <c r="B2" s="2"/>
      <c r="C2" s="2"/>
      <c r="D2" s="2"/>
      <c r="E2" s="2"/>
      <c r="F2" s="2"/>
      <c r="G2" s="2"/>
      <c r="H2" s="2"/>
      <c r="I2" s="2"/>
      <c r="J2" s="2"/>
    </row>
    <row r="5" customFormat="false" ht="30" hidden="false" customHeight="true" outlineLevel="0" collapsed="false">
      <c r="A5" s="12" t="s">
        <v>127</v>
      </c>
      <c r="B5" s="12" t="s">
        <v>61</v>
      </c>
      <c r="C5" s="12" t="s">
        <v>64</v>
      </c>
      <c r="D5" s="12" t="s">
        <v>50</v>
      </c>
      <c r="E5" s="12" t="s">
        <v>128</v>
      </c>
      <c r="F5" s="12" t="s">
        <v>129</v>
      </c>
      <c r="G5" s="12" t="s">
        <v>18</v>
      </c>
      <c r="H5" s="12" t="s">
        <v>130</v>
      </c>
      <c r="I5" s="12" t="s">
        <v>20</v>
      </c>
      <c r="J5" s="12" t="s">
        <v>131</v>
      </c>
      <c r="K5" s="12" t="s">
        <v>52</v>
      </c>
      <c r="L5" s="12" t="s">
        <v>53</v>
      </c>
      <c r="M5" s="12" t="s">
        <v>132</v>
      </c>
      <c r="N5" s="12" t="s">
        <v>22</v>
      </c>
      <c r="O5" s="12" t="s">
        <v>24</v>
      </c>
      <c r="P5" s="12" t="s">
        <v>133</v>
      </c>
      <c r="Q5" s="12" t="s">
        <v>134</v>
      </c>
    </row>
    <row r="6" customFormat="false" ht="15" hidden="false" customHeight="false" outlineLevel="0" collapsed="false">
      <c r="A6" s="21" t="s">
        <v>135</v>
      </c>
      <c r="B6" s="21"/>
      <c r="C6" s="21"/>
      <c r="D6" s="21"/>
      <c r="E6" s="21"/>
      <c r="F6" s="21" t="s">
        <v>136</v>
      </c>
      <c r="G6" s="21"/>
      <c r="H6" s="21" t="s">
        <v>137</v>
      </c>
      <c r="I6" s="21"/>
      <c r="J6" s="22" t="n">
        <v>1</v>
      </c>
      <c r="K6" s="22" t="n">
        <v>1</v>
      </c>
      <c r="L6" s="22" t="n">
        <v>0</v>
      </c>
      <c r="M6" s="21" t="s">
        <v>138</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139</v>
      </c>
      <c r="B7" s="21" t="s">
        <v>63</v>
      </c>
      <c r="C7" s="21"/>
      <c r="D7" s="21"/>
      <c r="E7" s="21"/>
      <c r="F7" s="21" t="s">
        <v>140</v>
      </c>
      <c r="G7" s="21"/>
      <c r="H7" s="21" t="s">
        <v>141</v>
      </c>
      <c r="I7" s="21"/>
      <c r="J7" s="22" t="n">
        <v>1</v>
      </c>
      <c r="K7" s="22" t="n">
        <v>1</v>
      </c>
      <c r="L7" s="22" t="n">
        <v>0</v>
      </c>
      <c r="M7" s="21" t="s">
        <v>138</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142</v>
      </c>
      <c r="B8" s="21" t="s">
        <v>63</v>
      </c>
      <c r="C8" s="21" t="s">
        <v>66</v>
      </c>
      <c r="D8" s="21"/>
      <c r="E8" s="21"/>
      <c r="F8" s="21" t="s">
        <v>143</v>
      </c>
      <c r="G8" s="21"/>
      <c r="H8" s="21" t="s">
        <v>141</v>
      </c>
      <c r="I8" s="21"/>
      <c r="J8" s="22" t="n">
        <v>1</v>
      </c>
      <c r="K8" s="22" t="n">
        <v>1</v>
      </c>
      <c r="L8" s="22" t="n">
        <v>0</v>
      </c>
      <c r="M8" s="21" t="s">
        <v>138</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144</v>
      </c>
      <c r="B9" s="21" t="s">
        <v>63</v>
      </c>
      <c r="C9" s="21" t="s">
        <v>66</v>
      </c>
      <c r="D9" s="21" t="s">
        <v>68</v>
      </c>
      <c r="E9" s="21"/>
      <c r="F9" s="21" t="s">
        <v>145</v>
      </c>
      <c r="G9" s="21"/>
      <c r="H9" s="21" t="s">
        <v>146</v>
      </c>
      <c r="I9" s="21"/>
      <c r="J9" s="22" t="n">
        <v>1</v>
      </c>
      <c r="K9" s="22" t="n">
        <v>1</v>
      </c>
      <c r="L9" s="22" t="n">
        <v>0</v>
      </c>
      <c r="M9" s="21" t="s">
        <v>138</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t="s">
        <v>147</v>
      </c>
      <c r="B10" s="21" t="s">
        <v>63</v>
      </c>
      <c r="C10" s="21" t="s">
        <v>66</v>
      </c>
      <c r="D10" s="21" t="s">
        <v>68</v>
      </c>
      <c r="E10" s="21" t="s">
        <v>71</v>
      </c>
      <c r="F10" s="21" t="s">
        <v>148</v>
      </c>
      <c r="G10" s="21"/>
      <c r="H10" s="21" t="s">
        <v>149</v>
      </c>
      <c r="I10" s="21"/>
      <c r="J10" s="22" t="n">
        <v>1</v>
      </c>
      <c r="K10" s="22" t="n">
        <v>1</v>
      </c>
      <c r="L10" s="22" t="n">
        <v>0</v>
      </c>
      <c r="M10" s="21" t="s">
        <v>138</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t="s">
        <v>150</v>
      </c>
      <c r="B11" s="21" t="s">
        <v>63</v>
      </c>
      <c r="C11" s="21" t="s">
        <v>66</v>
      </c>
      <c r="D11" s="21" t="s">
        <v>68</v>
      </c>
      <c r="E11" s="21" t="s">
        <v>71</v>
      </c>
      <c r="F11" s="21" t="s">
        <v>151</v>
      </c>
      <c r="G11" s="21"/>
      <c r="H11" s="21" t="s">
        <v>149</v>
      </c>
      <c r="I11" s="21"/>
      <c r="J11" s="22" t="n">
        <v>1</v>
      </c>
      <c r="K11" s="22" t="n">
        <v>1</v>
      </c>
      <c r="L11" s="22" t="n">
        <v>0</v>
      </c>
      <c r="M11" s="21" t="s">
        <v>138</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c r="B12" s="21" t="s">
        <v>63</v>
      </c>
      <c r="C12" s="21" t="s">
        <v>66</v>
      </c>
      <c r="D12" s="21" t="s">
        <v>68</v>
      </c>
      <c r="E12" s="21" t="s">
        <v>71</v>
      </c>
      <c r="F12" s="21" t="s">
        <v>152</v>
      </c>
      <c r="G12" s="21"/>
      <c r="H12" s="21" t="s">
        <v>149</v>
      </c>
      <c r="I12" s="21"/>
      <c r="J12" s="22" t="n">
        <v>2</v>
      </c>
      <c r="K12" s="22" t="n">
        <v>2</v>
      </c>
      <c r="L12" s="22" t="n">
        <v>0</v>
      </c>
      <c r="M12" s="21" t="s">
        <v>138</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t="s">
        <v>153</v>
      </c>
      <c r="B13" s="21" t="s">
        <v>63</v>
      </c>
      <c r="C13" s="21" t="s">
        <v>66</v>
      </c>
      <c r="D13" s="21" t="s">
        <v>68</v>
      </c>
      <c r="E13" s="21" t="s">
        <v>71</v>
      </c>
      <c r="F13" s="21" t="s">
        <v>154</v>
      </c>
      <c r="G13" s="21"/>
      <c r="H13" s="21" t="s">
        <v>149</v>
      </c>
      <c r="I13" s="21"/>
      <c r="J13" s="22" t="n">
        <v>1</v>
      </c>
      <c r="K13" s="22" t="n">
        <v>0</v>
      </c>
      <c r="L13" s="22" t="n">
        <v>1</v>
      </c>
      <c r="M13" s="21" t="s">
        <v>138</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c r="B14" s="21" t="s">
        <v>63</v>
      </c>
      <c r="C14" s="21" t="s">
        <v>66</v>
      </c>
      <c r="D14" s="21" t="s">
        <v>68</v>
      </c>
      <c r="E14" s="21" t="s">
        <v>71</v>
      </c>
      <c r="F14" s="21" t="s">
        <v>155</v>
      </c>
      <c r="G14" s="21"/>
      <c r="H14" s="21" t="s">
        <v>149</v>
      </c>
      <c r="I14" s="21"/>
      <c r="J14" s="22" t="n">
        <v>2</v>
      </c>
      <c r="K14" s="22" t="n">
        <v>1</v>
      </c>
      <c r="L14" s="22" t="n">
        <v>1</v>
      </c>
      <c r="M14" s="21" t="s">
        <v>138</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144</v>
      </c>
      <c r="B15" s="21" t="s">
        <v>63</v>
      </c>
      <c r="C15" s="21" t="s">
        <v>66</v>
      </c>
      <c r="D15" s="21" t="s">
        <v>68</v>
      </c>
      <c r="E15" s="21" t="s">
        <v>71</v>
      </c>
      <c r="F15" s="21" t="s">
        <v>156</v>
      </c>
      <c r="G15" s="21"/>
      <c r="H15" s="21" t="s">
        <v>146</v>
      </c>
      <c r="I15" s="21"/>
      <c r="J15" s="22" t="n">
        <v>1</v>
      </c>
      <c r="K15" s="22" t="n">
        <v>0</v>
      </c>
      <c r="L15" s="22" t="n">
        <v>1</v>
      </c>
      <c r="M15" s="21" t="s">
        <v>138</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t="s">
        <v>157</v>
      </c>
      <c r="B16" s="21" t="s">
        <v>63</v>
      </c>
      <c r="C16" s="21" t="s">
        <v>66</v>
      </c>
      <c r="D16" s="21" t="s">
        <v>68</v>
      </c>
      <c r="E16" s="21" t="s">
        <v>73</v>
      </c>
      <c r="F16" s="21" t="s">
        <v>151</v>
      </c>
      <c r="G16" s="21"/>
      <c r="H16" s="21" t="s">
        <v>149</v>
      </c>
      <c r="I16" s="21"/>
      <c r="J16" s="22" t="n">
        <v>1</v>
      </c>
      <c r="K16" s="22" t="n">
        <v>1</v>
      </c>
      <c r="L16" s="22" t="n">
        <v>0</v>
      </c>
      <c r="M16" s="21" t="s">
        <v>138</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t="s">
        <v>158</v>
      </c>
      <c r="B17" s="21" t="s">
        <v>63</v>
      </c>
      <c r="C17" s="21" t="s">
        <v>66</v>
      </c>
      <c r="D17" s="21" t="s">
        <v>68</v>
      </c>
      <c r="E17" s="21" t="s">
        <v>73</v>
      </c>
      <c r="F17" s="21" t="s">
        <v>152</v>
      </c>
      <c r="G17" s="21"/>
      <c r="H17" s="21" t="s">
        <v>149</v>
      </c>
      <c r="I17" s="21"/>
      <c r="J17" s="22" t="n">
        <v>1</v>
      </c>
      <c r="K17" s="22" t="n">
        <v>0</v>
      </c>
      <c r="L17" s="22" t="n">
        <v>1</v>
      </c>
      <c r="M17" s="21" t="s">
        <v>138</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c r="B18" s="21" t="s">
        <v>63</v>
      </c>
      <c r="C18" s="21" t="s">
        <v>66</v>
      </c>
      <c r="D18" s="21" t="s">
        <v>68</v>
      </c>
      <c r="E18" s="21" t="s">
        <v>73</v>
      </c>
      <c r="F18" s="21" t="s">
        <v>159</v>
      </c>
      <c r="G18" s="21"/>
      <c r="H18" s="21" t="s">
        <v>149</v>
      </c>
      <c r="I18" s="21"/>
      <c r="J18" s="22" t="n">
        <v>2</v>
      </c>
      <c r="K18" s="22" t="n">
        <v>2</v>
      </c>
      <c r="L18" s="22" t="n">
        <v>0</v>
      </c>
      <c r="M18" s="21" t="s">
        <v>138</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c r="B19" s="21" t="s">
        <v>63</v>
      </c>
      <c r="C19" s="21" t="s">
        <v>66</v>
      </c>
      <c r="D19" s="21" t="s">
        <v>68</v>
      </c>
      <c r="E19" s="21" t="s">
        <v>73</v>
      </c>
      <c r="F19" s="21" t="s">
        <v>154</v>
      </c>
      <c r="G19" s="21"/>
      <c r="H19" s="21" t="s">
        <v>149</v>
      </c>
      <c r="I19" s="21"/>
      <c r="J19" s="22" t="n">
        <v>3</v>
      </c>
      <c r="K19" s="22" t="n">
        <v>2</v>
      </c>
      <c r="L19" s="22" t="n">
        <v>1</v>
      </c>
      <c r="M19" s="21" t="s">
        <v>138</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t="s">
        <v>160</v>
      </c>
      <c r="B20" s="21" t="s">
        <v>63</v>
      </c>
      <c r="C20" s="21" t="s">
        <v>66</v>
      </c>
      <c r="D20" s="21" t="s">
        <v>68</v>
      </c>
      <c r="E20" s="21" t="s">
        <v>73</v>
      </c>
      <c r="F20" s="21" t="s">
        <v>156</v>
      </c>
      <c r="G20" s="21"/>
      <c r="H20" s="21" t="s">
        <v>146</v>
      </c>
      <c r="I20" s="21"/>
      <c r="J20" s="22" t="n">
        <v>1</v>
      </c>
      <c r="K20" s="22" t="n">
        <v>1</v>
      </c>
      <c r="L20" s="22" t="n">
        <v>0</v>
      </c>
      <c r="M20" s="21" t="s">
        <v>138</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t="s">
        <v>161</v>
      </c>
      <c r="B21" s="21" t="s">
        <v>63</v>
      </c>
      <c r="C21" s="21" t="s">
        <v>66</v>
      </c>
      <c r="D21" s="21" t="s">
        <v>75</v>
      </c>
      <c r="E21" s="21"/>
      <c r="F21" s="21" t="s">
        <v>145</v>
      </c>
      <c r="G21" s="21"/>
      <c r="H21" s="21" t="s">
        <v>146</v>
      </c>
      <c r="I21" s="21"/>
      <c r="J21" s="22" t="n">
        <v>1</v>
      </c>
      <c r="K21" s="22" t="n">
        <v>1</v>
      </c>
      <c r="L21" s="22" t="n">
        <v>0</v>
      </c>
      <c r="M21" s="21" t="s">
        <v>138</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c r="B22" s="21" t="s">
        <v>63</v>
      </c>
      <c r="C22" s="21" t="s">
        <v>66</v>
      </c>
      <c r="D22" s="21" t="s">
        <v>75</v>
      </c>
      <c r="E22" s="21" t="s">
        <v>77</v>
      </c>
      <c r="F22" s="21" t="s">
        <v>151</v>
      </c>
      <c r="G22" s="21"/>
      <c r="H22" s="21" t="s">
        <v>149</v>
      </c>
      <c r="I22" s="21"/>
      <c r="J22" s="22" t="n">
        <v>2</v>
      </c>
      <c r="K22" s="22" t="n">
        <v>2</v>
      </c>
      <c r="L22" s="22" t="n">
        <v>0</v>
      </c>
      <c r="M22" s="21" t="s">
        <v>138</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162</v>
      </c>
      <c r="B23" s="21" t="s">
        <v>63</v>
      </c>
      <c r="C23" s="21" t="s">
        <v>66</v>
      </c>
      <c r="D23" s="21" t="s">
        <v>75</v>
      </c>
      <c r="E23" s="21" t="s">
        <v>77</v>
      </c>
      <c r="F23" s="21" t="s">
        <v>159</v>
      </c>
      <c r="G23" s="21"/>
      <c r="H23" s="21" t="s">
        <v>149</v>
      </c>
      <c r="I23" s="21"/>
      <c r="J23" s="22" t="n">
        <v>1</v>
      </c>
      <c r="K23" s="22" t="n">
        <v>0</v>
      </c>
      <c r="L23" s="22" t="n">
        <v>1</v>
      </c>
      <c r="M23" s="21" t="s">
        <v>138</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c r="B24" s="21" t="s">
        <v>63</v>
      </c>
      <c r="C24" s="21" t="s">
        <v>66</v>
      </c>
      <c r="D24" s="21" t="s">
        <v>75</v>
      </c>
      <c r="E24" s="21" t="s">
        <v>77</v>
      </c>
      <c r="F24" s="21" t="s">
        <v>154</v>
      </c>
      <c r="G24" s="21"/>
      <c r="H24" s="21" t="s">
        <v>149</v>
      </c>
      <c r="I24" s="21"/>
      <c r="J24" s="22" t="n">
        <v>2</v>
      </c>
      <c r="K24" s="22" t="n">
        <v>2</v>
      </c>
      <c r="L24" s="22" t="n">
        <v>0</v>
      </c>
      <c r="M24" s="21" t="s">
        <v>138</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t="s">
        <v>150</v>
      </c>
      <c r="B25" s="21" t="s">
        <v>63</v>
      </c>
      <c r="C25" s="21" t="s">
        <v>66</v>
      </c>
      <c r="D25" s="21" t="s">
        <v>75</v>
      </c>
      <c r="E25" s="21" t="s">
        <v>77</v>
      </c>
      <c r="F25" s="21" t="s">
        <v>156</v>
      </c>
      <c r="G25" s="21"/>
      <c r="H25" s="21" t="s">
        <v>146</v>
      </c>
      <c r="I25" s="21"/>
      <c r="J25" s="22" t="n">
        <v>1</v>
      </c>
      <c r="K25" s="22" t="n">
        <v>0</v>
      </c>
      <c r="L25" s="22" t="n">
        <v>1</v>
      </c>
      <c r="M25" s="21" t="s">
        <v>138</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t="s">
        <v>163</v>
      </c>
      <c r="B26" s="21" t="s">
        <v>63</v>
      </c>
      <c r="C26" s="21" t="s">
        <v>66</v>
      </c>
      <c r="D26" s="21" t="s">
        <v>75</v>
      </c>
      <c r="E26" s="21" t="s">
        <v>79</v>
      </c>
      <c r="F26" s="21" t="s">
        <v>148</v>
      </c>
      <c r="G26" s="21"/>
      <c r="H26" s="21" t="s">
        <v>149</v>
      </c>
      <c r="I26" s="21"/>
      <c r="J26" s="22" t="n">
        <v>1</v>
      </c>
      <c r="K26" s="22" t="n">
        <v>1</v>
      </c>
      <c r="L26" s="22" t="n">
        <v>0</v>
      </c>
      <c r="M26" s="21" t="s">
        <v>138</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t="s">
        <v>164</v>
      </c>
      <c r="B27" s="21" t="s">
        <v>63</v>
      </c>
      <c r="C27" s="21" t="s">
        <v>66</v>
      </c>
      <c r="D27" s="21" t="s">
        <v>75</v>
      </c>
      <c r="E27" s="21" t="s">
        <v>79</v>
      </c>
      <c r="F27" s="21" t="s">
        <v>159</v>
      </c>
      <c r="G27" s="21"/>
      <c r="H27" s="21" t="s">
        <v>149</v>
      </c>
      <c r="I27" s="21"/>
      <c r="J27" s="22" t="n">
        <v>1</v>
      </c>
      <c r="K27" s="22" t="n">
        <v>1</v>
      </c>
      <c r="L27" s="22" t="n">
        <v>0</v>
      </c>
      <c r="M27" s="21" t="s">
        <v>138</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c r="B28" s="21" t="s">
        <v>63</v>
      </c>
      <c r="C28" s="21" t="s">
        <v>66</v>
      </c>
      <c r="D28" s="21" t="s">
        <v>75</v>
      </c>
      <c r="E28" s="21" t="s">
        <v>79</v>
      </c>
      <c r="F28" s="21" t="s">
        <v>155</v>
      </c>
      <c r="G28" s="21"/>
      <c r="H28" s="21" t="s">
        <v>149</v>
      </c>
      <c r="I28" s="21"/>
      <c r="J28" s="22" t="n">
        <v>2</v>
      </c>
      <c r="K28" s="22" t="n">
        <v>2</v>
      </c>
      <c r="L28" s="22" t="n">
        <v>0</v>
      </c>
      <c r="M28" s="21" t="s">
        <v>138</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t="s">
        <v>158</v>
      </c>
      <c r="B29" s="21" t="s">
        <v>63</v>
      </c>
      <c r="C29" s="21" t="s">
        <v>66</v>
      </c>
      <c r="D29" s="21" t="s">
        <v>75</v>
      </c>
      <c r="E29" s="21" t="s">
        <v>79</v>
      </c>
      <c r="F29" s="21" t="s">
        <v>155</v>
      </c>
      <c r="G29" s="21"/>
      <c r="H29" s="21" t="s">
        <v>149</v>
      </c>
      <c r="I29" s="21"/>
      <c r="J29" s="22" t="n">
        <v>1</v>
      </c>
      <c r="K29" s="22" t="n">
        <v>1</v>
      </c>
      <c r="L29" s="22" t="n">
        <v>0</v>
      </c>
      <c r="M29" s="21" t="s">
        <v>165</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t="s">
        <v>166</v>
      </c>
      <c r="B30" s="21" t="s">
        <v>63</v>
      </c>
      <c r="C30" s="21" t="s">
        <v>66</v>
      </c>
      <c r="D30" s="21" t="s">
        <v>75</v>
      </c>
      <c r="E30" s="21" t="s">
        <v>79</v>
      </c>
      <c r="F30" s="21" t="s">
        <v>156</v>
      </c>
      <c r="G30" s="21"/>
      <c r="H30" s="21" t="s">
        <v>146</v>
      </c>
      <c r="I30" s="21"/>
      <c r="J30" s="22" t="n">
        <v>1</v>
      </c>
      <c r="K30" s="22" t="n">
        <v>1</v>
      </c>
      <c r="L30" s="22" t="n">
        <v>0</v>
      </c>
      <c r="M30" s="21" t="s">
        <v>165</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t="s">
        <v>167</v>
      </c>
      <c r="B31" s="21" t="s">
        <v>63</v>
      </c>
      <c r="C31" s="21" t="s">
        <v>81</v>
      </c>
      <c r="D31" s="21"/>
      <c r="E31" s="21"/>
      <c r="F31" s="21" t="s">
        <v>168</v>
      </c>
      <c r="G31" s="21"/>
      <c r="H31" s="21" t="s">
        <v>141</v>
      </c>
      <c r="I31" s="21"/>
      <c r="J31" s="22" t="n">
        <v>1</v>
      </c>
      <c r="K31" s="22" t="n">
        <v>1</v>
      </c>
      <c r="L31" s="22" t="n">
        <v>0</v>
      </c>
      <c r="M31" s="21" t="s">
        <v>138</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t="s">
        <v>160</v>
      </c>
      <c r="B32" s="21" t="s">
        <v>63</v>
      </c>
      <c r="C32" s="21" t="s">
        <v>81</v>
      </c>
      <c r="D32" s="21" t="s">
        <v>83</v>
      </c>
      <c r="E32" s="21"/>
      <c r="F32" s="21" t="s">
        <v>169</v>
      </c>
      <c r="G32" s="21"/>
      <c r="H32" s="21" t="s">
        <v>146</v>
      </c>
      <c r="I32" s="21"/>
      <c r="J32" s="22" t="n">
        <v>1</v>
      </c>
      <c r="K32" s="22" t="n">
        <v>1</v>
      </c>
      <c r="L32" s="22" t="n">
        <v>0</v>
      </c>
      <c r="M32" s="21" t="s">
        <v>138</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c r="B33" s="21" t="s">
        <v>63</v>
      </c>
      <c r="C33" s="21" t="s">
        <v>81</v>
      </c>
      <c r="D33" s="21" t="s">
        <v>83</v>
      </c>
      <c r="E33" s="21" t="s">
        <v>85</v>
      </c>
      <c r="F33" s="21" t="s">
        <v>170</v>
      </c>
      <c r="G33" s="21"/>
      <c r="H33" s="21" t="s">
        <v>149</v>
      </c>
      <c r="I33" s="21"/>
      <c r="J33" s="22" t="n">
        <v>2</v>
      </c>
      <c r="K33" s="22" t="n">
        <v>2</v>
      </c>
      <c r="L33" s="22" t="n">
        <v>0</v>
      </c>
      <c r="M33" s="21" t="s">
        <v>138</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t="s">
        <v>171</v>
      </c>
      <c r="B34" s="21" t="s">
        <v>63</v>
      </c>
      <c r="C34" s="21" t="s">
        <v>81</v>
      </c>
      <c r="D34" s="21" t="s">
        <v>83</v>
      </c>
      <c r="E34" s="21" t="s">
        <v>85</v>
      </c>
      <c r="F34" s="21" t="s">
        <v>172</v>
      </c>
      <c r="G34" s="21"/>
      <c r="H34" s="21" t="s">
        <v>149</v>
      </c>
      <c r="I34" s="21"/>
      <c r="J34" s="22" t="n">
        <v>1</v>
      </c>
      <c r="K34" s="22" t="n">
        <v>1</v>
      </c>
      <c r="L34" s="22" t="n">
        <v>0</v>
      </c>
      <c r="M34" s="21" t="s">
        <v>138</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c r="B35" s="21" t="s">
        <v>63</v>
      </c>
      <c r="C35" s="21" t="s">
        <v>81</v>
      </c>
      <c r="D35" s="21" t="s">
        <v>83</v>
      </c>
      <c r="E35" s="21" t="s">
        <v>85</v>
      </c>
      <c r="F35" s="21" t="s">
        <v>173</v>
      </c>
      <c r="G35" s="21"/>
      <c r="H35" s="21" t="s">
        <v>149</v>
      </c>
      <c r="I35" s="21"/>
      <c r="J35" s="22" t="n">
        <v>2</v>
      </c>
      <c r="K35" s="22" t="n">
        <v>2</v>
      </c>
      <c r="L35" s="22" t="n">
        <v>0</v>
      </c>
      <c r="M35" s="21" t="s">
        <v>138</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t="s">
        <v>174</v>
      </c>
      <c r="B36" s="21" t="s">
        <v>63</v>
      </c>
      <c r="C36" s="21" t="s">
        <v>81</v>
      </c>
      <c r="D36" s="21" t="s">
        <v>83</v>
      </c>
      <c r="E36" s="21" t="s">
        <v>85</v>
      </c>
      <c r="F36" s="21" t="s">
        <v>175</v>
      </c>
      <c r="G36" s="21"/>
      <c r="H36" s="21" t="s">
        <v>149</v>
      </c>
      <c r="I36" s="21"/>
      <c r="J36" s="22" t="n">
        <v>1</v>
      </c>
      <c r="K36" s="22" t="n">
        <v>1</v>
      </c>
      <c r="L36" s="22" t="n">
        <v>0</v>
      </c>
      <c r="M36" s="21" t="s">
        <v>138</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135</v>
      </c>
      <c r="B37" s="21" t="s">
        <v>63</v>
      </c>
      <c r="C37" s="21" t="s">
        <v>81</v>
      </c>
      <c r="D37" s="21" t="s">
        <v>83</v>
      </c>
      <c r="E37" s="21" t="s">
        <v>85</v>
      </c>
      <c r="F37" s="21" t="s">
        <v>176</v>
      </c>
      <c r="G37" s="21"/>
      <c r="H37" s="21" t="s">
        <v>146</v>
      </c>
      <c r="I37" s="21"/>
      <c r="J37" s="22" t="n">
        <v>1</v>
      </c>
      <c r="K37" s="22" t="n">
        <v>1</v>
      </c>
      <c r="L37" s="22" t="n">
        <v>0</v>
      </c>
      <c r="M37" s="21" t="s">
        <v>138</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c r="B38" s="21" t="s">
        <v>63</v>
      </c>
      <c r="C38" s="21" t="s">
        <v>81</v>
      </c>
      <c r="D38" s="21" t="s">
        <v>83</v>
      </c>
      <c r="E38" s="21" t="s">
        <v>87</v>
      </c>
      <c r="F38" s="21" t="s">
        <v>177</v>
      </c>
      <c r="G38" s="21"/>
      <c r="H38" s="21" t="s">
        <v>149</v>
      </c>
      <c r="I38" s="21"/>
      <c r="J38" s="22" t="n">
        <v>3</v>
      </c>
      <c r="K38" s="22" t="n">
        <v>3</v>
      </c>
      <c r="L38" s="22" t="n">
        <v>0</v>
      </c>
      <c r="M38" s="21" t="s">
        <v>138</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t="s">
        <v>178</v>
      </c>
      <c r="B39" s="21" t="s">
        <v>63</v>
      </c>
      <c r="C39" s="21" t="s">
        <v>81</v>
      </c>
      <c r="D39" s="21" t="s">
        <v>83</v>
      </c>
      <c r="E39" s="21" t="s">
        <v>87</v>
      </c>
      <c r="F39" s="21" t="s">
        <v>179</v>
      </c>
      <c r="G39" s="21"/>
      <c r="H39" s="21" t="s">
        <v>149</v>
      </c>
      <c r="I39" s="21"/>
      <c r="J39" s="22" t="n">
        <v>1</v>
      </c>
      <c r="K39" s="22" t="n">
        <v>1</v>
      </c>
      <c r="L39" s="22" t="n">
        <v>0</v>
      </c>
      <c r="M39" s="21" t="s">
        <v>138</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t="s">
        <v>180</v>
      </c>
      <c r="B40" s="21" t="s">
        <v>63</v>
      </c>
      <c r="C40" s="21" t="s">
        <v>81</v>
      </c>
      <c r="D40" s="21" t="s">
        <v>83</v>
      </c>
      <c r="E40" s="21" t="s">
        <v>87</v>
      </c>
      <c r="F40" s="21" t="s">
        <v>170</v>
      </c>
      <c r="G40" s="21"/>
      <c r="H40" s="21" t="s">
        <v>149</v>
      </c>
      <c r="I40" s="21"/>
      <c r="J40" s="22" t="n">
        <v>1</v>
      </c>
      <c r="K40" s="22" t="n">
        <v>1</v>
      </c>
      <c r="L40" s="22" t="n">
        <v>0</v>
      </c>
      <c r="M40" s="21" t="s">
        <v>138</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c r="B41" s="21" t="s">
        <v>63</v>
      </c>
      <c r="C41" s="21" t="s">
        <v>81</v>
      </c>
      <c r="D41" s="21" t="s">
        <v>83</v>
      </c>
      <c r="E41" s="21" t="s">
        <v>87</v>
      </c>
      <c r="F41" s="21" t="s">
        <v>173</v>
      </c>
      <c r="G41" s="21"/>
      <c r="H41" s="21" t="s">
        <v>149</v>
      </c>
      <c r="I41" s="21"/>
      <c r="J41" s="22" t="n">
        <v>2</v>
      </c>
      <c r="K41" s="22" t="n">
        <v>2</v>
      </c>
      <c r="L41" s="22" t="n">
        <v>0</v>
      </c>
      <c r="M41" s="21" t="s">
        <v>138</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c r="B42" s="21" t="s">
        <v>63</v>
      </c>
      <c r="C42" s="21" t="s">
        <v>81</v>
      </c>
      <c r="D42" s="21" t="s">
        <v>83</v>
      </c>
      <c r="E42" s="21" t="s">
        <v>87</v>
      </c>
      <c r="F42" s="21" t="s">
        <v>175</v>
      </c>
      <c r="G42" s="21"/>
      <c r="H42" s="21" t="s">
        <v>149</v>
      </c>
      <c r="I42" s="21"/>
      <c r="J42" s="22" t="n">
        <v>2</v>
      </c>
      <c r="K42" s="22" t="n">
        <v>2</v>
      </c>
      <c r="L42" s="22" t="n">
        <v>0</v>
      </c>
      <c r="M42" s="21" t="s">
        <v>138</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t="s">
        <v>181</v>
      </c>
      <c r="B43" s="21" t="s">
        <v>63</v>
      </c>
      <c r="C43" s="21" t="s">
        <v>81</v>
      </c>
      <c r="D43" s="21" t="s">
        <v>83</v>
      </c>
      <c r="E43" s="21" t="s">
        <v>87</v>
      </c>
      <c r="F43" s="21" t="s">
        <v>176</v>
      </c>
      <c r="G43" s="21"/>
      <c r="H43" s="21" t="s">
        <v>146</v>
      </c>
      <c r="I43" s="21"/>
      <c r="J43" s="22" t="n">
        <v>1</v>
      </c>
      <c r="K43" s="22" t="n">
        <v>0</v>
      </c>
      <c r="L43" s="22" t="n">
        <v>1</v>
      </c>
      <c r="M43" s="21" t="s">
        <v>138</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163</v>
      </c>
      <c r="B44" s="21" t="s">
        <v>63</v>
      </c>
      <c r="C44" s="21" t="s">
        <v>81</v>
      </c>
      <c r="D44" s="21" t="s">
        <v>89</v>
      </c>
      <c r="E44" s="21"/>
      <c r="F44" s="21" t="s">
        <v>169</v>
      </c>
      <c r="G44" s="21"/>
      <c r="H44" s="21" t="s">
        <v>146</v>
      </c>
      <c r="I44" s="21"/>
      <c r="J44" s="22" t="n">
        <v>1</v>
      </c>
      <c r="K44" s="22" t="n">
        <v>1</v>
      </c>
      <c r="L44" s="22" t="n">
        <v>0</v>
      </c>
      <c r="M44" s="21" t="s">
        <v>138</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182</v>
      </c>
      <c r="B45" s="21" t="s">
        <v>63</v>
      </c>
      <c r="C45" s="21" t="s">
        <v>81</v>
      </c>
      <c r="D45" s="21" t="s">
        <v>89</v>
      </c>
      <c r="E45" s="21" t="s">
        <v>91</v>
      </c>
      <c r="F45" s="21" t="s">
        <v>179</v>
      </c>
      <c r="G45" s="21"/>
      <c r="H45" s="21" t="s">
        <v>149</v>
      </c>
      <c r="I45" s="21"/>
      <c r="J45" s="22" t="n">
        <v>1</v>
      </c>
      <c r="K45" s="22" t="n">
        <v>1</v>
      </c>
      <c r="L45" s="22" t="n">
        <v>0</v>
      </c>
      <c r="M45" s="21" t="s">
        <v>138</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c r="B46" s="21" t="s">
        <v>63</v>
      </c>
      <c r="C46" s="21" t="s">
        <v>81</v>
      </c>
      <c r="D46" s="21" t="s">
        <v>89</v>
      </c>
      <c r="E46" s="21" t="s">
        <v>91</v>
      </c>
      <c r="F46" s="21" t="s">
        <v>170</v>
      </c>
      <c r="G46" s="21"/>
      <c r="H46" s="21" t="s">
        <v>149</v>
      </c>
      <c r="I46" s="21"/>
      <c r="J46" s="22" t="n">
        <v>2</v>
      </c>
      <c r="K46" s="22" t="n">
        <v>1</v>
      </c>
      <c r="L46" s="22" t="n">
        <v>1</v>
      </c>
      <c r="M46" s="21" t="s">
        <v>138</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t="s">
        <v>183</v>
      </c>
      <c r="B47" s="21" t="s">
        <v>63</v>
      </c>
      <c r="C47" s="21" t="s">
        <v>81</v>
      </c>
      <c r="D47" s="21" t="s">
        <v>89</v>
      </c>
      <c r="E47" s="21" t="s">
        <v>91</v>
      </c>
      <c r="F47" s="21" t="s">
        <v>172</v>
      </c>
      <c r="G47" s="21"/>
      <c r="H47" s="21" t="s">
        <v>149</v>
      </c>
      <c r="I47" s="21"/>
      <c r="J47" s="22" t="n">
        <v>1</v>
      </c>
      <c r="K47" s="22" t="n">
        <v>1</v>
      </c>
      <c r="L47" s="22" t="n">
        <v>0</v>
      </c>
      <c r="M47" s="21" t="s">
        <v>138</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c r="B48" s="21" t="s">
        <v>63</v>
      </c>
      <c r="C48" s="21" t="s">
        <v>81</v>
      </c>
      <c r="D48" s="21" t="s">
        <v>89</v>
      </c>
      <c r="E48" s="21" t="s">
        <v>91</v>
      </c>
      <c r="F48" s="21" t="s">
        <v>175</v>
      </c>
      <c r="G48" s="21"/>
      <c r="H48" s="21" t="s">
        <v>149</v>
      </c>
      <c r="I48" s="21"/>
      <c r="J48" s="22" t="n">
        <v>2</v>
      </c>
      <c r="K48" s="22" t="n">
        <v>2</v>
      </c>
      <c r="L48" s="22" t="n">
        <v>0</v>
      </c>
      <c r="M48" s="21" t="s">
        <v>138</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t="s">
        <v>184</v>
      </c>
      <c r="B49" s="21" t="s">
        <v>63</v>
      </c>
      <c r="C49" s="21" t="s">
        <v>81</v>
      </c>
      <c r="D49" s="21" t="s">
        <v>89</v>
      </c>
      <c r="E49" s="21" t="s">
        <v>91</v>
      </c>
      <c r="F49" s="21" t="s">
        <v>176</v>
      </c>
      <c r="G49" s="21"/>
      <c r="H49" s="21" t="s">
        <v>146</v>
      </c>
      <c r="I49" s="21"/>
      <c r="J49" s="22" t="n">
        <v>1</v>
      </c>
      <c r="K49" s="22" t="n">
        <v>0</v>
      </c>
      <c r="L49" s="22" t="n">
        <v>1</v>
      </c>
      <c r="M49" s="21" t="s">
        <v>138</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t="s">
        <v>185</v>
      </c>
      <c r="B50" s="21" t="s">
        <v>63</v>
      </c>
      <c r="C50" s="21" t="s">
        <v>81</v>
      </c>
      <c r="D50" s="21" t="s">
        <v>89</v>
      </c>
      <c r="E50" s="21" t="s">
        <v>93</v>
      </c>
      <c r="F50" s="21" t="s">
        <v>177</v>
      </c>
      <c r="G50" s="21"/>
      <c r="H50" s="21" t="s">
        <v>149</v>
      </c>
      <c r="I50" s="21"/>
      <c r="J50" s="22" t="n">
        <v>1</v>
      </c>
      <c r="K50" s="22" t="n">
        <v>1</v>
      </c>
      <c r="L50" s="22" t="n">
        <v>0</v>
      </c>
      <c r="M50" s="21" t="s">
        <v>138</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c r="B51" s="21" t="s">
        <v>63</v>
      </c>
      <c r="C51" s="21" t="s">
        <v>81</v>
      </c>
      <c r="D51" s="21" t="s">
        <v>89</v>
      </c>
      <c r="E51" s="21" t="s">
        <v>93</v>
      </c>
      <c r="F51" s="21" t="s">
        <v>179</v>
      </c>
      <c r="G51" s="21"/>
      <c r="H51" s="21" t="s">
        <v>149</v>
      </c>
      <c r="I51" s="21"/>
      <c r="J51" s="22" t="n">
        <v>2</v>
      </c>
      <c r="K51" s="22" t="n">
        <v>2</v>
      </c>
      <c r="L51" s="22" t="n">
        <v>0</v>
      </c>
      <c r="M51" s="21" t="s">
        <v>138</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c r="B52" s="21" t="s">
        <v>63</v>
      </c>
      <c r="C52" s="21" t="s">
        <v>81</v>
      </c>
      <c r="D52" s="21" t="s">
        <v>89</v>
      </c>
      <c r="E52" s="21" t="s">
        <v>93</v>
      </c>
      <c r="F52" s="21" t="s">
        <v>170</v>
      </c>
      <c r="G52" s="21"/>
      <c r="H52" s="21" t="s">
        <v>149</v>
      </c>
      <c r="I52" s="21"/>
      <c r="J52" s="22" t="n">
        <v>2</v>
      </c>
      <c r="K52" s="22" t="n">
        <v>2</v>
      </c>
      <c r="L52" s="22" t="n">
        <v>0</v>
      </c>
      <c r="M52" s="21" t="s">
        <v>138</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t="s">
        <v>182</v>
      </c>
      <c r="B53" s="21" t="s">
        <v>63</v>
      </c>
      <c r="C53" s="21" t="s">
        <v>81</v>
      </c>
      <c r="D53" s="21" t="s">
        <v>89</v>
      </c>
      <c r="E53" s="21" t="s">
        <v>93</v>
      </c>
      <c r="F53" s="21" t="s">
        <v>172</v>
      </c>
      <c r="G53" s="21"/>
      <c r="H53" s="21" t="s">
        <v>149</v>
      </c>
      <c r="I53" s="21"/>
      <c r="J53" s="22" t="n">
        <v>1</v>
      </c>
      <c r="K53" s="22" t="n">
        <v>1</v>
      </c>
      <c r="L53" s="22" t="n">
        <v>0</v>
      </c>
      <c r="M53" s="21" t="s">
        <v>138</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c r="B54" s="21" t="s">
        <v>63</v>
      </c>
      <c r="C54" s="21" t="s">
        <v>81</v>
      </c>
      <c r="D54" s="21" t="s">
        <v>89</v>
      </c>
      <c r="E54" s="21" t="s">
        <v>93</v>
      </c>
      <c r="F54" s="21" t="s">
        <v>173</v>
      </c>
      <c r="G54" s="21"/>
      <c r="H54" s="21" t="s">
        <v>149</v>
      </c>
      <c r="I54" s="21"/>
      <c r="J54" s="22" t="n">
        <v>2</v>
      </c>
      <c r="K54" s="22" t="n">
        <v>1</v>
      </c>
      <c r="L54" s="22" t="n">
        <v>1</v>
      </c>
      <c r="M54" s="21" t="s">
        <v>138</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t="s">
        <v>186</v>
      </c>
      <c r="B55" s="21" t="s">
        <v>63</v>
      </c>
      <c r="C55" s="21" t="s">
        <v>81</v>
      </c>
      <c r="D55" s="21" t="s">
        <v>89</v>
      </c>
      <c r="E55" s="21" t="s">
        <v>93</v>
      </c>
      <c r="F55" s="21" t="s">
        <v>176</v>
      </c>
      <c r="G55" s="21"/>
      <c r="H55" s="21" t="s">
        <v>146</v>
      </c>
      <c r="I55" s="21"/>
      <c r="J55" s="22" t="n">
        <v>1</v>
      </c>
      <c r="K55" s="22" t="n">
        <v>1</v>
      </c>
      <c r="L55" s="22" t="n">
        <v>0</v>
      </c>
      <c r="M55" s="21" t="s">
        <v>138</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157</v>
      </c>
      <c r="B56" s="21" t="s">
        <v>95</v>
      </c>
      <c r="C56" s="21"/>
      <c r="D56" s="21"/>
      <c r="E56" s="21"/>
      <c r="F56" s="21" t="s">
        <v>187</v>
      </c>
      <c r="G56" s="21"/>
      <c r="H56" s="21" t="s">
        <v>141</v>
      </c>
      <c r="I56" s="21"/>
      <c r="J56" s="22" t="n">
        <v>1</v>
      </c>
      <c r="K56" s="22" t="n">
        <v>1</v>
      </c>
      <c r="L56" s="22" t="n">
        <v>0</v>
      </c>
      <c r="M56" s="21" t="s">
        <v>138</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153</v>
      </c>
      <c r="B57" s="21" t="s">
        <v>95</v>
      </c>
      <c r="C57" s="21" t="s">
        <v>97</v>
      </c>
      <c r="D57" s="21"/>
      <c r="E57" s="21"/>
      <c r="F57" s="21" t="s">
        <v>188</v>
      </c>
      <c r="G57" s="21"/>
      <c r="H57" s="21" t="s">
        <v>141</v>
      </c>
      <c r="I57" s="21"/>
      <c r="J57" s="22" t="n">
        <v>1</v>
      </c>
      <c r="K57" s="22" t="n">
        <v>1</v>
      </c>
      <c r="L57" s="22" t="n">
        <v>0</v>
      </c>
      <c r="M57" s="21" t="s">
        <v>138</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189</v>
      </c>
      <c r="B58" s="21" t="s">
        <v>95</v>
      </c>
      <c r="C58" s="21" t="s">
        <v>97</v>
      </c>
      <c r="D58" s="21" t="s">
        <v>99</v>
      </c>
      <c r="E58" s="21"/>
      <c r="F58" s="21" t="s">
        <v>190</v>
      </c>
      <c r="G58" s="21"/>
      <c r="H58" s="21" t="s">
        <v>146</v>
      </c>
      <c r="I58" s="21"/>
      <c r="J58" s="22" t="n">
        <v>1</v>
      </c>
      <c r="K58" s="22" t="n">
        <v>1</v>
      </c>
      <c r="L58" s="22" t="n">
        <v>0</v>
      </c>
      <c r="M58" s="21" t="s">
        <v>138</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t="s">
        <v>191</v>
      </c>
      <c r="B59" s="21" t="s">
        <v>95</v>
      </c>
      <c r="C59" s="21" t="s">
        <v>97</v>
      </c>
      <c r="D59" s="21" t="s">
        <v>99</v>
      </c>
      <c r="E59" s="21" t="s">
        <v>101</v>
      </c>
      <c r="F59" s="21" t="s">
        <v>192</v>
      </c>
      <c r="G59" s="21"/>
      <c r="H59" s="21" t="s">
        <v>149</v>
      </c>
      <c r="I59" s="21"/>
      <c r="J59" s="22" t="n">
        <v>1</v>
      </c>
      <c r="K59" s="22" t="n">
        <v>1</v>
      </c>
      <c r="L59" s="22" t="n">
        <v>0</v>
      </c>
      <c r="M59" s="21" t="s">
        <v>165</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c r="B60" s="21" t="s">
        <v>95</v>
      </c>
      <c r="C60" s="21" t="s">
        <v>97</v>
      </c>
      <c r="D60" s="21" t="s">
        <v>99</v>
      </c>
      <c r="E60" s="21" t="s">
        <v>101</v>
      </c>
      <c r="F60" s="21" t="s">
        <v>193</v>
      </c>
      <c r="G60" s="21"/>
      <c r="H60" s="21" t="s">
        <v>149</v>
      </c>
      <c r="I60" s="21"/>
      <c r="J60" s="22" t="n">
        <v>3</v>
      </c>
      <c r="K60" s="22" t="n">
        <v>3</v>
      </c>
      <c r="L60" s="22" t="n">
        <v>0</v>
      </c>
      <c r="M60" s="21" t="s">
        <v>138</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t="s">
        <v>194</v>
      </c>
      <c r="B61" s="21" t="s">
        <v>95</v>
      </c>
      <c r="C61" s="21" t="s">
        <v>97</v>
      </c>
      <c r="D61" s="21" t="s">
        <v>99</v>
      </c>
      <c r="E61" s="21" t="s">
        <v>101</v>
      </c>
      <c r="F61" s="21" t="s">
        <v>195</v>
      </c>
      <c r="G61" s="21"/>
      <c r="H61" s="21" t="s">
        <v>149</v>
      </c>
      <c r="I61" s="21"/>
      <c r="J61" s="22" t="n">
        <v>1</v>
      </c>
      <c r="K61" s="22" t="n">
        <v>1</v>
      </c>
      <c r="L61" s="22" t="n">
        <v>0</v>
      </c>
      <c r="M61" s="21" t="s">
        <v>165</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c r="B62" s="21" t="s">
        <v>95</v>
      </c>
      <c r="C62" s="21" t="s">
        <v>97</v>
      </c>
      <c r="D62" s="21" t="s">
        <v>99</v>
      </c>
      <c r="E62" s="21" t="s">
        <v>101</v>
      </c>
      <c r="F62" s="21" t="s">
        <v>196</v>
      </c>
      <c r="G62" s="21"/>
      <c r="H62" s="21" t="s">
        <v>149</v>
      </c>
      <c r="I62" s="21"/>
      <c r="J62" s="22" t="n">
        <v>2</v>
      </c>
      <c r="K62" s="22" t="n">
        <v>1</v>
      </c>
      <c r="L62" s="22" t="n">
        <v>1</v>
      </c>
      <c r="M62" s="21" t="s">
        <v>138</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t="s">
        <v>158</v>
      </c>
      <c r="B63" s="21" t="s">
        <v>95</v>
      </c>
      <c r="C63" s="21" t="s">
        <v>97</v>
      </c>
      <c r="D63" s="21" t="s">
        <v>99</v>
      </c>
      <c r="E63" s="21" t="s">
        <v>101</v>
      </c>
      <c r="F63" s="21" t="s">
        <v>197</v>
      </c>
      <c r="G63" s="21"/>
      <c r="H63" s="21" t="s">
        <v>146</v>
      </c>
      <c r="I63" s="21"/>
      <c r="J63" s="22" t="n">
        <v>1</v>
      </c>
      <c r="K63" s="22" t="n">
        <v>1</v>
      </c>
      <c r="L63" s="22" t="n">
        <v>0</v>
      </c>
      <c r="M63" s="21" t="s">
        <v>138</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t="s">
        <v>198</v>
      </c>
      <c r="B64" s="21" t="s">
        <v>95</v>
      </c>
      <c r="C64" s="21" t="s">
        <v>97</v>
      </c>
      <c r="D64" s="21" t="s">
        <v>99</v>
      </c>
      <c r="E64" s="21" t="s">
        <v>103</v>
      </c>
      <c r="F64" s="21" t="s">
        <v>199</v>
      </c>
      <c r="G64" s="21"/>
      <c r="H64" s="21" t="s">
        <v>149</v>
      </c>
      <c r="I64" s="21"/>
      <c r="J64" s="22" t="n">
        <v>1</v>
      </c>
      <c r="K64" s="22" t="n">
        <v>1</v>
      </c>
      <c r="L64" s="22" t="n">
        <v>0</v>
      </c>
      <c r="M64" s="21" t="s">
        <v>138</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c r="B65" s="21" t="s">
        <v>95</v>
      </c>
      <c r="C65" s="21" t="s">
        <v>97</v>
      </c>
      <c r="D65" s="21" t="s">
        <v>99</v>
      </c>
      <c r="E65" s="21" t="s">
        <v>103</v>
      </c>
      <c r="F65" s="21" t="s">
        <v>195</v>
      </c>
      <c r="G65" s="21"/>
      <c r="H65" s="21" t="s">
        <v>149</v>
      </c>
      <c r="I65" s="21"/>
      <c r="J65" s="22" t="n">
        <v>2</v>
      </c>
      <c r="K65" s="22" t="n">
        <v>2</v>
      </c>
      <c r="L65" s="22" t="n">
        <v>0</v>
      </c>
      <c r="M65" s="21" t="s">
        <v>138</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c r="B66" s="21" t="s">
        <v>95</v>
      </c>
      <c r="C66" s="21" t="s">
        <v>97</v>
      </c>
      <c r="D66" s="21" t="s">
        <v>99</v>
      </c>
      <c r="E66" s="21" t="s">
        <v>103</v>
      </c>
      <c r="F66" s="21" t="s">
        <v>196</v>
      </c>
      <c r="G66" s="21"/>
      <c r="H66" s="21" t="s">
        <v>149</v>
      </c>
      <c r="I66" s="21"/>
      <c r="J66" s="22" t="n">
        <v>2</v>
      </c>
      <c r="K66" s="22" t="n">
        <v>2</v>
      </c>
      <c r="L66" s="22" t="n">
        <v>0</v>
      </c>
      <c r="M66" s="21" t="s">
        <v>138</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t="s">
        <v>157</v>
      </c>
      <c r="B67" s="21" t="s">
        <v>95</v>
      </c>
      <c r="C67" s="21" t="s">
        <v>97</v>
      </c>
      <c r="D67" s="21" t="s">
        <v>99</v>
      </c>
      <c r="E67" s="21" t="s">
        <v>103</v>
      </c>
      <c r="F67" s="21" t="s">
        <v>197</v>
      </c>
      <c r="G67" s="21"/>
      <c r="H67" s="21" t="s">
        <v>146</v>
      </c>
      <c r="I67" s="21"/>
      <c r="J67" s="22" t="n">
        <v>1</v>
      </c>
      <c r="K67" s="22" t="n">
        <v>1</v>
      </c>
      <c r="L67" s="22" t="n">
        <v>0</v>
      </c>
      <c r="M67" s="21" t="s">
        <v>138</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t="s">
        <v>174</v>
      </c>
      <c r="B68" s="21" t="s">
        <v>95</v>
      </c>
      <c r="C68" s="21" t="s">
        <v>97</v>
      </c>
      <c r="D68" s="21" t="s">
        <v>105</v>
      </c>
      <c r="E68" s="21"/>
      <c r="F68" s="21" t="s">
        <v>190</v>
      </c>
      <c r="G68" s="21"/>
      <c r="H68" s="21" t="s">
        <v>146</v>
      </c>
      <c r="I68" s="21"/>
      <c r="J68" s="22" t="n">
        <v>1</v>
      </c>
      <c r="K68" s="22" t="n">
        <v>1</v>
      </c>
      <c r="L68" s="22" t="n">
        <v>0</v>
      </c>
      <c r="M68" s="21" t="s">
        <v>138</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t="s">
        <v>200</v>
      </c>
      <c r="B69" s="21" t="s">
        <v>95</v>
      </c>
      <c r="C69" s="21" t="s">
        <v>97</v>
      </c>
      <c r="D69" s="21" t="s">
        <v>105</v>
      </c>
      <c r="E69" s="21" t="s">
        <v>107</v>
      </c>
      <c r="F69" s="21" t="s">
        <v>192</v>
      </c>
      <c r="G69" s="21"/>
      <c r="H69" s="21" t="s">
        <v>149</v>
      </c>
      <c r="I69" s="21"/>
      <c r="J69" s="22" t="n">
        <v>1</v>
      </c>
      <c r="K69" s="22" t="n">
        <v>1</v>
      </c>
      <c r="L69" s="22" t="n">
        <v>0</v>
      </c>
      <c r="M69" s="21" t="s">
        <v>165</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t="s">
        <v>201</v>
      </c>
      <c r="B70" s="21" t="s">
        <v>95</v>
      </c>
      <c r="C70" s="21" t="s">
        <v>97</v>
      </c>
      <c r="D70" s="21" t="s">
        <v>105</v>
      </c>
      <c r="E70" s="21" t="s">
        <v>107</v>
      </c>
      <c r="F70" s="21" t="s">
        <v>202</v>
      </c>
      <c r="G70" s="21"/>
      <c r="H70" s="21" t="s">
        <v>149</v>
      </c>
      <c r="I70" s="21"/>
      <c r="J70" s="22" t="n">
        <v>1</v>
      </c>
      <c r="K70" s="22" t="n">
        <v>1</v>
      </c>
      <c r="L70" s="22" t="n">
        <v>0</v>
      </c>
      <c r="M70" s="21" t="s">
        <v>165</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203</v>
      </c>
      <c r="B71" s="21" t="s">
        <v>95</v>
      </c>
      <c r="C71" s="21" t="s">
        <v>97</v>
      </c>
      <c r="D71" s="21" t="s">
        <v>105</v>
      </c>
      <c r="E71" s="21" t="s">
        <v>107</v>
      </c>
      <c r="F71" s="21" t="s">
        <v>202</v>
      </c>
      <c r="G71" s="21"/>
      <c r="H71" s="21" t="s">
        <v>149</v>
      </c>
      <c r="I71" s="21"/>
      <c r="J71" s="22" t="n">
        <v>1</v>
      </c>
      <c r="K71" s="22" t="n">
        <v>1</v>
      </c>
      <c r="L71" s="22" t="n">
        <v>0</v>
      </c>
      <c r="M71" s="21" t="s">
        <v>138</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t="s">
        <v>167</v>
      </c>
      <c r="B72" s="21" t="s">
        <v>95</v>
      </c>
      <c r="C72" s="21" t="s">
        <v>97</v>
      </c>
      <c r="D72" s="21" t="s">
        <v>105</v>
      </c>
      <c r="E72" s="21" t="s">
        <v>107</v>
      </c>
      <c r="F72" s="21" t="s">
        <v>193</v>
      </c>
      <c r="G72" s="21"/>
      <c r="H72" s="21" t="s">
        <v>149</v>
      </c>
      <c r="I72" s="21"/>
      <c r="J72" s="22" t="n">
        <v>1</v>
      </c>
      <c r="K72" s="22" t="n">
        <v>1</v>
      </c>
      <c r="L72" s="22" t="n">
        <v>0</v>
      </c>
      <c r="M72" s="21" t="s">
        <v>138</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t="s">
        <v>204</v>
      </c>
      <c r="B73" s="21" t="s">
        <v>95</v>
      </c>
      <c r="C73" s="21" t="s">
        <v>97</v>
      </c>
      <c r="D73" s="21" t="s">
        <v>105</v>
      </c>
      <c r="E73" s="21" t="s">
        <v>107</v>
      </c>
      <c r="F73" s="21" t="s">
        <v>196</v>
      </c>
      <c r="G73" s="21"/>
      <c r="H73" s="21" t="s">
        <v>149</v>
      </c>
      <c r="I73" s="21"/>
      <c r="J73" s="22" t="n">
        <v>1</v>
      </c>
      <c r="K73" s="22" t="n">
        <v>1</v>
      </c>
      <c r="L73" s="22" t="n">
        <v>0</v>
      </c>
      <c r="M73" s="21" t="s">
        <v>138</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t="s">
        <v>205</v>
      </c>
      <c r="B74" s="21" t="s">
        <v>95</v>
      </c>
      <c r="C74" s="21" t="s">
        <v>97</v>
      </c>
      <c r="D74" s="21" t="s">
        <v>105</v>
      </c>
      <c r="E74" s="21" t="s">
        <v>107</v>
      </c>
      <c r="F74" s="21" t="s">
        <v>197</v>
      </c>
      <c r="G74" s="21"/>
      <c r="H74" s="21" t="s">
        <v>146</v>
      </c>
      <c r="I74" s="21"/>
      <c r="J74" s="22" t="n">
        <v>1</v>
      </c>
      <c r="K74" s="22" t="n">
        <v>1</v>
      </c>
      <c r="L74" s="22" t="n">
        <v>0</v>
      </c>
      <c r="M74" s="21" t="s">
        <v>138</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t="s">
        <v>200</v>
      </c>
      <c r="B75" s="21" t="s">
        <v>95</v>
      </c>
      <c r="C75" s="21" t="s">
        <v>97</v>
      </c>
      <c r="D75" s="21" t="s">
        <v>105</v>
      </c>
      <c r="E75" s="21" t="s">
        <v>109</v>
      </c>
      <c r="F75" s="21" t="s">
        <v>192</v>
      </c>
      <c r="G75" s="21"/>
      <c r="H75" s="21" t="s">
        <v>149</v>
      </c>
      <c r="I75" s="21"/>
      <c r="J75" s="22" t="n">
        <v>1</v>
      </c>
      <c r="K75" s="22" t="n">
        <v>1</v>
      </c>
      <c r="L75" s="22" t="n">
        <v>0</v>
      </c>
      <c r="M75" s="21" t="s">
        <v>165</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t="s">
        <v>206</v>
      </c>
      <c r="B76" s="21" t="s">
        <v>95</v>
      </c>
      <c r="C76" s="21" t="s">
        <v>97</v>
      </c>
      <c r="D76" s="21" t="s">
        <v>105</v>
      </c>
      <c r="E76" s="21" t="s">
        <v>109</v>
      </c>
      <c r="F76" s="21" t="s">
        <v>192</v>
      </c>
      <c r="G76" s="21"/>
      <c r="H76" s="21" t="s">
        <v>149</v>
      </c>
      <c r="I76" s="21"/>
      <c r="J76" s="22" t="n">
        <v>1</v>
      </c>
      <c r="K76" s="22" t="n">
        <v>0</v>
      </c>
      <c r="L76" s="22" t="n">
        <v>1</v>
      </c>
      <c r="M76" s="21" t="s">
        <v>138</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t="s">
        <v>186</v>
      </c>
      <c r="B77" s="21" t="s">
        <v>95</v>
      </c>
      <c r="C77" s="21" t="s">
        <v>97</v>
      </c>
      <c r="D77" s="21" t="s">
        <v>105</v>
      </c>
      <c r="E77" s="21" t="s">
        <v>109</v>
      </c>
      <c r="F77" s="21" t="s">
        <v>193</v>
      </c>
      <c r="G77" s="21"/>
      <c r="H77" s="21" t="s">
        <v>149</v>
      </c>
      <c r="I77" s="21"/>
      <c r="J77" s="22" t="n">
        <v>1</v>
      </c>
      <c r="K77" s="22" t="n">
        <v>1</v>
      </c>
      <c r="L77" s="22" t="n">
        <v>0</v>
      </c>
      <c r="M77" s="21" t="s">
        <v>138</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c r="B78" s="21" t="s">
        <v>95</v>
      </c>
      <c r="C78" s="21" t="s">
        <v>97</v>
      </c>
      <c r="D78" s="21" t="s">
        <v>105</v>
      </c>
      <c r="E78" s="21" t="s">
        <v>109</v>
      </c>
      <c r="F78" s="21" t="s">
        <v>195</v>
      </c>
      <c r="G78" s="21"/>
      <c r="H78" s="21" t="s">
        <v>149</v>
      </c>
      <c r="I78" s="21"/>
      <c r="J78" s="22" t="n">
        <v>4</v>
      </c>
      <c r="K78" s="22" t="n">
        <v>4</v>
      </c>
      <c r="L78" s="22" t="n">
        <v>0</v>
      </c>
      <c r="M78" s="21" t="s">
        <v>138</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t="s">
        <v>207</v>
      </c>
      <c r="B79" s="21" t="s">
        <v>95</v>
      </c>
      <c r="C79" s="21" t="s">
        <v>97</v>
      </c>
      <c r="D79" s="21" t="s">
        <v>105</v>
      </c>
      <c r="E79" s="21" t="s">
        <v>109</v>
      </c>
      <c r="F79" s="21" t="s">
        <v>196</v>
      </c>
      <c r="G79" s="21"/>
      <c r="H79" s="21" t="s">
        <v>149</v>
      </c>
      <c r="I79" s="21"/>
      <c r="J79" s="22" t="n">
        <v>1</v>
      </c>
      <c r="K79" s="22" t="n">
        <v>1</v>
      </c>
      <c r="L79" s="22" t="n">
        <v>0</v>
      </c>
      <c r="M79" s="21" t="s">
        <v>165</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142</v>
      </c>
      <c r="B80" s="21" t="s">
        <v>95</v>
      </c>
      <c r="C80" s="21" t="s">
        <v>97</v>
      </c>
      <c r="D80" s="21" t="s">
        <v>105</v>
      </c>
      <c r="E80" s="21" t="s">
        <v>109</v>
      </c>
      <c r="F80" s="21" t="s">
        <v>196</v>
      </c>
      <c r="G80" s="21"/>
      <c r="H80" s="21" t="s">
        <v>149</v>
      </c>
      <c r="I80" s="21"/>
      <c r="J80" s="22" t="n">
        <v>1</v>
      </c>
      <c r="K80" s="22" t="n">
        <v>1</v>
      </c>
      <c r="L80" s="22" t="n">
        <v>0</v>
      </c>
      <c r="M80" s="21" t="s">
        <v>138</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t="s">
        <v>147</v>
      </c>
      <c r="B81" s="21" t="s">
        <v>95</v>
      </c>
      <c r="C81" s="21" t="s">
        <v>97</v>
      </c>
      <c r="D81" s="21" t="s">
        <v>105</v>
      </c>
      <c r="E81" s="21" t="s">
        <v>109</v>
      </c>
      <c r="F81" s="21" t="s">
        <v>197</v>
      </c>
      <c r="G81" s="21"/>
      <c r="H81" s="21" t="s">
        <v>146</v>
      </c>
      <c r="I81" s="21"/>
      <c r="J81" s="22" t="n">
        <v>1</v>
      </c>
      <c r="K81" s="22" t="n">
        <v>1</v>
      </c>
      <c r="L81" s="22" t="n">
        <v>0</v>
      </c>
      <c r="M81" s="21" t="s">
        <v>138</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208</v>
      </c>
      <c r="B82" s="21" t="s">
        <v>95</v>
      </c>
      <c r="C82" s="21" t="s">
        <v>111</v>
      </c>
      <c r="D82" s="21"/>
      <c r="E82" s="21"/>
      <c r="F82" s="21" t="s">
        <v>209</v>
      </c>
      <c r="G82" s="21"/>
      <c r="H82" s="21" t="s">
        <v>141</v>
      </c>
      <c r="I82" s="21"/>
      <c r="J82" s="22" t="n">
        <v>1</v>
      </c>
      <c r="K82" s="22" t="n">
        <v>1</v>
      </c>
      <c r="L82" s="22" t="n">
        <v>0</v>
      </c>
      <c r="M82" s="21" t="s">
        <v>165</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t="s">
        <v>210</v>
      </c>
      <c r="B83" s="21" t="s">
        <v>95</v>
      </c>
      <c r="C83" s="21" t="s">
        <v>111</v>
      </c>
      <c r="D83" s="21" t="s">
        <v>113</v>
      </c>
      <c r="E83" s="21"/>
      <c r="F83" s="21" t="s">
        <v>211</v>
      </c>
      <c r="G83" s="21"/>
      <c r="H83" s="21" t="s">
        <v>146</v>
      </c>
      <c r="I83" s="21"/>
      <c r="J83" s="22" t="n">
        <v>1</v>
      </c>
      <c r="K83" s="22" t="n">
        <v>0</v>
      </c>
      <c r="L83" s="22" t="n">
        <v>1</v>
      </c>
      <c r="M83" s="21" t="s">
        <v>138</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t="s">
        <v>212</v>
      </c>
      <c r="B84" s="21" t="s">
        <v>95</v>
      </c>
      <c r="C84" s="21" t="s">
        <v>111</v>
      </c>
      <c r="D84" s="21" t="s">
        <v>113</v>
      </c>
      <c r="E84" s="21" t="s">
        <v>115</v>
      </c>
      <c r="F84" s="21" t="s">
        <v>213</v>
      </c>
      <c r="G84" s="21"/>
      <c r="H84" s="21" t="s">
        <v>149</v>
      </c>
      <c r="I84" s="21"/>
      <c r="J84" s="22" t="n">
        <v>1</v>
      </c>
      <c r="K84" s="22" t="n">
        <v>1</v>
      </c>
      <c r="L84" s="22" t="n">
        <v>0</v>
      </c>
      <c r="M84" s="21" t="s">
        <v>138</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t="s">
        <v>194</v>
      </c>
      <c r="B85" s="21" t="s">
        <v>95</v>
      </c>
      <c r="C85" s="21" t="s">
        <v>111</v>
      </c>
      <c r="D85" s="21" t="s">
        <v>113</v>
      </c>
      <c r="E85" s="21" t="s">
        <v>115</v>
      </c>
      <c r="F85" s="21" t="s">
        <v>214</v>
      </c>
      <c r="G85" s="21"/>
      <c r="H85" s="21" t="s">
        <v>149</v>
      </c>
      <c r="I85" s="21"/>
      <c r="J85" s="22" t="n">
        <v>1</v>
      </c>
      <c r="K85" s="22" t="n">
        <v>1</v>
      </c>
      <c r="L85" s="22" t="n">
        <v>0</v>
      </c>
      <c r="M85" s="21" t="s">
        <v>138</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t="s">
        <v>150</v>
      </c>
      <c r="B86" s="21" t="s">
        <v>95</v>
      </c>
      <c r="C86" s="21" t="s">
        <v>111</v>
      </c>
      <c r="D86" s="21" t="s">
        <v>113</v>
      </c>
      <c r="E86" s="21" t="s">
        <v>115</v>
      </c>
      <c r="F86" s="21" t="s">
        <v>215</v>
      </c>
      <c r="G86" s="21"/>
      <c r="H86" s="21" t="s">
        <v>149</v>
      </c>
      <c r="I86" s="21"/>
      <c r="J86" s="22" t="n">
        <v>1</v>
      </c>
      <c r="K86" s="22" t="n">
        <v>1</v>
      </c>
      <c r="L86" s="22" t="n">
        <v>0</v>
      </c>
      <c r="M86" s="21" t="s">
        <v>138</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t="s">
        <v>182</v>
      </c>
      <c r="B87" s="21" t="s">
        <v>95</v>
      </c>
      <c r="C87" s="21" t="s">
        <v>111</v>
      </c>
      <c r="D87" s="21" t="s">
        <v>113</v>
      </c>
      <c r="E87" s="21" t="s">
        <v>115</v>
      </c>
      <c r="F87" s="21" t="s">
        <v>216</v>
      </c>
      <c r="G87" s="21"/>
      <c r="H87" s="21" t="s">
        <v>149</v>
      </c>
      <c r="I87" s="21"/>
      <c r="J87" s="22" t="n">
        <v>1</v>
      </c>
      <c r="K87" s="22" t="n">
        <v>1</v>
      </c>
      <c r="L87" s="22" t="n">
        <v>0</v>
      </c>
      <c r="M87" s="21" t="s">
        <v>138</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c r="B88" s="21" t="s">
        <v>95</v>
      </c>
      <c r="C88" s="21" t="s">
        <v>111</v>
      </c>
      <c r="D88" s="21" t="s">
        <v>113</v>
      </c>
      <c r="E88" s="21" t="s">
        <v>115</v>
      </c>
      <c r="F88" s="21" t="s">
        <v>217</v>
      </c>
      <c r="G88" s="21"/>
      <c r="H88" s="21" t="s">
        <v>149</v>
      </c>
      <c r="I88" s="21"/>
      <c r="J88" s="22" t="n">
        <v>3</v>
      </c>
      <c r="K88" s="22" t="n">
        <v>3</v>
      </c>
      <c r="L88" s="22" t="n">
        <v>0</v>
      </c>
      <c r="M88" s="21" t="s">
        <v>138</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t="s">
        <v>139</v>
      </c>
      <c r="B89" s="21" t="s">
        <v>95</v>
      </c>
      <c r="C89" s="21" t="s">
        <v>111</v>
      </c>
      <c r="D89" s="21" t="s">
        <v>113</v>
      </c>
      <c r="E89" s="21" t="s">
        <v>115</v>
      </c>
      <c r="F89" s="21" t="s">
        <v>218</v>
      </c>
      <c r="G89" s="21"/>
      <c r="H89" s="21" t="s">
        <v>146</v>
      </c>
      <c r="I89" s="21"/>
      <c r="J89" s="22" t="n">
        <v>1</v>
      </c>
      <c r="K89" s="22" t="n">
        <v>0</v>
      </c>
      <c r="L89" s="22" t="n">
        <v>1</v>
      </c>
      <c r="M89" s="21" t="s">
        <v>138</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t="s">
        <v>208</v>
      </c>
      <c r="B90" s="21" t="s">
        <v>95</v>
      </c>
      <c r="C90" s="21" t="s">
        <v>111</v>
      </c>
      <c r="D90" s="21" t="s">
        <v>113</v>
      </c>
      <c r="E90" s="21" t="s">
        <v>117</v>
      </c>
      <c r="F90" s="21" t="s">
        <v>213</v>
      </c>
      <c r="G90" s="21"/>
      <c r="H90" s="21" t="s">
        <v>149</v>
      </c>
      <c r="I90" s="21"/>
      <c r="J90" s="22" t="n">
        <v>1</v>
      </c>
      <c r="K90" s="22" t="n">
        <v>1</v>
      </c>
      <c r="L90" s="22" t="n">
        <v>0</v>
      </c>
      <c r="M90" s="21" t="s">
        <v>138</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t="s">
        <v>201</v>
      </c>
      <c r="B91" s="21" t="s">
        <v>95</v>
      </c>
      <c r="C91" s="21" t="s">
        <v>111</v>
      </c>
      <c r="D91" s="21" t="s">
        <v>113</v>
      </c>
      <c r="E91" s="21" t="s">
        <v>117</v>
      </c>
      <c r="F91" s="21" t="s">
        <v>214</v>
      </c>
      <c r="G91" s="21"/>
      <c r="H91" s="21" t="s">
        <v>149</v>
      </c>
      <c r="I91" s="21"/>
      <c r="J91" s="22" t="n">
        <v>1</v>
      </c>
      <c r="K91" s="22" t="n">
        <v>1</v>
      </c>
      <c r="L91" s="22" t="n">
        <v>0</v>
      </c>
      <c r="M91" s="21" t="s">
        <v>138</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t="s">
        <v>180</v>
      </c>
      <c r="B92" s="21" t="s">
        <v>95</v>
      </c>
      <c r="C92" s="21" t="s">
        <v>111</v>
      </c>
      <c r="D92" s="21" t="s">
        <v>113</v>
      </c>
      <c r="E92" s="21" t="s">
        <v>117</v>
      </c>
      <c r="F92" s="21" t="s">
        <v>215</v>
      </c>
      <c r="G92" s="21"/>
      <c r="H92" s="21" t="s">
        <v>149</v>
      </c>
      <c r="I92" s="21"/>
      <c r="J92" s="22" t="n">
        <v>1</v>
      </c>
      <c r="K92" s="22" t="n">
        <v>1</v>
      </c>
      <c r="L92" s="22" t="n">
        <v>0</v>
      </c>
      <c r="M92" s="21" t="s">
        <v>138</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194</v>
      </c>
      <c r="B93" s="21" t="s">
        <v>95</v>
      </c>
      <c r="C93" s="21" t="s">
        <v>111</v>
      </c>
      <c r="D93" s="21" t="s">
        <v>113</v>
      </c>
      <c r="E93" s="21" t="s">
        <v>117</v>
      </c>
      <c r="F93" s="21" t="s">
        <v>216</v>
      </c>
      <c r="G93" s="21"/>
      <c r="H93" s="21" t="s">
        <v>149</v>
      </c>
      <c r="I93" s="21"/>
      <c r="J93" s="22" t="n">
        <v>1</v>
      </c>
      <c r="K93" s="22" t="n">
        <v>1</v>
      </c>
      <c r="L93" s="22" t="n">
        <v>0</v>
      </c>
      <c r="M93" s="21" t="s">
        <v>138</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t="s">
        <v>185</v>
      </c>
      <c r="B94" s="21" t="s">
        <v>95</v>
      </c>
      <c r="C94" s="21" t="s">
        <v>111</v>
      </c>
      <c r="D94" s="21" t="s">
        <v>113</v>
      </c>
      <c r="E94" s="21" t="s">
        <v>117</v>
      </c>
      <c r="F94" s="21" t="s">
        <v>217</v>
      </c>
      <c r="G94" s="21"/>
      <c r="H94" s="21" t="s">
        <v>149</v>
      </c>
      <c r="I94" s="21"/>
      <c r="J94" s="22" t="n">
        <v>1</v>
      </c>
      <c r="K94" s="22" t="n">
        <v>1</v>
      </c>
      <c r="L94" s="22" t="n">
        <v>0</v>
      </c>
      <c r="M94" s="21" t="s">
        <v>138</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t="s">
        <v>161</v>
      </c>
      <c r="B95" s="21" t="s">
        <v>95</v>
      </c>
      <c r="C95" s="21" t="s">
        <v>111</v>
      </c>
      <c r="D95" s="21" t="s">
        <v>113</v>
      </c>
      <c r="E95" s="21" t="s">
        <v>117</v>
      </c>
      <c r="F95" s="21" t="s">
        <v>217</v>
      </c>
      <c r="G95" s="21"/>
      <c r="H95" s="21" t="s">
        <v>149</v>
      </c>
      <c r="I95" s="21"/>
      <c r="J95" s="22" t="n">
        <v>1</v>
      </c>
      <c r="K95" s="22" t="n">
        <v>1</v>
      </c>
      <c r="L95" s="22" t="n">
        <v>0</v>
      </c>
      <c r="M95" s="21" t="s">
        <v>165</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t="s">
        <v>185</v>
      </c>
      <c r="B96" s="21" t="s">
        <v>95</v>
      </c>
      <c r="C96" s="21" t="s">
        <v>111</v>
      </c>
      <c r="D96" s="21" t="s">
        <v>113</v>
      </c>
      <c r="E96" s="21" t="s">
        <v>117</v>
      </c>
      <c r="F96" s="21" t="s">
        <v>218</v>
      </c>
      <c r="G96" s="21"/>
      <c r="H96" s="21" t="s">
        <v>146</v>
      </c>
      <c r="I96" s="21"/>
      <c r="J96" s="22" t="n">
        <v>1</v>
      </c>
      <c r="K96" s="22" t="n">
        <v>1</v>
      </c>
      <c r="L96" s="22" t="n">
        <v>0</v>
      </c>
      <c r="M96" s="21" t="s">
        <v>138</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t="s">
        <v>219</v>
      </c>
      <c r="B97" s="21" t="s">
        <v>95</v>
      </c>
      <c r="C97" s="21" t="s">
        <v>111</v>
      </c>
      <c r="D97" s="21" t="s">
        <v>119</v>
      </c>
      <c r="E97" s="21"/>
      <c r="F97" s="21" t="s">
        <v>211</v>
      </c>
      <c r="G97" s="21"/>
      <c r="H97" s="21" t="s">
        <v>146</v>
      </c>
      <c r="I97" s="21"/>
      <c r="J97" s="22" t="n">
        <v>1</v>
      </c>
      <c r="K97" s="22" t="n">
        <v>1</v>
      </c>
      <c r="L97" s="22" t="n">
        <v>0</v>
      </c>
      <c r="M97" s="21" t="s">
        <v>138</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t="s">
        <v>220</v>
      </c>
      <c r="B98" s="21" t="s">
        <v>95</v>
      </c>
      <c r="C98" s="21" t="s">
        <v>111</v>
      </c>
      <c r="D98" s="21" t="s">
        <v>119</v>
      </c>
      <c r="E98" s="21" t="s">
        <v>121</v>
      </c>
      <c r="F98" s="21" t="s">
        <v>214</v>
      </c>
      <c r="G98" s="21"/>
      <c r="H98" s="21" t="s">
        <v>149</v>
      </c>
      <c r="I98" s="21"/>
      <c r="J98" s="22" t="n">
        <v>1</v>
      </c>
      <c r="K98" s="22" t="n">
        <v>1</v>
      </c>
      <c r="L98" s="22" t="n">
        <v>0</v>
      </c>
      <c r="M98" s="21" t="s">
        <v>138</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c r="B99" s="21" t="s">
        <v>95</v>
      </c>
      <c r="C99" s="21" t="s">
        <v>111</v>
      </c>
      <c r="D99" s="21" t="s">
        <v>119</v>
      </c>
      <c r="E99" s="21" t="s">
        <v>121</v>
      </c>
      <c r="F99" s="21" t="s">
        <v>221</v>
      </c>
      <c r="G99" s="21"/>
      <c r="H99" s="21" t="s">
        <v>149</v>
      </c>
      <c r="I99" s="21"/>
      <c r="J99" s="22" t="n">
        <v>2</v>
      </c>
      <c r="K99" s="22" t="n">
        <v>2</v>
      </c>
      <c r="L99" s="22" t="n">
        <v>0</v>
      </c>
      <c r="M99" s="21" t="s">
        <v>138</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t="s">
        <v>198</v>
      </c>
      <c r="B100" s="21" t="s">
        <v>95</v>
      </c>
      <c r="C100" s="21" t="s">
        <v>111</v>
      </c>
      <c r="D100" s="21" t="s">
        <v>119</v>
      </c>
      <c r="E100" s="21" t="s">
        <v>121</v>
      </c>
      <c r="F100" s="21" t="s">
        <v>215</v>
      </c>
      <c r="G100" s="21"/>
      <c r="H100" s="21" t="s">
        <v>149</v>
      </c>
      <c r="I100" s="21"/>
      <c r="J100" s="22" t="n">
        <v>1</v>
      </c>
      <c r="K100" s="22" t="n">
        <v>1</v>
      </c>
      <c r="L100" s="22" t="n">
        <v>0</v>
      </c>
      <c r="M100" s="21" t="s">
        <v>138</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t="s">
        <v>135</v>
      </c>
      <c r="B101" s="21" t="s">
        <v>95</v>
      </c>
      <c r="C101" s="21" t="s">
        <v>111</v>
      </c>
      <c r="D101" s="21" t="s">
        <v>119</v>
      </c>
      <c r="E101" s="21" t="s">
        <v>121</v>
      </c>
      <c r="F101" s="21" t="s">
        <v>216</v>
      </c>
      <c r="G101" s="21"/>
      <c r="H101" s="21" t="s">
        <v>149</v>
      </c>
      <c r="I101" s="21"/>
      <c r="J101" s="22" t="n">
        <v>1</v>
      </c>
      <c r="K101" s="22" t="n">
        <v>0</v>
      </c>
      <c r="L101" s="22" t="n">
        <v>1</v>
      </c>
      <c r="M101" s="21" t="s">
        <v>138</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t="s">
        <v>184</v>
      </c>
      <c r="B102" s="21" t="s">
        <v>95</v>
      </c>
      <c r="C102" s="21" t="s">
        <v>111</v>
      </c>
      <c r="D102" s="21" t="s">
        <v>119</v>
      </c>
      <c r="E102" s="21" t="s">
        <v>121</v>
      </c>
      <c r="F102" s="21" t="s">
        <v>218</v>
      </c>
      <c r="G102" s="21"/>
      <c r="H102" s="21" t="s">
        <v>146</v>
      </c>
      <c r="I102" s="21"/>
      <c r="J102" s="22" t="n">
        <v>1</v>
      </c>
      <c r="K102" s="22" t="n">
        <v>1</v>
      </c>
      <c r="L102" s="22" t="n">
        <v>0</v>
      </c>
      <c r="M102" s="21" t="s">
        <v>165</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c r="B103" s="21" t="s">
        <v>95</v>
      </c>
      <c r="C103" s="21" t="s">
        <v>111</v>
      </c>
      <c r="D103" s="21" t="s">
        <v>119</v>
      </c>
      <c r="E103" s="21" t="s">
        <v>123</v>
      </c>
      <c r="F103" s="21" t="s">
        <v>214</v>
      </c>
      <c r="G103" s="21"/>
      <c r="H103" s="21" t="s">
        <v>149</v>
      </c>
      <c r="I103" s="21"/>
      <c r="J103" s="22" t="n">
        <v>2</v>
      </c>
      <c r="K103" s="22" t="n">
        <v>2</v>
      </c>
      <c r="L103" s="22" t="n">
        <v>0</v>
      </c>
      <c r="M103" s="21" t="s">
        <v>138</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c r="B104" s="21" t="s">
        <v>95</v>
      </c>
      <c r="C104" s="21" t="s">
        <v>111</v>
      </c>
      <c r="D104" s="21" t="s">
        <v>119</v>
      </c>
      <c r="E104" s="21" t="s">
        <v>123</v>
      </c>
      <c r="F104" s="21" t="s">
        <v>221</v>
      </c>
      <c r="G104" s="21"/>
      <c r="H104" s="21" t="s">
        <v>149</v>
      </c>
      <c r="I104" s="21"/>
      <c r="J104" s="22" t="n">
        <v>2</v>
      </c>
      <c r="K104" s="22" t="n">
        <v>1</v>
      </c>
      <c r="L104" s="22" t="n">
        <v>1</v>
      </c>
      <c r="M104" s="21" t="s">
        <v>138</v>
      </c>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career level, nationality mandate, capacity direction</v>
      </c>
    </row>
    <row r="105" customFormat="false" ht="15" hidden="false" customHeight="false" outlineLevel="0" collapsed="false">
      <c r="A105" s="21" t="s">
        <v>222</v>
      </c>
      <c r="B105" s="21" t="s">
        <v>95</v>
      </c>
      <c r="C105" s="21" t="s">
        <v>111</v>
      </c>
      <c r="D105" s="21" t="s">
        <v>119</v>
      </c>
      <c r="E105" s="21" t="s">
        <v>123</v>
      </c>
      <c r="F105" s="21" t="s">
        <v>215</v>
      </c>
      <c r="G105" s="21"/>
      <c r="H105" s="21" t="s">
        <v>149</v>
      </c>
      <c r="I105" s="21"/>
      <c r="J105" s="22" t="n">
        <v>1</v>
      </c>
      <c r="K105" s="22" t="n">
        <v>1</v>
      </c>
      <c r="L105" s="22" t="n">
        <v>0</v>
      </c>
      <c r="M105" s="21" t="s">
        <v>138</v>
      </c>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career level, nationality mandate, capacity direction</v>
      </c>
    </row>
    <row r="106" customFormat="false" ht="15" hidden="false" customHeight="false" outlineLevel="0" collapsed="false">
      <c r="A106" s="21"/>
      <c r="B106" s="21" t="s">
        <v>95</v>
      </c>
      <c r="C106" s="21" t="s">
        <v>111</v>
      </c>
      <c r="D106" s="21" t="s">
        <v>119</v>
      </c>
      <c r="E106" s="21" t="s">
        <v>123</v>
      </c>
      <c r="F106" s="21" t="s">
        <v>217</v>
      </c>
      <c r="G106" s="21"/>
      <c r="H106" s="21" t="s">
        <v>149</v>
      </c>
      <c r="I106" s="21"/>
      <c r="J106" s="22" t="n">
        <v>4</v>
      </c>
      <c r="K106" s="22" t="n">
        <v>4</v>
      </c>
      <c r="L106" s="22" t="n">
        <v>0</v>
      </c>
      <c r="M106" s="21" t="s">
        <v>138</v>
      </c>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career level, nationality mandate, capacity direction</v>
      </c>
    </row>
    <row r="107" customFormat="false" ht="15" hidden="false" customHeight="false" outlineLevel="0" collapsed="false">
      <c r="A107" s="21" t="s">
        <v>189</v>
      </c>
      <c r="B107" s="21" t="s">
        <v>95</v>
      </c>
      <c r="C107" s="21" t="s">
        <v>111</v>
      </c>
      <c r="D107" s="21" t="s">
        <v>119</v>
      </c>
      <c r="E107" s="21" t="s">
        <v>123</v>
      </c>
      <c r="F107" s="21" t="s">
        <v>218</v>
      </c>
      <c r="G107" s="21"/>
      <c r="H107" s="21" t="s">
        <v>146</v>
      </c>
      <c r="I107" s="21"/>
      <c r="J107" s="22" t="n">
        <v>1</v>
      </c>
      <c r="K107" s="22" t="n">
        <v>1</v>
      </c>
      <c r="L107" s="22" t="n">
        <v>0</v>
      </c>
      <c r="M107" s="21" t="s">
        <v>138</v>
      </c>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career level, nationality mandate, capacity direction</v>
      </c>
    </row>
    <row r="108" customFormat="false" ht="15" hidden="false" customHeight="false" outlineLevel="0" collapsed="false">
      <c r="A108" s="21"/>
      <c r="B108" s="21"/>
      <c r="C108" s="21"/>
      <c r="D108" s="21"/>
      <c r="E108" s="21"/>
      <c r="F108" s="21"/>
      <c r="G108" s="21"/>
      <c r="H108" s="21"/>
      <c r="I108" s="21"/>
      <c r="J108" s="22"/>
      <c r="K108" s="22"/>
      <c r="L108" s="22"/>
      <c r="M108" s="21"/>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
      </c>
    </row>
    <row r="109" customFormat="false" ht="15" hidden="false" customHeight="false" outlineLevel="0" collapsed="false">
      <c r="A109" s="21"/>
      <c r="B109" s="21"/>
      <c r="C109" s="21"/>
      <c r="D109" s="21"/>
      <c r="E109" s="21"/>
      <c r="F109" s="21"/>
      <c r="G109" s="21"/>
      <c r="H109" s="21"/>
      <c r="I109" s="21"/>
      <c r="J109" s="22"/>
      <c r="K109" s="22"/>
      <c r="L109" s="22"/>
      <c r="M109" s="21"/>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
      </c>
    </row>
    <row r="110" customFormat="false" ht="15" hidden="false" customHeight="false" outlineLevel="0" collapsed="false">
      <c r="A110" s="21"/>
      <c r="B110" s="21"/>
      <c r="C110" s="21"/>
      <c r="D110" s="21"/>
      <c r="E110" s="21"/>
      <c r="F110" s="21"/>
      <c r="G110" s="21"/>
      <c r="H110" s="21"/>
      <c r="I110" s="21"/>
      <c r="J110" s="22"/>
      <c r="K110" s="22"/>
      <c r="L110" s="22"/>
      <c r="M110" s="21"/>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
      </c>
    </row>
    <row r="111" customFormat="false" ht="15" hidden="false" customHeight="false" outlineLevel="0" collapsed="false">
      <c r="A111" s="21"/>
      <c r="B111" s="21"/>
      <c r="C111" s="21"/>
      <c r="D111" s="21"/>
      <c r="E111" s="21"/>
      <c r="F111" s="21"/>
      <c r="G111" s="21"/>
      <c r="H111" s="21"/>
      <c r="I111" s="21"/>
      <c r="J111" s="22"/>
      <c r="K111" s="22"/>
      <c r="L111" s="22"/>
      <c r="M111" s="21"/>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
      </c>
    </row>
    <row r="112" customFormat="false" ht="15" hidden="false" customHeight="false" outlineLevel="0" collapsed="false">
      <c r="A112" s="21"/>
      <c r="B112" s="21"/>
      <c r="C112" s="21"/>
      <c r="D112" s="21"/>
      <c r="E112" s="21"/>
      <c r="F112" s="21"/>
      <c r="G112" s="21"/>
      <c r="H112" s="21"/>
      <c r="I112" s="21"/>
      <c r="J112" s="22"/>
      <c r="K112" s="22"/>
      <c r="L112" s="22"/>
      <c r="M112" s="21"/>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
      </c>
    </row>
    <row r="113" customFormat="false" ht="15" hidden="false" customHeight="false" outlineLevel="0" collapsed="false">
      <c r="A113" s="21"/>
      <c r="B113" s="21"/>
      <c r="C113" s="21"/>
      <c r="D113" s="21"/>
      <c r="E113" s="21"/>
      <c r="F113" s="21"/>
      <c r="G113" s="21"/>
      <c r="H113" s="21"/>
      <c r="I113" s="21"/>
      <c r="J113" s="22"/>
      <c r="K113" s="22"/>
      <c r="L113" s="22"/>
      <c r="M113" s="21"/>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
      </c>
    </row>
    <row r="114" customFormat="false" ht="15" hidden="false" customHeight="false" outlineLevel="0" collapsed="false">
      <c r="A114" s="21"/>
      <c r="B114" s="21"/>
      <c r="C114" s="21"/>
      <c r="D114" s="21"/>
      <c r="E114" s="21"/>
      <c r="F114" s="21"/>
      <c r="G114" s="21"/>
      <c r="H114" s="21"/>
      <c r="I114" s="21"/>
      <c r="J114" s="22"/>
      <c r="K114" s="22"/>
      <c r="L114" s="22"/>
      <c r="M114" s="21"/>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
      </c>
    </row>
    <row r="115" customFormat="false" ht="15" hidden="false" customHeight="false" outlineLevel="0" collapsed="false">
      <c r="A115" s="21"/>
      <c r="B115" s="21"/>
      <c r="C115" s="21"/>
      <c r="D115" s="21"/>
      <c r="E115" s="21"/>
      <c r="F115" s="21"/>
      <c r="G115" s="21"/>
      <c r="H115" s="21"/>
      <c r="I115" s="21"/>
      <c r="J115" s="22"/>
      <c r="K115" s="22"/>
      <c r="L115" s="22"/>
      <c r="M115" s="21"/>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
      </c>
    </row>
    <row r="116" customFormat="false" ht="15" hidden="false" customHeight="false" outlineLevel="0" collapsed="false">
      <c r="A116" s="21"/>
      <c r="B116" s="21"/>
      <c r="C116" s="21"/>
      <c r="D116" s="21"/>
      <c r="E116" s="21"/>
      <c r="F116" s="21"/>
      <c r="G116" s="21"/>
      <c r="H116" s="21"/>
      <c r="I116" s="21"/>
      <c r="J116" s="22"/>
      <c r="K116" s="22"/>
      <c r="L116" s="22"/>
      <c r="M116" s="21"/>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
      </c>
    </row>
    <row r="117" customFormat="false" ht="15" hidden="false" customHeight="false" outlineLevel="0" collapsed="false">
      <c r="A117" s="21"/>
      <c r="B117" s="21"/>
      <c r="C117" s="21"/>
      <c r="D117" s="21"/>
      <c r="E117" s="21"/>
      <c r="F117" s="21"/>
      <c r="G117" s="21"/>
      <c r="H117" s="21"/>
      <c r="I117" s="21"/>
      <c r="J117" s="22"/>
      <c r="K117" s="22"/>
      <c r="L117" s="22"/>
      <c r="M117" s="21"/>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
      </c>
    </row>
    <row r="118" customFormat="false" ht="15" hidden="false" customHeight="false" outlineLevel="0" collapsed="false">
      <c r="A118" s="21"/>
      <c r="B118" s="21"/>
      <c r="C118" s="21"/>
      <c r="D118" s="21"/>
      <c r="E118" s="21"/>
      <c r="F118" s="21"/>
      <c r="G118" s="21"/>
      <c r="H118" s="21"/>
      <c r="I118" s="21"/>
      <c r="J118" s="22"/>
      <c r="K118" s="22"/>
      <c r="L118" s="22"/>
      <c r="M118" s="21"/>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
      </c>
    </row>
    <row r="119" customFormat="false" ht="15" hidden="false" customHeight="false" outlineLevel="0" collapsed="false">
      <c r="A119" s="21"/>
      <c r="B119" s="21"/>
      <c r="C119" s="21"/>
      <c r="D119" s="21"/>
      <c r="E119" s="21"/>
      <c r="F119" s="21"/>
      <c r="G119" s="21"/>
      <c r="H119" s="21"/>
      <c r="I119" s="21"/>
      <c r="J119" s="22"/>
      <c r="K119" s="22"/>
      <c r="L119" s="22"/>
      <c r="M119" s="21"/>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
      </c>
    </row>
    <row r="120" customFormat="false" ht="15" hidden="false" customHeight="false" outlineLevel="0" collapsed="false">
      <c r="A120" s="21"/>
      <c r="B120" s="21"/>
      <c r="C120" s="21"/>
      <c r="D120" s="21"/>
      <c r="E120" s="21"/>
      <c r="F120" s="21"/>
      <c r="G120" s="21"/>
      <c r="H120" s="21"/>
      <c r="I120" s="21"/>
      <c r="J120" s="22"/>
      <c r="K120" s="22"/>
      <c r="L120" s="22"/>
      <c r="M120" s="21"/>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
      </c>
    </row>
    <row r="121" customFormat="false" ht="15" hidden="false" customHeight="false" outlineLevel="0" collapsed="false">
      <c r="A121" s="21"/>
      <c r="B121" s="21"/>
      <c r="C121" s="21"/>
      <c r="D121" s="21"/>
      <c r="E121" s="21"/>
      <c r="F121" s="21"/>
      <c r="G121" s="21"/>
      <c r="H121" s="21"/>
      <c r="I121" s="21"/>
      <c r="J121" s="22"/>
      <c r="K121" s="22"/>
      <c r="L121" s="22"/>
      <c r="M121" s="21"/>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
      </c>
    </row>
    <row r="122" customFormat="false" ht="15" hidden="false" customHeight="false" outlineLevel="0" collapsed="false">
      <c r="A122" s="21"/>
      <c r="B122" s="21"/>
      <c r="C122" s="21"/>
      <c r="D122" s="21"/>
      <c r="E122" s="21"/>
      <c r="F122" s="21"/>
      <c r="G122" s="21"/>
      <c r="H122" s="21"/>
      <c r="I122" s="21"/>
      <c r="J122" s="22"/>
      <c r="K122" s="22"/>
      <c r="L122" s="22"/>
      <c r="M122" s="21"/>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
      </c>
    </row>
    <row r="123" customFormat="false" ht="15" hidden="false" customHeight="false" outlineLevel="0" collapsed="false">
      <c r="A123" s="21"/>
      <c r="B123" s="21"/>
      <c r="C123" s="21"/>
      <c r="D123" s="21"/>
      <c r="E123" s="21"/>
      <c r="F123" s="21"/>
      <c r="G123" s="21"/>
      <c r="H123" s="21"/>
      <c r="I123" s="21"/>
      <c r="J123" s="22"/>
      <c r="K123" s="22"/>
      <c r="L123" s="22"/>
      <c r="M123" s="21"/>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
      </c>
    </row>
    <row r="124" customFormat="false" ht="15" hidden="false" customHeight="false" outlineLevel="0" collapsed="false">
      <c r="A124" s="21"/>
      <c r="B124" s="21"/>
      <c r="C124" s="21"/>
      <c r="D124" s="21"/>
      <c r="E124" s="21"/>
      <c r="F124" s="21"/>
      <c r="G124" s="21"/>
      <c r="H124" s="21"/>
      <c r="I124" s="21"/>
      <c r="J124" s="22"/>
      <c r="K124" s="22"/>
      <c r="L124" s="22"/>
      <c r="M124" s="21"/>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
      </c>
    </row>
    <row r="125" customFormat="false" ht="15" hidden="false" customHeight="false" outlineLevel="0" collapsed="false">
      <c r="A125" s="21"/>
      <c r="B125" s="21"/>
      <c r="C125" s="21"/>
      <c r="D125" s="21"/>
      <c r="E125" s="21"/>
      <c r="F125" s="21"/>
      <c r="G125" s="21"/>
      <c r="H125" s="21"/>
      <c r="I125" s="21"/>
      <c r="J125" s="22"/>
      <c r="K125" s="22"/>
      <c r="L125" s="22"/>
      <c r="M125" s="21"/>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
      </c>
    </row>
    <row r="126" customFormat="false" ht="15" hidden="false" customHeight="false" outlineLevel="0" collapsed="false">
      <c r="A126" s="21"/>
      <c r="B126" s="21"/>
      <c r="C126" s="21"/>
      <c r="D126" s="21"/>
      <c r="E126" s="21"/>
      <c r="F126" s="21"/>
      <c r="G126" s="21"/>
      <c r="H126" s="21"/>
      <c r="I126" s="21"/>
      <c r="J126" s="22"/>
      <c r="K126" s="22"/>
      <c r="L126" s="22"/>
      <c r="M126" s="21"/>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
      </c>
    </row>
    <row r="127" customFormat="false" ht="15" hidden="false" customHeight="false" outlineLevel="0" collapsed="false">
      <c r="A127" s="21"/>
      <c r="B127" s="21"/>
      <c r="C127" s="21"/>
      <c r="D127" s="21"/>
      <c r="E127" s="21"/>
      <c r="F127" s="21"/>
      <c r="G127" s="21"/>
      <c r="H127" s="21"/>
      <c r="I127" s="21"/>
      <c r="J127" s="22"/>
      <c r="K127" s="22"/>
      <c r="L127" s="22"/>
      <c r="M127" s="21"/>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
      </c>
    </row>
    <row r="128" customFormat="false" ht="15" hidden="false" customHeight="false" outlineLevel="0" collapsed="false">
      <c r="A128" s="21"/>
      <c r="B128" s="21"/>
      <c r="C128" s="21"/>
      <c r="D128" s="21"/>
      <c r="E128" s="21"/>
      <c r="F128" s="21"/>
      <c r="G128" s="21"/>
      <c r="H128" s="21"/>
      <c r="I128" s="21"/>
      <c r="J128" s="22"/>
      <c r="K128" s="22"/>
      <c r="L128" s="22"/>
      <c r="M128" s="21"/>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
      </c>
    </row>
    <row r="129" customFormat="false" ht="15" hidden="false" customHeight="false" outlineLevel="0" collapsed="false">
      <c r="A129" s="21"/>
      <c r="B129" s="21"/>
      <c r="C129" s="21"/>
      <c r="D129" s="21"/>
      <c r="E129" s="21"/>
      <c r="F129" s="21"/>
      <c r="G129" s="21"/>
      <c r="H129" s="21"/>
      <c r="I129" s="21"/>
      <c r="J129" s="22"/>
      <c r="K129" s="22"/>
      <c r="L129" s="22"/>
      <c r="M129" s="21"/>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
      </c>
    </row>
    <row r="130" customFormat="false" ht="15" hidden="false" customHeight="false" outlineLevel="0" collapsed="false">
      <c r="A130" s="21"/>
      <c r="B130" s="21"/>
      <c r="C130" s="21"/>
      <c r="D130" s="21"/>
      <c r="E130" s="21"/>
      <c r="F130" s="21"/>
      <c r="G130" s="21"/>
      <c r="H130" s="21"/>
      <c r="I130" s="21"/>
      <c r="J130" s="22"/>
      <c r="K130" s="22"/>
      <c r="L130" s="22"/>
      <c r="M130" s="21"/>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
      </c>
    </row>
    <row r="131" customFormat="false" ht="15" hidden="false" customHeight="false" outlineLevel="0" collapsed="false">
      <c r="A131" s="21"/>
      <c r="B131" s="21"/>
      <c r="C131" s="21"/>
      <c r="D131" s="21"/>
      <c r="E131" s="21"/>
      <c r="F131" s="21"/>
      <c r="G131" s="21"/>
      <c r="H131" s="21"/>
      <c r="I131" s="21"/>
      <c r="J131" s="22"/>
      <c r="K131" s="22"/>
      <c r="L131" s="22"/>
      <c r="M131" s="21"/>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
      </c>
    </row>
    <row r="132" customFormat="false" ht="15" hidden="false" customHeight="false" outlineLevel="0" collapsed="false">
      <c r="A132" s="21"/>
      <c r="B132" s="21"/>
      <c r="C132" s="21"/>
      <c r="D132" s="21"/>
      <c r="E132" s="21"/>
      <c r="F132" s="21"/>
      <c r="G132" s="21"/>
      <c r="H132" s="21"/>
      <c r="I132" s="21"/>
      <c r="J132" s="22"/>
      <c r="K132" s="22"/>
      <c r="L132" s="22"/>
      <c r="M132" s="21"/>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
      </c>
    </row>
    <row r="133" customFormat="false" ht="15" hidden="false" customHeight="false" outlineLevel="0" collapsed="false">
      <c r="A133" s="21"/>
      <c r="B133" s="21"/>
      <c r="C133" s="21"/>
      <c r="D133" s="21"/>
      <c r="E133" s="21"/>
      <c r="F133" s="21"/>
      <c r="G133" s="21"/>
      <c r="H133" s="21"/>
      <c r="I133" s="21"/>
      <c r="J133" s="22"/>
      <c r="K133" s="22"/>
      <c r="L133" s="22"/>
      <c r="M133" s="21"/>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
      </c>
    </row>
    <row r="134" customFormat="false" ht="15" hidden="false" customHeight="false" outlineLevel="0" collapsed="false">
      <c r="A134" s="21"/>
      <c r="B134" s="21"/>
      <c r="C134" s="21"/>
      <c r="D134" s="21"/>
      <c r="E134" s="21"/>
      <c r="F134" s="21"/>
      <c r="G134" s="21"/>
      <c r="H134" s="21"/>
      <c r="I134" s="21"/>
      <c r="J134" s="22"/>
      <c r="K134" s="22"/>
      <c r="L134" s="22"/>
      <c r="M134" s="21"/>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
      </c>
    </row>
    <row r="135" customFormat="false" ht="15" hidden="false" customHeight="false" outlineLevel="0" collapsed="false">
      <c r="A135" s="21"/>
      <c r="B135" s="21"/>
      <c r="C135" s="21"/>
      <c r="D135" s="21"/>
      <c r="E135" s="21"/>
      <c r="F135" s="21"/>
      <c r="G135" s="21"/>
      <c r="H135" s="21"/>
      <c r="I135" s="21"/>
      <c r="J135" s="22"/>
      <c r="K135" s="22"/>
      <c r="L135" s="22"/>
      <c r="M135" s="21"/>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
      </c>
    </row>
    <row r="136" customFormat="false" ht="15" hidden="false" customHeight="false" outlineLevel="0" collapsed="false">
      <c r="A136" s="21"/>
      <c r="B136" s="21"/>
      <c r="C136" s="21"/>
      <c r="D136" s="21"/>
      <c r="E136" s="21"/>
      <c r="F136" s="21"/>
      <c r="G136" s="21"/>
      <c r="H136" s="21"/>
      <c r="I136" s="21"/>
      <c r="J136" s="22"/>
      <c r="K136" s="22"/>
      <c r="L136" s="22"/>
      <c r="M136" s="21"/>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
      </c>
    </row>
    <row r="137" customFormat="false" ht="15" hidden="false" customHeight="false" outlineLevel="0" collapsed="false">
      <c r="A137" s="21"/>
      <c r="B137" s="21"/>
      <c r="C137" s="21"/>
      <c r="D137" s="21"/>
      <c r="E137" s="21"/>
      <c r="F137" s="21"/>
      <c r="G137" s="21"/>
      <c r="H137" s="21"/>
      <c r="I137" s="21"/>
      <c r="J137" s="22"/>
      <c r="K137" s="22"/>
      <c r="L137" s="22"/>
      <c r="M137" s="21"/>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
      </c>
    </row>
    <row r="138" customFormat="false" ht="15" hidden="false" customHeight="false" outlineLevel="0" collapsed="false">
      <c r="A138" s="21"/>
      <c r="B138" s="21"/>
      <c r="C138" s="21"/>
      <c r="D138" s="21"/>
      <c r="E138" s="21"/>
      <c r="F138" s="21"/>
      <c r="G138" s="21"/>
      <c r="H138" s="21"/>
      <c r="I138" s="21"/>
      <c r="J138" s="22"/>
      <c r="K138" s="22"/>
      <c r="L138" s="22"/>
      <c r="M138" s="21"/>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
      </c>
    </row>
    <row r="139" customFormat="false" ht="15" hidden="false" customHeight="false" outlineLevel="0" collapsed="false">
      <c r="A139" s="21"/>
      <c r="B139" s="21"/>
      <c r="C139" s="21"/>
      <c r="D139" s="21"/>
      <c r="E139" s="21"/>
      <c r="F139" s="21"/>
      <c r="G139" s="21"/>
      <c r="H139" s="21"/>
      <c r="I139" s="21"/>
      <c r="J139" s="22"/>
      <c r="K139" s="22"/>
      <c r="L139" s="22"/>
      <c r="M139" s="21"/>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
      </c>
    </row>
    <row r="140" customFormat="false" ht="15" hidden="false" customHeight="false" outlineLevel="0" collapsed="false">
      <c r="A140" s="21"/>
      <c r="B140" s="21"/>
      <c r="C140" s="21"/>
      <c r="D140" s="21"/>
      <c r="E140" s="21"/>
      <c r="F140" s="21"/>
      <c r="G140" s="21"/>
      <c r="H140" s="21"/>
      <c r="I140" s="21"/>
      <c r="J140" s="22"/>
      <c r="K140" s="22"/>
      <c r="L140" s="22"/>
      <c r="M140" s="21"/>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
      </c>
    </row>
    <row r="141" customFormat="false" ht="15" hidden="false" customHeight="false" outlineLevel="0" collapsed="false">
      <c r="A141" s="21"/>
      <c r="B141" s="21"/>
      <c r="C141" s="21"/>
      <c r="D141" s="21"/>
      <c r="E141" s="21"/>
      <c r="F141" s="21"/>
      <c r="G141" s="21"/>
      <c r="H141" s="21"/>
      <c r="I141" s="21"/>
      <c r="J141" s="22"/>
      <c r="K141" s="22"/>
      <c r="L141" s="22"/>
      <c r="M141" s="21"/>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
      </c>
    </row>
    <row r="142" customFormat="false" ht="15" hidden="false" customHeight="false" outlineLevel="0" collapsed="false">
      <c r="A142" s="21"/>
      <c r="B142" s="21"/>
      <c r="C142" s="21"/>
      <c r="D142" s="21"/>
      <c r="E142" s="21"/>
      <c r="F142" s="21"/>
      <c r="G142" s="21"/>
      <c r="H142" s="21"/>
      <c r="I142" s="21"/>
      <c r="J142" s="22"/>
      <c r="K142" s="22"/>
      <c r="L142" s="22"/>
      <c r="M142" s="21"/>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
      </c>
    </row>
    <row r="143" customFormat="false" ht="15" hidden="false" customHeight="false" outlineLevel="0" collapsed="false">
      <c r="A143" s="21"/>
      <c r="B143" s="21"/>
      <c r="C143" s="21"/>
      <c r="D143" s="21"/>
      <c r="E143" s="21"/>
      <c r="F143" s="21"/>
      <c r="G143" s="21"/>
      <c r="H143" s="21"/>
      <c r="I143" s="21"/>
      <c r="J143" s="22"/>
      <c r="K143" s="22"/>
      <c r="L143" s="22"/>
      <c r="M143" s="21"/>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
      </c>
    </row>
    <row r="144" customFormat="false" ht="15" hidden="false" customHeight="false" outlineLevel="0" collapsed="false">
      <c r="A144" s="21"/>
      <c r="B144" s="21"/>
      <c r="C144" s="21"/>
      <c r="D144" s="21"/>
      <c r="E144" s="21"/>
      <c r="F144" s="21"/>
      <c r="G144" s="21"/>
      <c r="H144" s="21"/>
      <c r="I144" s="21"/>
      <c r="J144" s="22"/>
      <c r="K144" s="22"/>
      <c r="L144" s="22"/>
      <c r="M144" s="21"/>
      <c r="N144" s="21"/>
      <c r="O144" s="22"/>
      <c r="P144" s="20" t="n">
        <f aca="false">IF($N144="Reduce",N($O144),0)</f>
        <v>0</v>
      </c>
      <c r="Q144" s="23" t="str">
        <f aca="false">IF($F144="","",MID(IF($G144="",", career level","")&amp;IF($I144="",", nationality mandate","")&amp;IF($N144="",", capacity direction","")&amp;IF(N($J144)&lt;=0,", approved HC","")&amp;IF(AND($G144&lt;&gt;"",COUNTIF(CareerLevels,$G144)=0),", a career level that is not on the ladder","")&amp;IF(AND($N144="Reduce",N($O144)&lt;=0),", how many seats Reduce means","")&amp;IF(AND(N($O144)&gt;0,$N144&lt;&gt;"Reduce"),", a number of seats on a row not marked Reduce","")&amp;IF(N($O144)&gt;N($J144),", more seats given up than the row has",""),3,200))</f>
        <v/>
      </c>
    </row>
    <row r="145" customFormat="false" ht="15" hidden="false" customHeight="false" outlineLevel="0" collapsed="false">
      <c r="A145" s="21"/>
      <c r="B145" s="21"/>
      <c r="C145" s="21"/>
      <c r="D145" s="21"/>
      <c r="E145" s="21"/>
      <c r="F145" s="21"/>
      <c r="G145" s="21"/>
      <c r="H145" s="21"/>
      <c r="I145" s="21"/>
      <c r="J145" s="22"/>
      <c r="K145" s="22"/>
      <c r="L145" s="22"/>
      <c r="M145" s="21"/>
      <c r="N145" s="21"/>
      <c r="O145" s="22"/>
      <c r="P145" s="20" t="n">
        <f aca="false">IF($N145="Reduce",N($O145),0)</f>
        <v>0</v>
      </c>
      <c r="Q145" s="23" t="str">
        <f aca="false">IF($F145="","",MID(IF($G145="",", career level","")&amp;IF($I145="",", nationality mandate","")&amp;IF($N145="",", capacity direction","")&amp;IF(N($J145)&lt;=0,", approved HC","")&amp;IF(AND($G145&lt;&gt;"",COUNTIF(CareerLevels,$G145)=0),", a career level that is not on the ladder","")&amp;IF(AND($N145="Reduce",N($O145)&lt;=0),", how many seats Reduce means","")&amp;IF(AND(N($O145)&gt;0,$N145&lt;&gt;"Reduce"),", a number of seats on a row not marked Reduce","")&amp;IF(N($O145)&gt;N($J145),", more seats given up than the row has",""),3,200))</f>
        <v/>
      </c>
    </row>
    <row r="146" customFormat="false" ht="15" hidden="false" customHeight="false" outlineLevel="0" collapsed="false">
      <c r="A146" s="21"/>
      <c r="B146" s="21"/>
      <c r="C146" s="21"/>
      <c r="D146" s="21"/>
      <c r="E146" s="21"/>
      <c r="F146" s="21"/>
      <c r="G146" s="21"/>
      <c r="H146" s="21"/>
      <c r="I146" s="21"/>
      <c r="J146" s="22"/>
      <c r="K146" s="22"/>
      <c r="L146" s="22"/>
      <c r="M146" s="21"/>
      <c r="N146" s="21"/>
      <c r="O146" s="22"/>
      <c r="P146" s="20" t="n">
        <f aca="false">IF($N146="Reduce",N($O146),0)</f>
        <v>0</v>
      </c>
      <c r="Q146" s="23" t="str">
        <f aca="false">IF($F146="","",MID(IF($G146="",", career level","")&amp;IF($I146="",", nationality mandate","")&amp;IF($N146="",", capacity direction","")&amp;IF(N($J146)&lt;=0,", approved HC","")&amp;IF(AND($G146&lt;&gt;"",COUNTIF(CareerLevels,$G146)=0),", a career level that is not on the ladder","")&amp;IF(AND($N146="Reduce",N($O146)&lt;=0),", how many seats Reduce means","")&amp;IF(AND(N($O146)&gt;0,$N146&lt;&gt;"Reduce"),", a number of seats on a row not marked Reduce","")&amp;IF(N($O146)&gt;N($J146),", more seats given up than the row has",""),3,200))</f>
        <v/>
      </c>
    </row>
    <row r="147" customFormat="false" ht="15" hidden="false" customHeight="false" outlineLevel="0" collapsed="false">
      <c r="A147" s="21"/>
      <c r="B147" s="21"/>
      <c r="C147" s="21"/>
      <c r="D147" s="21"/>
      <c r="E147" s="21"/>
      <c r="F147" s="21"/>
      <c r="G147" s="21"/>
      <c r="H147" s="21"/>
      <c r="I147" s="21"/>
      <c r="J147" s="22"/>
      <c r="K147" s="22"/>
      <c r="L147" s="22"/>
      <c r="M147" s="21"/>
      <c r="N147" s="21"/>
      <c r="O147" s="22"/>
      <c r="P147" s="20" t="n">
        <f aca="false">IF($N147="Reduce",N($O147),0)</f>
        <v>0</v>
      </c>
      <c r="Q147" s="23" t="str">
        <f aca="false">IF($F147="","",MID(IF($G147="",", career level","")&amp;IF($I147="",", nationality mandate","")&amp;IF($N147="",", capacity direction","")&amp;IF(N($J147)&lt;=0,", approved HC","")&amp;IF(AND($G147&lt;&gt;"",COUNTIF(CareerLevels,$G147)=0),", a career level that is not on the ladder","")&amp;IF(AND($N147="Reduce",N($O147)&lt;=0),", how many seats Reduce means","")&amp;IF(AND(N($O147)&gt;0,$N147&lt;&gt;"Reduce"),", a number of seats on a row not marked Reduce","")&amp;IF(N($O147)&gt;N($J147),", more seats given up than the row has",""),3,200))</f>
        <v/>
      </c>
    </row>
  </sheetData>
  <sheetProtection sheet="true" sort="false" autoFilter="false"/>
  <autoFilter ref="A5:Q147"/>
  <mergeCells count="1">
    <mergeCell ref="A2:J2"/>
  </mergeCells>
  <conditionalFormatting sqref="A6:Q147">
    <cfRule type="expression" priority="2" aboveAverage="0" equalAverage="0" bottom="0" percent="0" rank="0" text="" dxfId="11">
      <formula>AND(N($J6)&gt;0,$P6=$J6)</formula>
    </cfRule>
  </conditionalFormatting>
  <conditionalFormatting sqref="P6:P147">
    <cfRule type="cellIs" priority="3" operator="greaterThan" aboveAverage="0" equalAverage="0" bottom="0" percent="0" rank="0" text="" dxfId="12">
      <formula>0</formula>
    </cfRule>
  </conditionalFormatting>
  <conditionalFormatting sqref="Q6:Q147">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147" type="list">
      <formula1>CareerLevels</formula1>
      <formula2>0</formula2>
    </dataValidation>
    <dataValidation allowBlank="true" error="Pick a value from the list." errorStyle="stop" operator="between" showDropDown="false" showErrorMessage="true" showInputMessage="false" sqref="H6:H147" type="list">
      <formula1>JobFamilies</formula1>
      <formula2>0</formula2>
    </dataValidation>
    <dataValidation allowBlank="true" error="Pick a value from the list." errorStyle="stop" operator="between" showDropDown="false" showErrorMessage="true" showInputMessage="false" sqref="I6:I147" type="list">
      <formula1>YesNo</formula1>
      <formula2>0</formula2>
    </dataValidation>
    <dataValidation allowBlank="true" error="Pick a value from the list." errorStyle="stop" operator="between" showDropDown="false" showErrorMessage="true" showInputMessage="false" sqref="M6:M147" type="list">
      <formula1>WorkerTypes</formula1>
      <formula2>0</formula2>
    </dataValidation>
    <dataValidation allowBlank="true" error="Pick a value from the list." errorStyle="stop" operator="between" showDropDown="false" showErrorMessage="true" showInputMessage="false" sqref="N6:N147"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147"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223</v>
      </c>
    </row>
    <row r="2" customFormat="false" ht="15" hidden="false" customHeight="false" outlineLevel="0" collapsed="false">
      <c r="A2" s="2" t="s">
        <v>224</v>
      </c>
      <c r="B2" s="2"/>
      <c r="C2" s="2"/>
      <c r="D2" s="2"/>
      <c r="E2" s="2"/>
      <c r="F2" s="2"/>
      <c r="G2" s="2"/>
      <c r="H2" s="2"/>
      <c r="I2" s="2"/>
      <c r="J2" s="2"/>
    </row>
    <row r="5" customFormat="false" ht="30" hidden="false" customHeight="true" outlineLevel="0" collapsed="false">
      <c r="A5" s="12" t="s">
        <v>225</v>
      </c>
      <c r="B5" s="12" t="s">
        <v>61</v>
      </c>
      <c r="C5" s="12" t="s">
        <v>50</v>
      </c>
      <c r="D5" s="12" t="s">
        <v>226</v>
      </c>
      <c r="E5" s="12" t="s">
        <v>18</v>
      </c>
      <c r="F5" s="12" t="s">
        <v>132</v>
      </c>
      <c r="G5" s="12" t="s">
        <v>227</v>
      </c>
      <c r="H5" s="12" t="s">
        <v>228</v>
      </c>
      <c r="I5" s="12" t="s">
        <v>229</v>
      </c>
      <c r="J5" s="12" t="s">
        <v>26</v>
      </c>
      <c r="K5" s="12" t="s">
        <v>230</v>
      </c>
      <c r="L5" s="12" t="s">
        <v>231</v>
      </c>
      <c r="M5" s="12" t="s">
        <v>232</v>
      </c>
      <c r="N5" s="12" t="s">
        <v>233</v>
      </c>
      <c r="O5" s="12" t="s">
        <v>134</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234</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235</v>
      </c>
    </row>
    <row r="2" customFormat="false" ht="15" hidden="false" customHeight="false" outlineLevel="0" collapsed="false">
      <c r="A2" s="2" t="s">
        <v>236</v>
      </c>
      <c r="B2" s="2"/>
      <c r="C2" s="2"/>
      <c r="D2" s="2"/>
      <c r="E2" s="2"/>
      <c r="F2" s="2"/>
      <c r="G2" s="2"/>
      <c r="H2" s="2"/>
      <c r="I2" s="2"/>
      <c r="J2" s="2"/>
    </row>
    <row r="4" customFormat="false" ht="15" hidden="false" customHeight="false" outlineLevel="0" collapsed="false">
      <c r="L4" s="25" t="s">
        <v>237</v>
      </c>
      <c r="M4" s="25"/>
      <c r="N4" s="25"/>
      <c r="O4" s="25"/>
    </row>
    <row r="5" customFormat="false" ht="30" hidden="false" customHeight="true" outlineLevel="0" collapsed="false">
      <c r="A5" s="12" t="s">
        <v>225</v>
      </c>
      <c r="B5" s="12" t="s">
        <v>61</v>
      </c>
      <c r="C5" s="12" t="s">
        <v>64</v>
      </c>
      <c r="D5" s="12" t="s">
        <v>50</v>
      </c>
      <c r="E5" s="12" t="s">
        <v>128</v>
      </c>
      <c r="F5" s="12" t="s">
        <v>226</v>
      </c>
      <c r="G5" s="12" t="s">
        <v>18</v>
      </c>
      <c r="H5" s="12" t="s">
        <v>130</v>
      </c>
      <c r="I5" s="12" t="s">
        <v>132</v>
      </c>
      <c r="J5" s="12" t="s">
        <v>238</v>
      </c>
      <c r="K5" s="12" t="s">
        <v>239</v>
      </c>
      <c r="L5" s="12" t="s">
        <v>240</v>
      </c>
      <c r="M5" s="12" t="s">
        <v>241</v>
      </c>
      <c r="N5" s="12" t="s">
        <v>242</v>
      </c>
      <c r="O5" s="12" t="s">
        <v>243</v>
      </c>
      <c r="P5" s="12" t="s">
        <v>244</v>
      </c>
      <c r="Q5" s="12" t="s">
        <v>30</v>
      </c>
      <c r="R5" s="12" t="s">
        <v>32</v>
      </c>
      <c r="S5" s="12" t="s">
        <v>134</v>
      </c>
      <c r="T5" s="12" t="s">
        <v>245</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246</v>
      </c>
    </row>
    <row r="2" customFormat="false" ht="15" hidden="false" customHeight="false" outlineLevel="0" collapsed="false">
      <c r="A2" s="2" t="s">
        <v>247</v>
      </c>
      <c r="B2" s="2"/>
      <c r="C2" s="2"/>
      <c r="D2" s="2"/>
      <c r="E2" s="2"/>
      <c r="F2" s="2"/>
      <c r="G2" s="2"/>
      <c r="H2" s="2"/>
      <c r="I2" s="2"/>
      <c r="J2" s="2"/>
    </row>
    <row r="4" customFormat="false" ht="15" hidden="false" customHeight="false" outlineLevel="0" collapsed="false">
      <c r="A4" s="3" t="s">
        <v>248</v>
      </c>
    </row>
    <row r="5" customFormat="false" ht="27.75" hidden="false" customHeight="true" outlineLevel="0" collapsed="false">
      <c r="A5" s="12" t="s">
        <v>61</v>
      </c>
      <c r="B5" s="12" t="s">
        <v>238</v>
      </c>
      <c r="C5" s="12" t="s">
        <v>249</v>
      </c>
      <c r="D5" s="12" t="s">
        <v>239</v>
      </c>
      <c r="E5" s="12" t="s">
        <v>250</v>
      </c>
      <c r="F5" s="12" t="s">
        <v>57</v>
      </c>
      <c r="G5" s="12"/>
    </row>
    <row r="6" customFormat="false" ht="15" hidden="false" customHeight="false" outlineLevel="0" collapsed="false">
      <c r="A6" s="9" t="s">
        <v>63</v>
      </c>
      <c r="B6" s="26" t="n">
        <f aca="false">SUMIFS(SeatApproved,SeatDivision,"Corporate Legal Division")</f>
        <v>68</v>
      </c>
      <c r="C6" s="26" t="n">
        <f aca="false">SUMIFS(SeatExits,SeatDivision,"Corporate Legal Division")</f>
        <v>0</v>
      </c>
      <c r="D6" s="26" t="n">
        <f aca="false">SUMIFS(AskTotal,AskDivision,"Corporate Legal Division")</f>
        <v>0</v>
      </c>
      <c r="E6" s="26" t="n">
        <f aca="false">$B6-$C6+$D6</f>
        <v>68</v>
      </c>
      <c r="F6" s="26" t="n">
        <f aca="false">$E6-$B6</f>
        <v>0</v>
      </c>
    </row>
    <row r="7" customFormat="false" ht="15" hidden="false" customHeight="false" outlineLevel="0" collapsed="false">
      <c r="A7" s="9" t="s">
        <v>95</v>
      </c>
      <c r="B7" s="26" t="n">
        <f aca="false">SUMIFS(SeatApproved,SeatDivision,"Litigation &amp; Recovery Division")</f>
        <v>68</v>
      </c>
      <c r="C7" s="26" t="n">
        <f aca="false">SUMIFS(SeatExits,SeatDivision,"Litigation &amp; Recovery Division")</f>
        <v>0</v>
      </c>
      <c r="D7" s="26" t="n">
        <f aca="false">SUMIFS(AskTotal,AskDivision,"Litigation &amp; Recovery Division")</f>
        <v>0</v>
      </c>
      <c r="E7" s="26" t="n">
        <f aca="false">$B7-$C7+$D7</f>
        <v>68</v>
      </c>
      <c r="F7" s="26" t="n">
        <f aca="false">$E7-$B7</f>
        <v>0</v>
      </c>
    </row>
    <row r="8" customFormat="false" ht="15" hidden="false" customHeight="false" outlineLevel="0" collapsed="false">
      <c r="A8" s="9" t="s">
        <v>251</v>
      </c>
      <c r="B8" s="26" t="n">
        <f aca="false">SUMIFS(SeatApproved,SeatDivision,"")</f>
        <v>1</v>
      </c>
      <c r="C8" s="26" t="n">
        <f aca="false">SUMIFS(SeatExits,SeatDivision,"")</f>
        <v>0</v>
      </c>
      <c r="D8" s="26" t="n">
        <f aca="false">SUMIFS(AskTotal,AskDivision,"")</f>
        <v>0</v>
      </c>
      <c r="E8" s="26" t="n">
        <f aca="false">$B8-$C8+$D8</f>
        <v>1</v>
      </c>
      <c r="F8" s="26" t="n">
        <f aca="false">$E8-$B8</f>
        <v>0</v>
      </c>
    </row>
    <row r="9" customFormat="false" ht="15" hidden="false" customHeight="false" outlineLevel="0" collapsed="false">
      <c r="A9" s="27" t="s">
        <v>252</v>
      </c>
      <c r="B9" s="16" t="n">
        <f aca="false">SUM(B6:B8)</f>
        <v>137</v>
      </c>
      <c r="C9" s="16" t="n">
        <f aca="false">SUM(C6:C8)</f>
        <v>0</v>
      </c>
      <c r="D9" s="16" t="n">
        <f aca="false">SUM(D6:D8)</f>
        <v>0</v>
      </c>
      <c r="E9" s="16" t="n">
        <f aca="false">SUM(E6:E8)</f>
        <v>137</v>
      </c>
      <c r="F9" s="16" t="n">
        <f aca="false">SUM(F6:F8)</f>
        <v>0</v>
      </c>
    </row>
    <row r="11" customFormat="false" ht="15" hidden="false" customHeight="false" outlineLevel="0" collapsed="false">
      <c r="A11" s="3" t="s">
        <v>253</v>
      </c>
      <c r="G11" s="28" t="s">
        <v>254</v>
      </c>
    </row>
    <row r="12" customFormat="false" ht="27.75" hidden="false" customHeight="true" outlineLevel="0" collapsed="false">
      <c r="A12" s="12" t="s">
        <v>61</v>
      </c>
      <c r="B12" s="12" t="s">
        <v>238</v>
      </c>
      <c r="C12" s="12" t="s">
        <v>249</v>
      </c>
      <c r="D12" s="12" t="s">
        <v>239</v>
      </c>
      <c r="E12" s="12" t="s">
        <v>250</v>
      </c>
      <c r="F12" s="12" t="s">
        <v>57</v>
      </c>
      <c r="G12" s="12"/>
    </row>
    <row r="13" customFormat="false" ht="15" hidden="false" customHeight="false" outlineLevel="0" collapsed="false">
      <c r="A13" s="9" t="s">
        <v>63</v>
      </c>
      <c r="B13" s="29" t="n">
        <f aca="false">SUMIFS(SeatApproved,SeatDivision,"Corporate Legal Division",SeatLevel,INDEX(LevelList,1),SeatMandate,"Yes")*(INDEX(LevelBasic,1)+INDEX(LevelHousing,1)+INDEX(LevelTransport,1)+INDEX(LevelBasic,1)*INDEX(LevelBonus,1)+(INDEX(LevelBasic,1)+INDEX(LevelHousing,1))*GosiSaudi)+SUMIFS(SeatApproved,SeatDivision,"Corporate Legal Division",SeatLevel,INDEX(LevelList,1),SeatMandate,"No")*(INDEX(LevelBasic,1)+INDEX(LevelHousing,1)+INDEX(LevelTransport,1)+INDEX(LevelBasic,1)*INDEX(LevelBonus,1)+(INDEX(LevelBasic,1)+INDEX(LevelHousing,1))*GosiOther)+SUMIFS(SeatApproved,SeatDivision,"Corporate Legal Division",SeatLevel,INDEX(LevelList,2),SeatMandate,"Yes")*(INDEX(LevelBasic,2)+INDEX(LevelHousing,2)+INDEX(LevelTransport,2)+INDEX(LevelBasic,2)*INDEX(LevelBonus,2)+(INDEX(LevelBasic,2)+INDEX(LevelHousing,2))*GosiSaudi)+SUMIFS(SeatApproved,SeatDivision,"Corporate Legal Division",SeatLevel,INDEX(LevelList,2),SeatMandate,"No")*(INDEX(LevelBasic,2)+INDEX(LevelHousing,2)+INDEX(LevelTransport,2)+INDEX(LevelBasic,2)*INDEX(LevelBonus,2)+(INDEX(LevelBasic,2)+INDEX(LevelHousing,2))*GosiOther)+SUMIFS(SeatApproved,SeatDivision,"Corporate Legal Division",SeatLevel,INDEX(LevelList,3),SeatMandate,"Yes")*(INDEX(LevelBasic,3)+INDEX(LevelHousing,3)+INDEX(LevelTransport,3)+INDEX(LevelBasic,3)*INDEX(LevelBonus,3)+(INDEX(LevelBasic,3)+INDEX(LevelHousing,3))*GosiSaudi)+SUMIFS(SeatApproved,SeatDivision,"Corporate Legal Division",SeatLevel,INDEX(LevelList,3),SeatMandate,"No")*(INDEX(LevelBasic,3)+INDEX(LevelHousing,3)+INDEX(LevelTransport,3)+INDEX(LevelBasic,3)*INDEX(LevelBonus,3)+(INDEX(LevelBasic,3)+INDEX(LevelHousing,3))*GosiOther)+SUMIFS(SeatApproved,SeatDivision,"Corporate Legal Division",SeatLevel,INDEX(LevelList,4),SeatMandate,"Yes")*(INDEX(LevelBasic,4)+INDEX(LevelHousing,4)+INDEX(LevelTransport,4)+INDEX(LevelBasic,4)*INDEX(LevelBonus,4)+(INDEX(LevelBasic,4)+INDEX(LevelHousing,4))*GosiSaudi)+SUMIFS(SeatApproved,SeatDivision,"Corporate Legal Division",SeatLevel,INDEX(LevelList,4),SeatMandate,"No")*(INDEX(LevelBasic,4)+INDEX(LevelHousing,4)+INDEX(LevelTransport,4)+INDEX(LevelBasic,4)*INDEX(LevelBonus,4)+(INDEX(LevelBasic,4)+INDEX(LevelHousing,4))*GosiOther)+SUMIFS(SeatApproved,SeatDivision,"Corporate Legal Division",SeatLevel,INDEX(LevelList,5),SeatMandate,"Yes")*(INDEX(LevelBasic,5)+INDEX(LevelHousing,5)+INDEX(LevelTransport,5)+INDEX(LevelBasic,5)*INDEX(LevelBonus,5)+(INDEX(LevelBasic,5)+INDEX(LevelHousing,5))*GosiSaudi)+SUMIFS(SeatApproved,SeatDivision,"Corporate Legal Division",SeatLevel,INDEX(LevelList,5),SeatMandate,"No")*(INDEX(LevelBasic,5)+INDEX(LevelHousing,5)+INDEX(LevelTransport,5)+INDEX(LevelBasic,5)*INDEX(LevelBonus,5)+(INDEX(LevelBasic,5)+INDEX(LevelHousing,5))*GosiOther)+SUMIFS(SeatApproved,SeatDivision,"Corporate Legal Division",SeatLevel,INDEX(LevelList,6),SeatMandate,"Yes")*(INDEX(LevelBasic,6)+INDEX(LevelHousing,6)+INDEX(LevelTransport,6)+INDEX(LevelBasic,6)*INDEX(LevelBonus,6)+(INDEX(LevelBasic,6)+INDEX(LevelHousing,6))*GosiSaudi)+SUMIFS(SeatApproved,SeatDivision,"Corporate Legal Division",SeatLevel,INDEX(LevelList,6),SeatMandate,"No")*(INDEX(LevelBasic,6)+INDEX(LevelHousing,6)+INDEX(LevelTransport,6)+INDEX(LevelBasic,6)*INDEX(LevelBonus,6)+(INDEX(LevelBasic,6)+INDEX(LevelHousing,6))*GosiOther)</f>
        <v>0</v>
      </c>
      <c r="C13" s="29" t="n">
        <f aca="false">SUMIFS(SeatExits,SeatDivision,"Corporate Legal Division",SeatLevel,INDEX(LevelList,1),SeatMandate,"Yes")*(INDEX(LevelBasic,1)+INDEX(LevelHousing,1)+INDEX(LevelTransport,1)+INDEX(LevelBasic,1)*INDEX(LevelBonus,1)+(INDEX(LevelBasic,1)+INDEX(LevelHousing,1))*GosiSaudi)+SUMIFS(SeatExits,SeatDivision,"Corporate Legal Division",SeatLevel,INDEX(LevelList,1),SeatMandate,"No")*(INDEX(LevelBasic,1)+INDEX(LevelHousing,1)+INDEX(LevelTransport,1)+INDEX(LevelBasic,1)*INDEX(LevelBonus,1)+(INDEX(LevelBasic,1)+INDEX(LevelHousing,1))*GosiOther)+SUMIFS(SeatExits,SeatDivision,"Corporate Legal Division",SeatLevel,INDEX(LevelList,2),SeatMandate,"Yes")*(INDEX(LevelBasic,2)+INDEX(LevelHousing,2)+INDEX(LevelTransport,2)+INDEX(LevelBasic,2)*INDEX(LevelBonus,2)+(INDEX(LevelBasic,2)+INDEX(LevelHousing,2))*GosiSaudi)+SUMIFS(SeatExits,SeatDivision,"Corporate Legal Division",SeatLevel,INDEX(LevelList,2),SeatMandate,"No")*(INDEX(LevelBasic,2)+INDEX(LevelHousing,2)+INDEX(LevelTransport,2)+INDEX(LevelBasic,2)*INDEX(LevelBonus,2)+(INDEX(LevelBasic,2)+INDEX(LevelHousing,2))*GosiOther)+SUMIFS(SeatExits,SeatDivision,"Corporate Legal Division",SeatLevel,INDEX(LevelList,3),SeatMandate,"Yes")*(INDEX(LevelBasic,3)+INDEX(LevelHousing,3)+INDEX(LevelTransport,3)+INDEX(LevelBasic,3)*INDEX(LevelBonus,3)+(INDEX(LevelBasic,3)+INDEX(LevelHousing,3))*GosiSaudi)+SUMIFS(SeatExits,SeatDivision,"Corporate Legal Division",SeatLevel,INDEX(LevelList,3),SeatMandate,"No")*(INDEX(LevelBasic,3)+INDEX(LevelHousing,3)+INDEX(LevelTransport,3)+INDEX(LevelBasic,3)*INDEX(LevelBonus,3)+(INDEX(LevelBasic,3)+INDEX(LevelHousing,3))*GosiOther)+SUMIFS(SeatExits,SeatDivision,"Corporate Legal Division",SeatLevel,INDEX(LevelList,4),SeatMandate,"Yes")*(INDEX(LevelBasic,4)+INDEX(LevelHousing,4)+INDEX(LevelTransport,4)+INDEX(LevelBasic,4)*INDEX(LevelBonus,4)+(INDEX(LevelBasic,4)+INDEX(LevelHousing,4))*GosiSaudi)+SUMIFS(SeatExits,SeatDivision,"Corporate Legal Division",SeatLevel,INDEX(LevelList,4),SeatMandate,"No")*(INDEX(LevelBasic,4)+INDEX(LevelHousing,4)+INDEX(LevelTransport,4)+INDEX(LevelBasic,4)*INDEX(LevelBonus,4)+(INDEX(LevelBasic,4)+INDEX(LevelHousing,4))*GosiOther)+SUMIFS(SeatExits,SeatDivision,"Corporate Legal Division",SeatLevel,INDEX(LevelList,5),SeatMandate,"Yes")*(INDEX(LevelBasic,5)+INDEX(LevelHousing,5)+INDEX(LevelTransport,5)+INDEX(LevelBasic,5)*INDEX(LevelBonus,5)+(INDEX(LevelBasic,5)+INDEX(LevelHousing,5))*GosiSaudi)+SUMIFS(SeatExits,SeatDivision,"Corporate Legal Division",SeatLevel,INDEX(LevelList,5),SeatMandate,"No")*(INDEX(LevelBasic,5)+INDEX(LevelHousing,5)+INDEX(LevelTransport,5)+INDEX(LevelBasic,5)*INDEX(LevelBonus,5)+(INDEX(LevelBasic,5)+INDEX(LevelHousing,5))*GosiOther)+SUMIFS(SeatExits,SeatDivision,"Corporate Legal Division",SeatLevel,INDEX(LevelList,6),SeatMandate,"Yes")*(INDEX(LevelBasic,6)+INDEX(LevelHousing,6)+INDEX(LevelTransport,6)+INDEX(LevelBasic,6)*INDEX(LevelBonus,6)+(INDEX(LevelBasic,6)+INDEX(LevelHousing,6))*GosiSaudi)+SUMIFS(SeatExits,SeatDivision,"Corporate Legal Division",SeatLevel,INDEX(LevelList,6),SeatMandate,"No")*(INDEX(LevelBasic,6)+INDEX(LevelHousing,6)+INDEX(LevelTransport,6)+INDEX(LevelBasic,6)*INDEX(LevelBonus,6)+(INDEX(LevelBasic,6)+INDEX(LevelHousing,6))*GosiOther)</f>
        <v>0</v>
      </c>
      <c r="D13" s="29" t="n">
        <f aca="false">SUMIFS(AskTotal,AskDivision,"Corporate Legal Division",AskLevel,INDEX(LevelList,1))*(INDEX(LevelBasic,1)+INDEX(LevelHousing,1)+INDEX(LevelTransport,1)+INDEX(LevelBasic,1)*INDEX(LevelBonus,1)+(INDEX(LevelBasic,1)+INDEX(LevelHousing,1))*GosiSaudi)+SUMIFS(AskTotal,AskDivision,"Corporate Legal Division",AskLevel,INDEX(LevelList,2))*(INDEX(LevelBasic,2)+INDEX(LevelHousing,2)+INDEX(LevelTransport,2)+INDEX(LevelBasic,2)*INDEX(LevelBonus,2)+(INDEX(LevelBasic,2)+INDEX(LevelHousing,2))*GosiSaudi)+SUMIFS(AskTotal,AskDivision,"Corporate Legal Division",AskLevel,INDEX(LevelList,3))*(INDEX(LevelBasic,3)+INDEX(LevelHousing,3)+INDEX(LevelTransport,3)+INDEX(LevelBasic,3)*INDEX(LevelBonus,3)+(INDEX(LevelBasic,3)+INDEX(LevelHousing,3))*GosiSaudi)+SUMIFS(AskTotal,AskDivision,"Corporate Legal Division",AskLevel,INDEX(LevelList,4))*(INDEX(LevelBasic,4)+INDEX(LevelHousing,4)+INDEX(LevelTransport,4)+INDEX(LevelBasic,4)*INDEX(LevelBonus,4)+(INDEX(LevelBasic,4)+INDEX(LevelHousing,4))*GosiSaudi)+SUMIFS(AskTotal,AskDivision,"Corporate Legal Division",AskLevel,INDEX(LevelList,5))*(INDEX(LevelBasic,5)+INDEX(LevelHousing,5)+INDEX(LevelTransport,5)+INDEX(LevelBasic,5)*INDEX(LevelBonus,5)+(INDEX(LevelBasic,5)+INDEX(LevelHousing,5))*GosiSaudi)+SUMIFS(AskTotal,AskDivision,"Corporate Legal Division",AskLevel,INDEX(LevelList,6))*(INDEX(LevelBasic,6)+INDEX(LevelHousing,6)+INDEX(LevelTransport,6)+INDEX(LevelBasic,6)*INDEX(LevelBonus,6)+(INDEX(LevelBasic,6)+INDEX(LevelHousing,6))*GosiSaudi)</f>
        <v>0</v>
      </c>
      <c r="E13" s="29" t="n">
        <f aca="false">$B13-$C13+$D13</f>
        <v>0</v>
      </c>
      <c r="F13" s="29" t="n">
        <f aca="false">$E13-$B13</f>
        <v>0</v>
      </c>
    </row>
    <row r="14" customFormat="false" ht="15" hidden="false" customHeight="false" outlineLevel="0" collapsed="false">
      <c r="A14" s="9" t="s">
        <v>95</v>
      </c>
      <c r="B14" s="29" t="n">
        <f aca="false">SUMIFS(SeatApproved,SeatDivision,"Litigation &amp; Recovery Division",SeatLevel,INDEX(LevelList,1),SeatMandate,"Yes")*(INDEX(LevelBasic,1)+INDEX(LevelHousing,1)+INDEX(LevelTransport,1)+INDEX(LevelBasic,1)*INDEX(LevelBonus,1)+(INDEX(LevelBasic,1)+INDEX(LevelHousing,1))*GosiSaudi)+SUMIFS(SeatApproved,SeatDivision,"Litigation &amp; Recovery Division",SeatLevel,INDEX(LevelList,1),SeatMandate,"No")*(INDEX(LevelBasic,1)+INDEX(LevelHousing,1)+INDEX(LevelTransport,1)+INDEX(LevelBasic,1)*INDEX(LevelBonus,1)+(INDEX(LevelBasic,1)+INDEX(LevelHousing,1))*GosiOther)+SUMIFS(SeatApproved,SeatDivision,"Litigation &amp; Recovery Division",SeatLevel,INDEX(LevelList,2),SeatMandate,"Yes")*(INDEX(LevelBasic,2)+INDEX(LevelHousing,2)+INDEX(LevelTransport,2)+INDEX(LevelBasic,2)*INDEX(LevelBonus,2)+(INDEX(LevelBasic,2)+INDEX(LevelHousing,2))*GosiSaudi)+SUMIFS(SeatApproved,SeatDivision,"Litigation &amp; Recovery Division",SeatLevel,INDEX(LevelList,2),SeatMandate,"No")*(INDEX(LevelBasic,2)+INDEX(LevelHousing,2)+INDEX(LevelTransport,2)+INDEX(LevelBasic,2)*INDEX(LevelBonus,2)+(INDEX(LevelBasic,2)+INDEX(LevelHousing,2))*GosiOther)+SUMIFS(SeatApproved,SeatDivision,"Litigation &amp; Recovery Division",SeatLevel,INDEX(LevelList,3),SeatMandate,"Yes")*(INDEX(LevelBasic,3)+INDEX(LevelHousing,3)+INDEX(LevelTransport,3)+INDEX(LevelBasic,3)*INDEX(LevelBonus,3)+(INDEX(LevelBasic,3)+INDEX(LevelHousing,3))*GosiSaudi)+SUMIFS(SeatApproved,SeatDivision,"Litigation &amp; Recovery Division",SeatLevel,INDEX(LevelList,3),SeatMandate,"No")*(INDEX(LevelBasic,3)+INDEX(LevelHousing,3)+INDEX(LevelTransport,3)+INDEX(LevelBasic,3)*INDEX(LevelBonus,3)+(INDEX(LevelBasic,3)+INDEX(LevelHousing,3))*GosiOther)+SUMIFS(SeatApproved,SeatDivision,"Litigation &amp; Recovery Division",SeatLevel,INDEX(LevelList,4),SeatMandate,"Yes")*(INDEX(LevelBasic,4)+INDEX(LevelHousing,4)+INDEX(LevelTransport,4)+INDEX(LevelBasic,4)*INDEX(LevelBonus,4)+(INDEX(LevelBasic,4)+INDEX(LevelHousing,4))*GosiSaudi)+SUMIFS(SeatApproved,SeatDivision,"Litigation &amp; Recovery Division",SeatLevel,INDEX(LevelList,4),SeatMandate,"No")*(INDEX(LevelBasic,4)+INDEX(LevelHousing,4)+INDEX(LevelTransport,4)+INDEX(LevelBasic,4)*INDEX(LevelBonus,4)+(INDEX(LevelBasic,4)+INDEX(LevelHousing,4))*GosiOther)+SUMIFS(SeatApproved,SeatDivision,"Litigation &amp; Recovery Division",SeatLevel,INDEX(LevelList,5),SeatMandate,"Yes")*(INDEX(LevelBasic,5)+INDEX(LevelHousing,5)+INDEX(LevelTransport,5)+INDEX(LevelBasic,5)*INDEX(LevelBonus,5)+(INDEX(LevelBasic,5)+INDEX(LevelHousing,5))*GosiSaudi)+SUMIFS(SeatApproved,SeatDivision,"Litigation &amp; Recovery Division",SeatLevel,INDEX(LevelList,5),SeatMandate,"No")*(INDEX(LevelBasic,5)+INDEX(LevelHousing,5)+INDEX(LevelTransport,5)+INDEX(LevelBasic,5)*INDEX(LevelBonus,5)+(INDEX(LevelBasic,5)+INDEX(LevelHousing,5))*GosiOther)+SUMIFS(SeatApproved,SeatDivision,"Litigation &amp; Recovery Division",SeatLevel,INDEX(LevelList,6),SeatMandate,"Yes")*(INDEX(LevelBasic,6)+INDEX(LevelHousing,6)+INDEX(LevelTransport,6)+INDEX(LevelBasic,6)*INDEX(LevelBonus,6)+(INDEX(LevelBasic,6)+INDEX(LevelHousing,6))*GosiSaudi)+SUMIFS(SeatApproved,SeatDivision,"Litigation &amp; Recovery Division",SeatLevel,INDEX(LevelList,6),SeatMandate,"No")*(INDEX(LevelBasic,6)+INDEX(LevelHousing,6)+INDEX(LevelTransport,6)+INDEX(LevelBasic,6)*INDEX(LevelBonus,6)+(INDEX(LevelBasic,6)+INDEX(LevelHousing,6))*GosiOther)</f>
        <v>0</v>
      </c>
      <c r="C14" s="29" t="n">
        <f aca="false">SUMIFS(SeatExits,SeatDivision,"Litigation &amp; Recovery Division",SeatLevel,INDEX(LevelList,1),SeatMandate,"Yes")*(INDEX(LevelBasic,1)+INDEX(LevelHousing,1)+INDEX(LevelTransport,1)+INDEX(LevelBasic,1)*INDEX(LevelBonus,1)+(INDEX(LevelBasic,1)+INDEX(LevelHousing,1))*GosiSaudi)+SUMIFS(SeatExits,SeatDivision,"Litigation &amp; Recovery Division",SeatLevel,INDEX(LevelList,1),SeatMandate,"No")*(INDEX(LevelBasic,1)+INDEX(LevelHousing,1)+INDEX(LevelTransport,1)+INDEX(LevelBasic,1)*INDEX(LevelBonus,1)+(INDEX(LevelBasic,1)+INDEX(LevelHousing,1))*GosiOther)+SUMIFS(SeatExits,SeatDivision,"Litigation &amp; Recovery Division",SeatLevel,INDEX(LevelList,2),SeatMandate,"Yes")*(INDEX(LevelBasic,2)+INDEX(LevelHousing,2)+INDEX(LevelTransport,2)+INDEX(LevelBasic,2)*INDEX(LevelBonus,2)+(INDEX(LevelBasic,2)+INDEX(LevelHousing,2))*GosiSaudi)+SUMIFS(SeatExits,SeatDivision,"Litigation &amp; Recovery Division",SeatLevel,INDEX(LevelList,2),SeatMandate,"No")*(INDEX(LevelBasic,2)+INDEX(LevelHousing,2)+INDEX(LevelTransport,2)+INDEX(LevelBasic,2)*INDEX(LevelBonus,2)+(INDEX(LevelBasic,2)+INDEX(LevelHousing,2))*GosiOther)+SUMIFS(SeatExits,SeatDivision,"Litigation &amp; Recovery Division",SeatLevel,INDEX(LevelList,3),SeatMandate,"Yes")*(INDEX(LevelBasic,3)+INDEX(LevelHousing,3)+INDEX(LevelTransport,3)+INDEX(LevelBasic,3)*INDEX(LevelBonus,3)+(INDEX(LevelBasic,3)+INDEX(LevelHousing,3))*GosiSaudi)+SUMIFS(SeatExits,SeatDivision,"Litigation &amp; Recovery Division",SeatLevel,INDEX(LevelList,3),SeatMandate,"No")*(INDEX(LevelBasic,3)+INDEX(LevelHousing,3)+INDEX(LevelTransport,3)+INDEX(LevelBasic,3)*INDEX(LevelBonus,3)+(INDEX(LevelBasic,3)+INDEX(LevelHousing,3))*GosiOther)+SUMIFS(SeatExits,SeatDivision,"Litigation &amp; Recovery Division",SeatLevel,INDEX(LevelList,4),SeatMandate,"Yes")*(INDEX(LevelBasic,4)+INDEX(LevelHousing,4)+INDEX(LevelTransport,4)+INDEX(LevelBasic,4)*INDEX(LevelBonus,4)+(INDEX(LevelBasic,4)+INDEX(LevelHousing,4))*GosiSaudi)+SUMIFS(SeatExits,SeatDivision,"Litigation &amp; Recovery Division",SeatLevel,INDEX(LevelList,4),SeatMandate,"No")*(INDEX(LevelBasic,4)+INDEX(LevelHousing,4)+INDEX(LevelTransport,4)+INDEX(LevelBasic,4)*INDEX(LevelBonus,4)+(INDEX(LevelBasic,4)+INDEX(LevelHousing,4))*GosiOther)+SUMIFS(SeatExits,SeatDivision,"Litigation &amp; Recovery Division",SeatLevel,INDEX(LevelList,5),SeatMandate,"Yes")*(INDEX(LevelBasic,5)+INDEX(LevelHousing,5)+INDEX(LevelTransport,5)+INDEX(LevelBasic,5)*INDEX(LevelBonus,5)+(INDEX(LevelBasic,5)+INDEX(LevelHousing,5))*GosiSaudi)+SUMIFS(SeatExits,SeatDivision,"Litigation &amp; Recovery Division",SeatLevel,INDEX(LevelList,5),SeatMandate,"No")*(INDEX(LevelBasic,5)+INDEX(LevelHousing,5)+INDEX(LevelTransport,5)+INDEX(LevelBasic,5)*INDEX(LevelBonus,5)+(INDEX(LevelBasic,5)+INDEX(LevelHousing,5))*GosiOther)+SUMIFS(SeatExits,SeatDivision,"Litigation &amp; Recovery Division",SeatLevel,INDEX(LevelList,6),SeatMandate,"Yes")*(INDEX(LevelBasic,6)+INDEX(LevelHousing,6)+INDEX(LevelTransport,6)+INDEX(LevelBasic,6)*INDEX(LevelBonus,6)+(INDEX(LevelBasic,6)+INDEX(LevelHousing,6))*GosiSaudi)+SUMIFS(SeatExits,SeatDivision,"Litigation &amp; Recovery Division",SeatLevel,INDEX(LevelList,6),SeatMandate,"No")*(INDEX(LevelBasic,6)+INDEX(LevelHousing,6)+INDEX(LevelTransport,6)+INDEX(LevelBasic,6)*INDEX(LevelBonus,6)+(INDEX(LevelBasic,6)+INDEX(LevelHousing,6))*GosiOther)</f>
        <v>0</v>
      </c>
      <c r="D14" s="29" t="n">
        <f aca="false">SUMIFS(AskTotal,AskDivision,"Litigation &amp; Recovery Division",AskLevel,INDEX(LevelList,1))*(INDEX(LevelBasic,1)+INDEX(LevelHousing,1)+INDEX(LevelTransport,1)+INDEX(LevelBasic,1)*INDEX(LevelBonus,1)+(INDEX(LevelBasic,1)+INDEX(LevelHousing,1))*GosiSaudi)+SUMIFS(AskTotal,AskDivision,"Litigation &amp; Recovery Division",AskLevel,INDEX(LevelList,2))*(INDEX(LevelBasic,2)+INDEX(LevelHousing,2)+INDEX(LevelTransport,2)+INDEX(LevelBasic,2)*INDEX(LevelBonus,2)+(INDEX(LevelBasic,2)+INDEX(LevelHousing,2))*GosiSaudi)+SUMIFS(AskTotal,AskDivision,"Litigation &amp; Recovery Division",AskLevel,INDEX(LevelList,3))*(INDEX(LevelBasic,3)+INDEX(LevelHousing,3)+INDEX(LevelTransport,3)+INDEX(LevelBasic,3)*INDEX(LevelBonus,3)+(INDEX(LevelBasic,3)+INDEX(LevelHousing,3))*GosiSaudi)+SUMIFS(AskTotal,AskDivision,"Litigation &amp; Recovery Division",AskLevel,INDEX(LevelList,4))*(INDEX(LevelBasic,4)+INDEX(LevelHousing,4)+INDEX(LevelTransport,4)+INDEX(LevelBasic,4)*INDEX(LevelBonus,4)+(INDEX(LevelBasic,4)+INDEX(LevelHousing,4))*GosiSaudi)+SUMIFS(AskTotal,AskDivision,"Litigation &amp; Recovery Division",AskLevel,INDEX(LevelList,5))*(INDEX(LevelBasic,5)+INDEX(LevelHousing,5)+INDEX(LevelTransport,5)+INDEX(LevelBasic,5)*INDEX(LevelBonus,5)+(INDEX(LevelBasic,5)+INDEX(LevelHousing,5))*GosiSaudi)+SUMIFS(AskTotal,AskDivision,"Litigation &amp; Recovery Division",AskLevel,INDEX(LevelList,6))*(INDEX(LevelBasic,6)+INDEX(LevelHousing,6)+INDEX(LevelTransport,6)+INDEX(LevelBasic,6)*INDEX(LevelBonus,6)+(INDEX(LevelBasic,6)+INDEX(LevelHousing,6))*GosiSaudi)</f>
        <v>0</v>
      </c>
      <c r="E14" s="29" t="n">
        <f aca="false">$B14-$C14+$D14</f>
        <v>0</v>
      </c>
      <c r="F14" s="29" t="n">
        <f aca="false">$E14-$B14</f>
        <v>0</v>
      </c>
    </row>
    <row r="15" customFormat="false" ht="15" hidden="false" customHeight="false" outlineLevel="0" collapsed="false">
      <c r="A15" s="9" t="s">
        <v>251</v>
      </c>
      <c r="B15"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5"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5"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5" s="29" t="n">
        <f aca="false">$B15-$C15+$D15</f>
        <v>0</v>
      </c>
      <c r="F15" s="29" t="n">
        <f aca="false">$E15-$B15</f>
        <v>0</v>
      </c>
    </row>
    <row r="16" customFormat="false" ht="15" hidden="false" customHeight="false" outlineLevel="0" collapsed="false">
      <c r="A16" s="27" t="s">
        <v>252</v>
      </c>
      <c r="B16" s="15" t="n">
        <f aca="false">SUM(B13:B15)</f>
        <v>0</v>
      </c>
      <c r="C16" s="15" t="n">
        <f aca="false">SUM(C13:C15)</f>
        <v>0</v>
      </c>
      <c r="D16" s="15" t="n">
        <f aca="false">SUM(D13:D15)</f>
        <v>0</v>
      </c>
      <c r="E16" s="15" t="n">
        <f aca="false">SUM(E13:E15)</f>
        <v>0</v>
      </c>
      <c r="F16" s="15" t="n">
        <f aca="false">SUM(F13:F15)</f>
        <v>0</v>
      </c>
    </row>
    <row r="18" customFormat="false" ht="15" hidden="false" customHeight="false" outlineLevel="0" collapsed="false">
      <c r="A18" s="3" t="s">
        <v>255</v>
      </c>
    </row>
    <row r="19" customFormat="false" ht="15" hidden="false" customHeight="false" outlineLevel="0" collapsed="false">
      <c r="A19" s="6" t="s">
        <v>256</v>
      </c>
      <c r="B19"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9" s="30" t="s">
        <v>257</v>
      </c>
    </row>
    <row r="20" customFormat="false" ht="15" hidden="false" customHeight="false" outlineLevel="0" collapsed="false">
      <c r="A20" s="6" t="s">
        <v>258</v>
      </c>
      <c r="B20"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0" s="30" t="s">
        <v>259</v>
      </c>
    </row>
    <row r="21" customFormat="false" ht="15" hidden="false" customHeight="false" outlineLevel="0" collapsed="false">
      <c r="A21" s="6" t="s">
        <v>260</v>
      </c>
      <c r="B21" s="19" t="n">
        <f aca="false">-SUM(OutCash)</f>
        <v>-0</v>
      </c>
      <c r="C21" s="30" t="s">
        <v>261</v>
      </c>
    </row>
    <row r="22" customFormat="false" ht="15" hidden="false" customHeight="false" outlineLevel="0" collapsed="false">
      <c r="A22" s="27" t="s">
        <v>262</v>
      </c>
      <c r="B22" s="15" t="n">
        <f aca="false">$B$19+$B$20+$B$21</f>
        <v>0</v>
      </c>
      <c r="C22" s="30" t="s">
        <v>263</v>
      </c>
    </row>
    <row r="24" customFormat="false" ht="15" hidden="false" customHeight="false" outlineLevel="0" collapsed="false">
      <c r="A24" s="3" t="s">
        <v>264</v>
      </c>
    </row>
    <row r="25" customFormat="false" ht="27.75" hidden="false" customHeight="true" outlineLevel="0" collapsed="false">
      <c r="A25" s="12" t="s">
        <v>265</v>
      </c>
      <c r="B25" s="12" t="s">
        <v>266</v>
      </c>
      <c r="C25" s="12" t="s">
        <v>267</v>
      </c>
      <c r="D25" s="12" t="s">
        <v>268</v>
      </c>
      <c r="E25" s="12" t="s">
        <v>269</v>
      </c>
      <c r="F25" s="12"/>
      <c r="G25" s="12"/>
    </row>
    <row r="26" customFormat="false" ht="15" hidden="false" customHeight="false" outlineLevel="0" collapsed="false">
      <c r="A26" s="31" t="s">
        <v>270</v>
      </c>
      <c r="B26" s="32" t="n">
        <f aca="false">CostEnvelope</f>
        <v>1905</v>
      </c>
      <c r="C26" s="33" t="n">
        <f aca="false">$F$16</f>
        <v>0</v>
      </c>
      <c r="D26" s="29" t="n">
        <f aca="false">$B26-$C26</f>
        <v>1905</v>
      </c>
      <c r="E26" s="34" t="str">
        <f aca="false">IF($D26&gt;=0,"Within envelope","Over envelope")</f>
        <v>Within envelope</v>
      </c>
      <c r="G26" s="35" t="s">
        <v>271</v>
      </c>
    </row>
    <row r="27" customFormat="false" ht="15" hidden="false" customHeight="false" outlineLevel="0" collapsed="false">
      <c r="A27" s="31" t="s">
        <v>272</v>
      </c>
      <c r="B27" s="36" t="n">
        <f aca="false">HeadEnvelope</f>
        <v>7</v>
      </c>
      <c r="C27" s="37" t="n">
        <f aca="false">$F$9</f>
        <v>0</v>
      </c>
      <c r="D27" s="26" t="n">
        <f aca="false">$B27-$C27</f>
        <v>7</v>
      </c>
      <c r="E27" s="34" t="str">
        <f aca="false">IF($D27&gt;=0,"Within envelope","Over envelope")</f>
        <v>Within envelope</v>
      </c>
      <c r="G27" s="35" t="s">
        <v>273</v>
      </c>
    </row>
    <row r="28" customFormat="false" ht="15" hidden="false" customHeight="false" outlineLevel="0" collapsed="false">
      <c r="A28" s="31" t="s">
        <v>274</v>
      </c>
      <c r="B28" s="38" t="n">
        <f aca="false">SaudiTarget</f>
        <v>0.65</v>
      </c>
      <c r="C28" s="39" t="n">
        <f aca="false">IFERROR(SUMIFS(SeatApproved,SeatMandate,"Yes")/SUM(SeatApproved),0)</f>
        <v>0</v>
      </c>
      <c r="D28" s="40" t="n">
        <f aca="false">$C28-$B28</f>
        <v>-0.65</v>
      </c>
      <c r="E28" s="34" t="str">
        <f aca="false">IF($C28&gt;=$B28,"At or above target","Below target")</f>
        <v>Below target</v>
      </c>
      <c r="G28" s="35" t="s">
        <v>275</v>
      </c>
    </row>
    <row r="30" customFormat="false" ht="15" hidden="false" customHeight="false" outlineLevel="0" collapsed="false">
      <c r="A30" s="3" t="s">
        <v>276</v>
      </c>
      <c r="G30" s="28" t="s">
        <v>277</v>
      </c>
    </row>
    <row r="31" customFormat="false" ht="27.75" hidden="false" customHeight="true" outlineLevel="0" collapsed="false">
      <c r="A31" s="12" t="s">
        <v>278</v>
      </c>
      <c r="B31" s="12" t="s">
        <v>239</v>
      </c>
      <c r="C31" s="12" t="s">
        <v>279</v>
      </c>
      <c r="D31" s="12" t="s">
        <v>280</v>
      </c>
      <c r="E31" s="12" t="s">
        <v>281</v>
      </c>
      <c r="F31" s="12"/>
      <c r="G31" s="12"/>
    </row>
    <row r="32" customFormat="false" ht="15" hidden="false" customHeight="false" outlineLevel="0" collapsed="false">
      <c r="A32" s="9" t="s">
        <v>282</v>
      </c>
      <c r="B32" s="26" t="n">
        <f aca="false">SUMIFS(AskTotal,AskCategory,"Regulatory")</f>
        <v>0</v>
      </c>
      <c r="C32"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2" s="29" t="n">
        <f aca="false">SUM($C$32:$C32)</f>
        <v>0</v>
      </c>
      <c r="E32" s="34" t="str">
        <f aca="false">IF($D32&lt;=CostEnvelope,"Yes","No")</f>
        <v>Yes</v>
      </c>
      <c r="G32" s="35" t="s">
        <v>283</v>
      </c>
    </row>
    <row r="33" customFormat="false" ht="15" hidden="false" customHeight="false" outlineLevel="0" collapsed="false">
      <c r="A33" s="9" t="s">
        <v>284</v>
      </c>
      <c r="B33" s="26" t="n">
        <f aca="false">SUMIFS(AskTotal,AskCategory,"Strategic")</f>
        <v>0</v>
      </c>
      <c r="C33"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3" s="29" t="n">
        <f aca="false">SUM($C$32:$C33)</f>
        <v>0</v>
      </c>
      <c r="E33" s="34" t="str">
        <f aca="false">IF($D33&lt;=CostEnvelope,"Yes","No")</f>
        <v>Yes</v>
      </c>
      <c r="G33" s="35" t="s">
        <v>285</v>
      </c>
    </row>
    <row r="34" customFormat="false" ht="15" hidden="false" customHeight="false" outlineLevel="0" collapsed="false">
      <c r="A34" s="9" t="s">
        <v>286</v>
      </c>
      <c r="B34" s="26" t="n">
        <f aca="false">SUMIFS(AskTotal,AskCategory,"Control")</f>
        <v>0</v>
      </c>
      <c r="C34"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4" s="29" t="n">
        <f aca="false">SUM($C$32:$C34)</f>
        <v>0</v>
      </c>
      <c r="E34" s="34" t="str">
        <f aca="false">IF($D34&lt;=CostEnvelope,"Yes","No")</f>
        <v>Yes</v>
      </c>
      <c r="G34" s="35" t="s">
        <v>287</v>
      </c>
    </row>
    <row r="35" customFormat="false" ht="15" hidden="false" customHeight="false" outlineLevel="0" collapsed="false">
      <c r="A35" s="9" t="s">
        <v>288</v>
      </c>
      <c r="B35" s="26" t="n">
        <f aca="false">SUMIFS(AskTotal,AskCategory,"BAU")</f>
        <v>0</v>
      </c>
      <c r="C35"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5" s="29" t="n">
        <f aca="false">SUM($C$32:$C35)</f>
        <v>0</v>
      </c>
      <c r="E35" s="34" t="str">
        <f aca="false">IF($D35&lt;=CostEnvelope,"Yes","No")</f>
        <v>Yes</v>
      </c>
      <c r="G35" s="35" t="s">
        <v>289</v>
      </c>
    </row>
    <row r="37" customFormat="false" ht="15" hidden="false" customHeight="false" outlineLevel="0" collapsed="false">
      <c r="A37" s="3" t="s">
        <v>290</v>
      </c>
    </row>
    <row r="38" customFormat="false" ht="27.75" hidden="false" customHeight="true" outlineLevel="0" collapsed="false">
      <c r="A38" s="12" t="s">
        <v>237</v>
      </c>
      <c r="B38" s="12" t="s">
        <v>239</v>
      </c>
      <c r="C38" s="12" t="s">
        <v>291</v>
      </c>
      <c r="D38" s="12" t="s">
        <v>292</v>
      </c>
      <c r="E38" s="12"/>
      <c r="F38" s="12"/>
      <c r="G38" s="12"/>
    </row>
    <row r="39" customFormat="false" ht="15" hidden="false" customHeight="false" outlineLevel="0" collapsed="false">
      <c r="A39" s="9" t="s">
        <v>240</v>
      </c>
      <c r="B39" s="26" t="n">
        <f aca="false">SUM(AskQ1)</f>
        <v>0</v>
      </c>
      <c r="C39" s="41" t="n">
        <v>1</v>
      </c>
      <c r="D39"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0" customFormat="false" ht="15" hidden="false" customHeight="false" outlineLevel="0" collapsed="false">
      <c r="A40" s="9" t="s">
        <v>241</v>
      </c>
      <c r="B40" s="26" t="n">
        <f aca="false">SUM(AskQ2)</f>
        <v>0</v>
      </c>
      <c r="C40" s="41" t="n">
        <v>0.75</v>
      </c>
      <c r="D40"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1" customFormat="false" ht="15" hidden="false" customHeight="false" outlineLevel="0" collapsed="false">
      <c r="A41" s="9" t="s">
        <v>242</v>
      </c>
      <c r="B41" s="26" t="n">
        <f aca="false">SUM(AskQ3)</f>
        <v>0</v>
      </c>
      <c r="C41" s="41" t="n">
        <v>0.5</v>
      </c>
      <c r="D41"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2" customFormat="false" ht="15" hidden="false" customHeight="false" outlineLevel="0" collapsed="false">
      <c r="A42" s="9" t="s">
        <v>243</v>
      </c>
      <c r="B42" s="26" t="n">
        <f aca="false">SUM(AskQ4)</f>
        <v>0</v>
      </c>
      <c r="C42" s="41" t="n">
        <v>0.25</v>
      </c>
      <c r="D42"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4" customFormat="false" ht="15" hidden="false" customHeight="false" outlineLevel="0" collapsed="false">
      <c r="A64" s="3" t="s">
        <v>293</v>
      </c>
      <c r="G64" s="28" t="s">
        <v>294</v>
      </c>
    </row>
    <row r="65" customFormat="false" ht="27.75" hidden="false" customHeight="true" outlineLevel="0" collapsed="false">
      <c r="A65" s="12" t="s">
        <v>61</v>
      </c>
      <c r="B65" s="12" t="s">
        <v>238</v>
      </c>
      <c r="C65" s="12" t="s">
        <v>133</v>
      </c>
      <c r="D65" s="12" t="s">
        <v>239</v>
      </c>
      <c r="E65" s="12" t="s">
        <v>250</v>
      </c>
      <c r="F65" s="12" t="s">
        <v>295</v>
      </c>
      <c r="G65" s="12" t="s">
        <v>279</v>
      </c>
      <c r="H65" s="12" t="s">
        <v>232</v>
      </c>
    </row>
    <row r="66" customFormat="false" ht="15" hidden="false" customHeight="false" outlineLevel="0" collapsed="false">
      <c r="A66" s="10" t="str">
        <f aca="false">$A6</f>
        <v>Corporate Legal Division</v>
      </c>
      <c r="B66" s="26" t="n">
        <f aca="false">$B6</f>
        <v>68</v>
      </c>
      <c r="C66" s="26" t="n">
        <f aca="false">$C6</f>
        <v>0</v>
      </c>
      <c r="D66" s="26" t="n">
        <f aca="false">$D6</f>
        <v>0</v>
      </c>
      <c r="E66" s="26" t="n">
        <f aca="false">$E6</f>
        <v>68</v>
      </c>
      <c r="F66" s="26" t="n">
        <f aca="false">SUMIFS(SeatApproved,SeatDivision,"Corporate Legal Division",SeatMandate,"Yes")</f>
        <v>0</v>
      </c>
      <c r="G66" s="29" t="n">
        <f aca="false">$E13</f>
        <v>0</v>
      </c>
      <c r="H66" s="29" t="n">
        <f aca="false">SUMIFS(OutCash,OutDivision,"Corporate Legal Division")</f>
        <v>0</v>
      </c>
    </row>
    <row r="67" customFormat="false" ht="15" hidden="false" customHeight="false" outlineLevel="0" collapsed="false">
      <c r="A67" s="10" t="str">
        <f aca="false">$A7</f>
        <v>Litigation &amp; Recovery Division</v>
      </c>
      <c r="B67" s="26" t="n">
        <f aca="false">$B7</f>
        <v>68</v>
      </c>
      <c r="C67" s="26" t="n">
        <f aca="false">$C7</f>
        <v>0</v>
      </c>
      <c r="D67" s="26" t="n">
        <f aca="false">$D7</f>
        <v>0</v>
      </c>
      <c r="E67" s="26" t="n">
        <f aca="false">$E7</f>
        <v>68</v>
      </c>
      <c r="F67" s="26" t="n">
        <f aca="false">SUMIFS(SeatApproved,SeatDivision,"Litigation &amp; Recovery Division",SeatMandate,"Yes")</f>
        <v>0</v>
      </c>
      <c r="G67" s="29" t="n">
        <f aca="false">$E14</f>
        <v>0</v>
      </c>
      <c r="H67" s="29" t="n">
        <f aca="false">SUMIFS(OutCash,OutDivision,"Litigation &amp; Recovery Division")</f>
        <v>0</v>
      </c>
    </row>
    <row r="68" customFormat="false" ht="15" hidden="false" customHeight="false" outlineLevel="0" collapsed="false">
      <c r="A68" s="10" t="str">
        <f aca="false">$A8</f>
        <v>Reporting to the group directly</v>
      </c>
      <c r="B68" s="26" t="n">
        <f aca="false">$B8</f>
        <v>1</v>
      </c>
      <c r="C68" s="26" t="n">
        <f aca="false">$C8</f>
        <v>0</v>
      </c>
      <c r="D68" s="26" t="n">
        <f aca="false">$D8</f>
        <v>0</v>
      </c>
      <c r="E68" s="26" t="n">
        <f aca="false">$E8</f>
        <v>1</v>
      </c>
      <c r="F68" s="26" t="n">
        <f aca="false">SUMIFS(SeatApproved,SeatDivision,"",SeatMandate,"Yes")</f>
        <v>0</v>
      </c>
      <c r="G68" s="29" t="n">
        <f aca="false">$E15</f>
        <v>0</v>
      </c>
      <c r="H68" s="29" t="n">
        <f aca="false">SUMIFS(OutCash,OutDivision,"")</f>
        <v>0</v>
      </c>
    </row>
  </sheetData>
  <sheetProtection sheet="true" sort="false" autoFilter="false"/>
  <mergeCells count="1">
    <mergeCell ref="A2:J2"/>
  </mergeCells>
  <conditionalFormatting sqref="F6:F8">
    <cfRule type="cellIs" priority="2" operator="lessThan" aboveAverage="0" equalAverage="0" bottom="0" percent="0" rank="0" text="" dxfId="15">
      <formula>0</formula>
    </cfRule>
  </conditionalFormatting>
  <conditionalFormatting sqref="E26:E28">
    <cfRule type="expression" priority="3" aboveAverage="0" equalAverage="0" bottom="0" percent="0" rank="0" text="" dxfId="1">
      <formula>OR($E26="Over envelope",$E26="Below target")</formula>
    </cfRule>
    <cfRule type="expression" priority="4" aboveAverage="0" equalAverage="0" bottom="0" percent="0" rank="0" text="" dxfId="0">
      <formula>OR($E26="Within envelope",$E26="At or above target")</formula>
    </cfRule>
  </conditionalFormatting>
  <conditionalFormatting sqref="E32:E35">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296</v>
      </c>
    </row>
    <row r="2" customFormat="false" ht="15" hidden="false" customHeight="false" outlineLevel="0" collapsed="false">
      <c r="A2" s="2" t="s">
        <v>297</v>
      </c>
      <c r="B2" s="2"/>
      <c r="C2" s="2"/>
      <c r="D2" s="2"/>
      <c r="E2" s="2"/>
      <c r="F2" s="2"/>
      <c r="G2" s="2"/>
      <c r="H2" s="2"/>
      <c r="I2" s="2"/>
      <c r="J2" s="2"/>
    </row>
    <row r="4" customFormat="false" ht="15" hidden="false" customHeight="false" outlineLevel="0" collapsed="false">
      <c r="A4" s="3" t="s">
        <v>298</v>
      </c>
    </row>
    <row r="5" customFormat="false" ht="27.75" hidden="false" customHeight="true" outlineLevel="0" collapsed="false">
      <c r="A5" s="12" t="s">
        <v>299</v>
      </c>
      <c r="B5" s="12" t="s">
        <v>300</v>
      </c>
      <c r="C5" s="12" t="s">
        <v>269</v>
      </c>
      <c r="D5" s="12" t="s">
        <v>301</v>
      </c>
    </row>
    <row r="6" customFormat="false" ht="25.5" hidden="false" customHeight="true" outlineLevel="0" collapsed="false">
      <c r="A6" s="9" t="s">
        <v>302</v>
      </c>
      <c r="B6" s="29" t="n">
        <f aca="false">COUNTIF(SeatProblem,"?*")</f>
        <v>102</v>
      </c>
      <c r="C6" s="42" t="str">
        <f aca="false">IF($B6=0,"OK","Fix")</f>
        <v>Fix</v>
      </c>
      <c r="D6" s="43" t="s">
        <v>303</v>
      </c>
    </row>
    <row r="7" customFormat="false" ht="25.5" hidden="false" customHeight="true" outlineLevel="0" collapsed="false">
      <c r="A7" s="9" t="s">
        <v>304</v>
      </c>
      <c r="B7" s="29" t="n">
        <f aca="false">SUMPRODUCT((SeatTitle&lt;&gt;"")*(SeatLevel=""))</f>
        <v>102</v>
      </c>
      <c r="C7" s="42" t="str">
        <f aca="false">IF($B7=0,"OK","Fix")</f>
        <v>Fix</v>
      </c>
      <c r="D7" s="43" t="s">
        <v>305</v>
      </c>
    </row>
    <row r="8" customFormat="false" ht="25.5" hidden="false" customHeight="true" outlineLevel="0" collapsed="false">
      <c r="A8" s="9" t="s">
        <v>306</v>
      </c>
      <c r="B8" s="29" t="n">
        <f aca="false">SUMPRODUCT((SeatTitle&lt;&gt;"")*(SeatDirection=""))</f>
        <v>102</v>
      </c>
      <c r="C8" s="42" t="str">
        <f aca="false">IF($B8=0,"OK","Fix")</f>
        <v>Fix</v>
      </c>
      <c r="D8" s="43" t="s">
        <v>307</v>
      </c>
    </row>
    <row r="9" customFormat="false" ht="25.5" hidden="false" customHeight="true" outlineLevel="0" collapsed="false">
      <c r="A9" s="9" t="s">
        <v>308</v>
      </c>
      <c r="B9" s="29" t="n">
        <f aca="false">SUMPRODUCT((SeatDirection="Reduce")*(N(SeatSlated)&lt;=0))</f>
        <v>0</v>
      </c>
      <c r="C9" s="42" t="str">
        <f aca="false">IF($B9=0,"OK","Fix")</f>
        <v>OK</v>
      </c>
      <c r="D9" s="43" t="s">
        <v>309</v>
      </c>
    </row>
    <row r="10" customFormat="false" ht="25.5" hidden="false" customHeight="true" outlineLevel="0" collapsed="false">
      <c r="A10" s="9" t="s">
        <v>310</v>
      </c>
      <c r="B10" s="29" t="n">
        <f aca="false">SUMPRODUCT((N(SeatSlated)&gt;0)*(SeatDirection&lt;&gt;"Reduce"))</f>
        <v>0</v>
      </c>
      <c r="C10" s="42" t="str">
        <f aca="false">IF($B10=0,"OK","Fix")</f>
        <v>OK</v>
      </c>
      <c r="D10" s="43" t="s">
        <v>311</v>
      </c>
    </row>
    <row r="11" customFormat="false" ht="25.5" hidden="false" customHeight="true" outlineLevel="0" collapsed="false">
      <c r="A11" s="9" t="s">
        <v>312</v>
      </c>
      <c r="B11" s="29" t="n">
        <f aca="false">SUMPRODUCT((N(SeatSlated)&gt;N(SeatApproved))*1)</f>
        <v>0</v>
      </c>
      <c r="C11" s="42" t="str">
        <f aca="false">IF($B11=0,"OK","Fix")</f>
        <v>OK</v>
      </c>
      <c r="D11" s="43" t="s">
        <v>313</v>
      </c>
    </row>
    <row r="12" customFormat="false" ht="25.5" hidden="false" customHeight="true" outlineLevel="0" collapsed="false">
      <c r="A12" s="9" t="s">
        <v>314</v>
      </c>
      <c r="B12" s="29" t="n">
        <f aca="false">COUNTIF(OutProblem,"?*")</f>
        <v>0</v>
      </c>
      <c r="C12" s="42" t="str">
        <f aca="false">IF($B12=0,"OK","Fix")</f>
        <v>OK</v>
      </c>
      <c r="D12" s="43" t="s">
        <v>315</v>
      </c>
    </row>
    <row r="13" customFormat="false" ht="25.5" hidden="false" customHeight="true" outlineLevel="0" collapsed="false">
      <c r="A13" s="9" t="s">
        <v>316</v>
      </c>
      <c r="B13" s="29" t="n">
        <f aca="false">SUMPRODUCT((OutDisposition="Surrender to fund new asks")*(COUNTIFS(OutUnit,OutUnit,OutTitle,OutTitle,OutDisposition,"Surrender to fund new asks")&gt;SUMIFS(SeatSlated,SeatUnit,OutUnit,SeatTitle,OutTitle)))</f>
        <v>0</v>
      </c>
      <c r="C13" s="42" t="str">
        <f aca="false">IF($B13=0,"OK","Fix")</f>
        <v>OK</v>
      </c>
      <c r="D13" s="43" t="s">
        <v>317</v>
      </c>
    </row>
    <row r="14" customFormat="false" ht="25.5" hidden="false" customHeight="true" outlineLevel="0" collapsed="false">
      <c r="A14" s="9" t="s">
        <v>318</v>
      </c>
      <c r="B14" s="29" t="n">
        <f aca="false">COUNTIF(AskProblem,"?*")</f>
        <v>0</v>
      </c>
      <c r="C14" s="42" t="str">
        <f aca="false">IF($B14=0,"OK","Fix")</f>
        <v>OK</v>
      </c>
      <c r="D14" s="43" t="s">
        <v>319</v>
      </c>
    </row>
    <row r="15" customFormat="false" ht="25.5" hidden="false" customHeight="true" outlineLevel="0" collapsed="false">
      <c r="A15" s="9" t="s">
        <v>320</v>
      </c>
      <c r="B15" s="29" t="n">
        <f aca="false">SUMPRODUCT((AskTitle&lt;&gt;"")*(N(AskTotal)&lt;=0))</f>
        <v>0</v>
      </c>
      <c r="C15" s="42" t="str">
        <f aca="false">IF($B15=0,"OK","Fix")</f>
        <v>OK</v>
      </c>
      <c r="D15" s="43" t="s">
        <v>321</v>
      </c>
    </row>
    <row r="16" customFormat="false" ht="25.5" hidden="false" customHeight="true" outlineLevel="0" collapsed="false">
      <c r="A16" s="9" t="s">
        <v>322</v>
      </c>
      <c r="B16" s="29" t="n">
        <f aca="false">SUMPRODUCT((AskUnit&lt;&gt;"")*(COUNTIF(UnitList,AskUnit)=0))</f>
        <v>0</v>
      </c>
      <c r="C16" s="42" t="str">
        <f aca="false">IF($B16=0,"OK","Fix")</f>
        <v>OK</v>
      </c>
      <c r="D16" s="43" t="s">
        <v>323</v>
      </c>
    </row>
    <row r="18" customFormat="false" ht="15" hidden="false" customHeight="false" outlineLevel="0" collapsed="false">
      <c r="A18" s="3" t="s">
        <v>324</v>
      </c>
    </row>
    <row r="19" customFormat="false" ht="27.75" hidden="false" customHeight="true" outlineLevel="0" collapsed="false">
      <c r="A19" s="12" t="s">
        <v>299</v>
      </c>
      <c r="B19" s="12" t="s">
        <v>300</v>
      </c>
      <c r="C19" s="12" t="s">
        <v>269</v>
      </c>
      <c r="D19" s="12" t="s">
        <v>301</v>
      </c>
    </row>
    <row r="20" customFormat="false" ht="25.5" hidden="false" customHeight="true" outlineLevel="0" collapsed="false">
      <c r="A20" s="9" t="s">
        <v>325</v>
      </c>
      <c r="B20" s="29" t="n">
        <f aca="false">IF(CostMine&gt;CostLimit,1,0)</f>
        <v>0</v>
      </c>
      <c r="C20" s="42" t="str">
        <f aca="false">IF($B20=0,"OK","Review")</f>
        <v>OK</v>
      </c>
      <c r="D20" s="43" t="s">
        <v>326</v>
      </c>
    </row>
    <row r="21" customFormat="false" ht="25.5" hidden="false" customHeight="true" outlineLevel="0" collapsed="false">
      <c r="A21" s="9" t="s">
        <v>327</v>
      </c>
      <c r="B21" s="29" t="n">
        <f aca="false">IF(HeadMine&gt;HeadLimit,1,0)</f>
        <v>0</v>
      </c>
      <c r="C21" s="42" t="str">
        <f aca="false">IF($B21=0,"OK","Review")</f>
        <v>OK</v>
      </c>
      <c r="D21" s="43" t="s">
        <v>328</v>
      </c>
    </row>
    <row r="22" customFormat="false" ht="25.5" hidden="false" customHeight="true" outlineLevel="0" collapsed="false">
      <c r="A22" s="9" t="s">
        <v>329</v>
      </c>
      <c r="B22" s="29" t="n">
        <f aca="false">IF(MandateMine&lt;MandateLimit,1,0)</f>
        <v>1</v>
      </c>
      <c r="C22" s="42" t="str">
        <f aca="false">IF($B22=0,"OK","Review")</f>
        <v>Review</v>
      </c>
      <c r="D22" s="43" t="s">
        <v>330</v>
      </c>
    </row>
    <row r="24" customFormat="false" ht="15" hidden="false" customHeight="false" outlineLevel="0" collapsed="false">
      <c r="A24" s="3" t="s">
        <v>331</v>
      </c>
      <c r="D24" s="28" t="s">
        <v>332</v>
      </c>
    </row>
    <row r="25" customFormat="false" ht="27.75" hidden="false" customHeight="true" outlineLevel="0" collapsed="false">
      <c r="A25" s="12" t="s">
        <v>333</v>
      </c>
      <c r="B25" s="12" t="s">
        <v>50</v>
      </c>
      <c r="C25" s="12" t="s">
        <v>226</v>
      </c>
      <c r="D25" s="12" t="s">
        <v>334</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335</v>
      </c>
    </row>
    <row r="48" customFormat="false" ht="15" hidden="false" customHeight="false" outlineLevel="0" collapsed="false">
      <c r="A48" s="6" t="s">
        <v>336</v>
      </c>
      <c r="B48" s="45" t="str">
        <f aca="false">IF(SUM($B$6:$B$16)=0,"Yes","No")</f>
        <v>No</v>
      </c>
      <c r="C48" s="30" t="s">
        <v>337</v>
      </c>
    </row>
    <row r="49" customFormat="false" ht="15" hidden="false" customHeight="false" outlineLevel="0" collapsed="false">
      <c r="A49" s="6" t="s">
        <v>338</v>
      </c>
      <c r="B49" s="21"/>
    </row>
    <row r="50" customFormat="false" ht="15" hidden="false" customHeight="false" outlineLevel="0" collapsed="false">
      <c r="A50" s="6" t="s">
        <v>339</v>
      </c>
      <c r="B50" s="21"/>
    </row>
    <row r="51" customFormat="false" ht="15" hidden="false" customHeight="false" outlineLevel="0" collapsed="false">
      <c r="A51" s="6" t="s">
        <v>340</v>
      </c>
      <c r="B51" s="21"/>
    </row>
    <row r="52" customFormat="false" ht="15" hidden="false" customHeight="false" outlineLevel="0" collapsed="false">
      <c r="A52" s="3" t="s">
        <v>341</v>
      </c>
      <c r="B52" s="46" t="s">
        <v>342</v>
      </c>
      <c r="C52" s="30" t="s">
        <v>343</v>
      </c>
    </row>
    <row r="54" customFormat="false" ht="25.5" hidden="false" customHeight="true" outlineLevel="0" collapsed="false">
      <c r="A54" s="11" t="s">
        <v>344</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345</v>
      </c>
      <c r="B2" s="2"/>
      <c r="C2" s="2"/>
      <c r="D2" s="2"/>
      <c r="E2" s="2"/>
      <c r="F2" s="2"/>
      <c r="G2" s="2"/>
      <c r="H2" s="2"/>
      <c r="I2" s="2"/>
      <c r="J2" s="2"/>
    </row>
    <row r="4" customFormat="false" ht="30" hidden="false" customHeight="true" outlineLevel="0" collapsed="false">
      <c r="A4" s="12" t="s">
        <v>346</v>
      </c>
      <c r="B4" s="12" t="s">
        <v>347</v>
      </c>
    </row>
    <row r="5" customFormat="false" ht="27.75" hidden="false" customHeight="true" outlineLevel="0" collapsed="false">
      <c r="A5" s="47" t="s">
        <v>348</v>
      </c>
      <c r="B5" s="48" t="s">
        <v>349</v>
      </c>
    </row>
    <row r="6" customFormat="false" ht="27.75" hidden="false" customHeight="true" outlineLevel="0" collapsed="false">
      <c r="A6" s="47" t="s">
        <v>131</v>
      </c>
      <c r="B6" s="48" t="s">
        <v>350</v>
      </c>
    </row>
    <row r="7" customFormat="false" ht="27.75" hidden="false" customHeight="true" outlineLevel="0" collapsed="false">
      <c r="A7" s="47" t="s">
        <v>351</v>
      </c>
      <c r="B7" s="48" t="s">
        <v>352</v>
      </c>
    </row>
    <row r="8" customFormat="false" ht="27.75" hidden="false" customHeight="true" outlineLevel="0" collapsed="false">
      <c r="A8" s="47" t="s">
        <v>353</v>
      </c>
      <c r="B8" s="48" t="s">
        <v>354</v>
      </c>
    </row>
    <row r="9" customFormat="false" ht="27.75" hidden="false" customHeight="true" outlineLevel="0" collapsed="false">
      <c r="A9" s="47" t="s">
        <v>355</v>
      </c>
      <c r="B9" s="48" t="s">
        <v>356</v>
      </c>
    </row>
    <row r="10" customFormat="false" ht="27.75" hidden="false" customHeight="true" outlineLevel="0" collapsed="false">
      <c r="A10" s="47" t="s">
        <v>132</v>
      </c>
      <c r="B10" s="48" t="s">
        <v>357</v>
      </c>
    </row>
    <row r="11" customFormat="false" ht="27.75" hidden="false" customHeight="true" outlineLevel="0" collapsed="false">
      <c r="A11" s="47" t="s">
        <v>358</v>
      </c>
      <c r="B11" s="48" t="s">
        <v>359</v>
      </c>
    </row>
    <row r="12" customFormat="false" ht="27.75" hidden="false" customHeight="true" outlineLevel="0" collapsed="false">
      <c r="A12" s="47" t="s">
        <v>360</v>
      </c>
      <c r="B12" s="48" t="s">
        <v>361</v>
      </c>
    </row>
    <row r="13" customFormat="false" ht="27.75" hidden="false" customHeight="true" outlineLevel="0" collapsed="false">
      <c r="A13" s="47" t="s">
        <v>362</v>
      </c>
      <c r="B13" s="48" t="s">
        <v>363</v>
      </c>
    </row>
    <row r="14" customFormat="false" ht="27.75" hidden="false" customHeight="true" outlineLevel="0" collapsed="false">
      <c r="A14" s="47" t="s">
        <v>364</v>
      </c>
      <c r="B14" s="48" t="s">
        <v>365</v>
      </c>
    </row>
    <row r="15" customFormat="false" ht="27.75" hidden="false" customHeight="true" outlineLevel="0" collapsed="false">
      <c r="A15" s="47" t="s">
        <v>24</v>
      </c>
      <c r="B15" s="48" t="s">
        <v>366</v>
      </c>
    </row>
    <row r="16" customFormat="false" ht="27.75" hidden="false" customHeight="true" outlineLevel="0" collapsed="false">
      <c r="A16" s="47" t="s">
        <v>223</v>
      </c>
      <c r="B16" s="48" t="s">
        <v>367</v>
      </c>
    </row>
    <row r="17" customFormat="false" ht="27.75" hidden="false" customHeight="true" outlineLevel="0" collapsed="false">
      <c r="A17" s="47" t="s">
        <v>368</v>
      </c>
      <c r="B17" s="48" t="s">
        <v>369</v>
      </c>
    </row>
    <row r="18" customFormat="false" ht="27.75" hidden="false" customHeight="true" outlineLevel="0" collapsed="false">
      <c r="A18" s="47" t="s">
        <v>370</v>
      </c>
      <c r="B18" s="48" t="s">
        <v>371</v>
      </c>
    </row>
    <row r="19" customFormat="false" ht="27.75" hidden="false" customHeight="true" outlineLevel="0" collapsed="false">
      <c r="A19" s="47" t="s">
        <v>372</v>
      </c>
      <c r="B19" s="48" t="s">
        <v>373</v>
      </c>
    </row>
    <row r="20" customFormat="false" ht="27.75" hidden="false" customHeight="true" outlineLevel="0" collapsed="false">
      <c r="A20" s="47" t="s">
        <v>279</v>
      </c>
      <c r="B20" s="48" t="s">
        <v>374</v>
      </c>
    </row>
    <row r="21" customFormat="false" ht="27.75" hidden="false" customHeight="true" outlineLevel="0" collapsed="false">
      <c r="A21" s="47" t="s">
        <v>375</v>
      </c>
      <c r="B21" s="48" t="s">
        <v>376</v>
      </c>
    </row>
    <row r="22" customFormat="false" ht="27.75" hidden="false" customHeight="true" outlineLevel="0" collapsed="false">
      <c r="A22" s="47" t="s">
        <v>377</v>
      </c>
      <c r="B22" s="48" t="s">
        <v>378</v>
      </c>
    </row>
    <row r="23" customFormat="false" ht="27.75" hidden="false" customHeight="true" outlineLevel="0" collapsed="false">
      <c r="A23" s="47" t="s">
        <v>379</v>
      </c>
      <c r="B23" s="48" t="s">
        <v>380</v>
      </c>
    </row>
    <row r="24" customFormat="false" ht="27.75" hidden="false" customHeight="true" outlineLevel="0" collapsed="false">
      <c r="A24" s="47" t="s">
        <v>381</v>
      </c>
      <c r="B24" s="48" t="s">
        <v>382</v>
      </c>
    </row>
    <row r="25" customFormat="false" ht="27.75" hidden="false" customHeight="true" outlineLevel="0" collapsed="false">
      <c r="A25" s="47" t="s">
        <v>278</v>
      </c>
      <c r="B25" s="48" t="s">
        <v>383</v>
      </c>
    </row>
    <row r="26" customFormat="false" ht="27.75" hidden="false" customHeight="true" outlineLevel="0" collapsed="false">
      <c r="A26" s="47" t="s">
        <v>30</v>
      </c>
      <c r="B26" s="48" t="s">
        <v>384</v>
      </c>
    </row>
    <row r="27" customFormat="false" ht="27.75" hidden="false" customHeight="true" outlineLevel="0" collapsed="false">
      <c r="A27" s="47" t="s">
        <v>385</v>
      </c>
      <c r="B27" s="48" t="s">
        <v>386</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387</v>
      </c>
    </row>
    <row r="2" customFormat="false" ht="15" hidden="false" customHeight="false" outlineLevel="0" collapsed="false">
      <c r="A2" s="2" t="s">
        <v>388</v>
      </c>
      <c r="B2" s="2"/>
      <c r="C2" s="2"/>
      <c r="D2" s="2"/>
      <c r="E2" s="2"/>
      <c r="F2" s="2"/>
      <c r="G2" s="2"/>
      <c r="H2" s="2"/>
      <c r="I2" s="2"/>
      <c r="J2" s="2"/>
    </row>
    <row r="4" customFormat="false" ht="15" hidden="false" customHeight="false" outlineLevel="0" collapsed="false">
      <c r="A4" s="3" t="s">
        <v>389</v>
      </c>
    </row>
    <row r="5" customFormat="false" ht="15" hidden="false" customHeight="false" outlineLevel="0" collapsed="false">
      <c r="A5" s="6" t="s">
        <v>390</v>
      </c>
      <c r="B5" s="49" t="n">
        <v>2027</v>
      </c>
    </row>
    <row r="6" customFormat="false" ht="15" hidden="false" customHeight="false" outlineLevel="0" collapsed="false">
      <c r="A6" s="6" t="s">
        <v>391</v>
      </c>
      <c r="B6" s="49" t="n">
        <v>2026</v>
      </c>
    </row>
    <row r="7" customFormat="false" ht="15" hidden="false" customHeight="false" outlineLevel="0" collapsed="false">
      <c r="A7" s="6" t="s">
        <v>392</v>
      </c>
      <c r="B7" s="50" t="n">
        <v>0.09</v>
      </c>
    </row>
    <row r="8" customFormat="false" ht="15" hidden="false" customHeight="false" outlineLevel="0" collapsed="false">
      <c r="A8" s="6" t="s">
        <v>393</v>
      </c>
      <c r="B8" s="50" t="n">
        <v>0.03</v>
      </c>
    </row>
    <row r="9" customFormat="false" ht="15" hidden="false" customHeight="false" outlineLevel="0" collapsed="false">
      <c r="A9" s="6" t="s">
        <v>394</v>
      </c>
      <c r="B9" s="50" t="n">
        <v>0.04</v>
      </c>
    </row>
    <row r="10" customFormat="false" ht="15" hidden="false" customHeight="false" outlineLevel="0" collapsed="false">
      <c r="A10" s="6" t="s">
        <v>395</v>
      </c>
      <c r="B10" s="50" t="n">
        <v>0.1175</v>
      </c>
    </row>
    <row r="11" customFormat="false" ht="15" hidden="false" customHeight="false" outlineLevel="0" collapsed="false">
      <c r="A11" s="6" t="s">
        <v>396</v>
      </c>
      <c r="B11" s="50" t="n">
        <v>0.02</v>
      </c>
    </row>
    <row r="12" customFormat="false" ht="15" hidden="false" customHeight="false" outlineLevel="0" collapsed="false">
      <c r="A12" s="6" t="s">
        <v>59</v>
      </c>
      <c r="B12" s="49" t="s">
        <v>60</v>
      </c>
    </row>
    <row r="14" customFormat="false" ht="15" hidden="false" customHeight="false" outlineLevel="0" collapsed="false">
      <c r="A14" s="3" t="s">
        <v>397</v>
      </c>
    </row>
    <row r="15" customFormat="false" ht="15" hidden="false" customHeight="false" outlineLevel="0" collapsed="false">
      <c r="A15" s="6" t="s">
        <v>398</v>
      </c>
      <c r="B15" s="51" t="n">
        <v>1905</v>
      </c>
      <c r="C15" s="30" t="s">
        <v>399</v>
      </c>
    </row>
    <row r="16" customFormat="false" ht="15" hidden="false" customHeight="false" outlineLevel="0" collapsed="false">
      <c r="A16" s="6" t="s">
        <v>400</v>
      </c>
      <c r="B16" s="51" t="n">
        <v>7</v>
      </c>
      <c r="C16" s="30" t="s">
        <v>401</v>
      </c>
    </row>
    <row r="17" customFormat="false" ht="15" hidden="false" customHeight="false" outlineLevel="0" collapsed="false">
      <c r="A17" s="6" t="s">
        <v>402</v>
      </c>
      <c r="B17" s="50" t="n">
        <v>0.65</v>
      </c>
      <c r="C17" s="30" t="s">
        <v>403</v>
      </c>
    </row>
    <row r="19" customFormat="false" ht="15" hidden="false" customHeight="false" outlineLevel="0" collapsed="false">
      <c r="A19" s="3" t="s">
        <v>404</v>
      </c>
      <c r="G19" s="28" t="s">
        <v>405</v>
      </c>
    </row>
    <row r="20" customFormat="false" ht="30" hidden="false" customHeight="true" outlineLevel="0" collapsed="false">
      <c r="A20" s="12" t="s">
        <v>353</v>
      </c>
      <c r="B20" s="12" t="s">
        <v>406</v>
      </c>
      <c r="C20" s="12" t="s">
        <v>407</v>
      </c>
      <c r="D20" s="12" t="s">
        <v>408</v>
      </c>
      <c r="E20" s="12" t="s">
        <v>409</v>
      </c>
      <c r="F20" s="12" t="s">
        <v>410</v>
      </c>
      <c r="G20" s="12" t="s">
        <v>411</v>
      </c>
    </row>
    <row r="21" customFormat="false" ht="15" hidden="false" customHeight="false" outlineLevel="0" collapsed="false">
      <c r="A21" s="0" t="s">
        <v>137</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412</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146</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149</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413</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414</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415</v>
      </c>
    </row>
    <row r="29" customFormat="false" ht="30" hidden="false" customHeight="true" outlineLevel="0" collapsed="false">
      <c r="A29" s="12" t="s">
        <v>30</v>
      </c>
      <c r="B29" s="12" t="s">
        <v>244</v>
      </c>
      <c r="C29" s="12" t="s">
        <v>416</v>
      </c>
    </row>
    <row r="30" customFormat="false" ht="15" hidden="false" customHeight="false" outlineLevel="0" collapsed="false">
      <c r="A30" s="0" t="s">
        <v>417</v>
      </c>
      <c r="B30" s="0" t="s">
        <v>418</v>
      </c>
      <c r="C30" s="0" t="n">
        <v>1</v>
      </c>
    </row>
    <row r="31" customFormat="false" ht="15" hidden="false" customHeight="false" outlineLevel="0" collapsed="false">
      <c r="A31" s="0" t="s">
        <v>419</v>
      </c>
      <c r="B31" s="0" t="s">
        <v>418</v>
      </c>
      <c r="C31" s="0" t="n">
        <v>1</v>
      </c>
    </row>
    <row r="32" customFormat="false" ht="15" hidden="false" customHeight="false" outlineLevel="0" collapsed="false">
      <c r="A32" s="0" t="s">
        <v>420</v>
      </c>
      <c r="B32" s="0" t="s">
        <v>418</v>
      </c>
      <c r="C32" s="0" t="n">
        <v>1</v>
      </c>
    </row>
    <row r="33" customFormat="false" ht="15" hidden="false" customHeight="false" outlineLevel="0" collapsed="false">
      <c r="A33" s="0" t="s">
        <v>421</v>
      </c>
      <c r="B33" s="0" t="s">
        <v>418</v>
      </c>
      <c r="C33" s="0" t="n">
        <v>1</v>
      </c>
    </row>
    <row r="34" customFormat="false" ht="15" hidden="false" customHeight="false" outlineLevel="0" collapsed="false">
      <c r="A34" s="0" t="s">
        <v>422</v>
      </c>
      <c r="B34" s="0" t="s">
        <v>423</v>
      </c>
      <c r="C34" s="0" t="n">
        <v>2</v>
      </c>
    </row>
    <row r="35" customFormat="false" ht="15" hidden="false" customHeight="false" outlineLevel="0" collapsed="false">
      <c r="A35" s="0" t="s">
        <v>424</v>
      </c>
      <c r="B35" s="0" t="s">
        <v>423</v>
      </c>
      <c r="C35" s="0" t="n">
        <v>2</v>
      </c>
    </row>
    <row r="36" customFormat="false" ht="15" hidden="false" customHeight="false" outlineLevel="0" collapsed="false">
      <c r="A36" s="0" t="s">
        <v>425</v>
      </c>
      <c r="B36" s="0" t="s">
        <v>423</v>
      </c>
      <c r="C36" s="0" t="n">
        <v>2</v>
      </c>
    </row>
    <row r="37" customFormat="false" ht="15" hidden="false" customHeight="false" outlineLevel="0" collapsed="false">
      <c r="A37" s="0" t="s">
        <v>426</v>
      </c>
      <c r="B37" s="0" t="s">
        <v>423</v>
      </c>
      <c r="C37" s="0" t="n">
        <v>2</v>
      </c>
    </row>
    <row r="38" customFormat="false" ht="15" hidden="false" customHeight="false" outlineLevel="0" collapsed="false">
      <c r="A38" s="0" t="s">
        <v>427</v>
      </c>
      <c r="B38" s="0" t="s">
        <v>423</v>
      </c>
      <c r="C38" s="0" t="n">
        <v>2</v>
      </c>
    </row>
    <row r="39" customFormat="false" ht="15" hidden="false" customHeight="false" outlineLevel="0" collapsed="false">
      <c r="A39" s="0" t="s">
        <v>428</v>
      </c>
      <c r="B39" s="0" t="s">
        <v>429</v>
      </c>
      <c r="C39" s="0" t="n">
        <v>3</v>
      </c>
    </row>
    <row r="40" customFormat="false" ht="15" hidden="false" customHeight="false" outlineLevel="0" collapsed="false">
      <c r="A40" s="0" t="s">
        <v>430</v>
      </c>
      <c r="B40" s="0" t="s">
        <v>429</v>
      </c>
      <c r="C40" s="0" t="n">
        <v>3</v>
      </c>
    </row>
    <row r="41" customFormat="false" ht="15" hidden="false" customHeight="false" outlineLevel="0" collapsed="false">
      <c r="A41" s="0" t="s">
        <v>431</v>
      </c>
      <c r="B41" s="0" t="s">
        <v>429</v>
      </c>
      <c r="C41" s="0" t="n">
        <v>3</v>
      </c>
    </row>
    <row r="42" customFormat="false" ht="15" hidden="false" customHeight="false" outlineLevel="0" collapsed="false">
      <c r="A42" s="0" t="s">
        <v>432</v>
      </c>
      <c r="B42" s="0" t="s">
        <v>433</v>
      </c>
      <c r="C42" s="0" t="n">
        <v>4</v>
      </c>
    </row>
    <row r="43" customFormat="false" ht="15" hidden="false" customHeight="false" outlineLevel="0" collapsed="false">
      <c r="A43" s="0" t="s">
        <v>434</v>
      </c>
      <c r="B43" s="0" t="s">
        <v>433</v>
      </c>
      <c r="C43" s="0" t="n">
        <v>4</v>
      </c>
    </row>
    <row r="44" customFormat="false" ht="15" hidden="false" customHeight="false" outlineLevel="0" collapsed="false">
      <c r="A44" s="0" t="s">
        <v>435</v>
      </c>
      <c r="B44" s="0" t="s">
        <v>433</v>
      </c>
      <c r="C44" s="0" t="n">
        <v>4</v>
      </c>
    </row>
    <row r="45" customFormat="false" ht="15" hidden="false" customHeight="false" outlineLevel="0" collapsed="false">
      <c r="A45" s="0" t="s">
        <v>436</v>
      </c>
      <c r="B45" s="0" t="s">
        <v>433</v>
      </c>
      <c r="C45" s="0" t="n">
        <v>4</v>
      </c>
    </row>
    <row r="46" customFormat="false" ht="15" hidden="false" customHeight="false" outlineLevel="0" collapsed="false">
      <c r="A46" s="0" t="s">
        <v>437</v>
      </c>
      <c r="B46" s="0" t="s">
        <v>433</v>
      </c>
      <c r="C46" s="0" t="n">
        <v>4</v>
      </c>
    </row>
    <row r="47" customFormat="false" ht="15" hidden="false" customHeight="false" outlineLevel="0" collapsed="false">
      <c r="A47" s="0" t="s">
        <v>438</v>
      </c>
      <c r="B47" s="0" t="s">
        <v>433</v>
      </c>
      <c r="C47" s="0" t="n">
        <v>4</v>
      </c>
    </row>
    <row r="48" customFormat="false" ht="15" hidden="false" customHeight="false" outlineLevel="0" collapsed="false">
      <c r="A48" s="0" t="s">
        <v>439</v>
      </c>
      <c r="B48" s="0" t="s">
        <v>433</v>
      </c>
      <c r="C48" s="0" t="n">
        <v>4</v>
      </c>
    </row>
    <row r="50" customFormat="false" ht="15" hidden="false" customHeight="false" outlineLevel="0" collapsed="false">
      <c r="A50" s="6" t="s">
        <v>440</v>
      </c>
      <c r="C50" s="6" t="s">
        <v>441</v>
      </c>
      <c r="E50" s="6" t="s">
        <v>442</v>
      </c>
      <c r="G50" s="6" t="s">
        <v>443</v>
      </c>
      <c r="I50" s="6" t="s">
        <v>444</v>
      </c>
      <c r="K50" s="6" t="s">
        <v>445</v>
      </c>
      <c r="M50" s="6" t="s">
        <v>244</v>
      </c>
      <c r="O50" s="6" t="s">
        <v>446</v>
      </c>
      <c r="Q50" s="6" t="s">
        <v>447</v>
      </c>
      <c r="S50" s="6" t="s">
        <v>448</v>
      </c>
      <c r="U50" s="6" t="s">
        <v>449</v>
      </c>
      <c r="W50" s="6" t="s">
        <v>450</v>
      </c>
    </row>
    <row r="51" customFormat="false" ht="15" hidden="false" customHeight="false" outlineLevel="0" collapsed="false">
      <c r="A51" s="0" t="s">
        <v>240</v>
      </c>
      <c r="C51" s="0" t="s">
        <v>138</v>
      </c>
      <c r="E51" s="0" t="s">
        <v>360</v>
      </c>
      <c r="G51" s="0" t="s">
        <v>451</v>
      </c>
      <c r="I51" s="0" t="s">
        <v>368</v>
      </c>
      <c r="K51" s="0" t="s">
        <v>59</v>
      </c>
      <c r="M51" s="0" t="s">
        <v>418</v>
      </c>
      <c r="O51" s="0" t="s">
        <v>452</v>
      </c>
      <c r="Q51" s="0" t="s">
        <v>137</v>
      </c>
      <c r="S51" s="0" t="s">
        <v>137</v>
      </c>
      <c r="U51" s="0" t="s">
        <v>63</v>
      </c>
      <c r="W51" s="0" t="s">
        <v>66</v>
      </c>
    </row>
    <row r="52" customFormat="false" ht="15" hidden="false" customHeight="false" outlineLevel="0" collapsed="false">
      <c r="A52" s="0" t="s">
        <v>241</v>
      </c>
      <c r="C52" s="0" t="s">
        <v>165</v>
      </c>
      <c r="E52" s="0" t="s">
        <v>362</v>
      </c>
      <c r="G52" s="0" t="s">
        <v>453</v>
      </c>
      <c r="I52" s="0" t="s">
        <v>370</v>
      </c>
      <c r="K52" s="0" t="s">
        <v>61</v>
      </c>
      <c r="M52" s="0" t="s">
        <v>423</v>
      </c>
      <c r="O52" s="0" t="s">
        <v>454</v>
      </c>
      <c r="Q52" s="0" t="s">
        <v>412</v>
      </c>
      <c r="S52" s="0" t="s">
        <v>141</v>
      </c>
      <c r="U52" s="0" t="s">
        <v>95</v>
      </c>
      <c r="W52" s="0" t="s">
        <v>68</v>
      </c>
    </row>
    <row r="53" customFormat="false" ht="15" hidden="false" customHeight="false" outlineLevel="0" collapsed="false">
      <c r="A53" s="0" t="s">
        <v>242</v>
      </c>
      <c r="C53" s="0" t="s">
        <v>455</v>
      </c>
      <c r="E53" s="0" t="s">
        <v>364</v>
      </c>
      <c r="G53" s="0" t="s">
        <v>456</v>
      </c>
      <c r="I53" s="0" t="s">
        <v>372</v>
      </c>
      <c r="K53" s="0" t="s">
        <v>64</v>
      </c>
      <c r="M53" s="0" t="s">
        <v>429</v>
      </c>
      <c r="Q53" s="0" t="s">
        <v>146</v>
      </c>
      <c r="S53" s="0" t="s">
        <v>146</v>
      </c>
      <c r="W53" s="0" t="s">
        <v>71</v>
      </c>
    </row>
    <row r="54" customFormat="false" ht="15" hidden="false" customHeight="false" outlineLevel="0" collapsed="false">
      <c r="A54" s="0" t="s">
        <v>243</v>
      </c>
      <c r="G54" s="0" t="s">
        <v>457</v>
      </c>
      <c r="K54" s="0" t="s">
        <v>50</v>
      </c>
      <c r="M54" s="0" t="s">
        <v>433</v>
      </c>
      <c r="Q54" s="0" t="s">
        <v>149</v>
      </c>
      <c r="S54" s="0" t="s">
        <v>149</v>
      </c>
      <c r="W54" s="0" t="s">
        <v>73</v>
      </c>
    </row>
    <row r="55" customFormat="false" ht="15" hidden="false" customHeight="false" outlineLevel="0" collapsed="false">
      <c r="G55" s="0" t="s">
        <v>439</v>
      </c>
      <c r="K55" s="0" t="s">
        <v>69</v>
      </c>
      <c r="Q55" s="0" t="s">
        <v>413</v>
      </c>
      <c r="W55" s="0" t="s">
        <v>75</v>
      </c>
    </row>
    <row r="56" customFormat="false" ht="15" hidden="false" customHeight="false" outlineLevel="0" collapsed="false">
      <c r="K56" s="0" t="s">
        <v>458</v>
      </c>
      <c r="Q56" s="0" t="s">
        <v>414</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5" customFormat="false" ht="15" hidden="false" customHeight="false" outlineLevel="0" collapsed="false">
      <c r="W65" s="0" t="s">
        <v>97</v>
      </c>
    </row>
    <row r="66" customFormat="false" ht="15" hidden="false" customHeight="false" outlineLevel="0" collapsed="false">
      <c r="W66" s="0" t="s">
        <v>99</v>
      </c>
    </row>
    <row r="67" customFormat="false" ht="15" hidden="false" customHeight="false" outlineLevel="0" collapsed="false">
      <c r="W67" s="0" t="s">
        <v>101</v>
      </c>
    </row>
    <row r="68" customFormat="false" ht="15" hidden="false" customHeight="false" outlineLevel="0" collapsed="false">
      <c r="W68" s="0" t="s">
        <v>103</v>
      </c>
    </row>
    <row r="69" customFormat="false" ht="15" hidden="false" customHeight="false" outlineLevel="0" collapsed="false">
      <c r="W69" s="0" t="s">
        <v>105</v>
      </c>
    </row>
    <row r="70" customFormat="false" ht="15" hidden="false" customHeight="false" outlineLevel="0" collapsed="false">
      <c r="W70" s="0" t="s">
        <v>107</v>
      </c>
    </row>
    <row r="71" customFormat="false" ht="15" hidden="false" customHeight="false" outlineLevel="0" collapsed="false">
      <c r="W71" s="0" t="s">
        <v>109</v>
      </c>
    </row>
    <row r="72" customFormat="false" ht="15" hidden="false" customHeight="false" outlineLevel="0" collapsed="false">
      <c r="W72" s="0" t="s">
        <v>111</v>
      </c>
    </row>
    <row r="73" customFormat="false" ht="15" hidden="false" customHeight="false" outlineLevel="0" collapsed="false">
      <c r="W73" s="0" t="s">
        <v>113</v>
      </c>
    </row>
    <row r="74" customFormat="false" ht="15" hidden="false" customHeight="false" outlineLevel="0" collapsed="false">
      <c r="W74" s="0" t="s">
        <v>115</v>
      </c>
    </row>
    <row r="75" customFormat="false" ht="15" hidden="false" customHeight="false" outlineLevel="0" collapsed="false">
      <c r="W75" s="0" t="s">
        <v>117</v>
      </c>
    </row>
    <row r="76" customFormat="false" ht="15" hidden="false" customHeight="false" outlineLevel="0" collapsed="false">
      <c r="W76" s="0" t="s">
        <v>119</v>
      </c>
    </row>
    <row r="77" customFormat="false" ht="15" hidden="false" customHeight="false" outlineLevel="0" collapsed="false">
      <c r="W77" s="0" t="s">
        <v>121</v>
      </c>
    </row>
    <row r="78" customFormat="false" ht="15" hidden="false" customHeight="false" outlineLevel="0" collapsed="false">
      <c r="W78" s="0" t="s">
        <v>123</v>
      </c>
    </row>
    <row r="81" customFormat="false" ht="15" hidden="false" customHeight="false" outlineLevel="0" collapsed="false">
      <c r="A81" s="3" t="s">
        <v>459</v>
      </c>
    </row>
    <row r="82" customFormat="false" ht="15" hidden="false" customHeight="false" outlineLevel="0" collapsed="false">
      <c r="A82" s="6" t="s">
        <v>360</v>
      </c>
      <c r="B82" s="17" t="s">
        <v>460</v>
      </c>
    </row>
    <row r="83" customFormat="false" ht="15" hidden="false" customHeight="false" outlineLevel="0" collapsed="false">
      <c r="A83" s="6" t="s">
        <v>362</v>
      </c>
      <c r="B83" s="17" t="s">
        <v>363</v>
      </c>
    </row>
    <row r="84" customFormat="false" ht="15" hidden="false" customHeight="false" outlineLevel="0" collapsed="false">
      <c r="A84" s="6" t="s">
        <v>364</v>
      </c>
      <c r="B84" s="17" t="s">
        <v>461</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2026-09-07T13:45:48Z</dcterms:created>
  <dc:creator>Capacity exercise toolkit</dc:creator>
  <dc:description/>
  <dc:language>en-US</dc:language>
  <cp:lastModifiedBy/>
  <dcterms:modified xsi:type="dcterms:W3CDTF">2026-09-07T13:46:11Z</dcterms:modified>
  <cp:revision>1</cp:revision>
  <dc:subject/>
  <dc:title>2027 Capacity Exercise - Legal Group</dc:title>
</cp:coreProperties>
</file>

<file path=docProps/custom.xml><?xml version="1.0" encoding="utf-8"?>
<Properties xmlns="http://schemas.openxmlformats.org/officeDocument/2006/custom-properties" xmlns:vt="http://schemas.openxmlformats.org/officeDocument/2006/docPropsVTypes"/>
</file>