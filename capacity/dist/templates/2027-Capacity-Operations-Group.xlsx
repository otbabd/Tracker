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1. My structure" sheetId="2" state="visible" r:id="rId4"/>
    <sheet name="2. Current capacity" sheetId="3" state="visible" r:id="rId5"/>
    <sheet name="3. Pipeline out" sheetId="4" state="visible" r:id="rId6"/>
    <sheet name="4. Capacity asks" sheetId="5" state="visible" r:id="rId7"/>
    <sheet name="5. My position" sheetId="6" state="visible" r:id="rId8"/>
    <sheet name="6. Check &amp; submit" sheetId="7" state="visible" r:id="rId9"/>
    <sheet name="Glossary" sheetId="8" state="visible" r:id="rId10"/>
    <sheet name="Ref" sheetId="9" state="hidden" r:id="rId11"/>
  </sheets>
  <definedNames>
    <definedName function="false" hidden="false" localSheetId="1" name="_xlnm.Print_Titles" vbProcedure="false">'1. My structure'!$4:$4</definedName>
    <definedName function="false" hidden="false" localSheetId="2" name="_xlnm.Print_Titles" vbProcedure="false">'2. Current capacity'!$5:$5</definedName>
    <definedName function="false" hidden="true" localSheetId="2" name="_xlnm._FilterDatabase" vbProcedure="false">'2. Current capacity'!$A$5:$Q$204</definedName>
    <definedName function="false" hidden="false" localSheetId="3" name="_xlnm.Print_Titles" vbProcedure="false">'3. Pipeline out'!$5:$5</definedName>
    <definedName function="false" hidden="true" localSheetId="3" name="_xlnm._FilterDatabase" vbProcedure="false">'3. Pipeline out'!$A$5:$O$125</definedName>
    <definedName function="false" hidden="false" localSheetId="4" name="_xlnm.Print_Titles" vbProcedure="false">'4. Capacity asks'!$5:$5</definedName>
    <definedName function="false" hidden="true" localSheetId="4" name="_xlnm._FilterDatabase" vbProcedure="false">'4. Capacity asks'!$A$5:$T$205</definedName>
    <definedName function="false" hidden="false" localSheetId="7" name="_xlnm.Print_Titles" vbProcedure="false">Glossary!$4:$4</definedName>
    <definedName function="false" hidden="false" name="AskCategory" vbProcedure="false">'4. Capacity asks'!$P$6:$P$205</definedName>
    <definedName function="false" hidden="false" name="AskDepartment" vbProcedure="false">'4. Capacity asks'!$C$6:$C$205</definedName>
    <definedName function="false" hidden="false" name="AskDivision" vbProcedure="false">'4. Capacity asks'!$B$6:$B$205</definedName>
    <definedName function="false" hidden="false" name="AskDriver" vbProcedure="false">'4. Capacity asks'!$Q$6:$Q$205</definedName>
    <definedName function="false" hidden="false" name="AskFamily" vbProcedure="false">'4. Capacity asks'!$H$6:$H$205</definedName>
    <definedName function="false" hidden="false" name="AskIssueNo" vbProcedure="false">'4. Capacity asks'!$T$6:$T$205</definedName>
    <definedName function="false" hidden="false" name="AskLevel" vbProcedure="false">'4. Capacity asks'!$G$6:$G$205</definedName>
    <definedName function="false" hidden="false" name="AskProblem" vbProcedure="false">'4. Capacity asks'!$S$6:$S$205</definedName>
    <definedName function="false" hidden="false" name="AskQ1" vbProcedure="false">'4. Capacity asks'!$L$6:$L$205</definedName>
    <definedName function="false" hidden="false" name="AskQ2" vbProcedure="false">'4. Capacity asks'!$M$6:$M$205</definedName>
    <definedName function="false" hidden="false" name="AskQ3" vbProcedure="false">'4. Capacity asks'!$N$6:$N$205</definedName>
    <definedName function="false" hidden="false" name="AskQ4" vbProcedure="false">'4. Capacity asks'!$O$6:$O$205</definedName>
    <definedName function="false" hidden="false" name="AskRef" vbProcedure="false">'4. Capacity asks'!$A$6:$A$205</definedName>
    <definedName function="false" hidden="false" name="AskSubUnit" vbProcedure="false">'4. Capacity asks'!$E$6:$E$205</definedName>
    <definedName function="false" hidden="false" name="AskTitle" vbProcedure="false">'4. Capacity asks'!$F$6:$F$205</definedName>
    <definedName function="false" hidden="false" name="AskTotal" vbProcedure="false">'4. Capacity asks'!$K$6:$K$205</definedName>
    <definedName function="false" hidden="false" name="AskUnit" vbProcedure="false">'4. Capacity asks'!$D$6:$D$205</definedName>
    <definedName function="false" hidden="false" name="AskWorkerType" vbProcedure="false">'4. Capacity asks'!$I$6:$I$205</definedName>
    <definedName function="false" hidden="false" name="AttritionDefault" vbProcedure="false">Ref!$B$7</definedName>
    <definedName function="false" hidden="false" name="BaseYear" vbProcedure="false">Ref!$B$6</definedName>
    <definedName function="false" hidden="false" name="CareerLevels" vbProcedure="false">Ref!$Q$51:$Q$56</definedName>
    <definedName function="false" hidden="false" name="CategoryList" vbProcedure="false">Ref!$M$51:$M$54</definedName>
    <definedName function="false" hidden="false" name="CostEnvelope" vbProcedure="false">Ref!$B$15</definedName>
    <definedName function="false" hidden="false" name="CostLimit" vbProcedure="false">'5. My position'!$B$28</definedName>
    <definedName function="false" hidden="false" name="CostMine" vbProcedure="false">'5. My position'!$C$28</definedName>
    <definedName function="false" hidden="false" name="DirectionList" vbProcedure="false">Ref!$E$51:$E$53</definedName>
    <definedName function="false" hidden="false" name="DispositionList" vbProcedure="false">Ref!$I$51:$I$53</definedName>
    <definedName function="false" hidden="false" name="DivisionList" vbProcedure="false">Ref!$U$51:$U$53</definedName>
    <definedName function="false" hidden="false" name="DriverCategory" vbProcedure="false">Ref!$B$30:$B$48</definedName>
    <definedName function="false" hidden="false" name="DriverList" vbProcedure="false">Ref!$A$30:$A$48</definedName>
    <definedName function="false" hidden="false" name="DriverRank" vbProcedure="false">Ref!$C$30:$C$48</definedName>
    <definedName function="false" hidden="false" name="GosiOther" vbProcedure="false">Ref!$B$11</definedName>
    <definedName function="false" hidden="false" name="GosiSaudi" vbProcedure="false">Ref!$B$10</definedName>
    <definedName function="false" hidden="false" name="GroupName" vbProcedure="false">Ref!$B$12</definedName>
    <definedName function="false" hidden="false" name="HeadEnvelope" vbProcedure="false">Ref!$B$16</definedName>
    <definedName function="false" hidden="false" name="HeadLimit" vbProcedure="false">'5. My position'!$B$29</definedName>
    <definedName function="false" hidden="false" name="HeadMine" vbProcedure="false">'5. My position'!$C$29</definedName>
    <definedName function="false" hidden="false" name="JobFamilies" vbProcedure="false">Ref!$S$51:$S$54</definedName>
    <definedName function="false" hidden="false" name="LadderLevels" vbProcedure="false">Ref!$K$51:$K$56</definedName>
    <definedName function="false" hidden="false" name="LeavingReasons" vbProcedure="false">Ref!$G$51:$G$55</definedName>
    <definedName function="false" hidden="false" name="LevelBasic" vbProcedure="false">Ref!$B$21:$B$26</definedName>
    <definedName function="false" hidden="false" name="LevelBonus" vbProcedure="false">Ref!$E$21:$E$26</definedName>
    <definedName function="false" hidden="false" name="LevelHousing" vbProcedure="false">Ref!$C$21:$C$26</definedName>
    <definedName function="false" hidden="false" name="LevelList" vbProcedure="false">Ref!$A$21:$A$26</definedName>
    <definedName function="false" hidden="false" name="LevelOneOff" vbProcedure="false">Ref!$F$21:$F$26</definedName>
    <definedName function="false" hidden="false" name="LevelTransport" vbProcedure="false">Ref!$D$21:$D$26</definedName>
    <definedName function="false" hidden="false" name="MandateLimit" vbProcedure="false">'5. My position'!$B$30</definedName>
    <definedName function="false" hidden="false" name="MandateMine" vbProcedure="false">'5. My position'!$C$30</definedName>
    <definedName function="false" hidden="false" name="OutCash" vbProcedure="false">'3. Pipeline out'!$M$6:$M$125</definedName>
    <definedName function="false" hidden="false" name="OutDisposition" vbProcedure="false">'3. Pipeline out'!$J$6:$J$125</definedName>
    <definedName function="false" hidden="false" name="OutDivision" vbProcedure="false">'3. Pipeline out'!$B$6:$B$125</definedName>
    <definedName function="false" hidden="false" name="OutLevel" vbProcedure="false">'3. Pipeline out'!$E$6:$E$125</definedName>
    <definedName function="false" hidden="false" name="OutProblem" vbProcedure="false">'3. Pipeline out'!$O$6:$O$125</definedName>
    <definedName function="false" hidden="false" name="OutQuarter" vbProcedure="false">'3. Pipeline out'!$I$6:$I$125</definedName>
    <definedName function="false" hidden="false" name="OutRunRate" vbProcedure="false">'3. Pipeline out'!$N$6:$N$125</definedName>
    <definedName function="false" hidden="false" name="OutTitle" vbProcedure="false">'3. Pipeline out'!$D$6:$D$125</definedName>
    <definedName function="false" hidden="false" name="OutUnit" vbProcedure="false">'3. Pipeline out'!$C$6:$C$125</definedName>
    <definedName function="false" hidden="false" name="PlanYear" vbProcedure="false">Ref!$B$5</definedName>
    <definedName function="false" hidden="false" name="ProductivityDefault" vbProcedure="false">Ref!$B$8</definedName>
    <definedName function="false" hidden="false" name="QuarterList" vbProcedure="false">Ref!$A$51:$A$54</definedName>
    <definedName function="false" hidden="false" name="SalaryInflation" vbProcedure="false">Ref!$B$9</definedName>
    <definedName function="false" hidden="false" name="SaudiTarget" vbProcedure="false">Ref!$B$17</definedName>
    <definedName function="false" hidden="false" name="SeatApproved" vbProcedure="false">'2. Current capacity'!$J$6:$J$204</definedName>
    <definedName function="false" hidden="false" name="SeatDepartment" vbProcedure="false">'2. Current capacity'!$C$6:$C$204</definedName>
    <definedName function="false" hidden="false" name="SeatDirection" vbProcedure="false">'2. Current capacity'!$N$6:$N$204</definedName>
    <definedName function="false" hidden="false" name="SeatDivision" vbProcedure="false">'2. Current capacity'!$B$6:$B$204</definedName>
    <definedName function="false" hidden="false" name="SeatExits" vbProcedure="false">'2. Current capacity'!$P$6:$P$204</definedName>
    <definedName function="false" hidden="false" name="SeatFilled" vbProcedure="false">'2. Current capacity'!$K$6:$K$204</definedName>
    <definedName function="false" hidden="false" name="SeatLevel" vbProcedure="false">'2. Current capacity'!$G$6:$G$204</definedName>
    <definedName function="false" hidden="false" name="SeatMandate" vbProcedure="false">'2. Current capacity'!$I$6:$I$204</definedName>
    <definedName function="false" hidden="false" name="SeatProblem" vbProcedure="false">'2. Current capacity'!$Q$6:$Q$204</definedName>
    <definedName function="false" hidden="false" name="SeatSlated" vbProcedure="false">'2. Current capacity'!$O$6:$O$204</definedName>
    <definedName function="false" hidden="false" name="SeatSubUnit" vbProcedure="false">'2. Current capacity'!$E$6:$E$204</definedName>
    <definedName function="false" hidden="false" name="SeatTitle" vbProcedure="false">'2. Current capacity'!$F$6:$F$204</definedName>
    <definedName function="false" hidden="false" name="SeatUnit" vbProcedure="false">'2. Current capacity'!$D$6:$D$204</definedName>
    <definedName function="false" hidden="false" name="SeatVacant" vbProcedure="false">'2. Current capacity'!$L$6:$L$204</definedName>
    <definedName function="false" hidden="false" name="SeatWorkerType" vbProcedure="false">'2. Current capacity'!$M$6:$M$204</definedName>
    <definedName function="false" hidden="false" name="UnitList" vbProcedure="false">Ref!$W$51:$W$140</definedName>
    <definedName function="false" hidden="false" name="WorkerTypes" vbProcedure="false">Ref!$C$51:$C$53</definedName>
    <definedName function="false" hidden="false" name="YesNo" vbProcedure="false">Ref!$O$51:$O$52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<sst xmlns="http://schemas.openxmlformats.org/spreadsheetml/2006/main" count="2001" uniqueCount="612">
  <si>
    <t xml:space="preserve">2027 Capacity Exercise</t>
  </si>
  <si>
    <t xml:space="preserve">Operations Group — what to do, in the order to do it</t>
  </si>
  <si>
    <t xml:space="preserve">The sheets, in the order to work through them</t>
  </si>
  <si>
    <t xml:space="preserve">1. My structure</t>
  </si>
  <si>
    <t xml:space="preserve">Your group as it stands today. Collapse and expand with the +/- buttons in the left margin. Nothing to fill in — the 2027 columns fill themselves from the three sheets after it.</t>
  </si>
  <si>
    <t xml:space="preserve">2. Current capacity</t>
  </si>
  <si>
    <t xml:space="preserve">One row per job, with the seats you have in it. Fill in the career level, whether the seat has to be Saudi, and what you intend to do with the job next year. If you are reducing it, say how many of its seats are going.</t>
  </si>
  <si>
    <t xml:space="preserve">3. Pipeline out</t>
  </si>
  <si>
    <t xml:space="preserve">Everyone you already know is leaving. For each one, say what happens to the seat: refill it, hold it empty for a while, or give it up to help pay for what you are asking for.</t>
  </si>
  <si>
    <t xml:space="preserve">4. Capacity asks</t>
  </si>
  <si>
    <t xml:space="preserve">One row per position you want. Put the numbers in the quarter you want them to start — the total adds itself up. Every row needs a driver, because that is what decides the order things get funded in.</t>
  </si>
  <si>
    <t xml:space="preserve">5. My position</t>
  </si>
  <si>
    <t xml:space="preserve">Your headcount and your cost by division, the cash the year actually costs, and where you land against your envelopes. Read this before you submit, not after.</t>
  </si>
  <si>
    <t xml:space="preserve">6. Check &amp; submit</t>
  </si>
  <si>
    <t xml:space="preserve">Everything still missing or invalid, listed row by row. When it is clear, set the state to Submitted and return the file.</t>
  </si>
  <si>
    <t xml:space="preserve">Glossary</t>
  </si>
  <si>
    <t xml:space="preserve">Every term this workbook uses, in plain words. Start here if a column header is not obvious.</t>
  </si>
  <si>
    <t xml:space="preserve">What each yellow column expects</t>
  </si>
  <si>
    <t xml:space="preserve">Career Level</t>
  </si>
  <si>
    <t xml:space="preserve">2. Current capacity — The level of the job, not of the person and not the grade. Pick from the list. Until every row has one, no cost anywhere in this file can be worked out and it all reads as a dash.</t>
  </si>
  <si>
    <t xml:space="preserve">Nationality Mandate?</t>
  </si>
  <si>
    <t xml:space="preserve">2. Current capacity — Does this job have to be filled by a Saudi national? A property of the role, not of whoever is in it today.</t>
  </si>
  <si>
    <t xml:space="preserve">Capacity Direction</t>
  </si>
  <si>
    <t xml:space="preserve">2. Current capacity — Grow, Hold or Reduce. Grow and Hold change nothing by themselves — growth arrives as a row on the asks sheet. Reduce is the only way a seat leaves your establishment.</t>
  </si>
  <si>
    <t xml:space="preserve">HC slated for exit</t>
  </si>
  <si>
    <t xml:space="preserve">2. Current capacity — How many of the row's seats are going. If the row has four and two are going, put 2. Only counted when the direction says Reduce.</t>
  </si>
  <si>
    <t xml:space="preserve">What happens to the seat</t>
  </si>
  <si>
    <t xml:space="preserve">3. Pipeline out — Refill it, hold it empty until a quarter you name, or give it up. Giving it up is the only one that changes your establishment, and it has to be counted in the Reduce column on 2. Current capacity as well.</t>
  </si>
  <si>
    <t xml:space="preserve">Q1 to Q4</t>
  </si>
  <si>
    <t xml:space="preserve">4. Capacity asks — How many people you want starting in each quarter. Leave the rest blank. The New Asks total adds itself up from these four.</t>
  </si>
  <si>
    <t xml:space="preserve">Driver</t>
  </si>
  <si>
    <t xml:space="preserve">4. Capacity asks — Why you need it. The driver sets the priority, and the priority decides what survives if the envelope binds.</t>
  </si>
  <si>
    <t xml:space="preserve">Alternatives considered</t>
  </si>
  <si>
    <t xml:space="preserve">4. Capacity asks — What you tried before asking for a person: automation, vendor cover, reprioritising. The first question you will be asked.</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</si>
  <si>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</si>
  <si>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</si>
  <si>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</si>
  <si>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</si>
  <si>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</si>
  <si>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</si>
  <si>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</si>
  <si>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The three things people get wrong</t>
  </si>
  <si>
    <t xml:space="preserve">The quarters make the total, not the other way round. New Asks is worked out from what you put in Q1 to Q4, so there is nothing to reconcile and nothing that can disagree. If the total looks wrong, a quarter is wrong.</t>
  </si>
  <si>
    <t xml:space="preserve">Reduce is the only way to give up a seat, and it needs a number. Marking a job Reduce without saying how many seats are going changes nothing at all. A vacancy you no longer need is a Reduce; so is a leaver whose seat you are surrendering on the pipeline sheet.</t>
  </si>
  <si>
    <t xml:space="preserve">The cost by division is a full-year run-rate, not what you spend next year. It sits beside headcount because both are stocks. What the year actually costs is the separate cash block underneath, and the two answer different questions — approving both at once counts the same money twice.</t>
  </si>
  <si>
    <t xml:space="preserve">When the check sheet complains</t>
  </si>
  <si>
    <t xml:space="preserve">6. Check &amp; submit lists what is still missing and where. Every sheet also has a last column telling you, row by row, what that row needs — filter on it to find the rows rather than hunting for them. The file will not let you set the state to Submitted until every blocking check reads OK, which is the point: it is quicker to fix here than after the centre has read it.</t>
  </si>
  <si>
    <t xml:space="preserve">My structure</t>
  </si>
  <si>
    <t xml:space="preserve">Operations Group as it stands in 2026. Use the +/- buttons on the left to collapse and expand. The 2027 columns fill in from sheets 2 and 3.</t>
  </si>
  <si>
    <t xml:space="preserve">Level</t>
  </si>
  <si>
    <t xml:space="preserve">Unit</t>
  </si>
  <si>
    <t xml:space="preserve">2026 approved</t>
  </si>
  <si>
    <t xml:space="preserve">Filled</t>
  </si>
  <si>
    <t xml:space="preserve">Vacant</t>
  </si>
  <si>
    <t xml:space="preserve">2027 exits</t>
  </si>
  <si>
    <t xml:space="preserve">2027 asked</t>
  </si>
  <si>
    <t xml:space="preserve">2027 total</t>
  </si>
  <si>
    <t xml:space="preserve">Change</t>
  </si>
  <si>
    <t xml:space="preserve">Name</t>
  </si>
  <si>
    <t xml:space="preserve">Group</t>
  </si>
  <si>
    <t xml:space="preserve">Operations Group</t>
  </si>
  <si>
    <t xml:space="preserve">Division</t>
  </si>
  <si>
    <t xml:space="preserve">    Branch Operations Division</t>
  </si>
  <si>
    <t xml:space="preserve">Branch Operations Division</t>
  </si>
  <si>
    <t xml:space="preserve">Department</t>
  </si>
  <si>
    <t xml:space="preserve">        Branch Support</t>
  </si>
  <si>
    <t xml:space="preserve">Branch Support</t>
  </si>
  <si>
    <t xml:space="preserve">            Branch Support Unit 1</t>
  </si>
  <si>
    <t xml:space="preserve">Branch Support Unit 1</t>
  </si>
  <si>
    <t xml:space="preserve">Sub-unit</t>
  </si>
  <si>
    <t xml:space="preserve">                Branch Support Unit 1 - Team A</t>
  </si>
  <si>
    <t xml:space="preserve">Branch Support Unit 1 - Team A</t>
  </si>
  <si>
    <t xml:space="preserve">Section</t>
  </si>
  <si>
    <t xml:space="preserve">                    Branch Support Unit 1 - Team A / Section 1</t>
  </si>
  <si>
    <t xml:space="preserve">Branch Support Unit 1 - Team A / Section 1</t>
  </si>
  <si>
    <t xml:space="preserve">                    Branch Support Unit 1 - Team A / Section 2</t>
  </si>
  <si>
    <t xml:space="preserve">Branch Support Unit 1 - Team A / Section 2</t>
  </si>
  <si>
    <t xml:space="preserve">                Branch Support Unit 1 - Team B</t>
  </si>
  <si>
    <t xml:space="preserve">Branch Support Unit 1 - Team B</t>
  </si>
  <si>
    <t xml:space="preserve">                    Branch Support Unit 1 - Team B / Section 1</t>
  </si>
  <si>
    <t xml:space="preserve">Branch Support Unit 1 - Team B / Section 1</t>
  </si>
  <si>
    <t xml:space="preserve">                    Branch Support Unit 1 - Team B / Section 2</t>
  </si>
  <si>
    <t xml:space="preserve">Branch Support Unit 1 - Team B / Section 2</t>
  </si>
  <si>
    <t xml:space="preserve">            Branch Support Unit 2</t>
  </si>
  <si>
    <t xml:space="preserve">Branch Support Unit 2</t>
  </si>
  <si>
    <t xml:space="preserve">                Branch Support Unit 2 - Team A</t>
  </si>
  <si>
    <t xml:space="preserve">Branch Support Unit 2 - Team A</t>
  </si>
  <si>
    <t xml:space="preserve">                    Branch Support Unit 2 - Team A / Section 1</t>
  </si>
  <si>
    <t xml:space="preserve">Branch Support Unit 2 - Team A / Section 1</t>
  </si>
  <si>
    <t xml:space="preserve">                    Branch Support Unit 2 - Team A / Section 2</t>
  </si>
  <si>
    <t xml:space="preserve">Branch Support Unit 2 - Team A / Section 2</t>
  </si>
  <si>
    <t xml:space="preserve">                Branch Support Unit 2 - Team B</t>
  </si>
  <si>
    <t xml:space="preserve">Branch Support Unit 2 - Team B</t>
  </si>
  <si>
    <t xml:space="preserve">                    Branch Support Unit 2 - Team B / Section 1</t>
  </si>
  <si>
    <t xml:space="preserve">Branch Support Unit 2 - Team B / Section 1</t>
  </si>
  <si>
    <t xml:space="preserve">                    Branch Support Unit 2 - Team B / Section 2</t>
  </si>
  <si>
    <t xml:space="preserve">Branch Support Unit 2 - Team B / Section 2</t>
  </si>
  <si>
    <t xml:space="preserve">        Cash Operations</t>
  </si>
  <si>
    <t xml:space="preserve">Cash Operations</t>
  </si>
  <si>
    <t xml:space="preserve">            Cash Operations Unit 1</t>
  </si>
  <si>
    <t xml:space="preserve">Cash Operations Unit 1</t>
  </si>
  <si>
    <t xml:space="preserve">                Cash Operations Unit 1 - Team A</t>
  </si>
  <si>
    <t xml:space="preserve">Cash Operations Unit 1 - Team A</t>
  </si>
  <si>
    <t xml:space="preserve">                    Cash Operations Unit 1 - Team A / Section 1</t>
  </si>
  <si>
    <t xml:space="preserve">Cash Operations Unit 1 - Team A / Section 1</t>
  </si>
  <si>
    <t xml:space="preserve">                    Cash Operations Unit 1 - Team A / Section 2</t>
  </si>
  <si>
    <t xml:space="preserve">Cash Operations Unit 1 - Team A / Section 2</t>
  </si>
  <si>
    <t xml:space="preserve">                Cash Operations Unit 1 - Team B</t>
  </si>
  <si>
    <t xml:space="preserve">Cash Operations Unit 1 - Team B</t>
  </si>
  <si>
    <t xml:space="preserve">                    Cash Operations Unit 1 - Team B / Section 1</t>
  </si>
  <si>
    <t xml:space="preserve">Cash Operations Unit 1 - Team B / Section 1</t>
  </si>
  <si>
    <t xml:space="preserve">                    Cash Operations Unit 1 - Team B / Section 2</t>
  </si>
  <si>
    <t xml:space="preserve">Cash Operations Unit 1 - Team B / Section 2</t>
  </si>
  <si>
    <t xml:space="preserve">            Cash Operations Unit 2</t>
  </si>
  <si>
    <t xml:space="preserve">Cash Operations Unit 2</t>
  </si>
  <si>
    <t xml:space="preserve">                Cash Operations Unit 2 - Team A</t>
  </si>
  <si>
    <t xml:space="preserve">Cash Operations Unit 2 - Team A</t>
  </si>
  <si>
    <t xml:space="preserve">                    Cash Operations Unit 2 - Team A / Section 1</t>
  </si>
  <si>
    <t xml:space="preserve">Cash Operations Unit 2 - Team A / Section 1</t>
  </si>
  <si>
    <t xml:space="preserve">                    Cash Operations Unit 2 - Team A / Section 2</t>
  </si>
  <si>
    <t xml:space="preserve">Cash Operations Unit 2 - Team A / Section 2</t>
  </si>
  <si>
    <t xml:space="preserve">                Cash Operations Unit 2 - Team B</t>
  </si>
  <si>
    <t xml:space="preserve">Cash Operations Unit 2 - Team B</t>
  </si>
  <si>
    <t xml:space="preserve">                    Cash Operations Unit 2 - Team B / Section 1</t>
  </si>
  <si>
    <t xml:space="preserve">Cash Operations Unit 2 - Team B / Section 1</t>
  </si>
  <si>
    <t xml:space="preserve">                    Cash Operations Unit 2 - Team B / Section 2</t>
  </si>
  <si>
    <t xml:space="preserve">Cash Operations Unit 2 - Team B / Section 2</t>
  </si>
  <si>
    <t xml:space="preserve">    Payments Operations Division</t>
  </si>
  <si>
    <t xml:space="preserve">Payments Operations Division</t>
  </si>
  <si>
    <t xml:space="preserve">        International Payments</t>
  </si>
  <si>
    <t xml:space="preserve">International Payments</t>
  </si>
  <si>
    <t xml:space="preserve">            International Payments Unit 1</t>
  </si>
  <si>
    <t xml:space="preserve">International Payments Unit 1</t>
  </si>
  <si>
    <t xml:space="preserve">                International Payments Unit 1 - Team A</t>
  </si>
  <si>
    <t xml:space="preserve">International Payments Unit 1 - Team A</t>
  </si>
  <si>
    <t xml:space="preserve">                    International Payments Unit 1 - Team A / Section 1</t>
  </si>
  <si>
    <t xml:space="preserve">International Payments Unit 1 - Team A / Section 1</t>
  </si>
  <si>
    <t xml:space="preserve">                    International Payments Unit 1 - Team A / Section 2</t>
  </si>
  <si>
    <t xml:space="preserve">International Payments Unit 1 - Team A / Section 2</t>
  </si>
  <si>
    <t xml:space="preserve">                International Payments Unit 1 - Team B</t>
  </si>
  <si>
    <t xml:space="preserve">International Payments Unit 1 - Team B</t>
  </si>
  <si>
    <t xml:space="preserve">                    International Payments Unit 1 - Team B / Section 1</t>
  </si>
  <si>
    <t xml:space="preserve">International Payments Unit 1 - Team B / Section 1</t>
  </si>
  <si>
    <t xml:space="preserve">                    International Payments Unit 1 - Team B / Section 2</t>
  </si>
  <si>
    <t xml:space="preserve">International Payments Unit 1 - Team B / Section 2</t>
  </si>
  <si>
    <t xml:space="preserve">            International Payments Unit 2</t>
  </si>
  <si>
    <t xml:space="preserve">International Payments Unit 2</t>
  </si>
  <si>
    <t xml:space="preserve">                International Payments Unit 2 - Team A</t>
  </si>
  <si>
    <t xml:space="preserve">International Payments Unit 2 - Team A</t>
  </si>
  <si>
    <t xml:space="preserve">                    International Payments Unit 2 - Team A / Section 1</t>
  </si>
  <si>
    <t xml:space="preserve">International Payments Unit 2 - Team A / Section 1</t>
  </si>
  <si>
    <t xml:space="preserve">                    International Payments Unit 2 - Team A / Section 2</t>
  </si>
  <si>
    <t xml:space="preserve">International Payments Unit 2 - Team A / Section 2</t>
  </si>
  <si>
    <t xml:space="preserve">                International Payments Unit 2 - Team B</t>
  </si>
  <si>
    <t xml:space="preserve">International Payments Unit 2 - Team B</t>
  </si>
  <si>
    <t xml:space="preserve">                    International Payments Unit 2 - Team B / Section 1</t>
  </si>
  <si>
    <t xml:space="preserve">International Payments Unit 2 - Team B / Section 1</t>
  </si>
  <si>
    <t xml:space="preserve">                    International Payments Unit 2 - Team B / Section 2</t>
  </si>
  <si>
    <t xml:space="preserve">International Payments Unit 2 - Team B / Section 2</t>
  </si>
  <si>
    <t xml:space="preserve">        Local Payments</t>
  </si>
  <si>
    <t xml:space="preserve">Local Payments</t>
  </si>
  <si>
    <t xml:space="preserve">            Local Payments Unit 1</t>
  </si>
  <si>
    <t xml:space="preserve">Local Payments Unit 1</t>
  </si>
  <si>
    <t xml:space="preserve">                Local Payments Unit 1 - Team A</t>
  </si>
  <si>
    <t xml:space="preserve">Local Payments Unit 1 - Team A</t>
  </si>
  <si>
    <t xml:space="preserve">                    Local Payments Unit 1 - Team A / Section 1</t>
  </si>
  <si>
    <t xml:space="preserve">Local Payments Unit 1 - Team A / Section 1</t>
  </si>
  <si>
    <t xml:space="preserve">                    Local Payments Unit 1 - Team A / Section 2</t>
  </si>
  <si>
    <t xml:space="preserve">Local Payments Unit 1 - Team A / Section 2</t>
  </si>
  <si>
    <t xml:space="preserve">                Local Payments Unit 1 - Team B</t>
  </si>
  <si>
    <t xml:space="preserve">Local Payments Unit 1 - Team B</t>
  </si>
  <si>
    <t xml:space="preserve">                    Local Payments Unit 1 - Team B / Section 1</t>
  </si>
  <si>
    <t xml:space="preserve">Local Payments Unit 1 - Team B / Section 1</t>
  </si>
  <si>
    <t xml:space="preserve">                    Local Payments Unit 1 - Team B / Section 2</t>
  </si>
  <si>
    <t xml:space="preserve">Local Payments Unit 1 - Team B / Section 2</t>
  </si>
  <si>
    <t xml:space="preserve">            Local Payments Unit 2</t>
  </si>
  <si>
    <t xml:space="preserve">Local Payments Unit 2</t>
  </si>
  <si>
    <t xml:space="preserve">                Local Payments Unit 2 - Team A</t>
  </si>
  <si>
    <t xml:space="preserve">Local Payments Unit 2 - Team A</t>
  </si>
  <si>
    <t xml:space="preserve">                    Local Payments Unit 2 - Team A / Section 1</t>
  </si>
  <si>
    <t xml:space="preserve">Local Payments Unit 2 - Team A / Section 1</t>
  </si>
  <si>
    <t xml:space="preserve">                    Local Payments Unit 2 - Team A / Section 2</t>
  </si>
  <si>
    <t xml:space="preserve">Local Payments Unit 2 - Team A / Section 2</t>
  </si>
  <si>
    <t xml:space="preserve">                Local Payments Unit 2 - Team B</t>
  </si>
  <si>
    <t xml:space="preserve">Local Payments Unit 2 - Team B</t>
  </si>
  <si>
    <t xml:space="preserve">                    Local Payments Unit 2 - Team B / Section 1</t>
  </si>
  <si>
    <t xml:space="preserve">Local Payments Unit 2 - Team B / Section 1</t>
  </si>
  <si>
    <t xml:space="preserve">                    Local Payments Unit 2 - Team B / Section 2</t>
  </si>
  <si>
    <t xml:space="preserve">Local Payments Unit 2 - Team B / Section 2</t>
  </si>
  <si>
    <t xml:space="preserve">    Trade &amp; Corporate Operations Division</t>
  </si>
  <si>
    <t xml:space="preserve">Trade &amp; Corporate Operations Division</t>
  </si>
  <si>
    <t xml:space="preserve">        Corporate Service Delivery</t>
  </si>
  <si>
    <t xml:space="preserve">Corporate Service Delivery</t>
  </si>
  <si>
    <t xml:space="preserve">            Corporate Service Delivery Unit 1</t>
  </si>
  <si>
    <t xml:space="preserve">Corporate Service Delivery Unit 1</t>
  </si>
  <si>
    <t xml:space="preserve">                Corporate Service Delivery Unit 1 - Team A</t>
  </si>
  <si>
    <t xml:space="preserve">Corporate Service Delivery Unit 1 - Team A</t>
  </si>
  <si>
    <t xml:space="preserve">                    Corporate Service Delivery Unit 1 - Team A / Section 1</t>
  </si>
  <si>
    <t xml:space="preserve">Corporate Service Delivery Unit 1 - Team A / Section 1</t>
  </si>
  <si>
    <t xml:space="preserve">                    Corporate Service Delivery Unit 1 - Team A / Section 2</t>
  </si>
  <si>
    <t xml:space="preserve">Corporate Service Delivery Unit 1 - Team A / Section 2</t>
  </si>
  <si>
    <t xml:space="preserve">                Corporate Service Delivery Unit 1 - Team B</t>
  </si>
  <si>
    <t xml:space="preserve">Corporate Service Delivery Unit 1 - Team B</t>
  </si>
  <si>
    <t xml:space="preserve">                    Corporate Service Delivery Unit 1 - Team B / Section 1</t>
  </si>
  <si>
    <t xml:space="preserve">Corporate Service Delivery Unit 1 - Team B / Section 1</t>
  </si>
  <si>
    <t xml:space="preserve">                    Corporate Service Delivery Unit 1 - Team B / Section 2</t>
  </si>
  <si>
    <t xml:space="preserve">Corporate Service Delivery Unit 1 - Team B / Section 2</t>
  </si>
  <si>
    <t xml:space="preserve">            Corporate Service Delivery Unit 2</t>
  </si>
  <si>
    <t xml:space="preserve">Corporate Service Delivery Unit 2</t>
  </si>
  <si>
    <t xml:space="preserve">                Corporate Service Delivery Unit 2 - Team A</t>
  </si>
  <si>
    <t xml:space="preserve">Corporate Service Delivery Unit 2 - Team A</t>
  </si>
  <si>
    <t xml:space="preserve">                    Corporate Service Delivery Unit 2 - Team A / Section 1</t>
  </si>
  <si>
    <t xml:space="preserve">Corporate Service Delivery Unit 2 - Team A / Section 1</t>
  </si>
  <si>
    <t xml:space="preserve">                    Corporate Service Delivery Unit 2 - Team A / Section 2</t>
  </si>
  <si>
    <t xml:space="preserve">Corporate Service Delivery Unit 2 - Team A / Section 2</t>
  </si>
  <si>
    <t xml:space="preserve">                Corporate Service Delivery Unit 2 - Team B</t>
  </si>
  <si>
    <t xml:space="preserve">Corporate Service Delivery Unit 2 - Team B</t>
  </si>
  <si>
    <t xml:space="preserve">                    Corporate Service Delivery Unit 2 - Team B / Section 1</t>
  </si>
  <si>
    <t xml:space="preserve">Corporate Service Delivery Unit 2 - Team B / Section 1</t>
  </si>
  <si>
    <t xml:space="preserve">                    Corporate Service Delivery Unit 2 - Team B / Section 2</t>
  </si>
  <si>
    <t xml:space="preserve">Corporate Service Delivery Unit 2 - Team B / Section 2</t>
  </si>
  <si>
    <t xml:space="preserve">        Trade Operations</t>
  </si>
  <si>
    <t xml:space="preserve">Trade Operations</t>
  </si>
  <si>
    <t xml:space="preserve">            Trade Operations Unit 1</t>
  </si>
  <si>
    <t xml:space="preserve">Trade Operations Unit 1</t>
  </si>
  <si>
    <t xml:space="preserve">                Trade Operations Unit 1 - Team A</t>
  </si>
  <si>
    <t xml:space="preserve">Trade Operations Unit 1 - Team A</t>
  </si>
  <si>
    <t xml:space="preserve">                    Trade Operations Unit 1 - Team A / Section 1</t>
  </si>
  <si>
    <t xml:space="preserve">Trade Operations Unit 1 - Team A / Section 1</t>
  </si>
  <si>
    <t xml:space="preserve">                    Trade Operations Unit 1 - Team A / Section 2</t>
  </si>
  <si>
    <t xml:space="preserve">Trade Operations Unit 1 - Team A / Section 2</t>
  </si>
  <si>
    <t xml:space="preserve">                Trade Operations Unit 1 - Team B</t>
  </si>
  <si>
    <t xml:space="preserve">Trade Operations Unit 1 - Team B</t>
  </si>
  <si>
    <t xml:space="preserve">                    Trade Operations Unit 1 - Team B / Section 1</t>
  </si>
  <si>
    <t xml:space="preserve">Trade Operations Unit 1 - Team B / Section 1</t>
  </si>
  <si>
    <t xml:space="preserve">                    Trade Operations Unit 1 - Team B / Section 2</t>
  </si>
  <si>
    <t xml:space="preserve">Trade Operations Unit 1 - Team B / Section 2</t>
  </si>
  <si>
    <t xml:space="preserve">            Trade Operations Unit 2</t>
  </si>
  <si>
    <t xml:space="preserve">Trade Operations Unit 2</t>
  </si>
  <si>
    <t xml:space="preserve">                Trade Operations Unit 2 - Team A</t>
  </si>
  <si>
    <t xml:space="preserve">Trade Operations Unit 2 - Team A</t>
  </si>
  <si>
    <t xml:space="preserve">                    Trade Operations Unit 2 - Team A / Section 1</t>
  </si>
  <si>
    <t xml:space="preserve">Trade Operations Unit 2 - Team A / Section 1</t>
  </si>
  <si>
    <t xml:space="preserve">                    Trade Operations Unit 2 - Team A / Section 2</t>
  </si>
  <si>
    <t xml:space="preserve">Trade Operations Unit 2 - Team A / Section 2</t>
  </si>
  <si>
    <t xml:space="preserve">                Trade Operations Unit 2 - Team B</t>
  </si>
  <si>
    <t xml:space="preserve">Trade Operations Unit 2 - Team B</t>
  </si>
  <si>
    <t xml:space="preserve">                    Trade Operations Unit 2 - Team B / Section 1</t>
  </si>
  <si>
    <t xml:space="preserve">Trade Operations Unit 2 - Team B / Section 1</t>
  </si>
  <si>
    <t xml:space="preserve">                    Trade Operations Unit 2 - Team B / Section 2</t>
  </si>
  <si>
    <t xml:space="preserve">Trade Operations Unit 2 - Team B / Section 2</t>
  </si>
  <si>
    <t xml:space="preserve">Each row counts what names it, and the group and division rows sum everything beneath them. Seats released come from the Reduce column on 2. Current capacity; asks come from 4. Capacity asks.</t>
  </si>
  <si>
    <t xml:space="preserve">Current capacity</t>
  </si>
  <si>
    <t xml:space="preserve">One row per job, with the seats you have in it. The columns that need you are career level, whether the seat is mandated Saudi, what you intend to do with the job in 2027 — and, if you are reducing it, how many of its seats are going.</t>
  </si>
  <si>
    <t xml:space="preserve">Mis Code</t>
  </si>
  <si>
    <t xml:space="preserve">Sub-Unit</t>
  </si>
  <si>
    <t xml:space="preserve">Job Title</t>
  </si>
  <si>
    <t xml:space="preserve">Job Family</t>
  </si>
  <si>
    <t xml:space="preserve">Approved HC</t>
  </si>
  <si>
    <t xml:space="preserve">Worker type</t>
  </si>
  <si>
    <t xml:space="preserve">Seats released</t>
  </si>
  <si>
    <t xml:space="preserve">What's missing</t>
  </si>
  <si>
    <t xml:space="preserve">CC-1059</t>
  </si>
  <si>
    <t xml:space="preserve">Chief Operations Officer</t>
  </si>
  <si>
    <t xml:space="preserve">Executive</t>
  </si>
  <si>
    <t xml:space="preserve">Permanent</t>
  </si>
  <si>
    <t xml:space="preserve">CC-1006</t>
  </si>
  <si>
    <t xml:space="preserve">General Manager - Branch Operations</t>
  </si>
  <si>
    <t xml:space="preserve">Leadership</t>
  </si>
  <si>
    <t xml:space="preserve">CC-1027</t>
  </si>
  <si>
    <t xml:space="preserve">Head of Branch Support</t>
  </si>
  <si>
    <t xml:space="preserve">CC-1030</t>
  </si>
  <si>
    <t xml:space="preserve">Manager Branch Support</t>
  </si>
  <si>
    <t xml:space="preserve">Management</t>
  </si>
  <si>
    <t xml:space="preserve">Analyst Branch Support</t>
  </si>
  <si>
    <t xml:space="preserve">Professional</t>
  </si>
  <si>
    <t xml:space="preserve">CC-1026</t>
  </si>
  <si>
    <t xml:space="preserve">Insourced</t>
  </si>
  <si>
    <t xml:space="preserve">CC-1056</t>
  </si>
  <si>
    <t xml:space="preserve">Associate Branch Support</t>
  </si>
  <si>
    <t xml:space="preserve">CC-1012</t>
  </si>
  <si>
    <t xml:space="preserve">Officer Branch Support</t>
  </si>
  <si>
    <t xml:space="preserve">CC-1047</t>
  </si>
  <si>
    <t xml:space="preserve">Senior Analyst Branch Support</t>
  </si>
  <si>
    <t xml:space="preserve">CC-1004</t>
  </si>
  <si>
    <t xml:space="preserve">Specialist Branch Support</t>
  </si>
  <si>
    <t xml:space="preserve">CC-1049</t>
  </si>
  <si>
    <t xml:space="preserve">Team Lead Branch Support</t>
  </si>
  <si>
    <t xml:space="preserve">CC-1055</t>
  </si>
  <si>
    <t xml:space="preserve">CC-1009</t>
  </si>
  <si>
    <t xml:space="preserve">CC-1040</t>
  </si>
  <si>
    <t xml:space="preserve">CC-1005</t>
  </si>
  <si>
    <t xml:space="preserve">CC-1018</t>
  </si>
  <si>
    <t xml:space="preserve">CC-1010</t>
  </si>
  <si>
    <t xml:space="preserve">CC-1042</t>
  </si>
  <si>
    <t xml:space="preserve">CC-1050</t>
  </si>
  <si>
    <t xml:space="preserve">CC-1036</t>
  </si>
  <si>
    <t xml:space="preserve">Head of Cash Operations</t>
  </si>
  <si>
    <t xml:space="preserve">CC-1019</t>
  </si>
  <si>
    <t xml:space="preserve">Manager Cash Operations</t>
  </si>
  <si>
    <t xml:space="preserve">Analyst Cash Operations</t>
  </si>
  <si>
    <t xml:space="preserve">Associate Cash Operations</t>
  </si>
  <si>
    <t xml:space="preserve">Officer Cash Operations</t>
  </si>
  <si>
    <t xml:space="preserve">CC-1034</t>
  </si>
  <si>
    <t xml:space="preserve">Specialist Cash Operations</t>
  </si>
  <si>
    <t xml:space="preserve">CC-1021</t>
  </si>
  <si>
    <t xml:space="preserve">Team Lead Cash Operations</t>
  </si>
  <si>
    <t xml:space="preserve">CC-1022</t>
  </si>
  <si>
    <t xml:space="preserve">CC-1031</t>
  </si>
  <si>
    <t xml:space="preserve">CC-1052</t>
  </si>
  <si>
    <t xml:space="preserve">Senior Analyst Cash Operations</t>
  </si>
  <si>
    <t xml:space="preserve">CC-1045</t>
  </si>
  <si>
    <t xml:space="preserve">CC-1038</t>
  </si>
  <si>
    <t xml:space="preserve">Senior Officer Cash Operations</t>
  </si>
  <si>
    <t xml:space="preserve">General Manager - Payments Operations</t>
  </si>
  <si>
    <t xml:space="preserve">Head of International Payments</t>
  </si>
  <si>
    <t xml:space="preserve">CC-1017</t>
  </si>
  <si>
    <t xml:space="preserve">Manager International Payments</t>
  </si>
  <si>
    <t xml:space="preserve">Analyst International Payments</t>
  </si>
  <si>
    <t xml:space="preserve">CC-1001</t>
  </si>
  <si>
    <t xml:space="preserve">Associate International Payments</t>
  </si>
  <si>
    <t xml:space="preserve">CC-1025</t>
  </si>
  <si>
    <t xml:space="preserve">Officer International Payments</t>
  </si>
  <si>
    <t xml:space="preserve">Senior Analyst International Payments</t>
  </si>
  <si>
    <t xml:space="preserve">CC-1013</t>
  </si>
  <si>
    <t xml:space="preserve">Senior Officer International Payments</t>
  </si>
  <si>
    <t xml:space="preserve">Specialist International Payments</t>
  </si>
  <si>
    <t xml:space="preserve">Team Lead International Payments</t>
  </si>
  <si>
    <t xml:space="preserve">CC-1037</t>
  </si>
  <si>
    <t xml:space="preserve">CC-1043</t>
  </si>
  <si>
    <t xml:space="preserve">CC-1002</t>
  </si>
  <si>
    <t xml:space="preserve">CC-1000</t>
  </si>
  <si>
    <t xml:space="preserve">CC-1032</t>
  </si>
  <si>
    <t xml:space="preserve">Head of Local Payments</t>
  </si>
  <si>
    <t xml:space="preserve">CC-1046</t>
  </si>
  <si>
    <t xml:space="preserve">Manager Local Payments</t>
  </si>
  <si>
    <t xml:space="preserve">Analyst Local Payments</t>
  </si>
  <si>
    <t xml:space="preserve">Officer Local Payments</t>
  </si>
  <si>
    <t xml:space="preserve">Senior Analyst Local Payments</t>
  </si>
  <si>
    <t xml:space="preserve">Senior Officer Local Payments</t>
  </si>
  <si>
    <t xml:space="preserve">CC-1057</t>
  </si>
  <si>
    <t xml:space="preserve">Specialist Local Payments</t>
  </si>
  <si>
    <t xml:space="preserve">Team Lead Local Payments</t>
  </si>
  <si>
    <t xml:space="preserve">Associate Local Payments</t>
  </si>
  <si>
    <t xml:space="preserve">CC-1008</t>
  </si>
  <si>
    <t xml:space="preserve">CC-1053</t>
  </si>
  <si>
    <t xml:space="preserve">CC-1014</t>
  </si>
  <si>
    <t xml:space="preserve">General Manager - Trade &amp; Corporate Operations</t>
  </si>
  <si>
    <t xml:space="preserve">Head of Corporate Service Delivery</t>
  </si>
  <si>
    <t xml:space="preserve">Manager Corporate Service Delivery</t>
  </si>
  <si>
    <t xml:space="preserve">Associate Corporate Service Delivery</t>
  </si>
  <si>
    <t xml:space="preserve">Senior Analyst Corporate Service Delivery</t>
  </si>
  <si>
    <t xml:space="preserve">CC-1029</t>
  </si>
  <si>
    <t xml:space="preserve">Senior Officer Corporate Service Delivery</t>
  </si>
  <si>
    <t xml:space="preserve">Specialist Corporate Service Delivery</t>
  </si>
  <si>
    <t xml:space="preserve">Team Lead Corporate Service Delivery</t>
  </si>
  <si>
    <t xml:space="preserve">Analyst Corporate Service Delivery</t>
  </si>
  <si>
    <t xml:space="preserve">Officer Corporate Service Delivery</t>
  </si>
  <si>
    <t xml:space="preserve">CC-1020</t>
  </si>
  <si>
    <t xml:space="preserve">CC-1003</t>
  </si>
  <si>
    <t xml:space="preserve">CC-1058</t>
  </si>
  <si>
    <t xml:space="preserve">CC-1035</t>
  </si>
  <si>
    <t xml:space="preserve">CC-1028</t>
  </si>
  <si>
    <t xml:space="preserve">Head of Trade Operations</t>
  </si>
  <si>
    <t xml:space="preserve">Manager Trade Operations</t>
  </si>
  <si>
    <t xml:space="preserve">Analyst Trade Operations</t>
  </si>
  <si>
    <t xml:space="preserve">CC-1007</t>
  </si>
  <si>
    <t xml:space="preserve">Associate Trade Operations</t>
  </si>
  <si>
    <t xml:space="preserve">Officer Trade Operations</t>
  </si>
  <si>
    <t xml:space="preserve">Senior Analyst Trade Operations</t>
  </si>
  <si>
    <t xml:space="preserve">Specialist Trade Operations</t>
  </si>
  <si>
    <t xml:space="preserve">Team Lead Trade Operations</t>
  </si>
  <si>
    <t xml:space="preserve">CC-1060</t>
  </si>
  <si>
    <t xml:space="preserve">Senior Officer Trade Operations</t>
  </si>
  <si>
    <t xml:space="preserve">Pipeline out</t>
  </si>
  <si>
    <t xml:space="preserve">Everyone you already know is leaving, and what you intend to do with each seat. This is where the saving from people going gets counted.</t>
  </si>
  <si>
    <t xml:space="preserve">Ref</t>
  </si>
  <si>
    <t xml:space="preserve">Job title</t>
  </si>
  <si>
    <t xml:space="preserve">Name or ID</t>
  </si>
  <si>
    <t xml:space="preserve">Reason</t>
  </si>
  <si>
    <t xml:space="preserve">Leaving quarter</t>
  </si>
  <si>
    <t xml:space="preserve">Backfill quarter</t>
  </si>
  <si>
    <t xml:space="preserve">Paid this year</t>
  </si>
  <si>
    <t xml:space="preserve">2027 cash released</t>
  </si>
  <si>
    <t xml:space="preserve">Run-rate released</t>
  </si>
  <si>
    <t xml:space="preserve">A seat is paid up to and including the quarter its holder leaves, which is the mirror of a new position being paid from the quarter it starts. So a Q1 leaver releases three quarters of cost and a Q4 leaver releases none. Deferring a backfill releases only the gap between the two quarters; the seat is still yours and still on the establishment. Only 'Surrender to fund new asks' gives the seat up, and it has to be counted in the Reduce column on 2. Current capacity as well — that column, not this sheet, is what moves the establishment.</t>
  </si>
  <si>
    <t xml:space="preserve">Capacity asks</t>
  </si>
  <si>
    <t xml:space="preserve">One row per position you want in 2027. Put each one in the quarter you want it to start — the total adds itself up.</t>
  </si>
  <si>
    <t xml:space="preserve">Start quarter</t>
  </si>
  <si>
    <t xml:space="preserve">Current Capacity</t>
  </si>
  <si>
    <t xml:space="preserve">New Asks</t>
  </si>
  <si>
    <t xml:space="preserve">Q1</t>
  </si>
  <si>
    <t xml:space="preserve">Q2</t>
  </si>
  <si>
    <t xml:space="preserve">Q3</t>
  </si>
  <si>
    <t xml:space="preserve">Q4</t>
  </si>
  <si>
    <t xml:space="preserve">Category</t>
  </si>
  <si>
    <t xml:space="preserve">Issue no.</t>
  </si>
  <si>
    <t xml:space="preserve">My position</t>
  </si>
  <si>
    <t xml:space="preserve">Your headcount and your cost by division, and where they land against your envelopes. Nothing here is typed in.</t>
  </si>
  <si>
    <t xml:space="preserve">Headcount</t>
  </si>
  <si>
    <t xml:space="preserve">Exits</t>
  </si>
  <si>
    <t xml:space="preserve">New Capacity</t>
  </si>
  <si>
    <t xml:space="preserve">Reporting to the group directly</t>
  </si>
  <si>
    <t xml:space="preserve">Total</t>
  </si>
  <si>
    <t xml:space="preserve">Cost (SAR '000, full-year run-rate)</t>
  </si>
  <si>
    <t xml:space="preserve">Priced off the career-level rate card. A seat with no career level cannot be priced and reads as a dash.</t>
  </si>
  <si>
    <t xml:space="preserve">The 2027 cash cost, separately</t>
  </si>
  <si>
    <t xml:space="preserve">In-year cost of the new asks (SAR '000)</t>
  </si>
  <si>
    <t xml:space="preserve">Part-year: a Q1 start is paid four quarters, a Q4 start one.</t>
  </si>
  <si>
    <t xml:space="preserve">One-off cost of those hires (SAR '000)</t>
  </si>
  <si>
    <t xml:space="preserve">Recognised in the year of joining only.</t>
  </si>
  <si>
    <t xml:space="preserve">less cash released by people leaving (SAR '000)</t>
  </si>
  <si>
    <t xml:space="preserve">From 3. Pipeline out. A seat is paid to the end of the quarter its holder leaves.</t>
  </si>
  <si>
    <t xml:space="preserve">Net 2027 cash (SAR '000)</t>
  </si>
  <si>
    <t xml:space="preserve">What the plan year actually costs.</t>
  </si>
  <si>
    <t xml:space="preserve">Against your envelopes</t>
  </si>
  <si>
    <t xml:space="preserve">Test</t>
  </si>
  <si>
    <t xml:space="preserve">Your limit</t>
  </si>
  <si>
    <t xml:space="preserve">Your number</t>
  </si>
  <si>
    <t xml:space="preserve">Headroom</t>
  </si>
  <si>
    <t xml:space="preserve">Status</t>
  </si>
  <si>
    <t xml:space="preserve">Cost (SAR '000, run-rate)</t>
  </si>
  <si>
    <t xml:space="preserve">The change in run-rate, not the whole pay bill.</t>
  </si>
  <si>
    <t xml:space="preserve">Net establishment change</t>
  </si>
  <si>
    <t xml:space="preserve">New asks less the seats you are giving up.</t>
  </si>
  <si>
    <t xml:space="preserve">Mandated-seat share</t>
  </si>
  <si>
    <t xml:space="preserve">Seats you have marked as having to be Saudi, over the establishment.</t>
  </si>
  <si>
    <t xml:space="preserve">What the ranking rule funds first</t>
  </si>
  <si>
    <t xml:space="preserve">Cut order runs bottom-up: BAU goes first, regulatory last.</t>
  </si>
  <si>
    <t xml:space="preserve">Priority</t>
  </si>
  <si>
    <t xml:space="preserve">Run-rate cost</t>
  </si>
  <si>
    <t xml:space="preserve">Cumulative cost</t>
  </si>
  <si>
    <t xml:space="preserve">Inside envelope?</t>
  </si>
  <si>
    <t xml:space="preserve">1. Regulatory</t>
  </si>
  <si>
    <t xml:space="preserve">Mandated by SAMA or another regulator; not discretionary.</t>
  </si>
  <si>
    <t xml:space="preserve">2. Strategic</t>
  </si>
  <si>
    <t xml:space="preserve">The growth agenda — volume, new products, coverage, automation.</t>
  </si>
  <si>
    <t xml:space="preserve">3. Control</t>
  </si>
  <si>
    <t xml:space="preserve">Risk and control capacity, including audit finding remediation.</t>
  </si>
  <si>
    <t xml:space="preserve">4. BAU</t>
  </si>
  <si>
    <t xml:space="preserve">Running the bank. First to be cut when the envelope binds.</t>
  </si>
  <si>
    <t xml:space="preserve">When the new capacity starts</t>
  </si>
  <si>
    <t xml:space="preserve">Share of the year paid</t>
  </si>
  <si>
    <t xml:space="preserve">2027 cash cost</t>
  </si>
  <si>
    <t xml:space="preserve">For the capacity team</t>
  </si>
  <si>
    <t xml:space="preserve">Copy these rows into the consolidator's return area. Nothing to fill in.</t>
  </si>
  <si>
    <t xml:space="preserve">Mandated seats</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</si>
  <si>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</si>
  <si>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</si>
  <si>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</si>
  <si>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</si>
  <si>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</si>
  <si>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What to do</t>
  </si>
  <si>
    <t xml:space="preserve">Positions with something missing</t>
  </si>
  <si>
    <t xml:space="preserve">2. Current capacity spells out what each row is missing in its last column. Filter on it to find them.</t>
  </si>
  <si>
    <t xml:space="preserve">Positions with no career level</t>
  </si>
  <si>
    <t xml:space="preserve">2. Current capacity. Until every seat has a career level, none of the cost on 5. My position can be worked out and it reads as a dash.</t>
  </si>
  <si>
    <t xml:space="preserve">Jobs with no capacity direction</t>
  </si>
  <si>
    <t xml:space="preserve">2. Current capacity. Say what you intend to do with each job: Grow, Hold or Reduce.</t>
  </si>
  <si>
    <t xml:space="preserve">Jobs marked Reduce without saying how many seats go</t>
  </si>
  <si>
    <t xml:space="preserve">2. Current capacity. A Reduce with no number changes nothing. If the row has four seats and two are going, put 2.</t>
  </si>
  <si>
    <t xml:space="preserve">Rows giving up seats but not marked Reduce</t>
  </si>
  <si>
    <t xml:space="preserve">2. Current capacity. The number is ignored unless the direction says Reduce, so either set the direction or clear the number.</t>
  </si>
  <si>
    <t xml:space="preserve">Rows giving up more seats than they have</t>
  </si>
  <si>
    <t xml:space="preserve">2. Current capacity. You cannot release more than the row's approved headcount.</t>
  </si>
  <si>
    <t xml:space="preserve">Departures with something missing</t>
  </si>
  <si>
    <t xml:space="preserve">3. Pipeline out spells out what each row is missing in its last column.</t>
  </si>
  <si>
    <t xml:space="preserve">Seats surrendered beyond what the job is reducing</t>
  </si>
  <si>
    <t xml:space="preserve">A seat surrendered on 3. Pipeline out has to be counted in the Reduce column on 2. Current capacity too. Fewer surrenders than the Reduce count is fine — the balance is vacancies you are not refilling.</t>
  </si>
  <si>
    <t xml:space="preserve">Ask rows with something missing</t>
  </si>
  <si>
    <t xml:space="preserve">4. Capacity asks lists what each row is missing in its last two columns.</t>
  </si>
  <si>
    <t xml:space="preserve">Ask rows with nothing in any quarter</t>
  </si>
  <si>
    <t xml:space="preserve">4. Capacity asks. Put the position in the quarter you want it to start.</t>
  </si>
  <si>
    <t xml:space="preserve">Ask rows naming a unit that is not in your structure</t>
  </si>
  <si>
    <t xml:space="preserve">4. Capacity asks. Pick the unit from the list — a unit that does not exist cannot be costed or consolidated.</t>
  </si>
  <si>
    <t xml:space="preserve">Worth a look — these do not block you</t>
  </si>
  <si>
    <t xml:space="preserve">Run-rate cost above your envelope</t>
  </si>
  <si>
    <t xml:space="preserve">Move start quarters later, give up more seats, or say why the envelope has to move.</t>
  </si>
  <si>
    <t xml:space="preserve">Net establishment change above your envelope</t>
  </si>
  <si>
    <t xml:space="preserve">Convert, insource or reduce somewhere else to pay for it.</t>
  </si>
  <si>
    <t xml:space="preserve">Mandated-seat share below your target</t>
  </si>
  <si>
    <t xml:space="preserve">Review which seats have to be Saudi on 2. Current capacity, or explain the gap when you submit.</t>
  </si>
  <si>
    <t xml:space="preserve">The ask rows that need attention</t>
  </si>
  <si>
    <t xml:space="preserve">The first 20.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</si>
  <si>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</si>
  <si>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</si>
  <si>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</si>
  <si>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</si>
  <si>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</si>
  <si>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</si>
  <si>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</si>
  <si>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</si>
  <si>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</si>
  <si>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</si>
  <si>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</si>
  <si>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prices it again on the same rate card, challenges it line by line where it has to, and sends back the approved 2027 establishment for Operations Group.</t>
  </si>
  <si>
    <t xml:space="preserve">Every term this workbook uses. If a column header is not obvious, it is explained here.</t>
  </si>
  <si>
    <t xml:space="preserve">Term</t>
  </si>
  <si>
    <t xml:space="preserve">What it means</t>
  </si>
  <si>
    <t xml:space="preserve">Establishment</t>
  </si>
  <si>
    <t xml:space="preserve">The seats the bank has approved, filled or not. This exercise plans seats; who sits in them is a separate question.</t>
  </si>
  <si>
    <t xml:space="preserve">How many seats a job has on the establishment.</t>
  </si>
  <si>
    <t xml:space="preserve">Filled / Vacant</t>
  </si>
  <si>
    <t xml:space="preserve">Of those seats, how many have somebody in them and how many do not.</t>
  </si>
  <si>
    <t xml:space="preserve">Career level</t>
  </si>
  <si>
    <t xml:space="preserve">The level of the job — the bank's own ladder. A property of the job, not of the person and not the grade. Everything is priced off it, so a row without one cannot be costed.</t>
  </si>
  <si>
    <t xml:space="preserve">Job family</t>
  </si>
  <si>
    <t xml:space="preserve">The kind of work, used to group like with like across the bank.</t>
  </si>
  <si>
    <t xml:space="preserve">Permanent, insourced or outsourced. All three cost money and all three take a seat; they are simply bought differently.</t>
  </si>
  <si>
    <t xml:space="preserve">Capacity direction</t>
  </si>
  <si>
    <t xml:space="preserve">What you intend to do with a job next year: Grow, Hold or Reduce.</t>
  </si>
  <si>
    <t xml:space="preserve">Grow</t>
  </si>
  <si>
    <t xml:space="preserve">You need more here. The extra arrives as a row on 4. Capacity asks; the direction on its own changes no numbers.</t>
  </si>
  <si>
    <t xml:space="preserve">Hold</t>
  </si>
  <si>
    <t xml:space="preserve">Stays as it is.</t>
  </si>
  <si>
    <t xml:space="preserve">Reduce</t>
  </si>
  <si>
    <t xml:space="preserve">You are giving up seats on this row. The only direction that moves the establishment, and it needs a number beside it.</t>
  </si>
  <si>
    <t xml:space="preserve">How many of a row's seats are going. Four seats and two going means 2, not 4.</t>
  </si>
  <si>
    <t xml:space="preserve">People you already know are leaving — resignations, retirements, contract ends, transfers out.</t>
  </si>
  <si>
    <t xml:space="preserve">Backfill</t>
  </si>
  <si>
    <t xml:space="preserve">Refill the seat. Nothing changes but who is in it.</t>
  </si>
  <si>
    <t xml:space="preserve">Defer backfill</t>
  </si>
  <si>
    <t xml:space="preserve">Keep the seat but hold it empty until a later quarter. Saves cash this year; the seat is still yours.</t>
  </si>
  <si>
    <t xml:space="preserve">Surrender to fund new asks</t>
  </si>
  <si>
    <t xml:space="preserve">Give the seat up so its cost helps pay for what you have asked for. Count it in the Reduce column on 2. Current capacity as well.</t>
  </si>
  <si>
    <t xml:space="preserve">What a seat costs for a full twelve months, whenever it starts. What the bank commits to, and what carries into the year after.</t>
  </si>
  <si>
    <t xml:space="preserve">In-year or cash cost</t>
  </si>
  <si>
    <t xml:space="preserve">What is actually paid in the plan year. A position starting in Q1 is paid four quarters of its cost; one starting in Q4 is paid one.</t>
  </si>
  <si>
    <t xml:space="preserve">One-off cost</t>
  </si>
  <si>
    <t xml:space="preserve">The cost of bringing somebody in — recruitment, relocation, setup — paid in the year they join and never again. Kept out of the run-rate so it does not inflate every year that follows.</t>
  </si>
  <si>
    <t xml:space="preserve">Envelope</t>
  </si>
  <si>
    <t xml:space="preserve">The ceiling set centrally for your group: cost, net establishment change, and the mandated-seat share.</t>
  </si>
  <si>
    <t xml:space="preserve">Mandated seat</t>
  </si>
  <si>
    <t xml:space="preserve">A seat that has to be filled by a Saudi national. A property of the role.</t>
  </si>
  <si>
    <t xml:space="preserve">Regulatory, Strategic, Control or BAU. Set by the driver you choose, and it decides the order things are funded in — regulatory first, BAU first to fall.</t>
  </si>
  <si>
    <t xml:space="preserve">The reason a position is needed. Pick the closest; it sets the priority for you.</t>
  </si>
  <si>
    <t xml:space="preserve">Loaded cost</t>
  </si>
  <si>
    <t xml:space="preserve">Basic pay, housing, transport, target bonus and employer GOSI together. Not the salary — the whole cost of the seat.</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</si>
  <si>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</si>
  <si>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</si>
  <si>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</si>
  <si>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</si>
  <si>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</si>
  <si>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</si>
  <si>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</si>
  <si>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</si>
  <si>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</si>
  <si>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</si>
  <si>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Envelope for this group</t>
  </si>
  <si>
    <t xml:space="preserve">Cost envelope (SAR '000, run-rate)</t>
  </si>
  <si>
    <t xml:space="preserve">Illustrative: six per cent of the group's current pay bill.</t>
  </si>
  <si>
    <t xml:space="preserve">Headcount envelope (net adds)</t>
  </si>
  <si>
    <t xml:space="preserve">Illustrative: five per cent of the group's current establishment.</t>
  </si>
  <si>
    <t xml:space="preserve">Mandated-seat target</t>
  </si>
  <si>
    <t xml:space="preserve">Illustrative: two points above where the group stands today.</t>
  </si>
  <si>
    <t xml:space="preserve">Rate card by career level (SAR '000 per annum)</t>
  </si>
  <si>
    <t xml:space="preserve">Illustrative rates — replace with Finance's own before use.</t>
  </si>
  <si>
    <t xml:space="preserve">Basic</t>
  </si>
  <si>
    <t xml:space="preserve">Housing</t>
  </si>
  <si>
    <t xml:space="preserve">Transport</t>
  </si>
  <si>
    <t xml:space="preserve">Bonus %</t>
  </si>
  <si>
    <t xml:space="preserve">One-off of a hire</t>
  </si>
  <si>
    <t xml:space="preserve">Full-year loaded cost</t>
  </si>
  <si>
    <t xml:space="preserve">Senior Management</t>
  </si>
  <si>
    <t xml:space="preserve">Officer</t>
  </si>
  <si>
    <t xml:space="preserve">Support</t>
  </si>
  <si>
    <t xml:space="preserve">Ask drivers</t>
  </si>
  <si>
    <t xml:space="preserve">Rank</t>
  </si>
  <si>
    <t xml:space="preserve">SAMA regulatory requirement</t>
  </si>
  <si>
    <t xml:space="preserve">Regulatory</t>
  </si>
  <si>
    <t xml:space="preserve">New regulation implementation</t>
  </si>
  <si>
    <t xml:space="preserve">Regulatory audit finding</t>
  </si>
  <si>
    <t xml:space="preserve">Risk framework uplift</t>
  </si>
  <si>
    <t xml:space="preserve">Volume growth - existing product</t>
  </si>
  <si>
    <t xml:space="preserve">Strategic</t>
  </si>
  <si>
    <t xml:space="preserve">New product launch</t>
  </si>
  <si>
    <t xml:space="preserve">Branch or channel expansion</t>
  </si>
  <si>
    <t xml:space="preserve">Client coverage expansion</t>
  </si>
  <si>
    <t xml:space="preserve">Automation enablement</t>
  </si>
  <si>
    <t xml:space="preserve">Control gap closure</t>
  </si>
  <si>
    <t xml:space="preserve">Control</t>
  </si>
  <si>
    <t xml:space="preserve">Internal audit finding</t>
  </si>
  <si>
    <t xml:space="preserve">Business continuity / resilience</t>
  </si>
  <si>
    <t xml:space="preserve">Backfill - resignation</t>
  </si>
  <si>
    <t xml:space="preserve">BAU</t>
  </si>
  <si>
    <t xml:space="preserve">Backfill - retirement</t>
  </si>
  <si>
    <t xml:space="preserve">Backfill - internal move</t>
  </si>
  <si>
    <t xml:space="preserve">Process centralisation</t>
  </si>
  <si>
    <t xml:space="preserve">Insourcing from vendor</t>
  </si>
  <si>
    <t xml:space="preserve">Service level improvement</t>
  </si>
  <si>
    <t xml:space="preserve">Other - see note</t>
  </si>
  <si>
    <t xml:space="preserve">Quarter</t>
  </si>
  <si>
    <t xml:space="preserve">WorkerTypes</t>
  </si>
  <si>
    <t xml:space="preserve">Direction</t>
  </si>
  <si>
    <t xml:space="preserve">LeavingReasons</t>
  </si>
  <si>
    <t xml:space="preserve">Disposition</t>
  </si>
  <si>
    <t xml:space="preserve">LadderLevels</t>
  </si>
  <si>
    <t xml:space="preserve">YesNo</t>
  </si>
  <si>
    <t xml:space="preserve">CareerLevels</t>
  </si>
  <si>
    <t xml:space="preserve">JobFamilies</t>
  </si>
  <si>
    <t xml:space="preserve">Divisions</t>
  </si>
  <si>
    <t xml:space="preserve">Units</t>
  </si>
  <si>
    <t xml:space="preserve">Resignation</t>
  </si>
  <si>
    <t xml:space="preserve">Yes</t>
  </si>
  <si>
    <t xml:space="preserve">Retirement</t>
  </si>
  <si>
    <t xml:space="preserve">No</t>
  </si>
  <si>
    <t xml:space="preserve">Outsourced</t>
  </si>
  <si>
    <t xml:space="preserve">End of contract</t>
  </si>
  <si>
    <t xml:space="preserve">Internal transfer out</t>
  </si>
  <si>
    <t xml:space="preserve">What each capacity direction means</t>
  </si>
  <si>
    <t xml:space="preserve">More capacity needed here. The growth arrives as a row on the asks sheet.</t>
  </si>
  <si>
    <t xml:space="preserve">Seats are being given up here. Say how many in the next column.</t>
  </si>
</sst>
</file>

<file path=xl/styles.xml><?xml version="1.0" encoding="utf-8"?>
<styleSheet xmlns="http://schemas.openxmlformats.org/spreadsheetml/2006/main">
  <numFmts count="5">
    <numFmt numFmtId="164" formatCode="General"/>
    <numFmt numFmtId="165" formatCode="#,##0;\(#,##0\);\-"/>
    <numFmt numFmtId="166" formatCode="#,##0.0;\(#,##0.0\);\-"/>
    <numFmt numFmtId="167" formatCode="0%;\(0%\);\-"/>
    <numFmt numFmtId="168" formatCode="0.0%;\(0.0%\);\-"/>
  </numFmts>
  <fonts count="21">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sz val="9"/>
      <color rgb="FFA4262C"/>
      <name val="Arial"/>
      <family val="0"/>
      <charset val="1"/>
    </font>
    <font>
      <b val="true"/>
      <sz val="10"/>
      <color rgb="FF24466B"/>
      <name val="Arial"/>
      <family val="0"/>
      <charset val="1"/>
    </font>
    <font>
      <b val="true"/>
      <sz val="9"/>
      <color rgb="FF8A5300"/>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fals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name val="Arial"/>
        <charset val="1"/>
        <family val="0"/>
        <b val="1"/>
        <color rgb="FF1A6B45"/>
        <sz val="10"/>
      </font>
    </dxf>
    <dxf>
      <font>
        <name val="Arial"/>
        <charset val="1"/>
        <family val="0"/>
        <b val="1"/>
        <color rgb="FFA4262C"/>
        <sz val="10"/>
      </font>
    </dxf>
    <dxf>
      <font>
        <name val="Arial"/>
        <charset val="1"/>
        <family val="0"/>
        <color rgb="FF8A5300"/>
        <sz val="10"/>
      </font>
    </dxf>
    <dxf>
      <fill>
        <patternFill patternType="solid">
          <fgColor rgb="FF24466B"/>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1A1A1A"/>
          <bgColor rgb="FF000000"/>
        </patternFill>
      </fill>
    </dxf>
    <dxf>
      <fill>
        <patternFill patternType="solid">
          <fgColor rgb="FFFDE7E9"/>
          <bgColor rgb="FF000000"/>
        </patternFill>
      </fill>
    </dxf>
    <dxf>
      <fill>
        <patternFill patternType="solid">
          <fgColor rgb="FFA4262C"/>
          <bgColor rgb="FF000000"/>
        </patternFill>
      </fill>
    </dxf>
    <dxf>
      <font>
        <name val="Arial"/>
        <charset val="1"/>
        <family val="0"/>
        <color rgb="FF7B8694"/>
        <sz val="10"/>
      </font>
    </dxf>
    <dxf>
      <font>
        <name val="Arial"/>
        <charset val="1"/>
        <family val="0"/>
        <b val="1"/>
        <color rgb="FF8A5300"/>
        <sz val="10"/>
      </font>
    </dxf>
    <dxf>
      <fill>
        <patternFill>
          <bgColor rgb="FFFDE7E9"/>
        </patternFill>
      </fill>
    </dxf>
    <dxf>
      <fill>
        <patternFill patternType="solid">
          <fgColor rgb="FF7B8694"/>
          <bgColor rgb="FF000000"/>
        </patternFill>
      </fill>
    </dxf>
    <dxf>
      <font>
        <name val="Arial"/>
        <charset val="1"/>
        <family val="0"/>
        <color rgb="FF1A6B45"/>
        <sz val="10"/>
      </font>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run-rate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My position'!$A$34:$A$37</c:f>
              <c:strCache>
                <c:ptCount val="4"/>
                <c:pt idx="0">
                  <c:v>1. Regulatory</c:v>
                </c:pt>
                <c:pt idx="1">
                  <c:v>2. Strategic</c:v>
                </c:pt>
                <c:pt idx="2">
                  <c:v>3. Control</c:v>
                </c:pt>
                <c:pt idx="3">
                  <c:v>4. BAU</c:v>
                </c:pt>
              </c:strCache>
            </c:strRef>
          </c:cat>
          <c:val>
            <c:numRef>
              <c:f>'5. My position'!$C$34:$C$37</c:f>
              <c:numCache>
                <c:formatCode>#,##0;\(#,##0\);\-</c:formatCode>
                <c:ptCount val="4"/>
                <c:pt idx="0">
                  <c:v>0</c:v>
                </c:pt>
                <c:pt idx="1">
                  <c:v>0</c:v>
                </c:pt>
                <c:pt idx="2">
                  <c:v>0</c:v>
                </c:pt>
                <c:pt idx="3">
                  <c:v>0</c:v>
                </c:pt>
              </c:numCache>
            </c:numRef>
          </c:val>
        </c:ser>
        <c:gapWidth val="150"/>
        <c:overlap val="0"/>
        <c:axId val="84883434"/>
        <c:axId val="85648226"/>
      </c:barChart>
      <c:catAx>
        <c:axId val="84883434"/>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648226"/>
        <c:crosses val="autoZero"/>
        <c:auto val="1"/>
        <c:lblAlgn val="ctr"/>
        <c:lblOffset val="100"/>
        <c:noMultiLvlLbl val="0"/>
      </c:catAx>
      <c:valAx>
        <c:axId val="85648226"/>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883434"/>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New capacity by start quarter</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My position'!$A$41:$A$44</c:f>
              <c:strCache>
                <c:ptCount val="4"/>
                <c:pt idx="0">
                  <c:v>Q1</c:v>
                </c:pt>
                <c:pt idx="1">
                  <c:v>Q2</c:v>
                </c:pt>
                <c:pt idx="2">
                  <c:v>Q3</c:v>
                </c:pt>
                <c:pt idx="3">
                  <c:v>Q4</c:v>
                </c:pt>
              </c:strCache>
            </c:strRef>
          </c:cat>
          <c:val>
            <c:numRef>
              <c:f>'5. My position'!$B$41:$B$44</c:f>
              <c:numCache>
                <c:formatCode>#,##0.0;\(#,##0.0\);\-</c:formatCode>
                <c:ptCount val="4"/>
                <c:pt idx="0">
                  <c:v>0</c:v>
                </c:pt>
                <c:pt idx="1">
                  <c:v>0</c:v>
                </c:pt>
                <c:pt idx="2">
                  <c:v>0</c:v>
                </c:pt>
                <c:pt idx="3">
                  <c:v>0</c:v>
                </c:pt>
              </c:numCache>
            </c:numRef>
          </c:val>
        </c:ser>
        <c:gapWidth val="150"/>
        <c:overlap val="0"/>
        <c:axId val="73246436"/>
        <c:axId val="99828634"/>
      </c:barChart>
      <c:catAx>
        <c:axId val="7324643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828634"/>
        <c:crosses val="autoZero"/>
        <c:auto val="1"/>
        <c:lblAlgn val="ctr"/>
        <c:lblOffset val="100"/>
        <c:noMultiLvlLbl val="0"/>
      </c:catAx>
      <c:valAx>
        <c:axId val="99828634"/>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24643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46</xdr:row>
      <xdr:rowOff>0</xdr:rowOff>
    </xdr:from>
    <xdr:to>
      <xdr:col>3</xdr:col>
      <xdr:colOff>247680</xdr:colOff>
      <xdr:row>61</xdr:row>
      <xdr:rowOff>21960</xdr:rowOff>
    </xdr:to>
    <xdr:graphicFrame>
      <xdr:nvGraphicFramePr>
        <xdr:cNvPr id="0" name="Chart 1"/>
        <xdr:cNvGraphicFramePr/>
      </xdr:nvGraphicFramePr>
      <xdr:xfrm>
        <a:off x="0" y="96868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46</xdr:row>
      <xdr:rowOff>0</xdr:rowOff>
    </xdr:from>
    <xdr:to>
      <xdr:col>6</xdr:col>
      <xdr:colOff>1652760</xdr:colOff>
      <xdr:row>61</xdr:row>
      <xdr:rowOff>21960</xdr:rowOff>
    </xdr:to>
    <xdr:graphicFrame>
      <xdr:nvGraphicFramePr>
        <xdr:cNvPr id="1" name="Chart 2"/>
        <xdr:cNvGraphicFramePr/>
      </xdr:nvGraphicFramePr>
      <xdr:xfrm>
        <a:off x="6756480" y="968688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9.75" hidden="false" customHeight="true" outlineLevel="0" collapsed="false">
      <c r="A5" s="4" t="s">
        <v>3</v>
      </c>
      <c r="B5" s="5" t="s">
        <v>4</v>
      </c>
      <c r="C5" s="5"/>
      <c r="D5" s="5"/>
      <c r="E5" s="5"/>
      <c r="F5" s="5"/>
      <c r="G5" s="5"/>
      <c r="H5" s="5"/>
    </row>
    <row r="6" customFormat="false" ht="39.75" hidden="false" customHeight="true" outlineLevel="0" collapsed="false">
      <c r="A6" s="4" t="s">
        <v>5</v>
      </c>
      <c r="B6" s="5" t="s">
        <v>6</v>
      </c>
      <c r="C6" s="5"/>
      <c r="D6" s="5"/>
      <c r="E6" s="5"/>
      <c r="F6" s="5"/>
      <c r="G6" s="5"/>
      <c r="H6" s="5"/>
    </row>
    <row r="7" customFormat="false" ht="39.75" hidden="false" customHeight="true" outlineLevel="0" collapsed="false">
      <c r="A7" s="4" t="s">
        <v>7</v>
      </c>
      <c r="B7" s="5" t="s">
        <v>8</v>
      </c>
      <c r="C7" s="5"/>
      <c r="D7" s="5"/>
      <c r="E7" s="5"/>
      <c r="F7" s="5"/>
      <c r="G7" s="5"/>
      <c r="H7" s="5"/>
    </row>
    <row r="8" customFormat="false" ht="39.75" hidden="false" customHeight="true" outlineLevel="0" collapsed="false">
      <c r="A8" s="4" t="s">
        <v>9</v>
      </c>
      <c r="B8" s="5" t="s">
        <v>10</v>
      </c>
      <c r="C8" s="5"/>
      <c r="D8" s="5"/>
      <c r="E8" s="5"/>
      <c r="F8" s="5"/>
      <c r="G8" s="5"/>
      <c r="H8" s="5"/>
    </row>
    <row r="9" customFormat="false" ht="39.75" hidden="false" customHeight="true" outlineLevel="0" collapsed="false">
      <c r="A9" s="4" t="s">
        <v>11</v>
      </c>
      <c r="B9" s="5" t="s">
        <v>12</v>
      </c>
      <c r="C9" s="5"/>
      <c r="D9" s="5"/>
      <c r="E9" s="5"/>
      <c r="F9" s="5"/>
      <c r="G9" s="5"/>
      <c r="H9" s="5"/>
    </row>
    <row r="10" customFormat="false" ht="39.75" hidden="false" customHeight="true" outlineLevel="0" collapsed="false">
      <c r="A10" s="4" t="s">
        <v>13</v>
      </c>
      <c r="B10" s="5" t="s">
        <v>14</v>
      </c>
      <c r="C10" s="5"/>
      <c r="D10" s="5"/>
      <c r="E10" s="5"/>
      <c r="F10" s="5"/>
      <c r="G10" s="5"/>
      <c r="H10" s="5"/>
    </row>
    <row r="11" customFormat="false" ht="39.75" hidden="false" customHeight="true" outlineLevel="0" collapsed="false">
      <c r="A11" s="4" t="s">
        <v>15</v>
      </c>
      <c r="B11" s="5" t="s">
        <v>16</v>
      </c>
      <c r="C11" s="5"/>
      <c r="D11" s="5"/>
      <c r="E11" s="5"/>
      <c r="F11" s="5"/>
      <c r="G11" s="5"/>
      <c r="H11" s="5"/>
    </row>
    <row r="13" customFormat="false" ht="15" hidden="false" customHeight="false" outlineLevel="0" collapsed="false">
      <c r="A13" s="3" t="s">
        <v>17</v>
      </c>
    </row>
    <row r="14" customFormat="false" ht="39.75" hidden="false" customHeight="true" outlineLevel="0" collapsed="false">
      <c r="A14" s="4" t="s">
        <v>18</v>
      </c>
      <c r="B14" s="5" t="s">
        <v>19</v>
      </c>
      <c r="C14" s="5"/>
      <c r="D14" s="5"/>
      <c r="E14" s="5"/>
      <c r="F14" s="5"/>
      <c r="G14" s="5"/>
      <c r="H14" s="5"/>
    </row>
    <row r="15" customFormat="false" ht="39.75" hidden="false" customHeight="true" outlineLevel="0" collapsed="false">
      <c r="A15" s="4" t="s">
        <v>20</v>
      </c>
      <c r="B15" s="5" t="s">
        <v>21</v>
      </c>
      <c r="C15" s="5"/>
      <c r="D15" s="5"/>
      <c r="E15" s="5"/>
      <c r="F15" s="5"/>
      <c r="G15" s="5"/>
      <c r="H15" s="5"/>
    </row>
    <row r="16" customFormat="false" ht="39.75" hidden="false" customHeight="true" outlineLevel="0" collapsed="false">
      <c r="A16" s="4" t="s">
        <v>22</v>
      </c>
      <c r="B16" s="5" t="s">
        <v>23</v>
      </c>
      <c r="C16" s="5"/>
      <c r="D16" s="5"/>
      <c r="E16" s="5"/>
      <c r="F16" s="5"/>
      <c r="G16" s="5"/>
      <c r="H16" s="5"/>
    </row>
    <row r="17" customFormat="false" ht="39.75" hidden="false" customHeight="true" outlineLevel="0" collapsed="false">
      <c r="A17" s="4" t="s">
        <v>24</v>
      </c>
      <c r="B17" s="5" t="s">
        <v>25</v>
      </c>
      <c r="C17" s="5"/>
      <c r="D17" s="5"/>
      <c r="E17" s="5"/>
      <c r="F17" s="5"/>
      <c r="G17" s="5"/>
      <c r="H17" s="5"/>
    </row>
    <row r="18" customFormat="false" ht="39.75" hidden="false" customHeight="true" outlineLevel="0" collapsed="false">
      <c r="A18" s="4" t="s">
        <v>26</v>
      </c>
      <c r="B18" s="5" t="s">
        <v>27</v>
      </c>
      <c r="C18" s="5"/>
      <c r="D18" s="5"/>
      <c r="E18" s="5"/>
      <c r="F18" s="5"/>
      <c r="G18" s="5"/>
      <c r="H18" s="5"/>
    </row>
    <row r="19" customFormat="false" ht="39.75" hidden="false" customHeight="true" outlineLevel="0" collapsed="false">
      <c r="A19" s="4" t="s">
        <v>28</v>
      </c>
      <c r="B19" s="5" t="s">
        <v>29</v>
      </c>
      <c r="C19" s="5"/>
      <c r="D19" s="5"/>
      <c r="E19" s="5"/>
      <c r="F19" s="5"/>
      <c r="G19" s="5"/>
      <c r="H19" s="5"/>
    </row>
    <row r="20" customFormat="false" ht="39.75" hidden="false" customHeight="true" outlineLevel="0" collapsed="false">
      <c r="A20" s="4" t="s">
        <v>30</v>
      </c>
      <c r="B20" s="5" t="s">
        <v>31</v>
      </c>
      <c r="C20" s="5"/>
      <c r="D20" s="5"/>
      <c r="E20" s="5"/>
      <c r="F20" s="5"/>
      <c r="G20" s="5"/>
      <c r="H20" s="5"/>
    </row>
    <row r="21" customFormat="false" ht="39.75" hidden="false" customHeight="true" outlineLevel="0" collapsed="false">
      <c r="A21" s="4" t="s">
        <v>32</v>
      </c>
      <c r="B21" s="5" t="s">
        <v>33</v>
      </c>
      <c r="C21" s="5"/>
      <c r="D21" s="5"/>
      <c r="E21" s="5"/>
      <c r="F21" s="5"/>
      <c r="G21" s="5"/>
      <c r="H21" s="5"/>
    </row>
    <row r="23" customFormat="false" ht="15" hidden="false" customHeight="false" outlineLevel="0" collapsed="false">
      <c r="A23" s="6" t="s">
        <v>34</v>
      </c>
    </row>
    <row r="24" customFormat="false" ht="15" hidden="false" customHeight="false" outlineLevel="0" collapsed="false">
      <c r="A24" s="7" t="s">
        <v>35</v>
      </c>
      <c r="B24" s="8" t="s">
        <v>36</v>
      </c>
      <c r="C24" s="8"/>
      <c r="D24" s="8"/>
      <c r="E24" s="8"/>
      <c r="F24" s="8"/>
      <c r="G24" s="8"/>
    </row>
    <row r="25" customFormat="false" ht="15" hidden="false" customHeight="false" outlineLevel="0" collapsed="false">
      <c r="A25" s="9" t="s">
        <v>37</v>
      </c>
      <c r="B25" s="8" t="s">
        <v>38</v>
      </c>
      <c r="C25" s="8"/>
      <c r="D25" s="8"/>
      <c r="E25" s="8"/>
      <c r="F25" s="8"/>
      <c r="G25" s="8"/>
    </row>
    <row r="26" customFormat="false" ht="15" hidden="false" customHeight="false" outlineLevel="0" collapsed="false">
      <c r="A26" s="10" t="s">
        <v>39</v>
      </c>
      <c r="B26" s="8" t="s">
        <v>40</v>
      </c>
      <c r="C26" s="8"/>
      <c r="D26" s="8"/>
      <c r="E26" s="8"/>
      <c r="F26" s="8"/>
      <c r="G26" s="8"/>
    </row>
    <row r="28" customFormat="false" ht="15" hidden="false" customHeight="false" outlineLevel="0" collapsed="false">
      <c r="A28" s="3" t="s">
        <v>41</v>
      </c>
    </row>
    <row r="29" customFormat="false" ht="25.5" hidden="false" customHeight="true" outlineLevel="0" collapsed="false">
      <c r="A29" s="11" t="s">
        <v>42</v>
      </c>
      <c r="B29" s="11"/>
      <c r="C29" s="11"/>
      <c r="D29" s="11"/>
      <c r="E29" s="11"/>
      <c r="F29" s="11"/>
      <c r="G29" s="11"/>
      <c r="H29" s="11"/>
    </row>
    <row r="30" customFormat="false" ht="25.5" hidden="false" customHeight="true" outlineLevel="0" collapsed="false">
      <c r="A30" s="11" t="s">
        <v>43</v>
      </c>
      <c r="B30" s="11"/>
      <c r="C30" s="11"/>
      <c r="D30" s="11"/>
      <c r="E30" s="11"/>
      <c r="F30" s="11"/>
      <c r="G30" s="11"/>
      <c r="H30" s="11"/>
    </row>
    <row r="31" customFormat="false" ht="25.5" hidden="false" customHeight="true" outlineLevel="0" collapsed="false">
      <c r="A31" s="11" t="s">
        <v>44</v>
      </c>
      <c r="B31" s="11"/>
      <c r="C31" s="11"/>
      <c r="D31" s="11"/>
      <c r="E31" s="11"/>
      <c r="F31" s="11"/>
      <c r="G31" s="11"/>
      <c r="H31" s="11"/>
    </row>
    <row r="33" customFormat="false" ht="15" hidden="false" customHeight="false" outlineLevel="0" collapsed="false">
      <c r="A33" s="3" t="s">
        <v>45</v>
      </c>
    </row>
    <row r="34" customFormat="false" ht="25.5" hidden="false" customHeight="true" outlineLevel="0" collapsed="false">
      <c r="A34" s="11" t="s">
        <v>46</v>
      </c>
      <c r="B34" s="11"/>
      <c r="C34" s="11"/>
      <c r="D34" s="11"/>
      <c r="E34" s="11"/>
      <c r="F34" s="11"/>
      <c r="G34" s="11"/>
      <c r="H34" s="11"/>
    </row>
  </sheetData>
  <sheetProtection sheet="true" sort="false" autoFilter="false"/>
  <mergeCells count="23">
    <mergeCell ref="A2:J2"/>
    <mergeCell ref="B5:H5"/>
    <mergeCell ref="B6:H6"/>
    <mergeCell ref="B7:H7"/>
    <mergeCell ref="B8:H8"/>
    <mergeCell ref="B9:H9"/>
    <mergeCell ref="B10:H10"/>
    <mergeCell ref="B11:H11"/>
    <mergeCell ref="B14:H14"/>
    <mergeCell ref="B15:H15"/>
    <mergeCell ref="B16:H16"/>
    <mergeCell ref="B17:H17"/>
    <mergeCell ref="B18:H18"/>
    <mergeCell ref="B19:H19"/>
    <mergeCell ref="B20:H20"/>
    <mergeCell ref="B21:H21"/>
    <mergeCell ref="B24:G24"/>
    <mergeCell ref="B25:G25"/>
    <mergeCell ref="B26:G26"/>
    <mergeCell ref="A29:H29"/>
    <mergeCell ref="A30:H30"/>
    <mergeCell ref="A31:H31"/>
    <mergeCell ref="A34:H34"/>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5"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8" min="6" style="0" width="13"/>
    <col collapsed="false" customWidth="true" hidden="false" outlineLevel="0" max="9" min="9" style="0" width="11"/>
    <col collapsed="false" customWidth="true" hidden="true" outlineLevel="0" max="10" min="10" style="0" width="30"/>
  </cols>
  <sheetData>
    <row r="1" customFormat="false" ht="24" hidden="false" customHeight="true" outlineLevel="0" collapsed="false">
      <c r="A1" s="1" t="s">
        <v>47</v>
      </c>
    </row>
    <row r="2" customFormat="false" ht="15" hidden="false" customHeight="false" outlineLevel="0" collapsed="false">
      <c r="A2" s="2" t="s">
        <v>48</v>
      </c>
      <c r="B2" s="2"/>
      <c r="C2" s="2"/>
      <c r="D2" s="2"/>
      <c r="E2" s="2"/>
      <c r="F2" s="2"/>
      <c r="G2" s="2"/>
      <c r="H2" s="2"/>
      <c r="I2" s="2"/>
      <c r="J2" s="2"/>
    </row>
    <row r="4" customFormat="false" ht="30" hidden="false" customHeight="true" outlineLevel="0" collapsed="false">
      <c r="A4" s="12" t="s">
        <v>49</v>
      </c>
      <c r="B4" s="12" t="s">
        <v>50</v>
      </c>
      <c r="C4" s="12" t="s">
        <v>51</v>
      </c>
      <c r="D4" s="12" t="s">
        <v>52</v>
      </c>
      <c r="E4" s="12" t="s">
        <v>53</v>
      </c>
      <c r="F4" s="12" t="s">
        <v>54</v>
      </c>
      <c r="G4" s="12" t="s">
        <v>55</v>
      </c>
      <c r="H4" s="12" t="s">
        <v>56</v>
      </c>
      <c r="I4" s="12" t="s">
        <v>57</v>
      </c>
      <c r="J4" s="12" t="s">
        <v>58</v>
      </c>
    </row>
    <row r="5" customFormat="false" ht="15" hidden="false" customHeight="false" outlineLevel="0" collapsed="false">
      <c r="A5" s="13" t="s">
        <v>59</v>
      </c>
      <c r="B5" s="14" t="s">
        <v>60</v>
      </c>
      <c r="C5" s="15" t="n">
        <v>228</v>
      </c>
      <c r="D5" s="15" t="n">
        <v>203</v>
      </c>
      <c r="E5" s="15" t="n">
        <v>25</v>
      </c>
      <c r="F5" s="16" t="n">
        <f aca="false">SUMIFS(SeatExits,SeatDivision,$J5)+SUMIFS(SeatExits,SeatDepartment,$J5)+SUMIFS(SeatExits,SeatUnit,$J5)+SUMIFS(SeatExits,SeatSubUnit,$J5)</f>
        <v>0</v>
      </c>
      <c r="G5" s="16" t="n">
        <f aca="false">SUMIFS(AskTotal,AskDivision,$J5)+SUMIFS(AskTotal,AskDepartment,$J5)+SUMIFS(AskTotal,AskUnit,$J5)+SUMIFS(AskTotal,AskSubUnit,$J5)</f>
        <v>0</v>
      </c>
      <c r="H5" s="16" t="n">
        <f aca="false">$C5-$F5+$G5</f>
        <v>228</v>
      </c>
      <c r="I5" s="16" t="n">
        <f aca="false">$H5-$C5</f>
        <v>0</v>
      </c>
      <c r="J5" s="17" t="s">
        <v>60</v>
      </c>
    </row>
    <row r="6" customFormat="false" ht="15" hidden="false" customHeight="false" outlineLevel="1" collapsed="false">
      <c r="A6" s="13" t="s">
        <v>61</v>
      </c>
      <c r="B6" s="14" t="s">
        <v>62</v>
      </c>
      <c r="C6" s="15" t="n">
        <v>77</v>
      </c>
      <c r="D6" s="15" t="n">
        <v>67</v>
      </c>
      <c r="E6" s="15" t="n">
        <v>10</v>
      </c>
      <c r="F6" s="16" t="n">
        <f aca="false">SUMIFS(SeatExits,SeatDivision,$J6)+SUMIFS(SeatExits,SeatDepartment,$J6)+SUMIFS(SeatExits,SeatUnit,$J6)+SUMIFS(SeatExits,SeatSubUnit,$J6)</f>
        <v>0</v>
      </c>
      <c r="G6" s="16" t="n">
        <f aca="false">SUMIFS(AskTotal,AskDivision,$J6)+SUMIFS(AskTotal,AskDepartment,$J6)+SUMIFS(AskTotal,AskUnit,$J6)+SUMIFS(AskTotal,AskSubUnit,$J6)</f>
        <v>0</v>
      </c>
      <c r="H6" s="16" t="n">
        <f aca="false">$C6-$F6+$G6</f>
        <v>77</v>
      </c>
      <c r="I6" s="16" t="n">
        <f aca="false">$H6-$C6</f>
        <v>0</v>
      </c>
      <c r="J6" s="17" t="s">
        <v>63</v>
      </c>
    </row>
    <row r="7" customFormat="false" ht="15" hidden="false" customHeight="false" outlineLevel="2" collapsed="false">
      <c r="A7" s="17" t="s">
        <v>64</v>
      </c>
      <c r="B7" s="18" t="s">
        <v>65</v>
      </c>
      <c r="C7" s="19" t="n">
        <v>40</v>
      </c>
      <c r="D7" s="19" t="n">
        <v>32</v>
      </c>
      <c r="E7" s="19" t="n">
        <v>8</v>
      </c>
      <c r="F7" s="20" t="n">
        <f aca="false">SUMIFS(SeatExits,SeatDivision,$J7)+SUMIFS(SeatExits,SeatDepartment,$J7)+SUMIFS(SeatExits,SeatUnit,$J7)+SUMIFS(SeatExits,SeatSubUnit,$J7)</f>
        <v>0</v>
      </c>
      <c r="G7" s="20" t="n">
        <f aca="false">SUMIFS(AskTotal,AskDivision,$J7)+SUMIFS(AskTotal,AskDepartment,$J7)+SUMIFS(AskTotal,AskUnit,$J7)+SUMIFS(AskTotal,AskSubUnit,$J7)</f>
        <v>0</v>
      </c>
      <c r="H7" s="20" t="n">
        <f aca="false">$C7-$F7+$G7</f>
        <v>40</v>
      </c>
      <c r="I7" s="20" t="n">
        <f aca="false">$H7-$C7</f>
        <v>0</v>
      </c>
      <c r="J7" s="17" t="s">
        <v>66</v>
      </c>
    </row>
    <row r="8" customFormat="false" ht="15" hidden="false" customHeight="false" outlineLevel="3" collapsed="false">
      <c r="A8" s="17" t="s">
        <v>50</v>
      </c>
      <c r="B8" s="18" t="s">
        <v>67</v>
      </c>
      <c r="C8" s="19" t="n">
        <v>21</v>
      </c>
      <c r="D8" s="19" t="n">
        <v>14</v>
      </c>
      <c r="E8" s="19" t="n">
        <v>7</v>
      </c>
      <c r="F8" s="20" t="n">
        <f aca="false">SUMIFS(SeatExits,SeatDivision,$J8)+SUMIFS(SeatExits,SeatDepartment,$J8)+SUMIFS(SeatExits,SeatUnit,$J8)+SUMIFS(SeatExits,SeatSubUnit,$J8)</f>
        <v>0</v>
      </c>
      <c r="G8" s="20" t="n">
        <f aca="false">SUMIFS(AskTotal,AskDivision,$J8)+SUMIFS(AskTotal,AskDepartment,$J8)+SUMIFS(AskTotal,AskUnit,$J8)+SUMIFS(AskTotal,AskSubUnit,$J8)</f>
        <v>0</v>
      </c>
      <c r="H8" s="20" t="n">
        <f aca="false">$C8-$F8+$G8</f>
        <v>21</v>
      </c>
      <c r="I8" s="20" t="n">
        <f aca="false">$H8-$C8</f>
        <v>0</v>
      </c>
      <c r="J8" s="17" t="s">
        <v>68</v>
      </c>
    </row>
    <row r="9" customFormat="false" ht="15" hidden="false" customHeight="false" outlineLevel="4" collapsed="false">
      <c r="A9" s="17" t="s">
        <v>69</v>
      </c>
      <c r="B9" s="18" t="s">
        <v>70</v>
      </c>
      <c r="C9" s="19" t="n">
        <v>10</v>
      </c>
      <c r="D9" s="19" t="n">
        <v>6</v>
      </c>
      <c r="E9" s="19" t="n">
        <v>4</v>
      </c>
      <c r="F9" s="20" t="n">
        <f aca="false">SUMIFS(SeatExits,SeatDivision,$J9)+SUMIFS(SeatExits,SeatDepartment,$J9)+SUMIFS(SeatExits,SeatUnit,$J9)+SUMIFS(SeatExits,SeatSubUnit,$J9)</f>
        <v>0</v>
      </c>
      <c r="G9" s="20" t="n">
        <f aca="false">SUMIFS(AskTotal,AskDivision,$J9)+SUMIFS(AskTotal,AskDepartment,$J9)+SUMIFS(AskTotal,AskUnit,$J9)+SUMIFS(AskTotal,AskSubUnit,$J9)</f>
        <v>0</v>
      </c>
      <c r="H9" s="20" t="n">
        <f aca="false">$C9-$F9+$G9</f>
        <v>10</v>
      </c>
      <c r="I9" s="20" t="n">
        <f aca="false">$H9-$C9</f>
        <v>0</v>
      </c>
      <c r="J9" s="17" t="s">
        <v>71</v>
      </c>
    </row>
    <row r="10" customFormat="false" ht="15" hidden="false" customHeight="false" outlineLevel="5" collapsed="false">
      <c r="A10" s="17" t="s">
        <v>72</v>
      </c>
      <c r="B10" s="18" t="s">
        <v>73</v>
      </c>
      <c r="C10" s="19" t="n">
        <v>4</v>
      </c>
      <c r="D10" s="19" t="n">
        <v>2</v>
      </c>
      <c r="E10" s="19" t="n">
        <v>2</v>
      </c>
      <c r="F10" s="20" t="n">
        <f aca="false">SUMIFS(SeatExits,SeatDivision,$J10)+SUMIFS(SeatExits,SeatDepartment,$J10)+SUMIFS(SeatExits,SeatUnit,$J10)+SUMIFS(SeatExits,SeatSubUnit,$J10)</f>
        <v>0</v>
      </c>
      <c r="G10" s="20" t="n">
        <f aca="false">SUMIFS(AskTotal,AskDivision,$J10)+SUMIFS(AskTotal,AskDepartment,$J10)+SUMIFS(AskTotal,AskUnit,$J10)+SUMIFS(AskTotal,AskSubUnit,$J10)</f>
        <v>0</v>
      </c>
      <c r="H10" s="20" t="n">
        <f aca="false">$C10-$F10+$G10</f>
        <v>4</v>
      </c>
      <c r="I10" s="20" t="n">
        <f aca="false">$H10-$C10</f>
        <v>0</v>
      </c>
      <c r="J10" s="17" t="s">
        <v>74</v>
      </c>
    </row>
    <row r="11" customFormat="false" ht="15" hidden="false" customHeight="false" outlineLevel="5" collapsed="false">
      <c r="A11" s="17" t="s">
        <v>72</v>
      </c>
      <c r="B11" s="18" t="s">
        <v>75</v>
      </c>
      <c r="C11" s="19" t="n">
        <v>5</v>
      </c>
      <c r="D11" s="19" t="n">
        <v>3</v>
      </c>
      <c r="E11" s="19" t="n">
        <v>2</v>
      </c>
      <c r="F11" s="20" t="n">
        <f aca="false">SUMIFS(SeatExits,SeatDivision,$J11)+SUMIFS(SeatExits,SeatDepartment,$J11)+SUMIFS(SeatExits,SeatUnit,$J11)+SUMIFS(SeatExits,SeatSubUnit,$J11)</f>
        <v>0</v>
      </c>
      <c r="G11" s="20" t="n">
        <f aca="false">SUMIFS(AskTotal,AskDivision,$J11)+SUMIFS(AskTotal,AskDepartment,$J11)+SUMIFS(AskTotal,AskUnit,$J11)+SUMIFS(AskTotal,AskSubUnit,$J11)</f>
        <v>0</v>
      </c>
      <c r="H11" s="20" t="n">
        <f aca="false">$C11-$F11+$G11</f>
        <v>5</v>
      </c>
      <c r="I11" s="20" t="n">
        <f aca="false">$H11-$C11</f>
        <v>0</v>
      </c>
      <c r="J11" s="17" t="s">
        <v>76</v>
      </c>
    </row>
    <row r="12" customFormat="false" ht="15" hidden="false" customHeight="false" outlineLevel="4" collapsed="false">
      <c r="A12" s="17" t="s">
        <v>69</v>
      </c>
      <c r="B12" s="18" t="s">
        <v>77</v>
      </c>
      <c r="C12" s="19" t="n">
        <v>10</v>
      </c>
      <c r="D12" s="19" t="n">
        <v>8</v>
      </c>
      <c r="E12" s="19" t="n">
        <v>2</v>
      </c>
      <c r="F12" s="20" t="n">
        <f aca="false">SUMIFS(SeatExits,SeatDivision,$J12)+SUMIFS(SeatExits,SeatDepartment,$J12)+SUMIFS(SeatExits,SeatUnit,$J12)+SUMIFS(SeatExits,SeatSubUnit,$J12)</f>
        <v>0</v>
      </c>
      <c r="G12" s="20" t="n">
        <f aca="false">SUMIFS(AskTotal,AskDivision,$J12)+SUMIFS(AskTotal,AskDepartment,$J12)+SUMIFS(AskTotal,AskUnit,$J12)+SUMIFS(AskTotal,AskSubUnit,$J12)</f>
        <v>0</v>
      </c>
      <c r="H12" s="20" t="n">
        <f aca="false">$C12-$F12+$G12</f>
        <v>10</v>
      </c>
      <c r="I12" s="20" t="n">
        <f aca="false">$H12-$C12</f>
        <v>0</v>
      </c>
      <c r="J12" s="17" t="s">
        <v>78</v>
      </c>
    </row>
    <row r="13" customFormat="false" ht="15" hidden="false" customHeight="false" outlineLevel="5" collapsed="false">
      <c r="A13" s="17" t="s">
        <v>72</v>
      </c>
      <c r="B13" s="18" t="s">
        <v>79</v>
      </c>
      <c r="C13" s="19" t="n">
        <v>4</v>
      </c>
      <c r="D13" s="19" t="n">
        <v>3</v>
      </c>
      <c r="E13" s="19" t="n">
        <v>1</v>
      </c>
      <c r="F13" s="20" t="n">
        <f aca="false">SUMIFS(SeatExits,SeatDivision,$J13)+SUMIFS(SeatExits,SeatDepartment,$J13)+SUMIFS(SeatExits,SeatUnit,$J13)+SUMIFS(SeatExits,SeatSubUnit,$J13)</f>
        <v>0</v>
      </c>
      <c r="G13" s="20" t="n">
        <f aca="false">SUMIFS(AskTotal,AskDivision,$J13)+SUMIFS(AskTotal,AskDepartment,$J13)+SUMIFS(AskTotal,AskUnit,$J13)+SUMIFS(AskTotal,AskSubUnit,$J13)</f>
        <v>0</v>
      </c>
      <c r="H13" s="20" t="n">
        <f aca="false">$C13-$F13+$G13</f>
        <v>4</v>
      </c>
      <c r="I13" s="20" t="n">
        <f aca="false">$H13-$C13</f>
        <v>0</v>
      </c>
      <c r="J13" s="17" t="s">
        <v>80</v>
      </c>
    </row>
    <row r="14" customFormat="false" ht="15" hidden="false" customHeight="false" outlineLevel="5" collapsed="false">
      <c r="A14" s="17" t="s">
        <v>72</v>
      </c>
      <c r="B14" s="18" t="s">
        <v>81</v>
      </c>
      <c r="C14" s="19" t="n">
        <v>5</v>
      </c>
      <c r="D14" s="19" t="n">
        <v>4</v>
      </c>
      <c r="E14" s="19" t="n">
        <v>1</v>
      </c>
      <c r="F14" s="20" t="n">
        <f aca="false">SUMIFS(SeatExits,SeatDivision,$J14)+SUMIFS(SeatExits,SeatDepartment,$J14)+SUMIFS(SeatExits,SeatUnit,$J14)+SUMIFS(SeatExits,SeatSubUnit,$J14)</f>
        <v>0</v>
      </c>
      <c r="G14" s="20" t="n">
        <f aca="false">SUMIFS(AskTotal,AskDivision,$J14)+SUMIFS(AskTotal,AskDepartment,$J14)+SUMIFS(AskTotal,AskUnit,$J14)+SUMIFS(AskTotal,AskSubUnit,$J14)</f>
        <v>0</v>
      </c>
      <c r="H14" s="20" t="n">
        <f aca="false">$C14-$F14+$G14</f>
        <v>5</v>
      </c>
      <c r="I14" s="20" t="n">
        <f aca="false">$H14-$C14</f>
        <v>0</v>
      </c>
      <c r="J14" s="17" t="s">
        <v>82</v>
      </c>
    </row>
    <row r="15" customFormat="false" ht="15" hidden="false" customHeight="false" outlineLevel="3" collapsed="false">
      <c r="A15" s="17" t="s">
        <v>50</v>
      </c>
      <c r="B15" s="18" t="s">
        <v>83</v>
      </c>
      <c r="C15" s="19" t="n">
        <v>18</v>
      </c>
      <c r="D15" s="19" t="n">
        <v>17</v>
      </c>
      <c r="E15" s="19" t="n">
        <v>1</v>
      </c>
      <c r="F15" s="20" t="n">
        <f aca="false">SUMIFS(SeatExits,SeatDivision,$J15)+SUMIFS(SeatExits,SeatDepartment,$J15)+SUMIFS(SeatExits,SeatUnit,$J15)+SUMIFS(SeatExits,SeatSubUnit,$J15)</f>
        <v>0</v>
      </c>
      <c r="G15" s="20" t="n">
        <f aca="false">SUMIFS(AskTotal,AskDivision,$J15)+SUMIFS(AskTotal,AskDepartment,$J15)+SUMIFS(AskTotal,AskUnit,$J15)+SUMIFS(AskTotal,AskSubUnit,$J15)</f>
        <v>0</v>
      </c>
      <c r="H15" s="20" t="n">
        <f aca="false">$C15-$F15+$G15</f>
        <v>18</v>
      </c>
      <c r="I15" s="20" t="n">
        <f aca="false">$H15-$C15</f>
        <v>0</v>
      </c>
      <c r="J15" s="17" t="s">
        <v>84</v>
      </c>
    </row>
    <row r="16" customFormat="false" ht="15" hidden="false" customHeight="false" outlineLevel="4" collapsed="false">
      <c r="A16" s="17" t="s">
        <v>69</v>
      </c>
      <c r="B16" s="18" t="s">
        <v>85</v>
      </c>
      <c r="C16" s="19" t="n">
        <v>10</v>
      </c>
      <c r="D16" s="19" t="n">
        <v>9</v>
      </c>
      <c r="E16" s="19" t="n">
        <v>1</v>
      </c>
      <c r="F16" s="20" t="n">
        <f aca="false">SUMIFS(SeatExits,SeatDivision,$J16)+SUMIFS(SeatExits,SeatDepartment,$J16)+SUMIFS(SeatExits,SeatUnit,$J16)+SUMIFS(SeatExits,SeatSubUnit,$J16)</f>
        <v>0</v>
      </c>
      <c r="G16" s="20" t="n">
        <f aca="false">SUMIFS(AskTotal,AskDivision,$J16)+SUMIFS(AskTotal,AskDepartment,$J16)+SUMIFS(AskTotal,AskUnit,$J16)+SUMIFS(AskTotal,AskSubUnit,$J16)</f>
        <v>0</v>
      </c>
      <c r="H16" s="20" t="n">
        <f aca="false">$C16-$F16+$G16</f>
        <v>10</v>
      </c>
      <c r="I16" s="20" t="n">
        <f aca="false">$H16-$C16</f>
        <v>0</v>
      </c>
      <c r="J16" s="17" t="s">
        <v>86</v>
      </c>
    </row>
    <row r="17" customFormat="false" ht="15" hidden="false" customHeight="false" outlineLevel="5" collapsed="false">
      <c r="A17" s="17" t="s">
        <v>72</v>
      </c>
      <c r="B17" s="18" t="s">
        <v>87</v>
      </c>
      <c r="C17" s="19" t="n">
        <v>2</v>
      </c>
      <c r="D17" s="19" t="n">
        <v>2</v>
      </c>
      <c r="E17" s="19" t="n">
        <v>0</v>
      </c>
      <c r="F17" s="20" t="n">
        <f aca="false">SUMIFS(SeatExits,SeatDivision,$J17)+SUMIFS(SeatExits,SeatDepartment,$J17)+SUMIFS(SeatExits,SeatUnit,$J17)+SUMIFS(SeatExits,SeatSubUnit,$J17)</f>
        <v>0</v>
      </c>
      <c r="G17" s="20" t="n">
        <f aca="false">SUMIFS(AskTotal,AskDivision,$J17)+SUMIFS(AskTotal,AskDepartment,$J17)+SUMIFS(AskTotal,AskUnit,$J17)+SUMIFS(AskTotal,AskSubUnit,$J17)</f>
        <v>0</v>
      </c>
      <c r="H17" s="20" t="n">
        <f aca="false">$C17-$F17+$G17</f>
        <v>2</v>
      </c>
      <c r="I17" s="20" t="n">
        <f aca="false">$H17-$C17</f>
        <v>0</v>
      </c>
      <c r="J17" s="17" t="s">
        <v>88</v>
      </c>
    </row>
    <row r="18" customFormat="false" ht="15" hidden="false" customHeight="false" outlineLevel="5" collapsed="false">
      <c r="A18" s="17" t="s">
        <v>72</v>
      </c>
      <c r="B18" s="18" t="s">
        <v>89</v>
      </c>
      <c r="C18" s="19" t="n">
        <v>7</v>
      </c>
      <c r="D18" s="19" t="n">
        <v>6</v>
      </c>
      <c r="E18" s="19" t="n">
        <v>1</v>
      </c>
      <c r="F18" s="20" t="n">
        <f aca="false">SUMIFS(SeatExits,SeatDivision,$J18)+SUMIFS(SeatExits,SeatDepartment,$J18)+SUMIFS(SeatExits,SeatUnit,$J18)+SUMIFS(SeatExits,SeatSubUnit,$J18)</f>
        <v>0</v>
      </c>
      <c r="G18" s="20" t="n">
        <f aca="false">SUMIFS(AskTotal,AskDivision,$J18)+SUMIFS(AskTotal,AskDepartment,$J18)+SUMIFS(AskTotal,AskUnit,$J18)+SUMIFS(AskTotal,AskSubUnit,$J18)</f>
        <v>0</v>
      </c>
      <c r="H18" s="20" t="n">
        <f aca="false">$C18-$F18+$G18</f>
        <v>7</v>
      </c>
      <c r="I18" s="20" t="n">
        <f aca="false">$H18-$C18</f>
        <v>0</v>
      </c>
      <c r="J18" s="17" t="s">
        <v>90</v>
      </c>
    </row>
    <row r="19" customFormat="false" ht="15" hidden="false" customHeight="false" outlineLevel="4" collapsed="false">
      <c r="A19" s="17" t="s">
        <v>69</v>
      </c>
      <c r="B19" s="18" t="s">
        <v>91</v>
      </c>
      <c r="C19" s="19" t="n">
        <v>7</v>
      </c>
      <c r="D19" s="19" t="n">
        <v>7</v>
      </c>
      <c r="E19" s="19" t="n">
        <v>0</v>
      </c>
      <c r="F19" s="20" t="n">
        <f aca="false">SUMIFS(SeatExits,SeatDivision,$J19)+SUMIFS(SeatExits,SeatDepartment,$J19)+SUMIFS(SeatExits,SeatUnit,$J19)+SUMIFS(SeatExits,SeatSubUnit,$J19)</f>
        <v>0</v>
      </c>
      <c r="G19" s="20" t="n">
        <f aca="false">SUMIFS(AskTotal,AskDivision,$J19)+SUMIFS(AskTotal,AskDepartment,$J19)+SUMIFS(AskTotal,AskUnit,$J19)+SUMIFS(AskTotal,AskSubUnit,$J19)</f>
        <v>0</v>
      </c>
      <c r="H19" s="20" t="n">
        <f aca="false">$C19-$F19+$G19</f>
        <v>7</v>
      </c>
      <c r="I19" s="20" t="n">
        <f aca="false">$H19-$C19</f>
        <v>0</v>
      </c>
      <c r="J19" s="17" t="s">
        <v>92</v>
      </c>
    </row>
    <row r="20" customFormat="false" ht="15" hidden="false" customHeight="false" outlineLevel="5" collapsed="false">
      <c r="A20" s="17" t="s">
        <v>72</v>
      </c>
      <c r="B20" s="18" t="s">
        <v>93</v>
      </c>
      <c r="C20" s="19" t="n">
        <v>4</v>
      </c>
      <c r="D20" s="19" t="n">
        <v>4</v>
      </c>
      <c r="E20" s="19" t="n">
        <v>0</v>
      </c>
      <c r="F20" s="20" t="n">
        <f aca="false">SUMIFS(SeatExits,SeatDivision,$J20)+SUMIFS(SeatExits,SeatDepartment,$J20)+SUMIFS(SeatExits,SeatUnit,$J20)+SUMIFS(SeatExits,SeatSubUnit,$J20)</f>
        <v>0</v>
      </c>
      <c r="G20" s="20" t="n">
        <f aca="false">SUMIFS(AskTotal,AskDivision,$J20)+SUMIFS(AskTotal,AskDepartment,$J20)+SUMIFS(AskTotal,AskUnit,$J20)+SUMIFS(AskTotal,AskSubUnit,$J20)</f>
        <v>0</v>
      </c>
      <c r="H20" s="20" t="n">
        <f aca="false">$C20-$F20+$G20</f>
        <v>4</v>
      </c>
      <c r="I20" s="20" t="n">
        <f aca="false">$H20-$C20</f>
        <v>0</v>
      </c>
      <c r="J20" s="17" t="s">
        <v>94</v>
      </c>
    </row>
    <row r="21" customFormat="false" ht="15" hidden="false" customHeight="false" outlineLevel="5" collapsed="false">
      <c r="A21" s="17" t="s">
        <v>72</v>
      </c>
      <c r="B21" s="18" t="s">
        <v>95</v>
      </c>
      <c r="C21" s="19" t="n">
        <v>2</v>
      </c>
      <c r="D21" s="19" t="n">
        <v>2</v>
      </c>
      <c r="E21" s="19" t="n">
        <v>0</v>
      </c>
      <c r="F21" s="20" t="n">
        <f aca="false">SUMIFS(SeatExits,SeatDivision,$J21)+SUMIFS(SeatExits,SeatDepartment,$J21)+SUMIFS(SeatExits,SeatUnit,$J21)+SUMIFS(SeatExits,SeatSubUnit,$J21)</f>
        <v>0</v>
      </c>
      <c r="G21" s="20" t="n">
        <f aca="false">SUMIFS(AskTotal,AskDivision,$J21)+SUMIFS(AskTotal,AskDepartment,$J21)+SUMIFS(AskTotal,AskUnit,$J21)+SUMIFS(AskTotal,AskSubUnit,$J21)</f>
        <v>0</v>
      </c>
      <c r="H21" s="20" t="n">
        <f aca="false">$C21-$F21+$G21</f>
        <v>2</v>
      </c>
      <c r="I21" s="20" t="n">
        <f aca="false">$H21-$C21</f>
        <v>0</v>
      </c>
      <c r="J21" s="17" t="s">
        <v>96</v>
      </c>
    </row>
    <row r="22" customFormat="false" ht="15" hidden="false" customHeight="false" outlineLevel="2" collapsed="false">
      <c r="A22" s="17" t="s">
        <v>64</v>
      </c>
      <c r="B22" s="18" t="s">
        <v>97</v>
      </c>
      <c r="C22" s="19" t="n">
        <v>36</v>
      </c>
      <c r="D22" s="19" t="n">
        <v>34</v>
      </c>
      <c r="E22" s="19" t="n">
        <v>2</v>
      </c>
      <c r="F22" s="20" t="n">
        <f aca="false">SUMIFS(SeatExits,SeatDivision,$J22)+SUMIFS(SeatExits,SeatDepartment,$J22)+SUMIFS(SeatExits,SeatUnit,$J22)+SUMIFS(SeatExits,SeatSubUnit,$J22)</f>
        <v>0</v>
      </c>
      <c r="G22" s="20" t="n">
        <f aca="false">SUMIFS(AskTotal,AskDivision,$J22)+SUMIFS(AskTotal,AskDepartment,$J22)+SUMIFS(AskTotal,AskUnit,$J22)+SUMIFS(AskTotal,AskSubUnit,$J22)</f>
        <v>0</v>
      </c>
      <c r="H22" s="20" t="n">
        <f aca="false">$C22-$F22+$G22</f>
        <v>36</v>
      </c>
      <c r="I22" s="20" t="n">
        <f aca="false">$H22-$C22</f>
        <v>0</v>
      </c>
      <c r="J22" s="17" t="s">
        <v>98</v>
      </c>
    </row>
    <row r="23" customFormat="false" ht="15" hidden="false" customHeight="false" outlineLevel="3" collapsed="false">
      <c r="A23" s="17" t="s">
        <v>50</v>
      </c>
      <c r="B23" s="18" t="s">
        <v>99</v>
      </c>
      <c r="C23" s="19" t="n">
        <v>17</v>
      </c>
      <c r="D23" s="19" t="n">
        <v>17</v>
      </c>
      <c r="E23" s="19" t="n">
        <v>0</v>
      </c>
      <c r="F23" s="20" t="n">
        <f aca="false">SUMIFS(SeatExits,SeatDivision,$J23)+SUMIFS(SeatExits,SeatDepartment,$J23)+SUMIFS(SeatExits,SeatUnit,$J23)+SUMIFS(SeatExits,SeatSubUnit,$J23)</f>
        <v>0</v>
      </c>
      <c r="G23" s="20" t="n">
        <f aca="false">SUMIFS(AskTotal,AskDivision,$J23)+SUMIFS(AskTotal,AskDepartment,$J23)+SUMIFS(AskTotal,AskUnit,$J23)+SUMIFS(AskTotal,AskSubUnit,$J23)</f>
        <v>0</v>
      </c>
      <c r="H23" s="20" t="n">
        <f aca="false">$C23-$F23+$G23</f>
        <v>17</v>
      </c>
      <c r="I23" s="20" t="n">
        <f aca="false">$H23-$C23</f>
        <v>0</v>
      </c>
      <c r="J23" s="17" t="s">
        <v>100</v>
      </c>
    </row>
    <row r="24" customFormat="false" ht="15" hidden="false" customHeight="false" outlineLevel="4" collapsed="false">
      <c r="A24" s="17" t="s">
        <v>69</v>
      </c>
      <c r="B24" s="18" t="s">
        <v>101</v>
      </c>
      <c r="C24" s="19" t="n">
        <v>8</v>
      </c>
      <c r="D24" s="19" t="n">
        <v>8</v>
      </c>
      <c r="E24" s="19" t="n">
        <v>0</v>
      </c>
      <c r="F24" s="20" t="n">
        <f aca="false">SUMIFS(SeatExits,SeatDivision,$J24)+SUMIFS(SeatExits,SeatDepartment,$J24)+SUMIFS(SeatExits,SeatUnit,$J24)+SUMIFS(SeatExits,SeatSubUnit,$J24)</f>
        <v>0</v>
      </c>
      <c r="G24" s="20" t="n">
        <f aca="false">SUMIFS(AskTotal,AskDivision,$J24)+SUMIFS(AskTotal,AskDepartment,$J24)+SUMIFS(AskTotal,AskUnit,$J24)+SUMIFS(AskTotal,AskSubUnit,$J24)</f>
        <v>0</v>
      </c>
      <c r="H24" s="20" t="n">
        <f aca="false">$C24-$F24+$G24</f>
        <v>8</v>
      </c>
      <c r="I24" s="20" t="n">
        <f aca="false">$H24-$C24</f>
        <v>0</v>
      </c>
      <c r="J24" s="17" t="s">
        <v>102</v>
      </c>
    </row>
    <row r="25" customFormat="false" ht="15" hidden="false" customHeight="false" outlineLevel="5" collapsed="false">
      <c r="A25" s="17" t="s">
        <v>72</v>
      </c>
      <c r="B25" s="18" t="s">
        <v>103</v>
      </c>
      <c r="C25" s="19" t="n">
        <v>3</v>
      </c>
      <c r="D25" s="19" t="n">
        <v>3</v>
      </c>
      <c r="E25" s="19" t="n">
        <v>0</v>
      </c>
      <c r="F25" s="20" t="n">
        <f aca="false">SUMIFS(SeatExits,SeatDivision,$J25)+SUMIFS(SeatExits,SeatDepartment,$J25)+SUMIFS(SeatExits,SeatUnit,$J25)+SUMIFS(SeatExits,SeatSubUnit,$J25)</f>
        <v>0</v>
      </c>
      <c r="G25" s="20" t="n">
        <f aca="false">SUMIFS(AskTotal,AskDivision,$J25)+SUMIFS(AskTotal,AskDepartment,$J25)+SUMIFS(AskTotal,AskUnit,$J25)+SUMIFS(AskTotal,AskSubUnit,$J25)</f>
        <v>0</v>
      </c>
      <c r="H25" s="20" t="n">
        <f aca="false">$C25-$F25+$G25</f>
        <v>3</v>
      </c>
      <c r="I25" s="20" t="n">
        <f aca="false">$H25-$C25</f>
        <v>0</v>
      </c>
      <c r="J25" s="17" t="s">
        <v>104</v>
      </c>
    </row>
    <row r="26" customFormat="false" ht="15" hidden="false" customHeight="false" outlineLevel="5" collapsed="false">
      <c r="A26" s="17" t="s">
        <v>72</v>
      </c>
      <c r="B26" s="18" t="s">
        <v>105</v>
      </c>
      <c r="C26" s="19" t="n">
        <v>4</v>
      </c>
      <c r="D26" s="19" t="n">
        <v>4</v>
      </c>
      <c r="E26" s="19" t="n">
        <v>0</v>
      </c>
      <c r="F26" s="20" t="n">
        <f aca="false">SUMIFS(SeatExits,SeatDivision,$J26)+SUMIFS(SeatExits,SeatDepartment,$J26)+SUMIFS(SeatExits,SeatUnit,$J26)+SUMIFS(SeatExits,SeatSubUnit,$J26)</f>
        <v>0</v>
      </c>
      <c r="G26" s="20" t="n">
        <f aca="false">SUMIFS(AskTotal,AskDivision,$J26)+SUMIFS(AskTotal,AskDepartment,$J26)+SUMIFS(AskTotal,AskUnit,$J26)+SUMIFS(AskTotal,AskSubUnit,$J26)</f>
        <v>0</v>
      </c>
      <c r="H26" s="20" t="n">
        <f aca="false">$C26-$F26+$G26</f>
        <v>4</v>
      </c>
      <c r="I26" s="20" t="n">
        <f aca="false">$H26-$C26</f>
        <v>0</v>
      </c>
      <c r="J26" s="17" t="s">
        <v>106</v>
      </c>
    </row>
    <row r="27" customFormat="false" ht="15" hidden="false" customHeight="false" outlineLevel="4" collapsed="false">
      <c r="A27" s="17" t="s">
        <v>69</v>
      </c>
      <c r="B27" s="18" t="s">
        <v>107</v>
      </c>
      <c r="C27" s="19" t="n">
        <v>8</v>
      </c>
      <c r="D27" s="19" t="n">
        <v>8</v>
      </c>
      <c r="E27" s="19" t="n">
        <v>0</v>
      </c>
      <c r="F27" s="20" t="n">
        <f aca="false">SUMIFS(SeatExits,SeatDivision,$J27)+SUMIFS(SeatExits,SeatDepartment,$J27)+SUMIFS(SeatExits,SeatUnit,$J27)+SUMIFS(SeatExits,SeatSubUnit,$J27)</f>
        <v>0</v>
      </c>
      <c r="G27" s="20" t="n">
        <f aca="false">SUMIFS(AskTotal,AskDivision,$J27)+SUMIFS(AskTotal,AskDepartment,$J27)+SUMIFS(AskTotal,AskUnit,$J27)+SUMIFS(AskTotal,AskSubUnit,$J27)</f>
        <v>0</v>
      </c>
      <c r="H27" s="20" t="n">
        <f aca="false">$C27-$F27+$G27</f>
        <v>8</v>
      </c>
      <c r="I27" s="20" t="n">
        <f aca="false">$H27-$C27</f>
        <v>0</v>
      </c>
      <c r="J27" s="17" t="s">
        <v>108</v>
      </c>
    </row>
    <row r="28" customFormat="false" ht="15" hidden="false" customHeight="false" outlineLevel="5" collapsed="false">
      <c r="A28" s="17" t="s">
        <v>72</v>
      </c>
      <c r="B28" s="18" t="s">
        <v>109</v>
      </c>
      <c r="C28" s="19" t="n">
        <v>4</v>
      </c>
      <c r="D28" s="19" t="n">
        <v>4</v>
      </c>
      <c r="E28" s="19" t="n">
        <v>0</v>
      </c>
      <c r="F28" s="20" t="n">
        <f aca="false">SUMIFS(SeatExits,SeatDivision,$J28)+SUMIFS(SeatExits,SeatDepartment,$J28)+SUMIFS(SeatExits,SeatUnit,$J28)+SUMIFS(SeatExits,SeatSubUnit,$J28)</f>
        <v>0</v>
      </c>
      <c r="G28" s="20" t="n">
        <f aca="false">SUMIFS(AskTotal,AskDivision,$J28)+SUMIFS(AskTotal,AskDepartment,$J28)+SUMIFS(AskTotal,AskUnit,$J28)+SUMIFS(AskTotal,AskSubUnit,$J28)</f>
        <v>0</v>
      </c>
      <c r="H28" s="20" t="n">
        <f aca="false">$C28-$F28+$G28</f>
        <v>4</v>
      </c>
      <c r="I28" s="20" t="n">
        <f aca="false">$H28-$C28</f>
        <v>0</v>
      </c>
      <c r="J28" s="17" t="s">
        <v>110</v>
      </c>
    </row>
    <row r="29" customFormat="false" ht="15" hidden="false" customHeight="false" outlineLevel="5" collapsed="false">
      <c r="A29" s="17" t="s">
        <v>72</v>
      </c>
      <c r="B29" s="18" t="s">
        <v>111</v>
      </c>
      <c r="C29" s="19" t="n">
        <v>3</v>
      </c>
      <c r="D29" s="19" t="n">
        <v>3</v>
      </c>
      <c r="E29" s="19" t="n">
        <v>0</v>
      </c>
      <c r="F29" s="20" t="n">
        <f aca="false">SUMIFS(SeatExits,SeatDivision,$J29)+SUMIFS(SeatExits,SeatDepartment,$J29)+SUMIFS(SeatExits,SeatUnit,$J29)+SUMIFS(SeatExits,SeatSubUnit,$J29)</f>
        <v>0</v>
      </c>
      <c r="G29" s="20" t="n">
        <f aca="false">SUMIFS(AskTotal,AskDivision,$J29)+SUMIFS(AskTotal,AskDepartment,$J29)+SUMIFS(AskTotal,AskUnit,$J29)+SUMIFS(AskTotal,AskSubUnit,$J29)</f>
        <v>0</v>
      </c>
      <c r="H29" s="20" t="n">
        <f aca="false">$C29-$F29+$G29</f>
        <v>3</v>
      </c>
      <c r="I29" s="20" t="n">
        <f aca="false">$H29-$C29</f>
        <v>0</v>
      </c>
      <c r="J29" s="17" t="s">
        <v>112</v>
      </c>
    </row>
    <row r="30" customFormat="false" ht="15" hidden="false" customHeight="false" outlineLevel="3" collapsed="false">
      <c r="A30" s="17" t="s">
        <v>50</v>
      </c>
      <c r="B30" s="18" t="s">
        <v>113</v>
      </c>
      <c r="C30" s="19" t="n">
        <v>18</v>
      </c>
      <c r="D30" s="19" t="n">
        <v>16</v>
      </c>
      <c r="E30" s="19" t="n">
        <v>2</v>
      </c>
      <c r="F30" s="20" t="n">
        <f aca="false">SUMIFS(SeatExits,SeatDivision,$J30)+SUMIFS(SeatExits,SeatDepartment,$J30)+SUMIFS(SeatExits,SeatUnit,$J30)+SUMIFS(SeatExits,SeatSubUnit,$J30)</f>
        <v>0</v>
      </c>
      <c r="G30" s="20" t="n">
        <f aca="false">SUMIFS(AskTotal,AskDivision,$J30)+SUMIFS(AskTotal,AskDepartment,$J30)+SUMIFS(AskTotal,AskUnit,$J30)+SUMIFS(AskTotal,AskSubUnit,$J30)</f>
        <v>0</v>
      </c>
      <c r="H30" s="20" t="n">
        <f aca="false">$C30-$F30+$G30</f>
        <v>18</v>
      </c>
      <c r="I30" s="20" t="n">
        <f aca="false">$H30-$C30</f>
        <v>0</v>
      </c>
      <c r="J30" s="17" t="s">
        <v>114</v>
      </c>
    </row>
    <row r="31" customFormat="false" ht="15" hidden="false" customHeight="false" outlineLevel="4" collapsed="false">
      <c r="A31" s="17" t="s">
        <v>69</v>
      </c>
      <c r="B31" s="18" t="s">
        <v>115</v>
      </c>
      <c r="C31" s="19" t="n">
        <v>8</v>
      </c>
      <c r="D31" s="19" t="n">
        <v>6</v>
      </c>
      <c r="E31" s="19" t="n">
        <v>2</v>
      </c>
      <c r="F31" s="20" t="n">
        <f aca="false">SUMIFS(SeatExits,SeatDivision,$J31)+SUMIFS(SeatExits,SeatDepartment,$J31)+SUMIFS(SeatExits,SeatUnit,$J31)+SUMIFS(SeatExits,SeatSubUnit,$J31)</f>
        <v>0</v>
      </c>
      <c r="G31" s="20" t="n">
        <f aca="false">SUMIFS(AskTotal,AskDivision,$J31)+SUMIFS(AskTotal,AskDepartment,$J31)+SUMIFS(AskTotal,AskUnit,$J31)+SUMIFS(AskTotal,AskSubUnit,$J31)</f>
        <v>0</v>
      </c>
      <c r="H31" s="20" t="n">
        <f aca="false">$C31-$F31+$G31</f>
        <v>8</v>
      </c>
      <c r="I31" s="20" t="n">
        <f aca="false">$H31-$C31</f>
        <v>0</v>
      </c>
      <c r="J31" s="17" t="s">
        <v>116</v>
      </c>
    </row>
    <row r="32" customFormat="false" ht="15" hidden="false" customHeight="false" outlineLevel="5" collapsed="false">
      <c r="A32" s="17" t="s">
        <v>72</v>
      </c>
      <c r="B32" s="18" t="s">
        <v>117</v>
      </c>
      <c r="C32" s="19" t="n">
        <v>3</v>
      </c>
      <c r="D32" s="19" t="n">
        <v>2</v>
      </c>
      <c r="E32" s="19" t="n">
        <v>1</v>
      </c>
      <c r="F32" s="20" t="n">
        <f aca="false">SUMIFS(SeatExits,SeatDivision,$J32)+SUMIFS(SeatExits,SeatDepartment,$J32)+SUMIFS(SeatExits,SeatUnit,$J32)+SUMIFS(SeatExits,SeatSubUnit,$J32)</f>
        <v>0</v>
      </c>
      <c r="G32" s="20" t="n">
        <f aca="false">SUMIFS(AskTotal,AskDivision,$J32)+SUMIFS(AskTotal,AskDepartment,$J32)+SUMIFS(AskTotal,AskUnit,$J32)+SUMIFS(AskTotal,AskSubUnit,$J32)</f>
        <v>0</v>
      </c>
      <c r="H32" s="20" t="n">
        <f aca="false">$C32-$F32+$G32</f>
        <v>3</v>
      </c>
      <c r="I32" s="20" t="n">
        <f aca="false">$H32-$C32</f>
        <v>0</v>
      </c>
      <c r="J32" s="17" t="s">
        <v>118</v>
      </c>
    </row>
    <row r="33" customFormat="false" ht="15" hidden="false" customHeight="false" outlineLevel="5" collapsed="false">
      <c r="A33" s="17" t="s">
        <v>72</v>
      </c>
      <c r="B33" s="18" t="s">
        <v>119</v>
      </c>
      <c r="C33" s="19" t="n">
        <v>4</v>
      </c>
      <c r="D33" s="19" t="n">
        <v>3</v>
      </c>
      <c r="E33" s="19" t="n">
        <v>1</v>
      </c>
      <c r="F33" s="20" t="n">
        <f aca="false">SUMIFS(SeatExits,SeatDivision,$J33)+SUMIFS(SeatExits,SeatDepartment,$J33)+SUMIFS(SeatExits,SeatUnit,$J33)+SUMIFS(SeatExits,SeatSubUnit,$J33)</f>
        <v>0</v>
      </c>
      <c r="G33" s="20" t="n">
        <f aca="false">SUMIFS(AskTotal,AskDivision,$J33)+SUMIFS(AskTotal,AskDepartment,$J33)+SUMIFS(AskTotal,AskUnit,$J33)+SUMIFS(AskTotal,AskSubUnit,$J33)</f>
        <v>0</v>
      </c>
      <c r="H33" s="20" t="n">
        <f aca="false">$C33-$F33+$G33</f>
        <v>4</v>
      </c>
      <c r="I33" s="20" t="n">
        <f aca="false">$H33-$C33</f>
        <v>0</v>
      </c>
      <c r="J33" s="17" t="s">
        <v>120</v>
      </c>
    </row>
    <row r="34" customFormat="false" ht="15" hidden="false" customHeight="false" outlineLevel="4" collapsed="false">
      <c r="A34" s="17" t="s">
        <v>69</v>
      </c>
      <c r="B34" s="18" t="s">
        <v>121</v>
      </c>
      <c r="C34" s="19" t="n">
        <v>9</v>
      </c>
      <c r="D34" s="19" t="n">
        <v>9</v>
      </c>
      <c r="E34" s="19" t="n">
        <v>0</v>
      </c>
      <c r="F34" s="20" t="n">
        <f aca="false">SUMIFS(SeatExits,SeatDivision,$J34)+SUMIFS(SeatExits,SeatDepartment,$J34)+SUMIFS(SeatExits,SeatUnit,$J34)+SUMIFS(SeatExits,SeatSubUnit,$J34)</f>
        <v>0</v>
      </c>
      <c r="G34" s="20" t="n">
        <f aca="false">SUMIFS(AskTotal,AskDivision,$J34)+SUMIFS(AskTotal,AskDepartment,$J34)+SUMIFS(AskTotal,AskUnit,$J34)+SUMIFS(AskTotal,AskSubUnit,$J34)</f>
        <v>0</v>
      </c>
      <c r="H34" s="20" t="n">
        <f aca="false">$C34-$F34+$G34</f>
        <v>9</v>
      </c>
      <c r="I34" s="20" t="n">
        <f aca="false">$H34-$C34</f>
        <v>0</v>
      </c>
      <c r="J34" s="17" t="s">
        <v>122</v>
      </c>
    </row>
    <row r="35" customFormat="false" ht="15" hidden="false" customHeight="false" outlineLevel="5" collapsed="false">
      <c r="A35" s="17" t="s">
        <v>72</v>
      </c>
      <c r="B35" s="18" t="s">
        <v>123</v>
      </c>
      <c r="C35" s="19" t="n">
        <v>3</v>
      </c>
      <c r="D35" s="19" t="n">
        <v>3</v>
      </c>
      <c r="E35" s="19" t="n">
        <v>0</v>
      </c>
      <c r="F35" s="20" t="n">
        <f aca="false">SUMIFS(SeatExits,SeatDivision,$J35)+SUMIFS(SeatExits,SeatDepartment,$J35)+SUMIFS(SeatExits,SeatUnit,$J35)+SUMIFS(SeatExits,SeatSubUnit,$J35)</f>
        <v>0</v>
      </c>
      <c r="G35" s="20" t="n">
        <f aca="false">SUMIFS(AskTotal,AskDivision,$J35)+SUMIFS(AskTotal,AskDepartment,$J35)+SUMIFS(AskTotal,AskUnit,$J35)+SUMIFS(AskTotal,AskSubUnit,$J35)</f>
        <v>0</v>
      </c>
      <c r="H35" s="20" t="n">
        <f aca="false">$C35-$F35+$G35</f>
        <v>3</v>
      </c>
      <c r="I35" s="20" t="n">
        <f aca="false">$H35-$C35</f>
        <v>0</v>
      </c>
      <c r="J35" s="17" t="s">
        <v>124</v>
      </c>
    </row>
    <row r="36" customFormat="false" ht="15" hidden="false" customHeight="false" outlineLevel="5" collapsed="false">
      <c r="A36" s="17" t="s">
        <v>72</v>
      </c>
      <c r="B36" s="18" t="s">
        <v>125</v>
      </c>
      <c r="C36" s="19" t="n">
        <v>5</v>
      </c>
      <c r="D36" s="19" t="n">
        <v>5</v>
      </c>
      <c r="E36" s="19" t="n">
        <v>0</v>
      </c>
      <c r="F36" s="20" t="n">
        <f aca="false">SUMIFS(SeatExits,SeatDivision,$J36)+SUMIFS(SeatExits,SeatDepartment,$J36)+SUMIFS(SeatExits,SeatUnit,$J36)+SUMIFS(SeatExits,SeatSubUnit,$J36)</f>
        <v>0</v>
      </c>
      <c r="G36" s="20" t="n">
        <f aca="false">SUMIFS(AskTotal,AskDivision,$J36)+SUMIFS(AskTotal,AskDepartment,$J36)+SUMIFS(AskTotal,AskUnit,$J36)+SUMIFS(AskTotal,AskSubUnit,$J36)</f>
        <v>0</v>
      </c>
      <c r="H36" s="20" t="n">
        <f aca="false">$C36-$F36+$G36</f>
        <v>5</v>
      </c>
      <c r="I36" s="20" t="n">
        <f aca="false">$H36-$C36</f>
        <v>0</v>
      </c>
      <c r="J36" s="17" t="s">
        <v>126</v>
      </c>
    </row>
    <row r="37" customFormat="false" ht="15" hidden="false" customHeight="false" outlineLevel="1" collapsed="false">
      <c r="A37" s="13" t="s">
        <v>61</v>
      </c>
      <c r="B37" s="14" t="s">
        <v>127</v>
      </c>
      <c r="C37" s="15" t="n">
        <v>75</v>
      </c>
      <c r="D37" s="15" t="n">
        <v>66</v>
      </c>
      <c r="E37" s="15" t="n">
        <v>9</v>
      </c>
      <c r="F37" s="16" t="n">
        <f aca="false">SUMIFS(SeatExits,SeatDivision,$J37)+SUMIFS(SeatExits,SeatDepartment,$J37)+SUMIFS(SeatExits,SeatUnit,$J37)+SUMIFS(SeatExits,SeatSubUnit,$J37)</f>
        <v>0</v>
      </c>
      <c r="G37" s="16" t="n">
        <f aca="false">SUMIFS(AskTotal,AskDivision,$J37)+SUMIFS(AskTotal,AskDepartment,$J37)+SUMIFS(AskTotal,AskUnit,$J37)+SUMIFS(AskTotal,AskSubUnit,$J37)</f>
        <v>0</v>
      </c>
      <c r="H37" s="16" t="n">
        <f aca="false">$C37-$F37+$G37</f>
        <v>75</v>
      </c>
      <c r="I37" s="16" t="n">
        <f aca="false">$H37-$C37</f>
        <v>0</v>
      </c>
      <c r="J37" s="17" t="s">
        <v>128</v>
      </c>
    </row>
    <row r="38" customFormat="false" ht="15" hidden="false" customHeight="false" outlineLevel="2" collapsed="false">
      <c r="A38" s="17" t="s">
        <v>64</v>
      </c>
      <c r="B38" s="18" t="s">
        <v>129</v>
      </c>
      <c r="C38" s="19" t="n">
        <v>39</v>
      </c>
      <c r="D38" s="19" t="n">
        <v>35</v>
      </c>
      <c r="E38" s="19" t="n">
        <v>4</v>
      </c>
      <c r="F38" s="20" t="n">
        <f aca="false">SUMIFS(SeatExits,SeatDivision,$J38)+SUMIFS(SeatExits,SeatDepartment,$J38)+SUMIFS(SeatExits,SeatUnit,$J38)+SUMIFS(SeatExits,SeatSubUnit,$J38)</f>
        <v>0</v>
      </c>
      <c r="G38" s="20" t="n">
        <f aca="false">SUMIFS(AskTotal,AskDivision,$J38)+SUMIFS(AskTotal,AskDepartment,$J38)+SUMIFS(AskTotal,AskUnit,$J38)+SUMIFS(AskTotal,AskSubUnit,$J38)</f>
        <v>0</v>
      </c>
      <c r="H38" s="20" t="n">
        <f aca="false">$C38-$F38+$G38</f>
        <v>39</v>
      </c>
      <c r="I38" s="20" t="n">
        <f aca="false">$H38-$C38</f>
        <v>0</v>
      </c>
      <c r="J38" s="17" t="s">
        <v>130</v>
      </c>
    </row>
    <row r="39" customFormat="false" ht="15" hidden="false" customHeight="false" outlineLevel="3" collapsed="false">
      <c r="A39" s="17" t="s">
        <v>50</v>
      </c>
      <c r="B39" s="18" t="s">
        <v>131</v>
      </c>
      <c r="C39" s="19" t="n">
        <v>19</v>
      </c>
      <c r="D39" s="19" t="n">
        <v>15</v>
      </c>
      <c r="E39" s="19" t="n">
        <v>4</v>
      </c>
      <c r="F39" s="20" t="n">
        <f aca="false">SUMIFS(SeatExits,SeatDivision,$J39)+SUMIFS(SeatExits,SeatDepartment,$J39)+SUMIFS(SeatExits,SeatUnit,$J39)+SUMIFS(SeatExits,SeatSubUnit,$J39)</f>
        <v>0</v>
      </c>
      <c r="G39" s="20" t="n">
        <f aca="false">SUMIFS(AskTotal,AskDivision,$J39)+SUMIFS(AskTotal,AskDepartment,$J39)+SUMIFS(AskTotal,AskUnit,$J39)+SUMIFS(AskTotal,AskSubUnit,$J39)</f>
        <v>0</v>
      </c>
      <c r="H39" s="20" t="n">
        <f aca="false">$C39-$F39+$G39</f>
        <v>19</v>
      </c>
      <c r="I39" s="20" t="n">
        <f aca="false">$H39-$C39</f>
        <v>0</v>
      </c>
      <c r="J39" s="17" t="s">
        <v>132</v>
      </c>
    </row>
    <row r="40" customFormat="false" ht="15" hidden="false" customHeight="false" outlineLevel="4" collapsed="false">
      <c r="A40" s="17" t="s">
        <v>69</v>
      </c>
      <c r="B40" s="18" t="s">
        <v>133</v>
      </c>
      <c r="C40" s="19" t="n">
        <v>10</v>
      </c>
      <c r="D40" s="19" t="n">
        <v>6</v>
      </c>
      <c r="E40" s="19" t="n">
        <v>4</v>
      </c>
      <c r="F40" s="20" t="n">
        <f aca="false">SUMIFS(SeatExits,SeatDivision,$J40)+SUMIFS(SeatExits,SeatDepartment,$J40)+SUMIFS(SeatExits,SeatUnit,$J40)+SUMIFS(SeatExits,SeatSubUnit,$J40)</f>
        <v>0</v>
      </c>
      <c r="G40" s="20" t="n">
        <f aca="false">SUMIFS(AskTotal,AskDivision,$J40)+SUMIFS(AskTotal,AskDepartment,$J40)+SUMIFS(AskTotal,AskUnit,$J40)+SUMIFS(AskTotal,AskSubUnit,$J40)</f>
        <v>0</v>
      </c>
      <c r="H40" s="20" t="n">
        <f aca="false">$C40-$F40+$G40</f>
        <v>10</v>
      </c>
      <c r="I40" s="20" t="n">
        <f aca="false">$H40-$C40</f>
        <v>0</v>
      </c>
      <c r="J40" s="17" t="s">
        <v>134</v>
      </c>
    </row>
    <row r="41" customFormat="false" ht="15" hidden="false" customHeight="false" outlineLevel="5" collapsed="false">
      <c r="A41" s="17" t="s">
        <v>72</v>
      </c>
      <c r="B41" s="18" t="s">
        <v>135</v>
      </c>
      <c r="C41" s="19" t="n">
        <v>5</v>
      </c>
      <c r="D41" s="19" t="n">
        <v>4</v>
      </c>
      <c r="E41" s="19" t="n">
        <v>1</v>
      </c>
      <c r="F41" s="20" t="n">
        <f aca="false">SUMIFS(SeatExits,SeatDivision,$J41)+SUMIFS(SeatExits,SeatDepartment,$J41)+SUMIFS(SeatExits,SeatUnit,$J41)+SUMIFS(SeatExits,SeatSubUnit,$J41)</f>
        <v>0</v>
      </c>
      <c r="G41" s="20" t="n">
        <f aca="false">SUMIFS(AskTotal,AskDivision,$J41)+SUMIFS(AskTotal,AskDepartment,$J41)+SUMIFS(AskTotal,AskUnit,$J41)+SUMIFS(AskTotal,AskSubUnit,$J41)</f>
        <v>0</v>
      </c>
      <c r="H41" s="20" t="n">
        <f aca="false">$C41-$F41+$G41</f>
        <v>5</v>
      </c>
      <c r="I41" s="20" t="n">
        <f aca="false">$H41-$C41</f>
        <v>0</v>
      </c>
      <c r="J41" s="17" t="s">
        <v>136</v>
      </c>
    </row>
    <row r="42" customFormat="false" ht="15" hidden="false" customHeight="false" outlineLevel="5" collapsed="false">
      <c r="A42" s="17" t="s">
        <v>72</v>
      </c>
      <c r="B42" s="18" t="s">
        <v>137</v>
      </c>
      <c r="C42" s="19" t="n">
        <v>4</v>
      </c>
      <c r="D42" s="19" t="n">
        <v>2</v>
      </c>
      <c r="E42" s="19" t="n">
        <v>2</v>
      </c>
      <c r="F42" s="20" t="n">
        <f aca="false">SUMIFS(SeatExits,SeatDivision,$J42)+SUMIFS(SeatExits,SeatDepartment,$J42)+SUMIFS(SeatExits,SeatUnit,$J42)+SUMIFS(SeatExits,SeatSubUnit,$J42)</f>
        <v>0</v>
      </c>
      <c r="G42" s="20" t="n">
        <f aca="false">SUMIFS(AskTotal,AskDivision,$J42)+SUMIFS(AskTotal,AskDepartment,$J42)+SUMIFS(AskTotal,AskUnit,$J42)+SUMIFS(AskTotal,AskSubUnit,$J42)</f>
        <v>0</v>
      </c>
      <c r="H42" s="20" t="n">
        <f aca="false">$C42-$F42+$G42</f>
        <v>4</v>
      </c>
      <c r="I42" s="20" t="n">
        <f aca="false">$H42-$C42</f>
        <v>0</v>
      </c>
      <c r="J42" s="17" t="s">
        <v>138</v>
      </c>
    </row>
    <row r="43" customFormat="false" ht="15" hidden="false" customHeight="false" outlineLevel="4" collapsed="false">
      <c r="A43" s="17" t="s">
        <v>69</v>
      </c>
      <c r="B43" s="18" t="s">
        <v>139</v>
      </c>
      <c r="C43" s="19" t="n">
        <v>8</v>
      </c>
      <c r="D43" s="19" t="n">
        <v>8</v>
      </c>
      <c r="E43" s="19" t="n">
        <v>0</v>
      </c>
      <c r="F43" s="20" t="n">
        <f aca="false">SUMIFS(SeatExits,SeatDivision,$J43)+SUMIFS(SeatExits,SeatDepartment,$J43)+SUMIFS(SeatExits,SeatUnit,$J43)+SUMIFS(SeatExits,SeatSubUnit,$J43)</f>
        <v>0</v>
      </c>
      <c r="G43" s="20" t="n">
        <f aca="false">SUMIFS(AskTotal,AskDivision,$J43)+SUMIFS(AskTotal,AskDepartment,$J43)+SUMIFS(AskTotal,AskUnit,$J43)+SUMIFS(AskTotal,AskSubUnit,$J43)</f>
        <v>0</v>
      </c>
      <c r="H43" s="20" t="n">
        <f aca="false">$C43-$F43+$G43</f>
        <v>8</v>
      </c>
      <c r="I43" s="20" t="n">
        <f aca="false">$H43-$C43</f>
        <v>0</v>
      </c>
      <c r="J43" s="17" t="s">
        <v>140</v>
      </c>
    </row>
    <row r="44" customFormat="false" ht="15" hidden="false" customHeight="false" outlineLevel="5" collapsed="false">
      <c r="A44" s="17" t="s">
        <v>72</v>
      </c>
      <c r="B44" s="18" t="s">
        <v>141</v>
      </c>
      <c r="C44" s="19" t="n">
        <v>4</v>
      </c>
      <c r="D44" s="19" t="n">
        <v>4</v>
      </c>
      <c r="E44" s="19" t="n">
        <v>0</v>
      </c>
      <c r="F44" s="20" t="n">
        <f aca="false">SUMIFS(SeatExits,SeatDivision,$J44)+SUMIFS(SeatExits,SeatDepartment,$J44)+SUMIFS(SeatExits,SeatUnit,$J44)+SUMIFS(SeatExits,SeatSubUnit,$J44)</f>
        <v>0</v>
      </c>
      <c r="G44" s="20" t="n">
        <f aca="false">SUMIFS(AskTotal,AskDivision,$J44)+SUMIFS(AskTotal,AskDepartment,$J44)+SUMIFS(AskTotal,AskUnit,$J44)+SUMIFS(AskTotal,AskSubUnit,$J44)</f>
        <v>0</v>
      </c>
      <c r="H44" s="20" t="n">
        <f aca="false">$C44-$F44+$G44</f>
        <v>4</v>
      </c>
      <c r="I44" s="20" t="n">
        <f aca="false">$H44-$C44</f>
        <v>0</v>
      </c>
      <c r="J44" s="17" t="s">
        <v>142</v>
      </c>
    </row>
    <row r="45" customFormat="false" ht="15" hidden="false" customHeight="false" outlineLevel="5" collapsed="false">
      <c r="A45" s="17" t="s">
        <v>72</v>
      </c>
      <c r="B45" s="18" t="s">
        <v>143</v>
      </c>
      <c r="C45" s="19" t="n">
        <v>3</v>
      </c>
      <c r="D45" s="19" t="n">
        <v>3</v>
      </c>
      <c r="E45" s="19" t="n">
        <v>0</v>
      </c>
      <c r="F45" s="20" t="n">
        <f aca="false">SUMIFS(SeatExits,SeatDivision,$J45)+SUMIFS(SeatExits,SeatDepartment,$J45)+SUMIFS(SeatExits,SeatUnit,$J45)+SUMIFS(SeatExits,SeatSubUnit,$J45)</f>
        <v>0</v>
      </c>
      <c r="G45" s="20" t="n">
        <f aca="false">SUMIFS(AskTotal,AskDivision,$J45)+SUMIFS(AskTotal,AskDepartment,$J45)+SUMIFS(AskTotal,AskUnit,$J45)+SUMIFS(AskTotal,AskSubUnit,$J45)</f>
        <v>0</v>
      </c>
      <c r="H45" s="20" t="n">
        <f aca="false">$C45-$F45+$G45</f>
        <v>3</v>
      </c>
      <c r="I45" s="20" t="n">
        <f aca="false">$H45-$C45</f>
        <v>0</v>
      </c>
      <c r="J45" s="17" t="s">
        <v>144</v>
      </c>
    </row>
    <row r="46" customFormat="false" ht="15" hidden="false" customHeight="false" outlineLevel="3" collapsed="false">
      <c r="A46" s="17" t="s">
        <v>50</v>
      </c>
      <c r="B46" s="18" t="s">
        <v>145</v>
      </c>
      <c r="C46" s="19" t="n">
        <v>19</v>
      </c>
      <c r="D46" s="19" t="n">
        <v>19</v>
      </c>
      <c r="E46" s="19" t="n">
        <v>0</v>
      </c>
      <c r="F46" s="20" t="n">
        <f aca="false">SUMIFS(SeatExits,SeatDivision,$J46)+SUMIFS(SeatExits,SeatDepartment,$J46)+SUMIFS(SeatExits,SeatUnit,$J46)+SUMIFS(SeatExits,SeatSubUnit,$J46)</f>
        <v>0</v>
      </c>
      <c r="G46" s="20" t="n">
        <f aca="false">SUMIFS(AskTotal,AskDivision,$J46)+SUMIFS(AskTotal,AskDepartment,$J46)+SUMIFS(AskTotal,AskUnit,$J46)+SUMIFS(AskTotal,AskSubUnit,$J46)</f>
        <v>0</v>
      </c>
      <c r="H46" s="20" t="n">
        <f aca="false">$C46-$F46+$G46</f>
        <v>19</v>
      </c>
      <c r="I46" s="20" t="n">
        <f aca="false">$H46-$C46</f>
        <v>0</v>
      </c>
      <c r="J46" s="17" t="s">
        <v>146</v>
      </c>
    </row>
    <row r="47" customFormat="false" ht="15" hidden="false" customHeight="false" outlineLevel="4" collapsed="false">
      <c r="A47" s="17" t="s">
        <v>69</v>
      </c>
      <c r="B47" s="18" t="s">
        <v>147</v>
      </c>
      <c r="C47" s="19" t="n">
        <v>10</v>
      </c>
      <c r="D47" s="19" t="n">
        <v>10</v>
      </c>
      <c r="E47" s="19" t="n">
        <v>0</v>
      </c>
      <c r="F47" s="20" t="n">
        <f aca="false">SUMIFS(SeatExits,SeatDivision,$J47)+SUMIFS(SeatExits,SeatDepartment,$J47)+SUMIFS(SeatExits,SeatUnit,$J47)+SUMIFS(SeatExits,SeatSubUnit,$J47)</f>
        <v>0</v>
      </c>
      <c r="G47" s="20" t="n">
        <f aca="false">SUMIFS(AskTotal,AskDivision,$J47)+SUMIFS(AskTotal,AskDepartment,$J47)+SUMIFS(AskTotal,AskUnit,$J47)+SUMIFS(AskTotal,AskSubUnit,$J47)</f>
        <v>0</v>
      </c>
      <c r="H47" s="20" t="n">
        <f aca="false">$C47-$F47+$G47</f>
        <v>10</v>
      </c>
      <c r="I47" s="20" t="n">
        <f aca="false">$H47-$C47</f>
        <v>0</v>
      </c>
      <c r="J47" s="17" t="s">
        <v>148</v>
      </c>
    </row>
    <row r="48" customFormat="false" ht="15" hidden="false" customHeight="false" outlineLevel="5" collapsed="false">
      <c r="A48" s="17" t="s">
        <v>72</v>
      </c>
      <c r="B48" s="18" t="s">
        <v>149</v>
      </c>
      <c r="C48" s="19" t="n">
        <v>6</v>
      </c>
      <c r="D48" s="19" t="n">
        <v>6</v>
      </c>
      <c r="E48" s="19" t="n">
        <v>0</v>
      </c>
      <c r="F48" s="20" t="n">
        <f aca="false">SUMIFS(SeatExits,SeatDivision,$J48)+SUMIFS(SeatExits,SeatDepartment,$J48)+SUMIFS(SeatExits,SeatUnit,$J48)+SUMIFS(SeatExits,SeatSubUnit,$J48)</f>
        <v>0</v>
      </c>
      <c r="G48" s="20" t="n">
        <f aca="false">SUMIFS(AskTotal,AskDivision,$J48)+SUMIFS(AskTotal,AskDepartment,$J48)+SUMIFS(AskTotal,AskUnit,$J48)+SUMIFS(AskTotal,AskSubUnit,$J48)</f>
        <v>0</v>
      </c>
      <c r="H48" s="20" t="n">
        <f aca="false">$C48-$F48+$G48</f>
        <v>6</v>
      </c>
      <c r="I48" s="20" t="n">
        <f aca="false">$H48-$C48</f>
        <v>0</v>
      </c>
      <c r="J48" s="17" t="s">
        <v>150</v>
      </c>
    </row>
    <row r="49" customFormat="false" ht="15" hidden="false" customHeight="false" outlineLevel="5" collapsed="false">
      <c r="A49" s="17" t="s">
        <v>72</v>
      </c>
      <c r="B49" s="18" t="s">
        <v>151</v>
      </c>
      <c r="C49" s="19" t="n">
        <v>3</v>
      </c>
      <c r="D49" s="19" t="n">
        <v>3</v>
      </c>
      <c r="E49" s="19" t="n">
        <v>0</v>
      </c>
      <c r="F49" s="20" t="n">
        <f aca="false">SUMIFS(SeatExits,SeatDivision,$J49)+SUMIFS(SeatExits,SeatDepartment,$J49)+SUMIFS(SeatExits,SeatUnit,$J49)+SUMIFS(SeatExits,SeatSubUnit,$J49)</f>
        <v>0</v>
      </c>
      <c r="G49" s="20" t="n">
        <f aca="false">SUMIFS(AskTotal,AskDivision,$J49)+SUMIFS(AskTotal,AskDepartment,$J49)+SUMIFS(AskTotal,AskUnit,$J49)+SUMIFS(AskTotal,AskSubUnit,$J49)</f>
        <v>0</v>
      </c>
      <c r="H49" s="20" t="n">
        <f aca="false">$C49-$F49+$G49</f>
        <v>3</v>
      </c>
      <c r="I49" s="20" t="n">
        <f aca="false">$H49-$C49</f>
        <v>0</v>
      </c>
      <c r="J49" s="17" t="s">
        <v>152</v>
      </c>
    </row>
    <row r="50" customFormat="false" ht="15" hidden="false" customHeight="false" outlineLevel="4" collapsed="false">
      <c r="A50" s="17" t="s">
        <v>69</v>
      </c>
      <c r="B50" s="18" t="s">
        <v>153</v>
      </c>
      <c r="C50" s="19" t="n">
        <v>8</v>
      </c>
      <c r="D50" s="19" t="n">
        <v>8</v>
      </c>
      <c r="E50" s="19" t="n">
        <v>0</v>
      </c>
      <c r="F50" s="20" t="n">
        <f aca="false">SUMIFS(SeatExits,SeatDivision,$J50)+SUMIFS(SeatExits,SeatDepartment,$J50)+SUMIFS(SeatExits,SeatUnit,$J50)+SUMIFS(SeatExits,SeatSubUnit,$J50)</f>
        <v>0</v>
      </c>
      <c r="G50" s="20" t="n">
        <f aca="false">SUMIFS(AskTotal,AskDivision,$J50)+SUMIFS(AskTotal,AskDepartment,$J50)+SUMIFS(AskTotal,AskUnit,$J50)+SUMIFS(AskTotal,AskSubUnit,$J50)</f>
        <v>0</v>
      </c>
      <c r="H50" s="20" t="n">
        <f aca="false">$C50-$F50+$G50</f>
        <v>8</v>
      </c>
      <c r="I50" s="20" t="n">
        <f aca="false">$H50-$C50</f>
        <v>0</v>
      </c>
      <c r="J50" s="17" t="s">
        <v>154</v>
      </c>
    </row>
    <row r="51" customFormat="false" ht="15" hidden="false" customHeight="false" outlineLevel="5" collapsed="false">
      <c r="A51" s="17" t="s">
        <v>72</v>
      </c>
      <c r="B51" s="18" t="s">
        <v>155</v>
      </c>
      <c r="C51" s="19" t="n">
        <v>5</v>
      </c>
      <c r="D51" s="19" t="n">
        <v>5</v>
      </c>
      <c r="E51" s="19" t="n">
        <v>0</v>
      </c>
      <c r="F51" s="20" t="n">
        <f aca="false">SUMIFS(SeatExits,SeatDivision,$J51)+SUMIFS(SeatExits,SeatDepartment,$J51)+SUMIFS(SeatExits,SeatUnit,$J51)+SUMIFS(SeatExits,SeatSubUnit,$J51)</f>
        <v>0</v>
      </c>
      <c r="G51" s="20" t="n">
        <f aca="false">SUMIFS(AskTotal,AskDivision,$J51)+SUMIFS(AskTotal,AskDepartment,$J51)+SUMIFS(AskTotal,AskUnit,$J51)+SUMIFS(AskTotal,AskSubUnit,$J51)</f>
        <v>0</v>
      </c>
      <c r="H51" s="20" t="n">
        <f aca="false">$C51-$F51+$G51</f>
        <v>5</v>
      </c>
      <c r="I51" s="20" t="n">
        <f aca="false">$H51-$C51</f>
        <v>0</v>
      </c>
      <c r="J51" s="17" t="s">
        <v>156</v>
      </c>
    </row>
    <row r="52" customFormat="false" ht="15" hidden="false" customHeight="false" outlineLevel="5" collapsed="false">
      <c r="A52" s="17" t="s">
        <v>72</v>
      </c>
      <c r="B52" s="18" t="s">
        <v>157</v>
      </c>
      <c r="C52" s="19" t="n">
        <v>2</v>
      </c>
      <c r="D52" s="19" t="n">
        <v>2</v>
      </c>
      <c r="E52" s="19" t="n">
        <v>0</v>
      </c>
      <c r="F52" s="20" t="n">
        <f aca="false">SUMIFS(SeatExits,SeatDivision,$J52)+SUMIFS(SeatExits,SeatDepartment,$J52)+SUMIFS(SeatExits,SeatUnit,$J52)+SUMIFS(SeatExits,SeatSubUnit,$J52)</f>
        <v>0</v>
      </c>
      <c r="G52" s="20" t="n">
        <f aca="false">SUMIFS(AskTotal,AskDivision,$J52)+SUMIFS(AskTotal,AskDepartment,$J52)+SUMIFS(AskTotal,AskUnit,$J52)+SUMIFS(AskTotal,AskSubUnit,$J52)</f>
        <v>0</v>
      </c>
      <c r="H52" s="20" t="n">
        <f aca="false">$C52-$F52+$G52</f>
        <v>2</v>
      </c>
      <c r="I52" s="20" t="n">
        <f aca="false">$H52-$C52</f>
        <v>0</v>
      </c>
      <c r="J52" s="17" t="s">
        <v>158</v>
      </c>
    </row>
    <row r="53" customFormat="false" ht="15" hidden="false" customHeight="false" outlineLevel="2" collapsed="false">
      <c r="A53" s="17" t="s">
        <v>64</v>
      </c>
      <c r="B53" s="18" t="s">
        <v>159</v>
      </c>
      <c r="C53" s="19" t="n">
        <v>35</v>
      </c>
      <c r="D53" s="19" t="n">
        <v>30</v>
      </c>
      <c r="E53" s="19" t="n">
        <v>5</v>
      </c>
      <c r="F53" s="20" t="n">
        <f aca="false">SUMIFS(SeatExits,SeatDivision,$J53)+SUMIFS(SeatExits,SeatDepartment,$J53)+SUMIFS(SeatExits,SeatUnit,$J53)+SUMIFS(SeatExits,SeatSubUnit,$J53)</f>
        <v>0</v>
      </c>
      <c r="G53" s="20" t="n">
        <f aca="false">SUMIFS(AskTotal,AskDivision,$J53)+SUMIFS(AskTotal,AskDepartment,$J53)+SUMIFS(AskTotal,AskUnit,$J53)+SUMIFS(AskTotal,AskSubUnit,$J53)</f>
        <v>0</v>
      </c>
      <c r="H53" s="20" t="n">
        <f aca="false">$C53-$F53+$G53</f>
        <v>35</v>
      </c>
      <c r="I53" s="20" t="n">
        <f aca="false">$H53-$C53</f>
        <v>0</v>
      </c>
      <c r="J53" s="17" t="s">
        <v>160</v>
      </c>
    </row>
    <row r="54" customFormat="false" ht="15" hidden="false" customHeight="false" outlineLevel="3" collapsed="false">
      <c r="A54" s="17" t="s">
        <v>50</v>
      </c>
      <c r="B54" s="18" t="s">
        <v>161</v>
      </c>
      <c r="C54" s="19" t="n">
        <v>18</v>
      </c>
      <c r="D54" s="19" t="n">
        <v>16</v>
      </c>
      <c r="E54" s="19" t="n">
        <v>2</v>
      </c>
      <c r="F54" s="20" t="n">
        <f aca="false">SUMIFS(SeatExits,SeatDivision,$J54)+SUMIFS(SeatExits,SeatDepartment,$J54)+SUMIFS(SeatExits,SeatUnit,$J54)+SUMIFS(SeatExits,SeatSubUnit,$J54)</f>
        <v>0</v>
      </c>
      <c r="G54" s="20" t="n">
        <f aca="false">SUMIFS(AskTotal,AskDivision,$J54)+SUMIFS(AskTotal,AskDepartment,$J54)+SUMIFS(AskTotal,AskUnit,$J54)+SUMIFS(AskTotal,AskSubUnit,$J54)</f>
        <v>0</v>
      </c>
      <c r="H54" s="20" t="n">
        <f aca="false">$C54-$F54+$G54</f>
        <v>18</v>
      </c>
      <c r="I54" s="20" t="n">
        <f aca="false">$H54-$C54</f>
        <v>0</v>
      </c>
      <c r="J54" s="17" t="s">
        <v>162</v>
      </c>
    </row>
    <row r="55" customFormat="false" ht="15" hidden="false" customHeight="false" outlineLevel="4" collapsed="false">
      <c r="A55" s="17" t="s">
        <v>69</v>
      </c>
      <c r="B55" s="18" t="s">
        <v>163</v>
      </c>
      <c r="C55" s="19" t="n">
        <v>8</v>
      </c>
      <c r="D55" s="19" t="n">
        <v>7</v>
      </c>
      <c r="E55" s="19" t="n">
        <v>1</v>
      </c>
      <c r="F55" s="20" t="n">
        <f aca="false">SUMIFS(SeatExits,SeatDivision,$J55)+SUMIFS(SeatExits,SeatDepartment,$J55)+SUMIFS(SeatExits,SeatUnit,$J55)+SUMIFS(SeatExits,SeatSubUnit,$J55)</f>
        <v>0</v>
      </c>
      <c r="G55" s="20" t="n">
        <f aca="false">SUMIFS(AskTotal,AskDivision,$J55)+SUMIFS(AskTotal,AskDepartment,$J55)+SUMIFS(AskTotal,AskUnit,$J55)+SUMIFS(AskTotal,AskSubUnit,$J55)</f>
        <v>0</v>
      </c>
      <c r="H55" s="20" t="n">
        <f aca="false">$C55-$F55+$G55</f>
        <v>8</v>
      </c>
      <c r="I55" s="20" t="n">
        <f aca="false">$H55-$C55</f>
        <v>0</v>
      </c>
      <c r="J55" s="17" t="s">
        <v>164</v>
      </c>
    </row>
    <row r="56" customFormat="false" ht="15" hidden="false" customHeight="false" outlineLevel="5" collapsed="false">
      <c r="A56" s="17" t="s">
        <v>72</v>
      </c>
      <c r="B56" s="18" t="s">
        <v>165</v>
      </c>
      <c r="C56" s="19" t="n">
        <v>2</v>
      </c>
      <c r="D56" s="19" t="n">
        <v>2</v>
      </c>
      <c r="E56" s="19" t="n">
        <v>0</v>
      </c>
      <c r="F56" s="20" t="n">
        <f aca="false">SUMIFS(SeatExits,SeatDivision,$J56)+SUMIFS(SeatExits,SeatDepartment,$J56)+SUMIFS(SeatExits,SeatUnit,$J56)+SUMIFS(SeatExits,SeatSubUnit,$J56)</f>
        <v>0</v>
      </c>
      <c r="G56" s="20" t="n">
        <f aca="false">SUMIFS(AskTotal,AskDivision,$J56)+SUMIFS(AskTotal,AskDepartment,$J56)+SUMIFS(AskTotal,AskUnit,$J56)+SUMIFS(AskTotal,AskSubUnit,$J56)</f>
        <v>0</v>
      </c>
      <c r="H56" s="20" t="n">
        <f aca="false">$C56-$F56+$G56</f>
        <v>2</v>
      </c>
      <c r="I56" s="20" t="n">
        <f aca="false">$H56-$C56</f>
        <v>0</v>
      </c>
      <c r="J56" s="17" t="s">
        <v>166</v>
      </c>
    </row>
    <row r="57" customFormat="false" ht="15" hidden="false" customHeight="false" outlineLevel="5" collapsed="false">
      <c r="A57" s="17" t="s">
        <v>72</v>
      </c>
      <c r="B57" s="18" t="s">
        <v>167</v>
      </c>
      <c r="C57" s="19" t="n">
        <v>5</v>
      </c>
      <c r="D57" s="19" t="n">
        <v>4</v>
      </c>
      <c r="E57" s="19" t="n">
        <v>1</v>
      </c>
      <c r="F57" s="20" t="n">
        <f aca="false">SUMIFS(SeatExits,SeatDivision,$J57)+SUMIFS(SeatExits,SeatDepartment,$J57)+SUMIFS(SeatExits,SeatUnit,$J57)+SUMIFS(SeatExits,SeatSubUnit,$J57)</f>
        <v>0</v>
      </c>
      <c r="G57" s="20" t="n">
        <f aca="false">SUMIFS(AskTotal,AskDivision,$J57)+SUMIFS(AskTotal,AskDepartment,$J57)+SUMIFS(AskTotal,AskUnit,$J57)+SUMIFS(AskTotal,AskSubUnit,$J57)</f>
        <v>0</v>
      </c>
      <c r="H57" s="20" t="n">
        <f aca="false">$C57-$F57+$G57</f>
        <v>5</v>
      </c>
      <c r="I57" s="20" t="n">
        <f aca="false">$H57-$C57</f>
        <v>0</v>
      </c>
      <c r="J57" s="17" t="s">
        <v>168</v>
      </c>
    </row>
    <row r="58" customFormat="false" ht="15" hidden="false" customHeight="false" outlineLevel="4" collapsed="false">
      <c r="A58" s="17" t="s">
        <v>69</v>
      </c>
      <c r="B58" s="18" t="s">
        <v>169</v>
      </c>
      <c r="C58" s="19" t="n">
        <v>9</v>
      </c>
      <c r="D58" s="19" t="n">
        <v>8</v>
      </c>
      <c r="E58" s="19" t="n">
        <v>1</v>
      </c>
      <c r="F58" s="20" t="n">
        <f aca="false">SUMIFS(SeatExits,SeatDivision,$J58)+SUMIFS(SeatExits,SeatDepartment,$J58)+SUMIFS(SeatExits,SeatUnit,$J58)+SUMIFS(SeatExits,SeatSubUnit,$J58)</f>
        <v>0</v>
      </c>
      <c r="G58" s="20" t="n">
        <f aca="false">SUMIFS(AskTotal,AskDivision,$J58)+SUMIFS(AskTotal,AskDepartment,$J58)+SUMIFS(AskTotal,AskUnit,$J58)+SUMIFS(AskTotal,AskSubUnit,$J58)</f>
        <v>0</v>
      </c>
      <c r="H58" s="20" t="n">
        <f aca="false">$C58-$F58+$G58</f>
        <v>9</v>
      </c>
      <c r="I58" s="20" t="n">
        <f aca="false">$H58-$C58</f>
        <v>0</v>
      </c>
      <c r="J58" s="17" t="s">
        <v>170</v>
      </c>
    </row>
    <row r="59" customFormat="false" ht="15" hidden="false" customHeight="false" outlineLevel="5" collapsed="false">
      <c r="A59" s="17" t="s">
        <v>72</v>
      </c>
      <c r="B59" s="18" t="s">
        <v>171</v>
      </c>
      <c r="C59" s="19" t="n">
        <v>5</v>
      </c>
      <c r="D59" s="19" t="n">
        <v>4</v>
      </c>
      <c r="E59" s="19" t="n">
        <v>1</v>
      </c>
      <c r="F59" s="20" t="n">
        <f aca="false">SUMIFS(SeatExits,SeatDivision,$J59)+SUMIFS(SeatExits,SeatDepartment,$J59)+SUMIFS(SeatExits,SeatUnit,$J59)+SUMIFS(SeatExits,SeatSubUnit,$J59)</f>
        <v>0</v>
      </c>
      <c r="G59" s="20" t="n">
        <f aca="false">SUMIFS(AskTotal,AskDivision,$J59)+SUMIFS(AskTotal,AskDepartment,$J59)+SUMIFS(AskTotal,AskUnit,$J59)+SUMIFS(AskTotal,AskSubUnit,$J59)</f>
        <v>0</v>
      </c>
      <c r="H59" s="20" t="n">
        <f aca="false">$C59-$F59+$G59</f>
        <v>5</v>
      </c>
      <c r="I59" s="20" t="n">
        <f aca="false">$H59-$C59</f>
        <v>0</v>
      </c>
      <c r="J59" s="17" t="s">
        <v>172</v>
      </c>
    </row>
    <row r="60" customFormat="false" ht="15" hidden="false" customHeight="false" outlineLevel="5" collapsed="false">
      <c r="A60" s="17" t="s">
        <v>72</v>
      </c>
      <c r="B60" s="18" t="s">
        <v>173</v>
      </c>
      <c r="C60" s="19" t="n">
        <v>3</v>
      </c>
      <c r="D60" s="19" t="n">
        <v>3</v>
      </c>
      <c r="E60" s="19" t="n">
        <v>0</v>
      </c>
      <c r="F60" s="20" t="n">
        <f aca="false">SUMIFS(SeatExits,SeatDivision,$J60)+SUMIFS(SeatExits,SeatDepartment,$J60)+SUMIFS(SeatExits,SeatUnit,$J60)+SUMIFS(SeatExits,SeatSubUnit,$J60)</f>
        <v>0</v>
      </c>
      <c r="G60" s="20" t="n">
        <f aca="false">SUMIFS(AskTotal,AskDivision,$J60)+SUMIFS(AskTotal,AskDepartment,$J60)+SUMIFS(AskTotal,AskUnit,$J60)+SUMIFS(AskTotal,AskSubUnit,$J60)</f>
        <v>0</v>
      </c>
      <c r="H60" s="20" t="n">
        <f aca="false">$C60-$F60+$G60</f>
        <v>3</v>
      </c>
      <c r="I60" s="20" t="n">
        <f aca="false">$H60-$C60</f>
        <v>0</v>
      </c>
      <c r="J60" s="17" t="s">
        <v>174</v>
      </c>
    </row>
    <row r="61" customFormat="false" ht="15" hidden="false" customHeight="false" outlineLevel="3" collapsed="false">
      <c r="A61" s="17" t="s">
        <v>50</v>
      </c>
      <c r="B61" s="18" t="s">
        <v>175</v>
      </c>
      <c r="C61" s="19" t="n">
        <v>16</v>
      </c>
      <c r="D61" s="19" t="n">
        <v>13</v>
      </c>
      <c r="E61" s="19" t="n">
        <v>3</v>
      </c>
      <c r="F61" s="20" t="n">
        <f aca="false">SUMIFS(SeatExits,SeatDivision,$J61)+SUMIFS(SeatExits,SeatDepartment,$J61)+SUMIFS(SeatExits,SeatUnit,$J61)+SUMIFS(SeatExits,SeatSubUnit,$J61)</f>
        <v>0</v>
      </c>
      <c r="G61" s="20" t="n">
        <f aca="false">SUMIFS(AskTotal,AskDivision,$J61)+SUMIFS(AskTotal,AskDepartment,$J61)+SUMIFS(AskTotal,AskUnit,$J61)+SUMIFS(AskTotal,AskSubUnit,$J61)</f>
        <v>0</v>
      </c>
      <c r="H61" s="20" t="n">
        <f aca="false">$C61-$F61+$G61</f>
        <v>16</v>
      </c>
      <c r="I61" s="20" t="n">
        <f aca="false">$H61-$C61</f>
        <v>0</v>
      </c>
      <c r="J61" s="17" t="s">
        <v>176</v>
      </c>
    </row>
    <row r="62" customFormat="false" ht="15" hidden="false" customHeight="false" outlineLevel="4" collapsed="false">
      <c r="A62" s="17" t="s">
        <v>69</v>
      </c>
      <c r="B62" s="18" t="s">
        <v>177</v>
      </c>
      <c r="C62" s="19" t="n">
        <v>6</v>
      </c>
      <c r="D62" s="19" t="n">
        <v>4</v>
      </c>
      <c r="E62" s="19" t="n">
        <v>2</v>
      </c>
      <c r="F62" s="20" t="n">
        <f aca="false">SUMIFS(SeatExits,SeatDivision,$J62)+SUMIFS(SeatExits,SeatDepartment,$J62)+SUMIFS(SeatExits,SeatUnit,$J62)+SUMIFS(SeatExits,SeatSubUnit,$J62)</f>
        <v>0</v>
      </c>
      <c r="G62" s="20" t="n">
        <f aca="false">SUMIFS(AskTotal,AskDivision,$J62)+SUMIFS(AskTotal,AskDepartment,$J62)+SUMIFS(AskTotal,AskUnit,$J62)+SUMIFS(AskTotal,AskSubUnit,$J62)</f>
        <v>0</v>
      </c>
      <c r="H62" s="20" t="n">
        <f aca="false">$C62-$F62+$G62</f>
        <v>6</v>
      </c>
      <c r="I62" s="20" t="n">
        <f aca="false">$H62-$C62</f>
        <v>0</v>
      </c>
      <c r="J62" s="17" t="s">
        <v>178</v>
      </c>
    </row>
    <row r="63" customFormat="false" ht="15" hidden="false" customHeight="false" outlineLevel="5" collapsed="false">
      <c r="A63" s="17" t="s">
        <v>72</v>
      </c>
      <c r="B63" s="18" t="s">
        <v>179</v>
      </c>
      <c r="C63" s="19" t="n">
        <v>3</v>
      </c>
      <c r="D63" s="19" t="n">
        <v>2</v>
      </c>
      <c r="E63" s="19" t="n">
        <v>1</v>
      </c>
      <c r="F63" s="20" t="n">
        <f aca="false">SUMIFS(SeatExits,SeatDivision,$J63)+SUMIFS(SeatExits,SeatDepartment,$J63)+SUMIFS(SeatExits,SeatUnit,$J63)+SUMIFS(SeatExits,SeatSubUnit,$J63)</f>
        <v>0</v>
      </c>
      <c r="G63" s="20" t="n">
        <f aca="false">SUMIFS(AskTotal,AskDivision,$J63)+SUMIFS(AskTotal,AskDepartment,$J63)+SUMIFS(AskTotal,AskUnit,$J63)+SUMIFS(AskTotal,AskSubUnit,$J63)</f>
        <v>0</v>
      </c>
      <c r="H63" s="20" t="n">
        <f aca="false">$C63-$F63+$G63</f>
        <v>3</v>
      </c>
      <c r="I63" s="20" t="n">
        <f aca="false">$H63-$C63</f>
        <v>0</v>
      </c>
      <c r="J63" s="17" t="s">
        <v>180</v>
      </c>
    </row>
    <row r="64" customFormat="false" ht="15" hidden="false" customHeight="false" outlineLevel="5" collapsed="false">
      <c r="A64" s="17" t="s">
        <v>72</v>
      </c>
      <c r="B64" s="18" t="s">
        <v>181</v>
      </c>
      <c r="C64" s="19" t="n">
        <v>2</v>
      </c>
      <c r="D64" s="19" t="n">
        <v>1</v>
      </c>
      <c r="E64" s="19" t="n">
        <v>1</v>
      </c>
      <c r="F64" s="20" t="n">
        <f aca="false">SUMIFS(SeatExits,SeatDivision,$J64)+SUMIFS(SeatExits,SeatDepartment,$J64)+SUMIFS(SeatExits,SeatUnit,$J64)+SUMIFS(SeatExits,SeatSubUnit,$J64)</f>
        <v>0</v>
      </c>
      <c r="G64" s="20" t="n">
        <f aca="false">SUMIFS(AskTotal,AskDivision,$J64)+SUMIFS(AskTotal,AskDepartment,$J64)+SUMIFS(AskTotal,AskUnit,$J64)+SUMIFS(AskTotal,AskSubUnit,$J64)</f>
        <v>0</v>
      </c>
      <c r="H64" s="20" t="n">
        <f aca="false">$C64-$F64+$G64</f>
        <v>2</v>
      </c>
      <c r="I64" s="20" t="n">
        <f aca="false">$H64-$C64</f>
        <v>0</v>
      </c>
      <c r="J64" s="17" t="s">
        <v>182</v>
      </c>
    </row>
    <row r="65" customFormat="false" ht="15" hidden="false" customHeight="false" outlineLevel="4" collapsed="false">
      <c r="A65" s="17" t="s">
        <v>69</v>
      </c>
      <c r="B65" s="18" t="s">
        <v>183</v>
      </c>
      <c r="C65" s="19" t="n">
        <v>9</v>
      </c>
      <c r="D65" s="19" t="n">
        <v>9</v>
      </c>
      <c r="E65" s="19" t="n">
        <v>0</v>
      </c>
      <c r="F65" s="20" t="n">
        <f aca="false">SUMIFS(SeatExits,SeatDivision,$J65)+SUMIFS(SeatExits,SeatDepartment,$J65)+SUMIFS(SeatExits,SeatUnit,$J65)+SUMIFS(SeatExits,SeatSubUnit,$J65)</f>
        <v>0</v>
      </c>
      <c r="G65" s="20" t="n">
        <f aca="false">SUMIFS(AskTotal,AskDivision,$J65)+SUMIFS(AskTotal,AskDepartment,$J65)+SUMIFS(AskTotal,AskUnit,$J65)+SUMIFS(AskTotal,AskSubUnit,$J65)</f>
        <v>0</v>
      </c>
      <c r="H65" s="20" t="n">
        <f aca="false">$C65-$F65+$G65</f>
        <v>9</v>
      </c>
      <c r="I65" s="20" t="n">
        <f aca="false">$H65-$C65</f>
        <v>0</v>
      </c>
      <c r="J65" s="17" t="s">
        <v>184</v>
      </c>
    </row>
    <row r="66" customFormat="false" ht="15" hidden="false" customHeight="false" outlineLevel="5" collapsed="false">
      <c r="A66" s="17" t="s">
        <v>72</v>
      </c>
      <c r="B66" s="18" t="s">
        <v>185</v>
      </c>
      <c r="C66" s="19" t="n">
        <v>4</v>
      </c>
      <c r="D66" s="19" t="n">
        <v>4</v>
      </c>
      <c r="E66" s="19" t="n">
        <v>0</v>
      </c>
      <c r="F66" s="20" t="n">
        <f aca="false">SUMIFS(SeatExits,SeatDivision,$J66)+SUMIFS(SeatExits,SeatDepartment,$J66)+SUMIFS(SeatExits,SeatUnit,$J66)+SUMIFS(SeatExits,SeatSubUnit,$J66)</f>
        <v>0</v>
      </c>
      <c r="G66" s="20" t="n">
        <f aca="false">SUMIFS(AskTotal,AskDivision,$J66)+SUMIFS(AskTotal,AskDepartment,$J66)+SUMIFS(AskTotal,AskUnit,$J66)+SUMIFS(AskTotal,AskSubUnit,$J66)</f>
        <v>0</v>
      </c>
      <c r="H66" s="20" t="n">
        <f aca="false">$C66-$F66+$G66</f>
        <v>4</v>
      </c>
      <c r="I66" s="20" t="n">
        <f aca="false">$H66-$C66</f>
        <v>0</v>
      </c>
      <c r="J66" s="17" t="s">
        <v>186</v>
      </c>
    </row>
    <row r="67" customFormat="false" ht="15" hidden="false" customHeight="false" outlineLevel="5" collapsed="false">
      <c r="A67" s="17" t="s">
        <v>72</v>
      </c>
      <c r="B67" s="18" t="s">
        <v>187</v>
      </c>
      <c r="C67" s="19" t="n">
        <v>4</v>
      </c>
      <c r="D67" s="19" t="n">
        <v>4</v>
      </c>
      <c r="E67" s="19" t="n">
        <v>0</v>
      </c>
      <c r="F67" s="20" t="n">
        <f aca="false">SUMIFS(SeatExits,SeatDivision,$J67)+SUMIFS(SeatExits,SeatDepartment,$J67)+SUMIFS(SeatExits,SeatUnit,$J67)+SUMIFS(SeatExits,SeatSubUnit,$J67)</f>
        <v>0</v>
      </c>
      <c r="G67" s="20" t="n">
        <f aca="false">SUMIFS(AskTotal,AskDivision,$J67)+SUMIFS(AskTotal,AskDepartment,$J67)+SUMIFS(AskTotal,AskUnit,$J67)+SUMIFS(AskTotal,AskSubUnit,$J67)</f>
        <v>0</v>
      </c>
      <c r="H67" s="20" t="n">
        <f aca="false">$C67-$F67+$G67</f>
        <v>4</v>
      </c>
      <c r="I67" s="20" t="n">
        <f aca="false">$H67-$C67</f>
        <v>0</v>
      </c>
      <c r="J67" s="17" t="s">
        <v>188</v>
      </c>
    </row>
    <row r="68" customFormat="false" ht="15" hidden="false" customHeight="false" outlineLevel="1" collapsed="false">
      <c r="A68" s="13" t="s">
        <v>61</v>
      </c>
      <c r="B68" s="14" t="s">
        <v>189</v>
      </c>
      <c r="C68" s="15" t="n">
        <v>75</v>
      </c>
      <c r="D68" s="15" t="n">
        <v>69</v>
      </c>
      <c r="E68" s="15" t="n">
        <v>6</v>
      </c>
      <c r="F68" s="16" t="n">
        <f aca="false">SUMIFS(SeatExits,SeatDivision,$J68)+SUMIFS(SeatExits,SeatDepartment,$J68)+SUMIFS(SeatExits,SeatUnit,$J68)+SUMIFS(SeatExits,SeatSubUnit,$J68)</f>
        <v>0</v>
      </c>
      <c r="G68" s="16" t="n">
        <f aca="false">SUMIFS(AskTotal,AskDivision,$J68)+SUMIFS(AskTotal,AskDepartment,$J68)+SUMIFS(AskTotal,AskUnit,$J68)+SUMIFS(AskTotal,AskSubUnit,$J68)</f>
        <v>0</v>
      </c>
      <c r="H68" s="16" t="n">
        <f aca="false">$C68-$F68+$G68</f>
        <v>75</v>
      </c>
      <c r="I68" s="16" t="n">
        <f aca="false">$H68-$C68</f>
        <v>0</v>
      </c>
      <c r="J68" s="17" t="s">
        <v>190</v>
      </c>
    </row>
    <row r="69" customFormat="false" ht="15" hidden="false" customHeight="false" outlineLevel="2" collapsed="false">
      <c r="A69" s="17" t="s">
        <v>64</v>
      </c>
      <c r="B69" s="18" t="s">
        <v>191</v>
      </c>
      <c r="C69" s="19" t="n">
        <v>37</v>
      </c>
      <c r="D69" s="19" t="n">
        <v>36</v>
      </c>
      <c r="E69" s="19" t="n">
        <v>1</v>
      </c>
      <c r="F69" s="20" t="n">
        <f aca="false">SUMIFS(SeatExits,SeatDivision,$J69)+SUMIFS(SeatExits,SeatDepartment,$J69)+SUMIFS(SeatExits,SeatUnit,$J69)+SUMIFS(SeatExits,SeatSubUnit,$J69)</f>
        <v>0</v>
      </c>
      <c r="G69" s="20" t="n">
        <f aca="false">SUMIFS(AskTotal,AskDivision,$J69)+SUMIFS(AskTotal,AskDepartment,$J69)+SUMIFS(AskTotal,AskUnit,$J69)+SUMIFS(AskTotal,AskSubUnit,$J69)</f>
        <v>0</v>
      </c>
      <c r="H69" s="20" t="n">
        <f aca="false">$C69-$F69+$G69</f>
        <v>37</v>
      </c>
      <c r="I69" s="20" t="n">
        <f aca="false">$H69-$C69</f>
        <v>0</v>
      </c>
      <c r="J69" s="17" t="s">
        <v>192</v>
      </c>
    </row>
    <row r="70" customFormat="false" ht="15" hidden="false" customHeight="false" outlineLevel="3" collapsed="false">
      <c r="A70" s="17" t="s">
        <v>50</v>
      </c>
      <c r="B70" s="18" t="s">
        <v>193</v>
      </c>
      <c r="C70" s="19" t="n">
        <v>17</v>
      </c>
      <c r="D70" s="19" t="n">
        <v>17</v>
      </c>
      <c r="E70" s="19" t="n">
        <v>0</v>
      </c>
      <c r="F70" s="20" t="n">
        <f aca="false">SUMIFS(SeatExits,SeatDivision,$J70)+SUMIFS(SeatExits,SeatDepartment,$J70)+SUMIFS(SeatExits,SeatUnit,$J70)+SUMIFS(SeatExits,SeatSubUnit,$J70)</f>
        <v>0</v>
      </c>
      <c r="G70" s="20" t="n">
        <f aca="false">SUMIFS(AskTotal,AskDivision,$J70)+SUMIFS(AskTotal,AskDepartment,$J70)+SUMIFS(AskTotal,AskUnit,$J70)+SUMIFS(AskTotal,AskSubUnit,$J70)</f>
        <v>0</v>
      </c>
      <c r="H70" s="20" t="n">
        <f aca="false">$C70-$F70+$G70</f>
        <v>17</v>
      </c>
      <c r="I70" s="20" t="n">
        <f aca="false">$H70-$C70</f>
        <v>0</v>
      </c>
      <c r="J70" s="17" t="s">
        <v>194</v>
      </c>
    </row>
    <row r="71" customFormat="false" ht="15" hidden="false" customHeight="false" outlineLevel="4" collapsed="false">
      <c r="A71" s="17" t="s">
        <v>69</v>
      </c>
      <c r="B71" s="18" t="s">
        <v>195</v>
      </c>
      <c r="C71" s="19" t="n">
        <v>10</v>
      </c>
      <c r="D71" s="19" t="n">
        <v>10</v>
      </c>
      <c r="E71" s="19" t="n">
        <v>0</v>
      </c>
      <c r="F71" s="20" t="n">
        <f aca="false">SUMIFS(SeatExits,SeatDivision,$J71)+SUMIFS(SeatExits,SeatDepartment,$J71)+SUMIFS(SeatExits,SeatUnit,$J71)+SUMIFS(SeatExits,SeatSubUnit,$J71)</f>
        <v>0</v>
      </c>
      <c r="G71" s="20" t="n">
        <f aca="false">SUMIFS(AskTotal,AskDivision,$J71)+SUMIFS(AskTotal,AskDepartment,$J71)+SUMIFS(AskTotal,AskUnit,$J71)+SUMIFS(AskTotal,AskSubUnit,$J71)</f>
        <v>0</v>
      </c>
      <c r="H71" s="20" t="n">
        <f aca="false">$C71-$F71+$G71</f>
        <v>10</v>
      </c>
      <c r="I71" s="20" t="n">
        <f aca="false">$H71-$C71</f>
        <v>0</v>
      </c>
      <c r="J71" s="17" t="s">
        <v>196</v>
      </c>
    </row>
    <row r="72" customFormat="false" ht="15" hidden="false" customHeight="false" outlineLevel="5" collapsed="false">
      <c r="A72" s="17" t="s">
        <v>72</v>
      </c>
      <c r="B72" s="18" t="s">
        <v>197</v>
      </c>
      <c r="C72" s="19" t="n">
        <v>4</v>
      </c>
      <c r="D72" s="19" t="n">
        <v>4</v>
      </c>
      <c r="E72" s="19" t="n">
        <v>0</v>
      </c>
      <c r="F72" s="20" t="n">
        <f aca="false">SUMIFS(SeatExits,SeatDivision,$J72)+SUMIFS(SeatExits,SeatDepartment,$J72)+SUMIFS(SeatExits,SeatUnit,$J72)+SUMIFS(SeatExits,SeatSubUnit,$J72)</f>
        <v>0</v>
      </c>
      <c r="G72" s="20" t="n">
        <f aca="false">SUMIFS(AskTotal,AskDivision,$J72)+SUMIFS(AskTotal,AskDepartment,$J72)+SUMIFS(AskTotal,AskUnit,$J72)+SUMIFS(AskTotal,AskSubUnit,$J72)</f>
        <v>0</v>
      </c>
      <c r="H72" s="20" t="n">
        <f aca="false">$C72-$F72+$G72</f>
        <v>4</v>
      </c>
      <c r="I72" s="20" t="n">
        <f aca="false">$H72-$C72</f>
        <v>0</v>
      </c>
      <c r="J72" s="17" t="s">
        <v>198</v>
      </c>
    </row>
    <row r="73" customFormat="false" ht="15" hidden="false" customHeight="false" outlineLevel="5" collapsed="false">
      <c r="A73" s="17" t="s">
        <v>72</v>
      </c>
      <c r="B73" s="18" t="s">
        <v>199</v>
      </c>
      <c r="C73" s="19" t="n">
        <v>5</v>
      </c>
      <c r="D73" s="19" t="n">
        <v>5</v>
      </c>
      <c r="E73" s="19" t="n">
        <v>0</v>
      </c>
      <c r="F73" s="20" t="n">
        <f aca="false">SUMIFS(SeatExits,SeatDivision,$J73)+SUMIFS(SeatExits,SeatDepartment,$J73)+SUMIFS(SeatExits,SeatUnit,$J73)+SUMIFS(SeatExits,SeatSubUnit,$J73)</f>
        <v>0</v>
      </c>
      <c r="G73" s="20" t="n">
        <f aca="false">SUMIFS(AskTotal,AskDivision,$J73)+SUMIFS(AskTotal,AskDepartment,$J73)+SUMIFS(AskTotal,AskUnit,$J73)+SUMIFS(AskTotal,AskSubUnit,$J73)</f>
        <v>0</v>
      </c>
      <c r="H73" s="20" t="n">
        <f aca="false">$C73-$F73+$G73</f>
        <v>5</v>
      </c>
      <c r="I73" s="20" t="n">
        <f aca="false">$H73-$C73</f>
        <v>0</v>
      </c>
      <c r="J73" s="17" t="s">
        <v>200</v>
      </c>
    </row>
    <row r="74" customFormat="false" ht="15" hidden="false" customHeight="false" outlineLevel="4" collapsed="false">
      <c r="A74" s="17" t="s">
        <v>69</v>
      </c>
      <c r="B74" s="18" t="s">
        <v>201</v>
      </c>
      <c r="C74" s="19" t="n">
        <v>6</v>
      </c>
      <c r="D74" s="19" t="n">
        <v>6</v>
      </c>
      <c r="E74" s="19" t="n">
        <v>0</v>
      </c>
      <c r="F74" s="20" t="n">
        <f aca="false">SUMIFS(SeatExits,SeatDivision,$J74)+SUMIFS(SeatExits,SeatDepartment,$J74)+SUMIFS(SeatExits,SeatUnit,$J74)+SUMIFS(SeatExits,SeatSubUnit,$J74)</f>
        <v>0</v>
      </c>
      <c r="G74" s="20" t="n">
        <f aca="false">SUMIFS(AskTotal,AskDivision,$J74)+SUMIFS(AskTotal,AskDepartment,$J74)+SUMIFS(AskTotal,AskUnit,$J74)+SUMIFS(AskTotal,AskSubUnit,$J74)</f>
        <v>0</v>
      </c>
      <c r="H74" s="20" t="n">
        <f aca="false">$C74-$F74+$G74</f>
        <v>6</v>
      </c>
      <c r="I74" s="20" t="n">
        <f aca="false">$H74-$C74</f>
        <v>0</v>
      </c>
      <c r="J74" s="17" t="s">
        <v>202</v>
      </c>
    </row>
    <row r="75" customFormat="false" ht="15" hidden="false" customHeight="false" outlineLevel="5" collapsed="false">
      <c r="A75" s="17" t="s">
        <v>72</v>
      </c>
      <c r="B75" s="18" t="s">
        <v>203</v>
      </c>
      <c r="C75" s="19" t="n">
        <v>3</v>
      </c>
      <c r="D75" s="19" t="n">
        <v>3</v>
      </c>
      <c r="E75" s="19" t="n">
        <v>0</v>
      </c>
      <c r="F75" s="20" t="n">
        <f aca="false">SUMIFS(SeatExits,SeatDivision,$J75)+SUMIFS(SeatExits,SeatDepartment,$J75)+SUMIFS(SeatExits,SeatUnit,$J75)+SUMIFS(SeatExits,SeatSubUnit,$J75)</f>
        <v>0</v>
      </c>
      <c r="G75" s="20" t="n">
        <f aca="false">SUMIFS(AskTotal,AskDivision,$J75)+SUMIFS(AskTotal,AskDepartment,$J75)+SUMIFS(AskTotal,AskUnit,$J75)+SUMIFS(AskTotal,AskSubUnit,$J75)</f>
        <v>0</v>
      </c>
      <c r="H75" s="20" t="n">
        <f aca="false">$C75-$F75+$G75</f>
        <v>3</v>
      </c>
      <c r="I75" s="20" t="n">
        <f aca="false">$H75-$C75</f>
        <v>0</v>
      </c>
      <c r="J75" s="17" t="s">
        <v>204</v>
      </c>
    </row>
    <row r="76" customFormat="false" ht="15" hidden="false" customHeight="false" outlineLevel="5" collapsed="false">
      <c r="A76" s="17" t="s">
        <v>72</v>
      </c>
      <c r="B76" s="18" t="s">
        <v>205</v>
      </c>
      <c r="C76" s="19" t="n">
        <v>2</v>
      </c>
      <c r="D76" s="19" t="n">
        <v>2</v>
      </c>
      <c r="E76" s="19" t="n">
        <v>0</v>
      </c>
      <c r="F76" s="20" t="n">
        <f aca="false">SUMIFS(SeatExits,SeatDivision,$J76)+SUMIFS(SeatExits,SeatDepartment,$J76)+SUMIFS(SeatExits,SeatUnit,$J76)+SUMIFS(SeatExits,SeatSubUnit,$J76)</f>
        <v>0</v>
      </c>
      <c r="G76" s="20" t="n">
        <f aca="false">SUMIFS(AskTotal,AskDivision,$J76)+SUMIFS(AskTotal,AskDepartment,$J76)+SUMIFS(AskTotal,AskUnit,$J76)+SUMIFS(AskTotal,AskSubUnit,$J76)</f>
        <v>0</v>
      </c>
      <c r="H76" s="20" t="n">
        <f aca="false">$C76-$F76+$G76</f>
        <v>2</v>
      </c>
      <c r="I76" s="20" t="n">
        <f aca="false">$H76-$C76</f>
        <v>0</v>
      </c>
      <c r="J76" s="17" t="s">
        <v>206</v>
      </c>
    </row>
    <row r="77" customFormat="false" ht="15" hidden="false" customHeight="false" outlineLevel="3" collapsed="false">
      <c r="A77" s="17" t="s">
        <v>50</v>
      </c>
      <c r="B77" s="18" t="s">
        <v>207</v>
      </c>
      <c r="C77" s="19" t="n">
        <v>19</v>
      </c>
      <c r="D77" s="19" t="n">
        <v>18</v>
      </c>
      <c r="E77" s="19" t="n">
        <v>1</v>
      </c>
      <c r="F77" s="20" t="n">
        <f aca="false">SUMIFS(SeatExits,SeatDivision,$J77)+SUMIFS(SeatExits,SeatDepartment,$J77)+SUMIFS(SeatExits,SeatUnit,$J77)+SUMIFS(SeatExits,SeatSubUnit,$J77)</f>
        <v>0</v>
      </c>
      <c r="G77" s="20" t="n">
        <f aca="false">SUMIFS(AskTotal,AskDivision,$J77)+SUMIFS(AskTotal,AskDepartment,$J77)+SUMIFS(AskTotal,AskUnit,$J77)+SUMIFS(AskTotal,AskSubUnit,$J77)</f>
        <v>0</v>
      </c>
      <c r="H77" s="20" t="n">
        <f aca="false">$C77-$F77+$G77</f>
        <v>19</v>
      </c>
      <c r="I77" s="20" t="n">
        <f aca="false">$H77-$C77</f>
        <v>0</v>
      </c>
      <c r="J77" s="17" t="s">
        <v>208</v>
      </c>
    </row>
    <row r="78" customFormat="false" ht="15" hidden="false" customHeight="false" outlineLevel="4" collapsed="false">
      <c r="A78" s="17" t="s">
        <v>69</v>
      </c>
      <c r="B78" s="18" t="s">
        <v>209</v>
      </c>
      <c r="C78" s="19" t="n">
        <v>9</v>
      </c>
      <c r="D78" s="19" t="n">
        <v>9</v>
      </c>
      <c r="E78" s="19" t="n">
        <v>0</v>
      </c>
      <c r="F78" s="20" t="n">
        <f aca="false">SUMIFS(SeatExits,SeatDivision,$J78)+SUMIFS(SeatExits,SeatDepartment,$J78)+SUMIFS(SeatExits,SeatUnit,$J78)+SUMIFS(SeatExits,SeatSubUnit,$J78)</f>
        <v>0</v>
      </c>
      <c r="G78" s="20" t="n">
        <f aca="false">SUMIFS(AskTotal,AskDivision,$J78)+SUMIFS(AskTotal,AskDepartment,$J78)+SUMIFS(AskTotal,AskUnit,$J78)+SUMIFS(AskTotal,AskSubUnit,$J78)</f>
        <v>0</v>
      </c>
      <c r="H78" s="20" t="n">
        <f aca="false">$C78-$F78+$G78</f>
        <v>9</v>
      </c>
      <c r="I78" s="20" t="n">
        <f aca="false">$H78-$C78</f>
        <v>0</v>
      </c>
      <c r="J78" s="17" t="s">
        <v>210</v>
      </c>
    </row>
    <row r="79" customFormat="false" ht="15" hidden="false" customHeight="false" outlineLevel="5" collapsed="false">
      <c r="A79" s="17" t="s">
        <v>72</v>
      </c>
      <c r="B79" s="18" t="s">
        <v>211</v>
      </c>
      <c r="C79" s="19" t="n">
        <v>2</v>
      </c>
      <c r="D79" s="19" t="n">
        <v>2</v>
      </c>
      <c r="E79" s="19" t="n">
        <v>0</v>
      </c>
      <c r="F79" s="20" t="n">
        <f aca="false">SUMIFS(SeatExits,SeatDivision,$J79)+SUMIFS(SeatExits,SeatDepartment,$J79)+SUMIFS(SeatExits,SeatUnit,$J79)+SUMIFS(SeatExits,SeatSubUnit,$J79)</f>
        <v>0</v>
      </c>
      <c r="G79" s="20" t="n">
        <f aca="false">SUMIFS(AskTotal,AskDivision,$J79)+SUMIFS(AskTotal,AskDepartment,$J79)+SUMIFS(AskTotal,AskUnit,$J79)+SUMIFS(AskTotal,AskSubUnit,$J79)</f>
        <v>0</v>
      </c>
      <c r="H79" s="20" t="n">
        <f aca="false">$C79-$F79+$G79</f>
        <v>2</v>
      </c>
      <c r="I79" s="20" t="n">
        <f aca="false">$H79-$C79</f>
        <v>0</v>
      </c>
      <c r="J79" s="17" t="s">
        <v>212</v>
      </c>
    </row>
    <row r="80" customFormat="false" ht="15" hidden="false" customHeight="false" outlineLevel="5" collapsed="false">
      <c r="A80" s="17" t="s">
        <v>72</v>
      </c>
      <c r="B80" s="18" t="s">
        <v>213</v>
      </c>
      <c r="C80" s="19" t="n">
        <v>6</v>
      </c>
      <c r="D80" s="19" t="n">
        <v>6</v>
      </c>
      <c r="E80" s="19" t="n">
        <v>0</v>
      </c>
      <c r="F80" s="20" t="n">
        <f aca="false">SUMIFS(SeatExits,SeatDivision,$J80)+SUMIFS(SeatExits,SeatDepartment,$J80)+SUMIFS(SeatExits,SeatUnit,$J80)+SUMIFS(SeatExits,SeatSubUnit,$J80)</f>
        <v>0</v>
      </c>
      <c r="G80" s="20" t="n">
        <f aca="false">SUMIFS(AskTotal,AskDivision,$J80)+SUMIFS(AskTotal,AskDepartment,$J80)+SUMIFS(AskTotal,AskUnit,$J80)+SUMIFS(AskTotal,AskSubUnit,$J80)</f>
        <v>0</v>
      </c>
      <c r="H80" s="20" t="n">
        <f aca="false">$C80-$F80+$G80</f>
        <v>6</v>
      </c>
      <c r="I80" s="20" t="n">
        <f aca="false">$H80-$C80</f>
        <v>0</v>
      </c>
      <c r="J80" s="17" t="s">
        <v>214</v>
      </c>
    </row>
    <row r="81" customFormat="false" ht="15" hidden="false" customHeight="false" outlineLevel="4" collapsed="false">
      <c r="A81" s="17" t="s">
        <v>69</v>
      </c>
      <c r="B81" s="18" t="s">
        <v>215</v>
      </c>
      <c r="C81" s="19" t="n">
        <v>9</v>
      </c>
      <c r="D81" s="19" t="n">
        <v>8</v>
      </c>
      <c r="E81" s="19" t="n">
        <v>1</v>
      </c>
      <c r="F81" s="20" t="n">
        <f aca="false">SUMIFS(SeatExits,SeatDivision,$J81)+SUMIFS(SeatExits,SeatDepartment,$J81)+SUMIFS(SeatExits,SeatUnit,$J81)+SUMIFS(SeatExits,SeatSubUnit,$J81)</f>
        <v>0</v>
      </c>
      <c r="G81" s="20" t="n">
        <f aca="false">SUMIFS(AskTotal,AskDivision,$J81)+SUMIFS(AskTotal,AskDepartment,$J81)+SUMIFS(AskTotal,AskUnit,$J81)+SUMIFS(AskTotal,AskSubUnit,$J81)</f>
        <v>0</v>
      </c>
      <c r="H81" s="20" t="n">
        <f aca="false">$C81-$F81+$G81</f>
        <v>9</v>
      </c>
      <c r="I81" s="20" t="n">
        <f aca="false">$H81-$C81</f>
        <v>0</v>
      </c>
      <c r="J81" s="17" t="s">
        <v>216</v>
      </c>
    </row>
    <row r="82" customFormat="false" ht="15" hidden="false" customHeight="false" outlineLevel="5" collapsed="false">
      <c r="A82" s="17" t="s">
        <v>72</v>
      </c>
      <c r="B82" s="18" t="s">
        <v>217</v>
      </c>
      <c r="C82" s="19" t="n">
        <v>3</v>
      </c>
      <c r="D82" s="19" t="n">
        <v>2</v>
      </c>
      <c r="E82" s="19" t="n">
        <v>1</v>
      </c>
      <c r="F82" s="20" t="n">
        <f aca="false">SUMIFS(SeatExits,SeatDivision,$J82)+SUMIFS(SeatExits,SeatDepartment,$J82)+SUMIFS(SeatExits,SeatUnit,$J82)+SUMIFS(SeatExits,SeatSubUnit,$J82)</f>
        <v>0</v>
      </c>
      <c r="G82" s="20" t="n">
        <f aca="false">SUMIFS(AskTotal,AskDivision,$J82)+SUMIFS(AskTotal,AskDepartment,$J82)+SUMIFS(AskTotal,AskUnit,$J82)+SUMIFS(AskTotal,AskSubUnit,$J82)</f>
        <v>0</v>
      </c>
      <c r="H82" s="20" t="n">
        <f aca="false">$C82-$F82+$G82</f>
        <v>3</v>
      </c>
      <c r="I82" s="20" t="n">
        <f aca="false">$H82-$C82</f>
        <v>0</v>
      </c>
      <c r="J82" s="17" t="s">
        <v>218</v>
      </c>
    </row>
    <row r="83" customFormat="false" ht="15" hidden="false" customHeight="false" outlineLevel="5" collapsed="false">
      <c r="A83" s="17" t="s">
        <v>72</v>
      </c>
      <c r="B83" s="18" t="s">
        <v>219</v>
      </c>
      <c r="C83" s="19" t="n">
        <v>5</v>
      </c>
      <c r="D83" s="19" t="n">
        <v>5</v>
      </c>
      <c r="E83" s="19" t="n">
        <v>0</v>
      </c>
      <c r="F83" s="20" t="n">
        <f aca="false">SUMIFS(SeatExits,SeatDivision,$J83)+SUMIFS(SeatExits,SeatDepartment,$J83)+SUMIFS(SeatExits,SeatUnit,$J83)+SUMIFS(SeatExits,SeatSubUnit,$J83)</f>
        <v>0</v>
      </c>
      <c r="G83" s="20" t="n">
        <f aca="false">SUMIFS(AskTotal,AskDivision,$J83)+SUMIFS(AskTotal,AskDepartment,$J83)+SUMIFS(AskTotal,AskUnit,$J83)+SUMIFS(AskTotal,AskSubUnit,$J83)</f>
        <v>0</v>
      </c>
      <c r="H83" s="20" t="n">
        <f aca="false">$C83-$F83+$G83</f>
        <v>5</v>
      </c>
      <c r="I83" s="20" t="n">
        <f aca="false">$H83-$C83</f>
        <v>0</v>
      </c>
      <c r="J83" s="17" t="s">
        <v>220</v>
      </c>
    </row>
    <row r="84" customFormat="false" ht="15" hidden="false" customHeight="false" outlineLevel="2" collapsed="false">
      <c r="A84" s="17" t="s">
        <v>64</v>
      </c>
      <c r="B84" s="18" t="s">
        <v>221</v>
      </c>
      <c r="C84" s="19" t="n">
        <v>37</v>
      </c>
      <c r="D84" s="19" t="n">
        <v>32</v>
      </c>
      <c r="E84" s="19" t="n">
        <v>5</v>
      </c>
      <c r="F84" s="20" t="n">
        <f aca="false">SUMIFS(SeatExits,SeatDivision,$J84)+SUMIFS(SeatExits,SeatDepartment,$J84)+SUMIFS(SeatExits,SeatUnit,$J84)+SUMIFS(SeatExits,SeatSubUnit,$J84)</f>
        <v>0</v>
      </c>
      <c r="G84" s="20" t="n">
        <f aca="false">SUMIFS(AskTotal,AskDivision,$J84)+SUMIFS(AskTotal,AskDepartment,$J84)+SUMIFS(AskTotal,AskUnit,$J84)+SUMIFS(AskTotal,AskSubUnit,$J84)</f>
        <v>0</v>
      </c>
      <c r="H84" s="20" t="n">
        <f aca="false">$C84-$F84+$G84</f>
        <v>37</v>
      </c>
      <c r="I84" s="20" t="n">
        <f aca="false">$H84-$C84</f>
        <v>0</v>
      </c>
      <c r="J84" s="17" t="s">
        <v>222</v>
      </c>
    </row>
    <row r="85" customFormat="false" ht="15" hidden="false" customHeight="false" outlineLevel="3" collapsed="false">
      <c r="A85" s="17" t="s">
        <v>50</v>
      </c>
      <c r="B85" s="18" t="s">
        <v>223</v>
      </c>
      <c r="C85" s="19" t="n">
        <v>19</v>
      </c>
      <c r="D85" s="19" t="n">
        <v>16</v>
      </c>
      <c r="E85" s="19" t="n">
        <v>3</v>
      </c>
      <c r="F85" s="20" t="n">
        <f aca="false">SUMIFS(SeatExits,SeatDivision,$J85)+SUMIFS(SeatExits,SeatDepartment,$J85)+SUMIFS(SeatExits,SeatUnit,$J85)+SUMIFS(SeatExits,SeatSubUnit,$J85)</f>
        <v>0</v>
      </c>
      <c r="G85" s="20" t="n">
        <f aca="false">SUMIFS(AskTotal,AskDivision,$J85)+SUMIFS(AskTotal,AskDepartment,$J85)+SUMIFS(AskTotal,AskUnit,$J85)+SUMIFS(AskTotal,AskSubUnit,$J85)</f>
        <v>0</v>
      </c>
      <c r="H85" s="20" t="n">
        <f aca="false">$C85-$F85+$G85</f>
        <v>19</v>
      </c>
      <c r="I85" s="20" t="n">
        <f aca="false">$H85-$C85</f>
        <v>0</v>
      </c>
      <c r="J85" s="17" t="s">
        <v>224</v>
      </c>
    </row>
    <row r="86" customFormat="false" ht="15" hidden="false" customHeight="false" outlineLevel="4" collapsed="false">
      <c r="A86" s="17" t="s">
        <v>69</v>
      </c>
      <c r="B86" s="18" t="s">
        <v>225</v>
      </c>
      <c r="C86" s="19" t="n">
        <v>9</v>
      </c>
      <c r="D86" s="19" t="n">
        <v>7</v>
      </c>
      <c r="E86" s="19" t="n">
        <v>2</v>
      </c>
      <c r="F86" s="20" t="n">
        <f aca="false">SUMIFS(SeatExits,SeatDivision,$J86)+SUMIFS(SeatExits,SeatDepartment,$J86)+SUMIFS(SeatExits,SeatUnit,$J86)+SUMIFS(SeatExits,SeatSubUnit,$J86)</f>
        <v>0</v>
      </c>
      <c r="G86" s="20" t="n">
        <f aca="false">SUMIFS(AskTotal,AskDivision,$J86)+SUMIFS(AskTotal,AskDepartment,$J86)+SUMIFS(AskTotal,AskUnit,$J86)+SUMIFS(AskTotal,AskSubUnit,$J86)</f>
        <v>0</v>
      </c>
      <c r="H86" s="20" t="n">
        <f aca="false">$C86-$F86+$G86</f>
        <v>9</v>
      </c>
      <c r="I86" s="20" t="n">
        <f aca="false">$H86-$C86</f>
        <v>0</v>
      </c>
      <c r="J86" s="17" t="s">
        <v>226</v>
      </c>
    </row>
    <row r="87" customFormat="false" ht="15" hidden="false" customHeight="false" outlineLevel="5" collapsed="false">
      <c r="A87" s="17" t="s">
        <v>72</v>
      </c>
      <c r="B87" s="18" t="s">
        <v>227</v>
      </c>
      <c r="C87" s="19" t="n">
        <v>7</v>
      </c>
      <c r="D87" s="19" t="n">
        <v>7</v>
      </c>
      <c r="E87" s="19" t="n">
        <v>0</v>
      </c>
      <c r="F87" s="20" t="n">
        <f aca="false">SUMIFS(SeatExits,SeatDivision,$J87)+SUMIFS(SeatExits,SeatDepartment,$J87)+SUMIFS(SeatExits,SeatUnit,$J87)+SUMIFS(SeatExits,SeatSubUnit,$J87)</f>
        <v>0</v>
      </c>
      <c r="G87" s="20" t="n">
        <f aca="false">SUMIFS(AskTotal,AskDivision,$J87)+SUMIFS(AskTotal,AskDepartment,$J87)+SUMIFS(AskTotal,AskUnit,$J87)+SUMIFS(AskTotal,AskSubUnit,$J87)</f>
        <v>0</v>
      </c>
      <c r="H87" s="20" t="n">
        <f aca="false">$C87-$F87+$G87</f>
        <v>7</v>
      </c>
      <c r="I87" s="20" t="n">
        <f aca="false">$H87-$C87</f>
        <v>0</v>
      </c>
      <c r="J87" s="17" t="s">
        <v>228</v>
      </c>
    </row>
    <row r="88" customFormat="false" ht="15" hidden="false" customHeight="false" outlineLevel="5" collapsed="false">
      <c r="A88" s="17" t="s">
        <v>72</v>
      </c>
      <c r="B88" s="18" t="s">
        <v>229</v>
      </c>
      <c r="C88" s="19" t="n">
        <v>1</v>
      </c>
      <c r="D88" s="19" t="n">
        <v>0</v>
      </c>
      <c r="E88" s="19" t="n">
        <v>1</v>
      </c>
      <c r="F88" s="20" t="n">
        <f aca="false">SUMIFS(SeatExits,SeatDivision,$J88)+SUMIFS(SeatExits,SeatDepartment,$J88)+SUMIFS(SeatExits,SeatUnit,$J88)+SUMIFS(SeatExits,SeatSubUnit,$J88)</f>
        <v>0</v>
      </c>
      <c r="G88" s="20" t="n">
        <f aca="false">SUMIFS(AskTotal,AskDivision,$J88)+SUMIFS(AskTotal,AskDepartment,$J88)+SUMIFS(AskTotal,AskUnit,$J88)+SUMIFS(AskTotal,AskSubUnit,$J88)</f>
        <v>0</v>
      </c>
      <c r="H88" s="20" t="n">
        <f aca="false">$C88-$F88+$G88</f>
        <v>1</v>
      </c>
      <c r="I88" s="20" t="n">
        <f aca="false">$H88-$C88</f>
        <v>0</v>
      </c>
      <c r="J88" s="17" t="s">
        <v>230</v>
      </c>
    </row>
    <row r="89" customFormat="false" ht="15" hidden="false" customHeight="false" outlineLevel="4" collapsed="false">
      <c r="A89" s="17" t="s">
        <v>69</v>
      </c>
      <c r="B89" s="18" t="s">
        <v>231</v>
      </c>
      <c r="C89" s="19" t="n">
        <v>9</v>
      </c>
      <c r="D89" s="19" t="n">
        <v>8</v>
      </c>
      <c r="E89" s="19" t="n">
        <v>1</v>
      </c>
      <c r="F89" s="20" t="n">
        <f aca="false">SUMIFS(SeatExits,SeatDivision,$J89)+SUMIFS(SeatExits,SeatDepartment,$J89)+SUMIFS(SeatExits,SeatUnit,$J89)+SUMIFS(SeatExits,SeatSubUnit,$J89)</f>
        <v>0</v>
      </c>
      <c r="G89" s="20" t="n">
        <f aca="false">SUMIFS(AskTotal,AskDivision,$J89)+SUMIFS(AskTotal,AskDepartment,$J89)+SUMIFS(AskTotal,AskUnit,$J89)+SUMIFS(AskTotal,AskSubUnit,$J89)</f>
        <v>0</v>
      </c>
      <c r="H89" s="20" t="n">
        <f aca="false">$C89-$F89+$G89</f>
        <v>9</v>
      </c>
      <c r="I89" s="20" t="n">
        <f aca="false">$H89-$C89</f>
        <v>0</v>
      </c>
      <c r="J89" s="17" t="s">
        <v>232</v>
      </c>
    </row>
    <row r="90" customFormat="false" ht="15" hidden="false" customHeight="false" outlineLevel="5" collapsed="false">
      <c r="A90" s="17" t="s">
        <v>72</v>
      </c>
      <c r="B90" s="18" t="s">
        <v>233</v>
      </c>
      <c r="C90" s="19" t="n">
        <v>1</v>
      </c>
      <c r="D90" s="19" t="n">
        <v>1</v>
      </c>
      <c r="E90" s="19" t="n">
        <v>0</v>
      </c>
      <c r="F90" s="20" t="n">
        <f aca="false">SUMIFS(SeatExits,SeatDivision,$J90)+SUMIFS(SeatExits,SeatDepartment,$J90)+SUMIFS(SeatExits,SeatUnit,$J90)+SUMIFS(SeatExits,SeatSubUnit,$J90)</f>
        <v>0</v>
      </c>
      <c r="G90" s="20" t="n">
        <f aca="false">SUMIFS(AskTotal,AskDivision,$J90)+SUMIFS(AskTotal,AskDepartment,$J90)+SUMIFS(AskTotal,AskUnit,$J90)+SUMIFS(AskTotal,AskSubUnit,$J90)</f>
        <v>0</v>
      </c>
      <c r="H90" s="20" t="n">
        <f aca="false">$C90-$F90+$G90</f>
        <v>1</v>
      </c>
      <c r="I90" s="20" t="n">
        <f aca="false">$H90-$C90</f>
        <v>0</v>
      </c>
      <c r="J90" s="17" t="s">
        <v>234</v>
      </c>
    </row>
    <row r="91" customFormat="false" ht="15" hidden="false" customHeight="false" outlineLevel="5" collapsed="false">
      <c r="A91" s="17" t="s">
        <v>72</v>
      </c>
      <c r="B91" s="18" t="s">
        <v>235</v>
      </c>
      <c r="C91" s="19" t="n">
        <v>7</v>
      </c>
      <c r="D91" s="19" t="n">
        <v>6</v>
      </c>
      <c r="E91" s="19" t="n">
        <v>1</v>
      </c>
      <c r="F91" s="20" t="n">
        <f aca="false">SUMIFS(SeatExits,SeatDivision,$J91)+SUMIFS(SeatExits,SeatDepartment,$J91)+SUMIFS(SeatExits,SeatUnit,$J91)+SUMIFS(SeatExits,SeatSubUnit,$J91)</f>
        <v>0</v>
      </c>
      <c r="G91" s="20" t="n">
        <f aca="false">SUMIFS(AskTotal,AskDivision,$J91)+SUMIFS(AskTotal,AskDepartment,$J91)+SUMIFS(AskTotal,AskUnit,$J91)+SUMIFS(AskTotal,AskSubUnit,$J91)</f>
        <v>0</v>
      </c>
      <c r="H91" s="20" t="n">
        <f aca="false">$C91-$F91+$G91</f>
        <v>7</v>
      </c>
      <c r="I91" s="20" t="n">
        <f aca="false">$H91-$C91</f>
        <v>0</v>
      </c>
      <c r="J91" s="17" t="s">
        <v>236</v>
      </c>
    </row>
    <row r="92" customFormat="false" ht="15" hidden="false" customHeight="false" outlineLevel="3" collapsed="false">
      <c r="A92" s="17" t="s">
        <v>50</v>
      </c>
      <c r="B92" s="18" t="s">
        <v>237</v>
      </c>
      <c r="C92" s="19" t="n">
        <v>17</v>
      </c>
      <c r="D92" s="19" t="n">
        <v>15</v>
      </c>
      <c r="E92" s="19" t="n">
        <v>2</v>
      </c>
      <c r="F92" s="20" t="n">
        <f aca="false">SUMIFS(SeatExits,SeatDivision,$J92)+SUMIFS(SeatExits,SeatDepartment,$J92)+SUMIFS(SeatExits,SeatUnit,$J92)+SUMIFS(SeatExits,SeatSubUnit,$J92)</f>
        <v>0</v>
      </c>
      <c r="G92" s="20" t="n">
        <f aca="false">SUMIFS(AskTotal,AskDivision,$J92)+SUMIFS(AskTotal,AskDepartment,$J92)+SUMIFS(AskTotal,AskUnit,$J92)+SUMIFS(AskTotal,AskSubUnit,$J92)</f>
        <v>0</v>
      </c>
      <c r="H92" s="20" t="n">
        <f aca="false">$C92-$F92+$G92</f>
        <v>17</v>
      </c>
      <c r="I92" s="20" t="n">
        <f aca="false">$H92-$C92</f>
        <v>0</v>
      </c>
      <c r="J92" s="17" t="s">
        <v>238</v>
      </c>
    </row>
    <row r="93" customFormat="false" ht="15" hidden="false" customHeight="false" outlineLevel="4" collapsed="false">
      <c r="A93" s="17" t="s">
        <v>69</v>
      </c>
      <c r="B93" s="18" t="s">
        <v>239</v>
      </c>
      <c r="C93" s="19" t="n">
        <v>6</v>
      </c>
      <c r="D93" s="19" t="n">
        <v>5</v>
      </c>
      <c r="E93" s="19" t="n">
        <v>1</v>
      </c>
      <c r="F93" s="20" t="n">
        <f aca="false">SUMIFS(SeatExits,SeatDivision,$J93)+SUMIFS(SeatExits,SeatDepartment,$J93)+SUMIFS(SeatExits,SeatUnit,$J93)+SUMIFS(SeatExits,SeatSubUnit,$J93)</f>
        <v>0</v>
      </c>
      <c r="G93" s="20" t="n">
        <f aca="false">SUMIFS(AskTotal,AskDivision,$J93)+SUMIFS(AskTotal,AskDepartment,$J93)+SUMIFS(AskTotal,AskUnit,$J93)+SUMIFS(AskTotal,AskSubUnit,$J93)</f>
        <v>0</v>
      </c>
      <c r="H93" s="20" t="n">
        <f aca="false">$C93-$F93+$G93</f>
        <v>6</v>
      </c>
      <c r="I93" s="20" t="n">
        <f aca="false">$H93-$C93</f>
        <v>0</v>
      </c>
      <c r="J93" s="17" t="s">
        <v>240</v>
      </c>
    </row>
    <row r="94" customFormat="false" ht="15" hidden="false" customHeight="false" outlineLevel="5" collapsed="false">
      <c r="A94" s="17" t="s">
        <v>72</v>
      </c>
      <c r="B94" s="18" t="s">
        <v>241</v>
      </c>
      <c r="C94" s="19" t="n">
        <v>4</v>
      </c>
      <c r="D94" s="19" t="n">
        <v>3</v>
      </c>
      <c r="E94" s="19" t="n">
        <v>1</v>
      </c>
      <c r="F94" s="20" t="n">
        <f aca="false">SUMIFS(SeatExits,SeatDivision,$J94)+SUMIFS(SeatExits,SeatDepartment,$J94)+SUMIFS(SeatExits,SeatUnit,$J94)+SUMIFS(SeatExits,SeatSubUnit,$J94)</f>
        <v>0</v>
      </c>
      <c r="G94" s="20" t="n">
        <f aca="false">SUMIFS(AskTotal,AskDivision,$J94)+SUMIFS(AskTotal,AskDepartment,$J94)+SUMIFS(AskTotal,AskUnit,$J94)+SUMIFS(AskTotal,AskSubUnit,$J94)</f>
        <v>0</v>
      </c>
      <c r="H94" s="20" t="n">
        <f aca="false">$C94-$F94+$G94</f>
        <v>4</v>
      </c>
      <c r="I94" s="20" t="n">
        <f aca="false">$H94-$C94</f>
        <v>0</v>
      </c>
      <c r="J94" s="17" t="s">
        <v>242</v>
      </c>
    </row>
    <row r="95" customFormat="false" ht="15" hidden="false" customHeight="false" outlineLevel="5" collapsed="false">
      <c r="A95" s="17" t="s">
        <v>72</v>
      </c>
      <c r="B95" s="18" t="s">
        <v>243</v>
      </c>
      <c r="C95" s="19" t="n">
        <v>1</v>
      </c>
      <c r="D95" s="19" t="n">
        <v>1</v>
      </c>
      <c r="E95" s="19" t="n">
        <v>0</v>
      </c>
      <c r="F95" s="20" t="n">
        <f aca="false">SUMIFS(SeatExits,SeatDivision,$J95)+SUMIFS(SeatExits,SeatDepartment,$J95)+SUMIFS(SeatExits,SeatUnit,$J95)+SUMIFS(SeatExits,SeatSubUnit,$J95)</f>
        <v>0</v>
      </c>
      <c r="G95" s="20" t="n">
        <f aca="false">SUMIFS(AskTotal,AskDivision,$J95)+SUMIFS(AskTotal,AskDepartment,$J95)+SUMIFS(AskTotal,AskUnit,$J95)+SUMIFS(AskTotal,AskSubUnit,$J95)</f>
        <v>0</v>
      </c>
      <c r="H95" s="20" t="n">
        <f aca="false">$C95-$F95+$G95</f>
        <v>1</v>
      </c>
      <c r="I95" s="20" t="n">
        <f aca="false">$H95-$C95</f>
        <v>0</v>
      </c>
      <c r="J95" s="17" t="s">
        <v>244</v>
      </c>
    </row>
    <row r="96" customFormat="false" ht="15" hidden="false" customHeight="false" outlineLevel="4" collapsed="false">
      <c r="A96" s="17" t="s">
        <v>69</v>
      </c>
      <c r="B96" s="18" t="s">
        <v>245</v>
      </c>
      <c r="C96" s="19" t="n">
        <v>10</v>
      </c>
      <c r="D96" s="19" t="n">
        <v>9</v>
      </c>
      <c r="E96" s="19" t="n">
        <v>1</v>
      </c>
      <c r="F96" s="20" t="n">
        <f aca="false">SUMIFS(SeatExits,SeatDivision,$J96)+SUMIFS(SeatExits,SeatDepartment,$J96)+SUMIFS(SeatExits,SeatUnit,$J96)+SUMIFS(SeatExits,SeatSubUnit,$J96)</f>
        <v>0</v>
      </c>
      <c r="G96" s="20" t="n">
        <f aca="false">SUMIFS(AskTotal,AskDivision,$J96)+SUMIFS(AskTotal,AskDepartment,$J96)+SUMIFS(AskTotal,AskUnit,$J96)+SUMIFS(AskTotal,AskSubUnit,$J96)</f>
        <v>0</v>
      </c>
      <c r="H96" s="20" t="n">
        <f aca="false">$C96-$F96+$G96</f>
        <v>10</v>
      </c>
      <c r="I96" s="20" t="n">
        <f aca="false">$H96-$C96</f>
        <v>0</v>
      </c>
      <c r="J96" s="17" t="s">
        <v>246</v>
      </c>
    </row>
    <row r="97" customFormat="false" ht="15" hidden="false" customHeight="false" outlineLevel="5" collapsed="false">
      <c r="A97" s="17" t="s">
        <v>72</v>
      </c>
      <c r="B97" s="18" t="s">
        <v>247</v>
      </c>
      <c r="C97" s="19" t="n">
        <v>5</v>
      </c>
      <c r="D97" s="19" t="n">
        <v>4</v>
      </c>
      <c r="E97" s="19" t="n">
        <v>1</v>
      </c>
      <c r="F97" s="20" t="n">
        <f aca="false">SUMIFS(SeatExits,SeatDivision,$J97)+SUMIFS(SeatExits,SeatDepartment,$J97)+SUMIFS(SeatExits,SeatUnit,$J97)+SUMIFS(SeatExits,SeatSubUnit,$J97)</f>
        <v>0</v>
      </c>
      <c r="G97" s="20" t="n">
        <f aca="false">SUMIFS(AskTotal,AskDivision,$J97)+SUMIFS(AskTotal,AskDepartment,$J97)+SUMIFS(AskTotal,AskUnit,$J97)+SUMIFS(AskTotal,AskSubUnit,$J97)</f>
        <v>0</v>
      </c>
      <c r="H97" s="20" t="n">
        <f aca="false">$C97-$F97+$G97</f>
        <v>5</v>
      </c>
      <c r="I97" s="20" t="n">
        <f aca="false">$H97-$C97</f>
        <v>0</v>
      </c>
      <c r="J97" s="17" t="s">
        <v>248</v>
      </c>
    </row>
    <row r="98" customFormat="false" ht="15" hidden="false" customHeight="false" outlineLevel="5" collapsed="false">
      <c r="A98" s="17" t="s">
        <v>72</v>
      </c>
      <c r="B98" s="18" t="s">
        <v>249</v>
      </c>
      <c r="C98" s="19" t="n">
        <v>4</v>
      </c>
      <c r="D98" s="19" t="n">
        <v>4</v>
      </c>
      <c r="E98" s="19" t="n">
        <v>0</v>
      </c>
      <c r="F98" s="20" t="n">
        <f aca="false">SUMIFS(SeatExits,SeatDivision,$J98)+SUMIFS(SeatExits,SeatDepartment,$J98)+SUMIFS(SeatExits,SeatUnit,$J98)+SUMIFS(SeatExits,SeatSubUnit,$J98)</f>
        <v>0</v>
      </c>
      <c r="G98" s="20" t="n">
        <f aca="false">SUMIFS(AskTotal,AskDivision,$J98)+SUMIFS(AskTotal,AskDepartment,$J98)+SUMIFS(AskTotal,AskUnit,$J98)+SUMIFS(AskTotal,AskSubUnit,$J98)</f>
        <v>0</v>
      </c>
      <c r="H98" s="20" t="n">
        <f aca="false">$C98-$F98+$G98</f>
        <v>4</v>
      </c>
      <c r="I98" s="20" t="n">
        <f aca="false">$H98-$C98</f>
        <v>0</v>
      </c>
      <c r="J98" s="17" t="s">
        <v>250</v>
      </c>
    </row>
    <row r="100" customFormat="false" ht="25.5" hidden="false" customHeight="true" outlineLevel="0" collapsed="false">
      <c r="A100" s="11" t="s">
        <v>251</v>
      </c>
      <c r="B100" s="11"/>
      <c r="C100" s="11"/>
      <c r="D100" s="11"/>
      <c r="E100" s="11"/>
      <c r="F100" s="11"/>
      <c r="G100" s="11"/>
      <c r="H100" s="11"/>
      <c r="I100" s="11"/>
    </row>
  </sheetData>
  <mergeCells count="2">
    <mergeCell ref="A2:J2"/>
    <mergeCell ref="A100:I100"/>
  </mergeCells>
  <conditionalFormatting sqref="I5:I98">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E5:E98">
    <cfRule type="cellIs" priority="4"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6"/>
    <col collapsed="false" customWidth="true" hidden="false" outlineLevel="0" max="10" min="10" style="0" width="12"/>
    <col collapsed="false" customWidth="true" hidden="false" outlineLevel="0" max="12" min="11" style="0" width="9"/>
    <col collapsed="false" customWidth="true" hidden="false" outlineLevel="0" max="13" min="13" style="0" width="14"/>
    <col collapsed="false" customWidth="true" hidden="false" outlineLevel="0" max="14" min="14" style="0" width="17"/>
    <col collapsed="false" customWidth="true" hidden="false" outlineLevel="0" max="15" min="15" style="0" width="15"/>
    <col collapsed="false" customWidth="true" hidden="false" outlineLevel="0" max="16" min="16" style="0" width="13"/>
    <col collapsed="false" customWidth="true" hidden="false" outlineLevel="0" max="17" min="17" style="0" width="34"/>
  </cols>
  <sheetData>
    <row r="1" customFormat="false" ht="24" hidden="false" customHeight="true" outlineLevel="0" collapsed="false">
      <c r="A1" s="1" t="s">
        <v>252</v>
      </c>
    </row>
    <row r="2" customFormat="false" ht="15" hidden="false" customHeight="false" outlineLevel="0" collapsed="false">
      <c r="A2" s="2" t="s">
        <v>253</v>
      </c>
      <c r="B2" s="2"/>
      <c r="C2" s="2"/>
      <c r="D2" s="2"/>
      <c r="E2" s="2"/>
      <c r="F2" s="2"/>
      <c r="G2" s="2"/>
      <c r="H2" s="2"/>
      <c r="I2" s="2"/>
      <c r="J2" s="2"/>
    </row>
    <row r="5" customFormat="false" ht="30" hidden="false" customHeight="true" outlineLevel="0" collapsed="false">
      <c r="A5" s="12" t="s">
        <v>254</v>
      </c>
      <c r="B5" s="12" t="s">
        <v>61</v>
      </c>
      <c r="C5" s="12" t="s">
        <v>64</v>
      </c>
      <c r="D5" s="12" t="s">
        <v>50</v>
      </c>
      <c r="E5" s="12" t="s">
        <v>255</v>
      </c>
      <c r="F5" s="12" t="s">
        <v>256</v>
      </c>
      <c r="G5" s="12" t="s">
        <v>18</v>
      </c>
      <c r="H5" s="12" t="s">
        <v>257</v>
      </c>
      <c r="I5" s="12" t="s">
        <v>20</v>
      </c>
      <c r="J5" s="12" t="s">
        <v>258</v>
      </c>
      <c r="K5" s="12" t="s">
        <v>52</v>
      </c>
      <c r="L5" s="12" t="s">
        <v>53</v>
      </c>
      <c r="M5" s="12" t="s">
        <v>259</v>
      </c>
      <c r="N5" s="12" t="s">
        <v>22</v>
      </c>
      <c r="O5" s="12" t="s">
        <v>24</v>
      </c>
      <c r="P5" s="12" t="s">
        <v>260</v>
      </c>
      <c r="Q5" s="12" t="s">
        <v>261</v>
      </c>
    </row>
    <row r="6" customFormat="false" ht="15" hidden="false" customHeight="false" outlineLevel="0" collapsed="false">
      <c r="A6" s="21" t="s">
        <v>262</v>
      </c>
      <c r="B6" s="21"/>
      <c r="C6" s="21"/>
      <c r="D6" s="21"/>
      <c r="E6" s="21"/>
      <c r="F6" s="21" t="s">
        <v>263</v>
      </c>
      <c r="G6" s="21"/>
      <c r="H6" s="21" t="s">
        <v>264</v>
      </c>
      <c r="I6" s="21"/>
      <c r="J6" s="22" t="n">
        <v>1</v>
      </c>
      <c r="K6" s="22" t="n">
        <v>1</v>
      </c>
      <c r="L6" s="22" t="n">
        <v>0</v>
      </c>
      <c r="M6" s="21" t="s">
        <v>265</v>
      </c>
      <c r="N6" s="21"/>
      <c r="O6" s="22"/>
      <c r="P6" s="20" t="n">
        <f aca="false">IF($N6="Reduce",N($O6),0)</f>
        <v>0</v>
      </c>
      <c r="Q6" s="23" t="str">
        <f aca="false">IF($F6="","",MID(IF($G6="",", career level","")&amp;IF($I6="",", nationality mandate","")&amp;IF($N6="",", capacity direction","")&amp;IF(N($J6)&lt;=0,", approved HC","")&amp;IF(AND($G6&lt;&gt;"",COUNTIF(CareerLevels,$G6)=0),", a career level that is not on the ladder","")&amp;IF(AND($N6="Reduce",N($O6)&lt;=0),", how many seats Reduce means","")&amp;IF(AND(N($O6)&gt;0,$N6&lt;&gt;"Reduce"),", a number of seats on a row not marked Reduce","")&amp;IF(N($O6)&gt;N($J6),", more seats given up than the row has",""),3,200))</f>
        <v>career level, nationality mandate, capacity direction</v>
      </c>
    </row>
    <row r="7" customFormat="false" ht="15" hidden="false" customHeight="false" outlineLevel="0" collapsed="false">
      <c r="A7" s="21" t="s">
        <v>266</v>
      </c>
      <c r="B7" s="21" t="s">
        <v>63</v>
      </c>
      <c r="C7" s="21"/>
      <c r="D7" s="21"/>
      <c r="E7" s="21"/>
      <c r="F7" s="21" t="s">
        <v>267</v>
      </c>
      <c r="G7" s="21"/>
      <c r="H7" s="21" t="s">
        <v>268</v>
      </c>
      <c r="I7" s="21"/>
      <c r="J7" s="22" t="n">
        <v>1</v>
      </c>
      <c r="K7" s="22" t="n">
        <v>1</v>
      </c>
      <c r="L7" s="22" t="n">
        <v>0</v>
      </c>
      <c r="M7" s="21" t="s">
        <v>265</v>
      </c>
      <c r="N7" s="21"/>
      <c r="O7" s="22"/>
      <c r="P7" s="20" t="n">
        <f aca="false">IF($N7="Reduce",N($O7),0)</f>
        <v>0</v>
      </c>
      <c r="Q7" s="23" t="str">
        <f aca="false">IF($F7="","",MID(IF($G7="",", career level","")&amp;IF($I7="",", nationality mandate","")&amp;IF($N7="",", capacity direction","")&amp;IF(N($J7)&lt;=0,", approved HC","")&amp;IF(AND($G7&lt;&gt;"",COUNTIF(CareerLevels,$G7)=0),", a career level that is not on the ladder","")&amp;IF(AND($N7="Reduce",N($O7)&lt;=0),", how many seats Reduce means","")&amp;IF(AND(N($O7)&gt;0,$N7&lt;&gt;"Reduce"),", a number of seats on a row not marked Reduce","")&amp;IF(N($O7)&gt;N($J7),", more seats given up than the row has",""),3,200))</f>
        <v>career level, nationality mandate, capacity direction</v>
      </c>
    </row>
    <row r="8" customFormat="false" ht="15" hidden="false" customHeight="false" outlineLevel="0" collapsed="false">
      <c r="A8" s="21" t="s">
        <v>269</v>
      </c>
      <c r="B8" s="21" t="s">
        <v>63</v>
      </c>
      <c r="C8" s="21" t="s">
        <v>66</v>
      </c>
      <c r="D8" s="21"/>
      <c r="E8" s="21"/>
      <c r="F8" s="21" t="s">
        <v>270</v>
      </c>
      <c r="G8" s="21"/>
      <c r="H8" s="21" t="s">
        <v>268</v>
      </c>
      <c r="I8" s="21"/>
      <c r="J8" s="22" t="n">
        <v>1</v>
      </c>
      <c r="K8" s="22" t="n">
        <v>1</v>
      </c>
      <c r="L8" s="22" t="n">
        <v>0</v>
      </c>
      <c r="M8" s="21" t="s">
        <v>265</v>
      </c>
      <c r="N8" s="21"/>
      <c r="O8" s="22"/>
      <c r="P8" s="20" t="n">
        <f aca="false">IF($N8="Reduce",N($O8),0)</f>
        <v>0</v>
      </c>
      <c r="Q8" s="23" t="str">
        <f aca="false">IF($F8="","",MID(IF($G8="",", career level","")&amp;IF($I8="",", nationality mandate","")&amp;IF($N8="",", capacity direction","")&amp;IF(N($J8)&lt;=0,", approved HC","")&amp;IF(AND($G8&lt;&gt;"",COUNTIF(CareerLevels,$G8)=0),", a career level that is not on the ladder","")&amp;IF(AND($N8="Reduce",N($O8)&lt;=0),", how many seats Reduce means","")&amp;IF(AND(N($O8)&gt;0,$N8&lt;&gt;"Reduce"),", a number of seats on a row not marked Reduce","")&amp;IF(N($O8)&gt;N($J8),", more seats given up than the row has",""),3,200))</f>
        <v>career level, nationality mandate, capacity direction</v>
      </c>
    </row>
    <row r="9" customFormat="false" ht="15" hidden="false" customHeight="false" outlineLevel="0" collapsed="false">
      <c r="A9" s="21" t="s">
        <v>271</v>
      </c>
      <c r="B9" s="21" t="s">
        <v>63</v>
      </c>
      <c r="C9" s="21" t="s">
        <v>66</v>
      </c>
      <c r="D9" s="21" t="s">
        <v>68</v>
      </c>
      <c r="E9" s="21"/>
      <c r="F9" s="21" t="s">
        <v>272</v>
      </c>
      <c r="G9" s="21"/>
      <c r="H9" s="21" t="s">
        <v>273</v>
      </c>
      <c r="I9" s="21"/>
      <c r="J9" s="22" t="n">
        <v>1</v>
      </c>
      <c r="K9" s="22" t="n">
        <v>0</v>
      </c>
      <c r="L9" s="22" t="n">
        <v>1</v>
      </c>
      <c r="M9" s="21" t="s">
        <v>265</v>
      </c>
      <c r="N9" s="21"/>
      <c r="O9" s="22"/>
      <c r="P9" s="20" t="n">
        <f aca="false">IF($N9="Reduce",N($O9),0)</f>
        <v>0</v>
      </c>
      <c r="Q9" s="23" t="str">
        <f aca="false">IF($F9="","",MID(IF($G9="",", career level","")&amp;IF($I9="",", nationality mandate","")&amp;IF($N9="",", capacity direction","")&amp;IF(N($J9)&lt;=0,", approved HC","")&amp;IF(AND($G9&lt;&gt;"",COUNTIF(CareerLevels,$G9)=0),", a career level that is not on the ladder","")&amp;IF(AND($N9="Reduce",N($O9)&lt;=0),", how many seats Reduce means","")&amp;IF(AND(N($O9)&gt;0,$N9&lt;&gt;"Reduce"),", a number of seats on a row not marked Reduce","")&amp;IF(N($O9)&gt;N($J9),", more seats given up than the row has",""),3,200))</f>
        <v>career level, nationality mandate, capacity direction</v>
      </c>
    </row>
    <row r="10" customFormat="false" ht="15" hidden="false" customHeight="false" outlineLevel="0" collapsed="false">
      <c r="A10" s="21"/>
      <c r="B10" s="21" t="s">
        <v>63</v>
      </c>
      <c r="C10" s="21" t="s">
        <v>66</v>
      </c>
      <c r="D10" s="21" t="s">
        <v>68</v>
      </c>
      <c r="E10" s="21" t="s">
        <v>71</v>
      </c>
      <c r="F10" s="21" t="s">
        <v>274</v>
      </c>
      <c r="G10" s="21"/>
      <c r="H10" s="21" t="s">
        <v>275</v>
      </c>
      <c r="I10" s="21"/>
      <c r="J10" s="22" t="n">
        <v>2</v>
      </c>
      <c r="K10" s="22" t="n">
        <v>2</v>
      </c>
      <c r="L10" s="22" t="n">
        <v>0</v>
      </c>
      <c r="M10" s="21" t="s">
        <v>265</v>
      </c>
      <c r="N10" s="21"/>
      <c r="O10" s="22"/>
      <c r="P10" s="20" t="n">
        <f aca="false">IF($N10="Reduce",N($O10),0)</f>
        <v>0</v>
      </c>
      <c r="Q10" s="23" t="str">
        <f aca="false">IF($F10="","",MID(IF($G10="",", career level","")&amp;IF($I10="",", nationality mandate","")&amp;IF($N10="",", capacity direction","")&amp;IF(N($J10)&lt;=0,", approved HC","")&amp;IF(AND($G10&lt;&gt;"",COUNTIF(CareerLevels,$G10)=0),", a career level that is not on the ladder","")&amp;IF(AND($N10="Reduce",N($O10)&lt;=0),", how many seats Reduce means","")&amp;IF(AND(N($O10)&gt;0,$N10&lt;&gt;"Reduce"),", a number of seats on a row not marked Reduce","")&amp;IF(N($O10)&gt;N($J10),", more seats given up than the row has",""),3,200))</f>
        <v>career level, nationality mandate, capacity direction</v>
      </c>
    </row>
    <row r="11" customFormat="false" ht="15" hidden="false" customHeight="false" outlineLevel="0" collapsed="false">
      <c r="A11" s="21" t="s">
        <v>276</v>
      </c>
      <c r="B11" s="21" t="s">
        <v>63</v>
      </c>
      <c r="C11" s="21" t="s">
        <v>66</v>
      </c>
      <c r="D11" s="21" t="s">
        <v>68</v>
      </c>
      <c r="E11" s="21" t="s">
        <v>71</v>
      </c>
      <c r="F11" s="21" t="s">
        <v>274</v>
      </c>
      <c r="G11" s="21"/>
      <c r="H11" s="21" t="s">
        <v>275</v>
      </c>
      <c r="I11" s="21"/>
      <c r="J11" s="22" t="n">
        <v>1</v>
      </c>
      <c r="K11" s="22" t="n">
        <v>0</v>
      </c>
      <c r="L11" s="22" t="n">
        <v>1</v>
      </c>
      <c r="M11" s="21" t="s">
        <v>277</v>
      </c>
      <c r="N11" s="21"/>
      <c r="O11" s="22"/>
      <c r="P11" s="20" t="n">
        <f aca="false">IF($N11="Reduce",N($O11),0)</f>
        <v>0</v>
      </c>
      <c r="Q11" s="23" t="str">
        <f aca="false">IF($F11="","",MID(IF($G11="",", career level","")&amp;IF($I11="",", nationality mandate","")&amp;IF($N11="",", capacity direction","")&amp;IF(N($J11)&lt;=0,", approved HC","")&amp;IF(AND($G11&lt;&gt;"",COUNTIF(CareerLevels,$G11)=0),", a career level that is not on the ladder","")&amp;IF(AND($N11="Reduce",N($O11)&lt;=0),", how many seats Reduce means","")&amp;IF(AND(N($O11)&gt;0,$N11&lt;&gt;"Reduce"),", a number of seats on a row not marked Reduce","")&amp;IF(N($O11)&gt;N($J11),", more seats given up than the row has",""),3,200))</f>
        <v>career level, nationality mandate, capacity direction</v>
      </c>
    </row>
    <row r="12" customFormat="false" ht="15" hidden="false" customHeight="false" outlineLevel="0" collapsed="false">
      <c r="A12" s="21" t="s">
        <v>278</v>
      </c>
      <c r="B12" s="21" t="s">
        <v>63</v>
      </c>
      <c r="C12" s="21" t="s">
        <v>66</v>
      </c>
      <c r="D12" s="21" t="s">
        <v>68</v>
      </c>
      <c r="E12" s="21" t="s">
        <v>71</v>
      </c>
      <c r="F12" s="21" t="s">
        <v>279</v>
      </c>
      <c r="G12" s="21"/>
      <c r="H12" s="21" t="s">
        <v>275</v>
      </c>
      <c r="I12" s="21"/>
      <c r="J12" s="22" t="n">
        <v>1</v>
      </c>
      <c r="K12" s="22" t="n">
        <v>0</v>
      </c>
      <c r="L12" s="22" t="n">
        <v>1</v>
      </c>
      <c r="M12" s="21" t="s">
        <v>277</v>
      </c>
      <c r="N12" s="21"/>
      <c r="O12" s="22"/>
      <c r="P12" s="20" t="n">
        <f aca="false">IF($N12="Reduce",N($O12),0)</f>
        <v>0</v>
      </c>
      <c r="Q12" s="23" t="str">
        <f aca="false">IF($F12="","",MID(IF($G12="",", career level","")&amp;IF($I12="",", nationality mandate","")&amp;IF($N12="",", capacity direction","")&amp;IF(N($J12)&lt;=0,", approved HC","")&amp;IF(AND($G12&lt;&gt;"",COUNTIF(CareerLevels,$G12)=0),", a career level that is not on the ladder","")&amp;IF(AND($N12="Reduce",N($O12)&lt;=0),", how many seats Reduce means","")&amp;IF(AND(N($O12)&gt;0,$N12&lt;&gt;"Reduce"),", a number of seats on a row not marked Reduce","")&amp;IF(N($O12)&gt;N($J12),", more seats given up than the row has",""),3,200))</f>
        <v>career level, nationality mandate, capacity direction</v>
      </c>
    </row>
    <row r="13" customFormat="false" ht="15" hidden="false" customHeight="false" outlineLevel="0" collapsed="false">
      <c r="A13" s="21" t="s">
        <v>280</v>
      </c>
      <c r="B13" s="21" t="s">
        <v>63</v>
      </c>
      <c r="C13" s="21" t="s">
        <v>66</v>
      </c>
      <c r="D13" s="21" t="s">
        <v>68</v>
      </c>
      <c r="E13" s="21" t="s">
        <v>71</v>
      </c>
      <c r="F13" s="21" t="s">
        <v>281</v>
      </c>
      <c r="G13" s="21"/>
      <c r="H13" s="21" t="s">
        <v>275</v>
      </c>
      <c r="I13" s="21"/>
      <c r="J13" s="22" t="n">
        <v>1</v>
      </c>
      <c r="K13" s="22" t="n">
        <v>1</v>
      </c>
      <c r="L13" s="22" t="n">
        <v>0</v>
      </c>
      <c r="M13" s="21" t="s">
        <v>277</v>
      </c>
      <c r="N13" s="21"/>
      <c r="O13" s="22"/>
      <c r="P13" s="20" t="n">
        <f aca="false">IF($N13="Reduce",N($O13),0)</f>
        <v>0</v>
      </c>
      <c r="Q13" s="23" t="str">
        <f aca="false">IF($F13="","",MID(IF($G13="",", career level","")&amp;IF($I13="",", nationality mandate","")&amp;IF($N13="",", capacity direction","")&amp;IF(N($J13)&lt;=0,", approved HC","")&amp;IF(AND($G13&lt;&gt;"",COUNTIF(CareerLevels,$G13)=0),", a career level that is not on the ladder","")&amp;IF(AND($N13="Reduce",N($O13)&lt;=0),", how many seats Reduce means","")&amp;IF(AND(N($O13)&gt;0,$N13&lt;&gt;"Reduce"),", a number of seats on a row not marked Reduce","")&amp;IF(N($O13)&gt;N($J13),", more seats given up than the row has",""),3,200))</f>
        <v>career level, nationality mandate, capacity direction</v>
      </c>
    </row>
    <row r="14" customFormat="false" ht="15" hidden="false" customHeight="false" outlineLevel="0" collapsed="false">
      <c r="A14" s="21" t="s">
        <v>282</v>
      </c>
      <c r="B14" s="21" t="s">
        <v>63</v>
      </c>
      <c r="C14" s="21" t="s">
        <v>66</v>
      </c>
      <c r="D14" s="21" t="s">
        <v>68</v>
      </c>
      <c r="E14" s="21" t="s">
        <v>71</v>
      </c>
      <c r="F14" s="21" t="s">
        <v>281</v>
      </c>
      <c r="G14" s="21"/>
      <c r="H14" s="21" t="s">
        <v>275</v>
      </c>
      <c r="I14" s="21"/>
      <c r="J14" s="22" t="n">
        <v>1</v>
      </c>
      <c r="K14" s="22" t="n">
        <v>1</v>
      </c>
      <c r="L14" s="22" t="n">
        <v>0</v>
      </c>
      <c r="M14" s="21" t="s">
        <v>265</v>
      </c>
      <c r="N14" s="21"/>
      <c r="O14" s="22"/>
      <c r="P14" s="20" t="n">
        <f aca="false">IF($N14="Reduce",N($O14),0)</f>
        <v>0</v>
      </c>
      <c r="Q14" s="23" t="str">
        <f aca="false">IF($F14="","",MID(IF($G14="",", career level","")&amp;IF($I14="",", nationality mandate","")&amp;IF($N14="",", capacity direction","")&amp;IF(N($J14)&lt;=0,", approved HC","")&amp;IF(AND($G14&lt;&gt;"",COUNTIF(CareerLevels,$G14)=0),", a career level that is not on the ladder","")&amp;IF(AND($N14="Reduce",N($O14)&lt;=0),", how many seats Reduce means","")&amp;IF(AND(N($O14)&gt;0,$N14&lt;&gt;"Reduce"),", a number of seats on a row not marked Reduce","")&amp;IF(N($O14)&gt;N($J14),", more seats given up than the row has",""),3,200))</f>
        <v>career level, nationality mandate, capacity direction</v>
      </c>
    </row>
    <row r="15" customFormat="false" ht="15" hidden="false" customHeight="false" outlineLevel="0" collapsed="false">
      <c r="A15" s="21"/>
      <c r="B15" s="21" t="s">
        <v>63</v>
      </c>
      <c r="C15" s="21" t="s">
        <v>66</v>
      </c>
      <c r="D15" s="21" t="s">
        <v>68</v>
      </c>
      <c r="E15" s="21" t="s">
        <v>71</v>
      </c>
      <c r="F15" s="21" t="s">
        <v>283</v>
      </c>
      <c r="G15" s="21"/>
      <c r="H15" s="21" t="s">
        <v>275</v>
      </c>
      <c r="I15" s="21"/>
      <c r="J15" s="22" t="n">
        <v>2</v>
      </c>
      <c r="K15" s="22" t="n">
        <v>0</v>
      </c>
      <c r="L15" s="22" t="n">
        <v>2</v>
      </c>
      <c r="M15" s="21" t="s">
        <v>265</v>
      </c>
      <c r="N15" s="21"/>
      <c r="O15" s="22"/>
      <c r="P15" s="20" t="n">
        <f aca="false">IF($N15="Reduce",N($O15),0)</f>
        <v>0</v>
      </c>
      <c r="Q15" s="23" t="str">
        <f aca="false">IF($F15="","",MID(IF($G15="",", career level","")&amp;IF($I15="",", nationality mandate","")&amp;IF($N15="",", capacity direction","")&amp;IF(N($J15)&lt;=0,", approved HC","")&amp;IF(AND($G15&lt;&gt;"",COUNTIF(CareerLevels,$G15)=0),", a career level that is not on the ladder","")&amp;IF(AND($N15="Reduce",N($O15)&lt;=0),", how many seats Reduce means","")&amp;IF(AND(N($O15)&gt;0,$N15&lt;&gt;"Reduce"),", a number of seats on a row not marked Reduce","")&amp;IF(N($O15)&gt;N($J15),", more seats given up than the row has",""),3,200))</f>
        <v>career level, nationality mandate, capacity direction</v>
      </c>
    </row>
    <row r="16" customFormat="false" ht="15" hidden="false" customHeight="false" outlineLevel="0" collapsed="false">
      <c r="A16" s="21" t="s">
        <v>284</v>
      </c>
      <c r="B16" s="21" t="s">
        <v>63</v>
      </c>
      <c r="C16" s="21" t="s">
        <v>66</v>
      </c>
      <c r="D16" s="21" t="s">
        <v>68</v>
      </c>
      <c r="E16" s="21" t="s">
        <v>71</v>
      </c>
      <c r="F16" s="21" t="s">
        <v>285</v>
      </c>
      <c r="G16" s="21"/>
      <c r="H16" s="21" t="s">
        <v>275</v>
      </c>
      <c r="I16" s="21"/>
      <c r="J16" s="22" t="n">
        <v>1</v>
      </c>
      <c r="K16" s="22" t="n">
        <v>1</v>
      </c>
      <c r="L16" s="22" t="n">
        <v>0</v>
      </c>
      <c r="M16" s="21" t="s">
        <v>265</v>
      </c>
      <c r="N16" s="21"/>
      <c r="O16" s="22"/>
      <c r="P16" s="20" t="n">
        <f aca="false">IF($N16="Reduce",N($O16),0)</f>
        <v>0</v>
      </c>
      <c r="Q16" s="23" t="str">
        <f aca="false">IF($F16="","",MID(IF($G16="",", career level","")&amp;IF($I16="",", nationality mandate","")&amp;IF($N16="",", capacity direction","")&amp;IF(N($J16)&lt;=0,", approved HC","")&amp;IF(AND($G16&lt;&gt;"",COUNTIF(CareerLevels,$G16)=0),", a career level that is not on the ladder","")&amp;IF(AND($N16="Reduce",N($O16)&lt;=0),", how many seats Reduce means","")&amp;IF(AND(N($O16)&gt;0,$N16&lt;&gt;"Reduce"),", a number of seats on a row not marked Reduce","")&amp;IF(N($O16)&gt;N($J16),", more seats given up than the row has",""),3,200))</f>
        <v>career level, nationality mandate, capacity direction</v>
      </c>
    </row>
    <row r="17" customFormat="false" ht="15" hidden="false" customHeight="false" outlineLevel="0" collapsed="false">
      <c r="A17" s="21" t="s">
        <v>286</v>
      </c>
      <c r="B17" s="21" t="s">
        <v>63</v>
      </c>
      <c r="C17" s="21" t="s">
        <v>66</v>
      </c>
      <c r="D17" s="21" t="s">
        <v>68</v>
      </c>
      <c r="E17" s="21" t="s">
        <v>71</v>
      </c>
      <c r="F17" s="21" t="s">
        <v>287</v>
      </c>
      <c r="G17" s="21"/>
      <c r="H17" s="21" t="s">
        <v>273</v>
      </c>
      <c r="I17" s="21"/>
      <c r="J17" s="22" t="n">
        <v>1</v>
      </c>
      <c r="K17" s="22" t="n">
        <v>1</v>
      </c>
      <c r="L17" s="22" t="n">
        <v>0</v>
      </c>
      <c r="M17" s="21" t="s">
        <v>265</v>
      </c>
      <c r="N17" s="21"/>
      <c r="O17" s="22"/>
      <c r="P17" s="20" t="n">
        <f aca="false">IF($N17="Reduce",N($O17),0)</f>
        <v>0</v>
      </c>
      <c r="Q17" s="23" t="str">
        <f aca="false">IF($F17="","",MID(IF($G17="",", career level","")&amp;IF($I17="",", nationality mandate","")&amp;IF($N17="",", capacity direction","")&amp;IF(N($J17)&lt;=0,", approved HC","")&amp;IF(AND($G17&lt;&gt;"",COUNTIF(CareerLevels,$G17)=0),", a career level that is not on the ladder","")&amp;IF(AND($N17="Reduce",N($O17)&lt;=0),", how many seats Reduce means","")&amp;IF(AND(N($O17)&gt;0,$N17&lt;&gt;"Reduce"),", a number of seats on a row not marked Reduce","")&amp;IF(N($O17)&gt;N($J17),", more seats given up than the row has",""),3,200))</f>
        <v>career level, nationality mandate, capacity direction</v>
      </c>
    </row>
    <row r="18" customFormat="false" ht="15" hidden="false" customHeight="false" outlineLevel="0" collapsed="false">
      <c r="A18" s="21" t="s">
        <v>288</v>
      </c>
      <c r="B18" s="21" t="s">
        <v>63</v>
      </c>
      <c r="C18" s="21" t="s">
        <v>66</v>
      </c>
      <c r="D18" s="21" t="s">
        <v>68</v>
      </c>
      <c r="E18" s="21" t="s">
        <v>78</v>
      </c>
      <c r="F18" s="21" t="s">
        <v>274</v>
      </c>
      <c r="G18" s="21"/>
      <c r="H18" s="21" t="s">
        <v>275</v>
      </c>
      <c r="I18" s="21"/>
      <c r="J18" s="22" t="n">
        <v>1</v>
      </c>
      <c r="K18" s="22" t="n">
        <v>1</v>
      </c>
      <c r="L18" s="22" t="n">
        <v>0</v>
      </c>
      <c r="M18" s="21" t="s">
        <v>265</v>
      </c>
      <c r="N18" s="21"/>
      <c r="O18" s="22"/>
      <c r="P18" s="20" t="n">
        <f aca="false">IF($N18="Reduce",N($O18),0)</f>
        <v>0</v>
      </c>
      <c r="Q18" s="23" t="str">
        <f aca="false">IF($F18="","",MID(IF($G18="",", career level","")&amp;IF($I18="",", nationality mandate","")&amp;IF($N18="",", capacity direction","")&amp;IF(N($J18)&lt;=0,", approved HC","")&amp;IF(AND($G18&lt;&gt;"",COUNTIF(CareerLevels,$G18)=0),", a career level that is not on the ladder","")&amp;IF(AND($N18="Reduce",N($O18)&lt;=0),", how many seats Reduce means","")&amp;IF(AND(N($O18)&gt;0,$N18&lt;&gt;"Reduce"),", a number of seats on a row not marked Reduce","")&amp;IF(N($O18)&gt;N($J18),", more seats given up than the row has",""),3,200))</f>
        <v>career level, nationality mandate, capacity direction</v>
      </c>
    </row>
    <row r="19" customFormat="false" ht="15" hidden="false" customHeight="false" outlineLevel="0" collapsed="false">
      <c r="A19" s="21" t="s">
        <v>289</v>
      </c>
      <c r="B19" s="21" t="s">
        <v>63</v>
      </c>
      <c r="C19" s="21" t="s">
        <v>66</v>
      </c>
      <c r="D19" s="21" t="s">
        <v>68</v>
      </c>
      <c r="E19" s="21" t="s">
        <v>78</v>
      </c>
      <c r="F19" s="21" t="s">
        <v>279</v>
      </c>
      <c r="G19" s="21"/>
      <c r="H19" s="21" t="s">
        <v>275</v>
      </c>
      <c r="I19" s="21"/>
      <c r="J19" s="22" t="n">
        <v>1</v>
      </c>
      <c r="K19" s="22" t="n">
        <v>1</v>
      </c>
      <c r="L19" s="22" t="n">
        <v>0</v>
      </c>
      <c r="M19" s="21" t="s">
        <v>277</v>
      </c>
      <c r="N19" s="21"/>
      <c r="O19" s="22"/>
      <c r="P19" s="20" t="n">
        <f aca="false">IF($N19="Reduce",N($O19),0)</f>
        <v>0</v>
      </c>
      <c r="Q19" s="23" t="str">
        <f aca="false">IF($F19="","",MID(IF($G19="",", career level","")&amp;IF($I19="",", nationality mandate","")&amp;IF($N19="",", capacity direction","")&amp;IF(N($J19)&lt;=0,", approved HC","")&amp;IF(AND($G19&lt;&gt;"",COUNTIF(CareerLevels,$G19)=0),", a career level that is not on the ladder","")&amp;IF(AND($N19="Reduce",N($O19)&lt;=0),", how many seats Reduce means","")&amp;IF(AND(N($O19)&gt;0,$N19&lt;&gt;"Reduce"),", a number of seats on a row not marked Reduce","")&amp;IF(N($O19)&gt;N($J19),", more seats given up than the row has",""),3,200))</f>
        <v>career level, nationality mandate, capacity direction</v>
      </c>
    </row>
    <row r="20" customFormat="false" ht="15" hidden="false" customHeight="false" outlineLevel="0" collapsed="false">
      <c r="A20" s="21" t="s">
        <v>282</v>
      </c>
      <c r="B20" s="21" t="s">
        <v>63</v>
      </c>
      <c r="C20" s="21" t="s">
        <v>66</v>
      </c>
      <c r="D20" s="21" t="s">
        <v>68</v>
      </c>
      <c r="E20" s="21" t="s">
        <v>78</v>
      </c>
      <c r="F20" s="21" t="s">
        <v>279</v>
      </c>
      <c r="G20" s="21"/>
      <c r="H20" s="21" t="s">
        <v>275</v>
      </c>
      <c r="I20" s="21"/>
      <c r="J20" s="22" t="n">
        <v>1</v>
      </c>
      <c r="K20" s="22" t="n">
        <v>0</v>
      </c>
      <c r="L20" s="22" t="n">
        <v>1</v>
      </c>
      <c r="M20" s="21" t="s">
        <v>265</v>
      </c>
      <c r="N20" s="21"/>
      <c r="O20" s="22"/>
      <c r="P20" s="20" t="n">
        <f aca="false">IF($N20="Reduce",N($O20),0)</f>
        <v>0</v>
      </c>
      <c r="Q20" s="23" t="str">
        <f aca="false">IF($F20="","",MID(IF($G20="",", career level","")&amp;IF($I20="",", nationality mandate","")&amp;IF($N20="",", capacity direction","")&amp;IF(N($J20)&lt;=0,", approved HC","")&amp;IF(AND($G20&lt;&gt;"",COUNTIF(CareerLevels,$G20)=0),", a career level that is not on the ladder","")&amp;IF(AND($N20="Reduce",N($O20)&lt;=0),", how many seats Reduce means","")&amp;IF(AND(N($O20)&gt;0,$N20&lt;&gt;"Reduce"),", a number of seats on a row not marked Reduce","")&amp;IF(N($O20)&gt;N($J20),", more seats given up than the row has",""),3,200))</f>
        <v>career level, nationality mandate, capacity direction</v>
      </c>
    </row>
    <row r="21" customFormat="false" ht="15" hidden="false" customHeight="false" outlineLevel="0" collapsed="false">
      <c r="A21" s="21"/>
      <c r="B21" s="21" t="s">
        <v>63</v>
      </c>
      <c r="C21" s="21" t="s">
        <v>66</v>
      </c>
      <c r="D21" s="21" t="s">
        <v>68</v>
      </c>
      <c r="E21" s="21" t="s">
        <v>78</v>
      </c>
      <c r="F21" s="21" t="s">
        <v>281</v>
      </c>
      <c r="G21" s="21"/>
      <c r="H21" s="21" t="s">
        <v>275</v>
      </c>
      <c r="I21" s="21"/>
      <c r="J21" s="22" t="n">
        <v>3</v>
      </c>
      <c r="K21" s="22" t="n">
        <v>2</v>
      </c>
      <c r="L21" s="22" t="n">
        <v>1</v>
      </c>
      <c r="M21" s="21" t="s">
        <v>265</v>
      </c>
      <c r="N21" s="21"/>
      <c r="O21" s="22"/>
      <c r="P21" s="20" t="n">
        <f aca="false">IF($N21="Reduce",N($O21),0)</f>
        <v>0</v>
      </c>
      <c r="Q21" s="23" t="str">
        <f aca="false">IF($F21="","",MID(IF($G21="",", career level","")&amp;IF($I21="",", nationality mandate","")&amp;IF($N21="",", capacity direction","")&amp;IF(N($J21)&lt;=0,", approved HC","")&amp;IF(AND($G21&lt;&gt;"",COUNTIF(CareerLevels,$G21)=0),", a career level that is not on the ladder","")&amp;IF(AND($N21="Reduce",N($O21)&lt;=0),", how many seats Reduce means","")&amp;IF(AND(N($O21)&gt;0,$N21&lt;&gt;"Reduce"),", a number of seats on a row not marked Reduce","")&amp;IF(N($O21)&gt;N($J21),", more seats given up than the row has",""),3,200))</f>
        <v>career level, nationality mandate, capacity direction</v>
      </c>
    </row>
    <row r="22" customFormat="false" ht="15" hidden="false" customHeight="false" outlineLevel="0" collapsed="false">
      <c r="A22" s="21"/>
      <c r="B22" s="21" t="s">
        <v>63</v>
      </c>
      <c r="C22" s="21" t="s">
        <v>66</v>
      </c>
      <c r="D22" s="21" t="s">
        <v>68</v>
      </c>
      <c r="E22" s="21" t="s">
        <v>78</v>
      </c>
      <c r="F22" s="21" t="s">
        <v>285</v>
      </c>
      <c r="G22" s="21"/>
      <c r="H22" s="21" t="s">
        <v>275</v>
      </c>
      <c r="I22" s="21"/>
      <c r="J22" s="22" t="n">
        <v>3</v>
      </c>
      <c r="K22" s="22" t="n">
        <v>3</v>
      </c>
      <c r="L22" s="22" t="n">
        <v>0</v>
      </c>
      <c r="M22" s="21" t="s">
        <v>265</v>
      </c>
      <c r="N22" s="21"/>
      <c r="O22" s="22"/>
      <c r="P22" s="20" t="n">
        <f aca="false">IF($N22="Reduce",N($O22),0)</f>
        <v>0</v>
      </c>
      <c r="Q22" s="23" t="str">
        <f aca="false">IF($F22="","",MID(IF($G22="",", career level","")&amp;IF($I22="",", nationality mandate","")&amp;IF($N22="",", capacity direction","")&amp;IF(N($J22)&lt;=0,", approved HC","")&amp;IF(AND($G22&lt;&gt;"",COUNTIF(CareerLevels,$G22)=0),", a career level that is not on the ladder","")&amp;IF(AND($N22="Reduce",N($O22)&lt;=0),", how many seats Reduce means","")&amp;IF(AND(N($O22)&gt;0,$N22&lt;&gt;"Reduce"),", a number of seats on a row not marked Reduce","")&amp;IF(N($O22)&gt;N($J22),", more seats given up than the row has",""),3,200))</f>
        <v>career level, nationality mandate, capacity direction</v>
      </c>
    </row>
    <row r="23" customFormat="false" ht="15" hidden="false" customHeight="false" outlineLevel="0" collapsed="false">
      <c r="A23" s="21" t="s">
        <v>266</v>
      </c>
      <c r="B23" s="21" t="s">
        <v>63</v>
      </c>
      <c r="C23" s="21" t="s">
        <v>66</v>
      </c>
      <c r="D23" s="21" t="s">
        <v>68</v>
      </c>
      <c r="E23" s="21" t="s">
        <v>78</v>
      </c>
      <c r="F23" s="21" t="s">
        <v>287</v>
      </c>
      <c r="G23" s="21"/>
      <c r="H23" s="21" t="s">
        <v>273</v>
      </c>
      <c r="I23" s="21"/>
      <c r="J23" s="22" t="n">
        <v>1</v>
      </c>
      <c r="K23" s="22" t="n">
        <v>1</v>
      </c>
      <c r="L23" s="22" t="n">
        <v>0</v>
      </c>
      <c r="M23" s="21" t="s">
        <v>265</v>
      </c>
      <c r="N23" s="21"/>
      <c r="O23" s="22"/>
      <c r="P23" s="20" t="n">
        <f aca="false">IF($N23="Reduce",N($O23),0)</f>
        <v>0</v>
      </c>
      <c r="Q23" s="23" t="str">
        <f aca="false">IF($F23="","",MID(IF($G23="",", career level","")&amp;IF($I23="",", nationality mandate","")&amp;IF($N23="",", capacity direction","")&amp;IF(N($J23)&lt;=0,", approved HC","")&amp;IF(AND($G23&lt;&gt;"",COUNTIF(CareerLevels,$G23)=0),", a career level that is not on the ladder","")&amp;IF(AND($N23="Reduce",N($O23)&lt;=0),", how many seats Reduce means","")&amp;IF(AND(N($O23)&gt;0,$N23&lt;&gt;"Reduce"),", a number of seats on a row not marked Reduce","")&amp;IF(N($O23)&gt;N($J23),", more seats given up than the row has",""),3,200))</f>
        <v>career level, nationality mandate, capacity direction</v>
      </c>
    </row>
    <row r="24" customFormat="false" ht="15" hidden="false" customHeight="false" outlineLevel="0" collapsed="false">
      <c r="A24" s="21" t="s">
        <v>290</v>
      </c>
      <c r="B24" s="21" t="s">
        <v>63</v>
      </c>
      <c r="C24" s="21" t="s">
        <v>66</v>
      </c>
      <c r="D24" s="21" t="s">
        <v>84</v>
      </c>
      <c r="E24" s="21"/>
      <c r="F24" s="21" t="s">
        <v>272</v>
      </c>
      <c r="G24" s="21"/>
      <c r="H24" s="21" t="s">
        <v>273</v>
      </c>
      <c r="I24" s="21"/>
      <c r="J24" s="22" t="n">
        <v>1</v>
      </c>
      <c r="K24" s="22" t="n">
        <v>1</v>
      </c>
      <c r="L24" s="22" t="n">
        <v>0</v>
      </c>
      <c r="M24" s="21" t="s">
        <v>265</v>
      </c>
      <c r="N24" s="21"/>
      <c r="O24" s="22"/>
      <c r="P24" s="20" t="n">
        <f aca="false">IF($N24="Reduce",N($O24),0)</f>
        <v>0</v>
      </c>
      <c r="Q24" s="23" t="str">
        <f aca="false">IF($F24="","",MID(IF($G24="",", career level","")&amp;IF($I24="",", nationality mandate","")&amp;IF($N24="",", capacity direction","")&amp;IF(N($J24)&lt;=0,", approved HC","")&amp;IF(AND($G24&lt;&gt;"",COUNTIF(CareerLevels,$G24)=0),", a career level that is not on the ladder","")&amp;IF(AND($N24="Reduce",N($O24)&lt;=0),", how many seats Reduce means","")&amp;IF(AND(N($O24)&gt;0,$N24&lt;&gt;"Reduce"),", a number of seats on a row not marked Reduce","")&amp;IF(N($O24)&gt;N($J24),", more seats given up than the row has",""),3,200))</f>
        <v>career level, nationality mandate, capacity direction</v>
      </c>
    </row>
    <row r="25" customFormat="false" ht="15" hidden="false" customHeight="false" outlineLevel="0" collapsed="false">
      <c r="A25" s="21"/>
      <c r="B25" s="21" t="s">
        <v>63</v>
      </c>
      <c r="C25" s="21" t="s">
        <v>66</v>
      </c>
      <c r="D25" s="21" t="s">
        <v>84</v>
      </c>
      <c r="E25" s="21" t="s">
        <v>86</v>
      </c>
      <c r="F25" s="21" t="s">
        <v>274</v>
      </c>
      <c r="G25" s="21"/>
      <c r="H25" s="21" t="s">
        <v>275</v>
      </c>
      <c r="I25" s="21"/>
      <c r="J25" s="22" t="n">
        <v>2</v>
      </c>
      <c r="K25" s="22" t="n">
        <v>2</v>
      </c>
      <c r="L25" s="22" t="n">
        <v>0</v>
      </c>
      <c r="M25" s="21" t="s">
        <v>265</v>
      </c>
      <c r="N25" s="21"/>
      <c r="O25" s="22"/>
      <c r="P25" s="20" t="n">
        <f aca="false">IF($N25="Reduce",N($O25),0)</f>
        <v>0</v>
      </c>
      <c r="Q25" s="23" t="str">
        <f aca="false">IF($F25="","",MID(IF($G25="",", career level","")&amp;IF($I25="",", nationality mandate","")&amp;IF($N25="",", capacity direction","")&amp;IF(N($J25)&lt;=0,", approved HC","")&amp;IF(AND($G25&lt;&gt;"",COUNTIF(CareerLevels,$G25)=0),", a career level that is not on the ladder","")&amp;IF(AND($N25="Reduce",N($O25)&lt;=0),", how many seats Reduce means","")&amp;IF(AND(N($O25)&gt;0,$N25&lt;&gt;"Reduce"),", a number of seats on a row not marked Reduce","")&amp;IF(N($O25)&gt;N($J25),", more seats given up than the row has",""),3,200))</f>
        <v>career level, nationality mandate, capacity direction</v>
      </c>
    </row>
    <row r="26" customFormat="false" ht="15" hidden="false" customHeight="false" outlineLevel="0" collapsed="false">
      <c r="A26" s="21" t="s">
        <v>266</v>
      </c>
      <c r="B26" s="21" t="s">
        <v>63</v>
      </c>
      <c r="C26" s="21" t="s">
        <v>66</v>
      </c>
      <c r="D26" s="21" t="s">
        <v>84</v>
      </c>
      <c r="E26" s="21" t="s">
        <v>86</v>
      </c>
      <c r="F26" s="21" t="s">
        <v>279</v>
      </c>
      <c r="G26" s="21"/>
      <c r="H26" s="21" t="s">
        <v>275</v>
      </c>
      <c r="I26" s="21"/>
      <c r="J26" s="22" t="n">
        <v>1</v>
      </c>
      <c r="K26" s="22" t="n">
        <v>1</v>
      </c>
      <c r="L26" s="22" t="n">
        <v>0</v>
      </c>
      <c r="M26" s="21" t="s">
        <v>265</v>
      </c>
      <c r="N26" s="21"/>
      <c r="O26" s="22"/>
      <c r="P26" s="20" t="n">
        <f aca="false">IF($N26="Reduce",N($O26),0)</f>
        <v>0</v>
      </c>
      <c r="Q26" s="23" t="str">
        <f aca="false">IF($F26="","",MID(IF($G26="",", career level","")&amp;IF($I26="",", nationality mandate","")&amp;IF($N26="",", capacity direction","")&amp;IF(N($J26)&lt;=0,", approved HC","")&amp;IF(AND($G26&lt;&gt;"",COUNTIF(CareerLevels,$G26)=0),", a career level that is not on the ladder","")&amp;IF(AND($N26="Reduce",N($O26)&lt;=0),", how many seats Reduce means","")&amp;IF(AND(N($O26)&gt;0,$N26&lt;&gt;"Reduce"),", a number of seats on a row not marked Reduce","")&amp;IF(N($O26)&gt;N($J26),", more seats given up than the row has",""),3,200))</f>
        <v>career level, nationality mandate, capacity direction</v>
      </c>
    </row>
    <row r="27" customFormat="false" ht="15" hidden="false" customHeight="false" outlineLevel="0" collapsed="false">
      <c r="A27" s="21" t="s">
        <v>291</v>
      </c>
      <c r="B27" s="21" t="s">
        <v>63</v>
      </c>
      <c r="C27" s="21" t="s">
        <v>66</v>
      </c>
      <c r="D27" s="21" t="s">
        <v>84</v>
      </c>
      <c r="E27" s="21" t="s">
        <v>86</v>
      </c>
      <c r="F27" s="21" t="s">
        <v>281</v>
      </c>
      <c r="G27" s="21"/>
      <c r="H27" s="21" t="s">
        <v>275</v>
      </c>
      <c r="I27" s="21"/>
      <c r="J27" s="22" t="n">
        <v>1</v>
      </c>
      <c r="K27" s="22" t="n">
        <v>1</v>
      </c>
      <c r="L27" s="22" t="n">
        <v>0</v>
      </c>
      <c r="M27" s="21" t="s">
        <v>265</v>
      </c>
      <c r="N27" s="21"/>
      <c r="O27" s="22"/>
      <c r="P27" s="20" t="n">
        <f aca="false">IF($N27="Reduce",N($O27),0)</f>
        <v>0</v>
      </c>
      <c r="Q27" s="23" t="str">
        <f aca="false">IF($F27="","",MID(IF($G27="",", career level","")&amp;IF($I27="",", nationality mandate","")&amp;IF($N27="",", capacity direction","")&amp;IF(N($J27)&lt;=0,", approved HC","")&amp;IF(AND($G27&lt;&gt;"",COUNTIF(CareerLevels,$G27)=0),", a career level that is not on the ladder","")&amp;IF(AND($N27="Reduce",N($O27)&lt;=0),", how many seats Reduce means","")&amp;IF(AND(N($O27)&gt;0,$N27&lt;&gt;"Reduce"),", a number of seats on a row not marked Reduce","")&amp;IF(N($O27)&gt;N($J27),", more seats given up than the row has",""),3,200))</f>
        <v>career level, nationality mandate, capacity direction</v>
      </c>
    </row>
    <row r="28" customFormat="false" ht="15" hidden="false" customHeight="false" outlineLevel="0" collapsed="false">
      <c r="A28" s="21"/>
      <c r="B28" s="21" t="s">
        <v>63</v>
      </c>
      <c r="C28" s="21" t="s">
        <v>66</v>
      </c>
      <c r="D28" s="21" t="s">
        <v>84</v>
      </c>
      <c r="E28" s="21" t="s">
        <v>86</v>
      </c>
      <c r="F28" s="21" t="s">
        <v>283</v>
      </c>
      <c r="G28" s="21"/>
      <c r="H28" s="21" t="s">
        <v>275</v>
      </c>
      <c r="I28" s="21"/>
      <c r="J28" s="22" t="n">
        <v>2</v>
      </c>
      <c r="K28" s="22" t="n">
        <v>1</v>
      </c>
      <c r="L28" s="22" t="n">
        <v>1</v>
      </c>
      <c r="M28" s="21" t="s">
        <v>265</v>
      </c>
      <c r="N28" s="21"/>
      <c r="O28" s="22"/>
      <c r="P28" s="20" t="n">
        <f aca="false">IF($N28="Reduce",N($O28),0)</f>
        <v>0</v>
      </c>
      <c r="Q28" s="23" t="str">
        <f aca="false">IF($F28="","",MID(IF($G28="",", career level","")&amp;IF($I28="",", nationality mandate","")&amp;IF($N28="",", capacity direction","")&amp;IF(N($J28)&lt;=0,", approved HC","")&amp;IF(AND($G28&lt;&gt;"",COUNTIF(CareerLevels,$G28)=0),", a career level that is not on the ladder","")&amp;IF(AND($N28="Reduce",N($O28)&lt;=0),", how many seats Reduce means","")&amp;IF(AND(N($O28)&gt;0,$N28&lt;&gt;"Reduce"),", a number of seats on a row not marked Reduce","")&amp;IF(N($O28)&gt;N($J28),", more seats given up than the row has",""),3,200))</f>
        <v>career level, nationality mandate, capacity direction</v>
      </c>
    </row>
    <row r="29" customFormat="false" ht="15" hidden="false" customHeight="false" outlineLevel="0" collapsed="false">
      <c r="A29" s="21"/>
      <c r="B29" s="21" t="s">
        <v>63</v>
      </c>
      <c r="C29" s="21" t="s">
        <v>66</v>
      </c>
      <c r="D29" s="21" t="s">
        <v>84</v>
      </c>
      <c r="E29" s="21" t="s">
        <v>86</v>
      </c>
      <c r="F29" s="21" t="s">
        <v>285</v>
      </c>
      <c r="G29" s="21"/>
      <c r="H29" s="21" t="s">
        <v>275</v>
      </c>
      <c r="I29" s="21"/>
      <c r="J29" s="22" t="n">
        <v>3</v>
      </c>
      <c r="K29" s="22" t="n">
        <v>3</v>
      </c>
      <c r="L29" s="22" t="n">
        <v>0</v>
      </c>
      <c r="M29" s="21" t="s">
        <v>265</v>
      </c>
      <c r="N29" s="21"/>
      <c r="O29" s="22"/>
      <c r="P29" s="20" t="n">
        <f aca="false">IF($N29="Reduce",N($O29),0)</f>
        <v>0</v>
      </c>
      <c r="Q29" s="23" t="str">
        <f aca="false">IF($F29="","",MID(IF($G29="",", career level","")&amp;IF($I29="",", nationality mandate","")&amp;IF($N29="",", capacity direction","")&amp;IF(N($J29)&lt;=0,", approved HC","")&amp;IF(AND($G29&lt;&gt;"",COUNTIF(CareerLevels,$G29)=0),", a career level that is not on the ladder","")&amp;IF(AND($N29="Reduce",N($O29)&lt;=0),", how many seats Reduce means","")&amp;IF(AND(N($O29)&gt;0,$N29&lt;&gt;"Reduce"),", a number of seats on a row not marked Reduce","")&amp;IF(N($O29)&gt;N($J29),", more seats given up than the row has",""),3,200))</f>
        <v>career level, nationality mandate, capacity direction</v>
      </c>
    </row>
    <row r="30" customFormat="false" ht="15" hidden="false" customHeight="false" outlineLevel="0" collapsed="false">
      <c r="A30" s="21" t="s">
        <v>292</v>
      </c>
      <c r="B30" s="21" t="s">
        <v>63</v>
      </c>
      <c r="C30" s="21" t="s">
        <v>66</v>
      </c>
      <c r="D30" s="21" t="s">
        <v>84</v>
      </c>
      <c r="E30" s="21" t="s">
        <v>86</v>
      </c>
      <c r="F30" s="21" t="s">
        <v>287</v>
      </c>
      <c r="G30" s="21"/>
      <c r="H30" s="21" t="s">
        <v>273</v>
      </c>
      <c r="I30" s="21"/>
      <c r="J30" s="22" t="n">
        <v>1</v>
      </c>
      <c r="K30" s="22" t="n">
        <v>1</v>
      </c>
      <c r="L30" s="22" t="n">
        <v>0</v>
      </c>
      <c r="M30" s="21" t="s">
        <v>265</v>
      </c>
      <c r="N30" s="21"/>
      <c r="O30" s="22"/>
      <c r="P30" s="20" t="n">
        <f aca="false">IF($N30="Reduce",N($O30),0)</f>
        <v>0</v>
      </c>
      <c r="Q30" s="23" t="str">
        <f aca="false">IF($F30="","",MID(IF($G30="",", career level","")&amp;IF($I30="",", nationality mandate","")&amp;IF($N30="",", capacity direction","")&amp;IF(N($J30)&lt;=0,", approved HC","")&amp;IF(AND($G30&lt;&gt;"",COUNTIF(CareerLevels,$G30)=0),", a career level that is not on the ladder","")&amp;IF(AND($N30="Reduce",N($O30)&lt;=0),", how many seats Reduce means","")&amp;IF(AND(N($O30)&gt;0,$N30&lt;&gt;"Reduce"),", a number of seats on a row not marked Reduce","")&amp;IF(N($O30)&gt;N($J30),", more seats given up than the row has",""),3,200))</f>
        <v>career level, nationality mandate, capacity direction</v>
      </c>
    </row>
    <row r="31" customFormat="false" ht="15" hidden="false" customHeight="false" outlineLevel="0" collapsed="false">
      <c r="A31" s="21" t="s">
        <v>293</v>
      </c>
      <c r="B31" s="21" t="s">
        <v>63</v>
      </c>
      <c r="C31" s="21" t="s">
        <v>66</v>
      </c>
      <c r="D31" s="21" t="s">
        <v>84</v>
      </c>
      <c r="E31" s="21" t="s">
        <v>92</v>
      </c>
      <c r="F31" s="21" t="s">
        <v>274</v>
      </c>
      <c r="G31" s="21"/>
      <c r="H31" s="21" t="s">
        <v>275</v>
      </c>
      <c r="I31" s="21"/>
      <c r="J31" s="22" t="n">
        <v>1</v>
      </c>
      <c r="K31" s="22" t="n">
        <v>1</v>
      </c>
      <c r="L31" s="22" t="n">
        <v>0</v>
      </c>
      <c r="M31" s="21" t="s">
        <v>265</v>
      </c>
      <c r="N31" s="21"/>
      <c r="O31" s="22"/>
      <c r="P31" s="20" t="n">
        <f aca="false">IF($N31="Reduce",N($O31),0)</f>
        <v>0</v>
      </c>
      <c r="Q31" s="23" t="str">
        <f aca="false">IF($F31="","",MID(IF($G31="",", career level","")&amp;IF($I31="",", nationality mandate","")&amp;IF($N31="",", capacity direction","")&amp;IF(N($J31)&lt;=0,", approved HC","")&amp;IF(AND($G31&lt;&gt;"",COUNTIF(CareerLevels,$G31)=0),", a career level that is not on the ladder","")&amp;IF(AND($N31="Reduce",N($O31)&lt;=0),", how many seats Reduce means","")&amp;IF(AND(N($O31)&gt;0,$N31&lt;&gt;"Reduce"),", a number of seats on a row not marked Reduce","")&amp;IF(N($O31)&gt;N($J31),", more seats given up than the row has",""),3,200))</f>
        <v>career level, nationality mandate, capacity direction</v>
      </c>
    </row>
    <row r="32" customFormat="false" ht="15" hidden="false" customHeight="false" outlineLevel="0" collapsed="false">
      <c r="A32" s="21"/>
      <c r="B32" s="21" t="s">
        <v>63</v>
      </c>
      <c r="C32" s="21" t="s">
        <v>66</v>
      </c>
      <c r="D32" s="21" t="s">
        <v>84</v>
      </c>
      <c r="E32" s="21" t="s">
        <v>92</v>
      </c>
      <c r="F32" s="21" t="s">
        <v>281</v>
      </c>
      <c r="G32" s="21"/>
      <c r="H32" s="21" t="s">
        <v>275</v>
      </c>
      <c r="I32" s="21"/>
      <c r="J32" s="22" t="n">
        <v>3</v>
      </c>
      <c r="K32" s="22" t="n">
        <v>3</v>
      </c>
      <c r="L32" s="22" t="n">
        <v>0</v>
      </c>
      <c r="M32" s="21" t="s">
        <v>265</v>
      </c>
      <c r="N32" s="21"/>
      <c r="O32" s="22"/>
      <c r="P32" s="20" t="n">
        <f aca="false">IF($N32="Reduce",N($O32),0)</f>
        <v>0</v>
      </c>
      <c r="Q32" s="23" t="str">
        <f aca="false">IF($F32="","",MID(IF($G32="",", career level","")&amp;IF($I32="",", nationality mandate","")&amp;IF($N32="",", capacity direction","")&amp;IF(N($J32)&lt;=0,", approved HC","")&amp;IF(AND($G32&lt;&gt;"",COUNTIF(CareerLevels,$G32)=0),", a career level that is not on the ladder","")&amp;IF(AND($N32="Reduce",N($O32)&lt;=0),", how many seats Reduce means","")&amp;IF(AND(N($O32)&gt;0,$N32&lt;&gt;"Reduce"),", a number of seats on a row not marked Reduce","")&amp;IF(N($O32)&gt;N($J32),", more seats given up than the row has",""),3,200))</f>
        <v>career level, nationality mandate, capacity direction</v>
      </c>
    </row>
    <row r="33" customFormat="false" ht="15" hidden="false" customHeight="false" outlineLevel="0" collapsed="false">
      <c r="A33" s="21" t="s">
        <v>294</v>
      </c>
      <c r="B33" s="21" t="s">
        <v>63</v>
      </c>
      <c r="C33" s="21" t="s">
        <v>66</v>
      </c>
      <c r="D33" s="21" t="s">
        <v>84</v>
      </c>
      <c r="E33" s="21" t="s">
        <v>92</v>
      </c>
      <c r="F33" s="21" t="s">
        <v>283</v>
      </c>
      <c r="G33" s="21"/>
      <c r="H33" s="21" t="s">
        <v>275</v>
      </c>
      <c r="I33" s="21"/>
      <c r="J33" s="22" t="n">
        <v>1</v>
      </c>
      <c r="K33" s="22" t="n">
        <v>1</v>
      </c>
      <c r="L33" s="22" t="n">
        <v>0</v>
      </c>
      <c r="M33" s="21" t="s">
        <v>265</v>
      </c>
      <c r="N33" s="21"/>
      <c r="O33" s="22"/>
      <c r="P33" s="20" t="n">
        <f aca="false">IF($N33="Reduce",N($O33),0)</f>
        <v>0</v>
      </c>
      <c r="Q33" s="23" t="str">
        <f aca="false">IF($F33="","",MID(IF($G33="",", career level","")&amp;IF($I33="",", nationality mandate","")&amp;IF($N33="",", capacity direction","")&amp;IF(N($J33)&lt;=0,", approved HC","")&amp;IF(AND($G33&lt;&gt;"",COUNTIF(CareerLevels,$G33)=0),", a career level that is not on the ladder","")&amp;IF(AND($N33="Reduce",N($O33)&lt;=0),", how many seats Reduce means","")&amp;IF(AND(N($O33)&gt;0,$N33&lt;&gt;"Reduce"),", a number of seats on a row not marked Reduce","")&amp;IF(N($O33)&gt;N($J33),", more seats given up than the row has",""),3,200))</f>
        <v>career level, nationality mandate, capacity direction</v>
      </c>
    </row>
    <row r="34" customFormat="false" ht="15" hidden="false" customHeight="false" outlineLevel="0" collapsed="false">
      <c r="A34" s="21" t="s">
        <v>292</v>
      </c>
      <c r="B34" s="21" t="s">
        <v>63</v>
      </c>
      <c r="C34" s="21" t="s">
        <v>66</v>
      </c>
      <c r="D34" s="21" t="s">
        <v>84</v>
      </c>
      <c r="E34" s="21" t="s">
        <v>92</v>
      </c>
      <c r="F34" s="21" t="s">
        <v>285</v>
      </c>
      <c r="G34" s="21"/>
      <c r="H34" s="21" t="s">
        <v>275</v>
      </c>
      <c r="I34" s="21"/>
      <c r="J34" s="22" t="n">
        <v>1</v>
      </c>
      <c r="K34" s="22" t="n">
        <v>1</v>
      </c>
      <c r="L34" s="22" t="n">
        <v>0</v>
      </c>
      <c r="M34" s="21" t="s">
        <v>265</v>
      </c>
      <c r="N34" s="21"/>
      <c r="O34" s="22"/>
      <c r="P34" s="20" t="n">
        <f aca="false">IF($N34="Reduce",N($O34),0)</f>
        <v>0</v>
      </c>
      <c r="Q34" s="23" t="str">
        <f aca="false">IF($F34="","",MID(IF($G34="",", career level","")&amp;IF($I34="",", nationality mandate","")&amp;IF($N34="",", capacity direction","")&amp;IF(N($J34)&lt;=0,", approved HC","")&amp;IF(AND($G34&lt;&gt;"",COUNTIF(CareerLevels,$G34)=0),", a career level that is not on the ladder","")&amp;IF(AND($N34="Reduce",N($O34)&lt;=0),", how many seats Reduce means","")&amp;IF(AND(N($O34)&gt;0,$N34&lt;&gt;"Reduce"),", a number of seats on a row not marked Reduce","")&amp;IF(N($O34)&gt;N($J34),", more seats given up than the row has",""),3,200))</f>
        <v>career level, nationality mandate, capacity direction</v>
      </c>
    </row>
    <row r="35" customFormat="false" ht="15" hidden="false" customHeight="false" outlineLevel="0" collapsed="false">
      <c r="A35" s="21" t="s">
        <v>295</v>
      </c>
      <c r="B35" s="21" t="s">
        <v>63</v>
      </c>
      <c r="C35" s="21" t="s">
        <v>66</v>
      </c>
      <c r="D35" s="21" t="s">
        <v>84</v>
      </c>
      <c r="E35" s="21" t="s">
        <v>92</v>
      </c>
      <c r="F35" s="21" t="s">
        <v>287</v>
      </c>
      <c r="G35" s="21"/>
      <c r="H35" s="21" t="s">
        <v>273</v>
      </c>
      <c r="I35" s="21"/>
      <c r="J35" s="22" t="n">
        <v>1</v>
      </c>
      <c r="K35" s="22" t="n">
        <v>1</v>
      </c>
      <c r="L35" s="22" t="n">
        <v>0</v>
      </c>
      <c r="M35" s="21" t="s">
        <v>265</v>
      </c>
      <c r="N35" s="21"/>
      <c r="O35" s="22"/>
      <c r="P35" s="20" t="n">
        <f aca="false">IF($N35="Reduce",N($O35),0)</f>
        <v>0</v>
      </c>
      <c r="Q35" s="23" t="str">
        <f aca="false">IF($F35="","",MID(IF($G35="",", career level","")&amp;IF($I35="",", nationality mandate","")&amp;IF($N35="",", capacity direction","")&amp;IF(N($J35)&lt;=0,", approved HC","")&amp;IF(AND($G35&lt;&gt;"",COUNTIF(CareerLevels,$G35)=0),", a career level that is not on the ladder","")&amp;IF(AND($N35="Reduce",N($O35)&lt;=0),", how many seats Reduce means","")&amp;IF(AND(N($O35)&gt;0,$N35&lt;&gt;"Reduce"),", a number of seats on a row not marked Reduce","")&amp;IF(N($O35)&gt;N($J35),", more seats given up than the row has",""),3,200))</f>
        <v>career level, nationality mandate, capacity direction</v>
      </c>
    </row>
    <row r="36" customFormat="false" ht="15" hidden="false" customHeight="false" outlineLevel="0" collapsed="false">
      <c r="A36" s="21" t="s">
        <v>296</v>
      </c>
      <c r="B36" s="21" t="s">
        <v>63</v>
      </c>
      <c r="C36" s="21" t="s">
        <v>98</v>
      </c>
      <c r="D36" s="21"/>
      <c r="E36" s="21"/>
      <c r="F36" s="21" t="s">
        <v>297</v>
      </c>
      <c r="G36" s="21"/>
      <c r="H36" s="21" t="s">
        <v>268</v>
      </c>
      <c r="I36" s="21"/>
      <c r="J36" s="22" t="n">
        <v>1</v>
      </c>
      <c r="K36" s="22" t="n">
        <v>1</v>
      </c>
      <c r="L36" s="22" t="n">
        <v>0</v>
      </c>
      <c r="M36" s="21" t="s">
        <v>265</v>
      </c>
      <c r="N36" s="21"/>
      <c r="O36" s="22"/>
      <c r="P36" s="20" t="n">
        <f aca="false">IF($N36="Reduce",N($O36),0)</f>
        <v>0</v>
      </c>
      <c r="Q36" s="23" t="str">
        <f aca="false">IF($F36="","",MID(IF($G36="",", career level","")&amp;IF($I36="",", nationality mandate","")&amp;IF($N36="",", capacity direction","")&amp;IF(N($J36)&lt;=0,", approved HC","")&amp;IF(AND($G36&lt;&gt;"",COUNTIF(CareerLevels,$G36)=0),", a career level that is not on the ladder","")&amp;IF(AND($N36="Reduce",N($O36)&lt;=0),", how many seats Reduce means","")&amp;IF(AND(N($O36)&gt;0,$N36&lt;&gt;"Reduce"),", a number of seats on a row not marked Reduce","")&amp;IF(N($O36)&gt;N($J36),", more seats given up than the row has",""),3,200))</f>
        <v>career level, nationality mandate, capacity direction</v>
      </c>
    </row>
    <row r="37" customFormat="false" ht="15" hidden="false" customHeight="false" outlineLevel="0" collapsed="false">
      <c r="A37" s="21" t="s">
        <v>298</v>
      </c>
      <c r="B37" s="21" t="s">
        <v>63</v>
      </c>
      <c r="C37" s="21" t="s">
        <v>98</v>
      </c>
      <c r="D37" s="21" t="s">
        <v>100</v>
      </c>
      <c r="E37" s="21"/>
      <c r="F37" s="21" t="s">
        <v>299</v>
      </c>
      <c r="G37" s="21"/>
      <c r="H37" s="21" t="s">
        <v>273</v>
      </c>
      <c r="I37" s="21"/>
      <c r="J37" s="22" t="n">
        <v>1</v>
      </c>
      <c r="K37" s="22" t="n">
        <v>1</v>
      </c>
      <c r="L37" s="22" t="n">
        <v>0</v>
      </c>
      <c r="M37" s="21" t="s">
        <v>265</v>
      </c>
      <c r="N37" s="21"/>
      <c r="O37" s="22"/>
      <c r="P37" s="20" t="n">
        <f aca="false">IF($N37="Reduce",N($O37),0)</f>
        <v>0</v>
      </c>
      <c r="Q37" s="23" t="str">
        <f aca="false">IF($F37="","",MID(IF($G37="",", career level","")&amp;IF($I37="",", nationality mandate","")&amp;IF($N37="",", capacity direction","")&amp;IF(N($J37)&lt;=0,", approved HC","")&amp;IF(AND($G37&lt;&gt;"",COUNTIF(CareerLevels,$G37)=0),", a career level that is not on the ladder","")&amp;IF(AND($N37="Reduce",N($O37)&lt;=0),", how many seats Reduce means","")&amp;IF(AND(N($O37)&gt;0,$N37&lt;&gt;"Reduce"),", a number of seats on a row not marked Reduce","")&amp;IF(N($O37)&gt;N($J37),", more seats given up than the row has",""),3,200))</f>
        <v>career level, nationality mandate, capacity direction</v>
      </c>
    </row>
    <row r="38" customFormat="false" ht="15" hidden="false" customHeight="false" outlineLevel="0" collapsed="false">
      <c r="A38" s="21"/>
      <c r="B38" s="21" t="s">
        <v>63</v>
      </c>
      <c r="C38" s="21" t="s">
        <v>98</v>
      </c>
      <c r="D38" s="21" t="s">
        <v>100</v>
      </c>
      <c r="E38" s="21" t="s">
        <v>102</v>
      </c>
      <c r="F38" s="21" t="s">
        <v>300</v>
      </c>
      <c r="G38" s="21"/>
      <c r="H38" s="21" t="s">
        <v>275</v>
      </c>
      <c r="I38" s="21"/>
      <c r="J38" s="22" t="n">
        <v>2</v>
      </c>
      <c r="K38" s="22" t="n">
        <v>2</v>
      </c>
      <c r="L38" s="22" t="n">
        <v>0</v>
      </c>
      <c r="M38" s="21" t="s">
        <v>265</v>
      </c>
      <c r="N38" s="21"/>
      <c r="O38" s="22"/>
      <c r="P38" s="20" t="n">
        <f aca="false">IF($N38="Reduce",N($O38),0)</f>
        <v>0</v>
      </c>
      <c r="Q38" s="23" t="str">
        <f aca="false">IF($F38="","",MID(IF($G38="",", career level","")&amp;IF($I38="",", nationality mandate","")&amp;IF($N38="",", capacity direction","")&amp;IF(N($J38)&lt;=0,", approved HC","")&amp;IF(AND($G38&lt;&gt;"",COUNTIF(CareerLevels,$G38)=0),", a career level that is not on the ladder","")&amp;IF(AND($N38="Reduce",N($O38)&lt;=0),", how many seats Reduce means","")&amp;IF(AND(N($O38)&gt;0,$N38&lt;&gt;"Reduce"),", a number of seats on a row not marked Reduce","")&amp;IF(N($O38)&gt;N($J38),", more seats given up than the row has",""),3,200))</f>
        <v>career level, nationality mandate, capacity direction</v>
      </c>
    </row>
    <row r="39" customFormat="false" ht="15" hidden="false" customHeight="false" outlineLevel="0" collapsed="false">
      <c r="A39" s="21"/>
      <c r="B39" s="21" t="s">
        <v>63</v>
      </c>
      <c r="C39" s="21" t="s">
        <v>98</v>
      </c>
      <c r="D39" s="21" t="s">
        <v>100</v>
      </c>
      <c r="E39" s="21" t="s">
        <v>102</v>
      </c>
      <c r="F39" s="21" t="s">
        <v>301</v>
      </c>
      <c r="G39" s="21"/>
      <c r="H39" s="21" t="s">
        <v>275</v>
      </c>
      <c r="I39" s="21"/>
      <c r="J39" s="22" t="n">
        <v>2</v>
      </c>
      <c r="K39" s="22" t="n">
        <v>2</v>
      </c>
      <c r="L39" s="22" t="n">
        <v>0</v>
      </c>
      <c r="M39" s="21" t="s">
        <v>265</v>
      </c>
      <c r="N39" s="21"/>
      <c r="O39" s="22"/>
      <c r="P39" s="20" t="n">
        <f aca="false">IF($N39="Reduce",N($O39),0)</f>
        <v>0</v>
      </c>
      <c r="Q39" s="23" t="str">
        <f aca="false">IF($F39="","",MID(IF($G39="",", career level","")&amp;IF($I39="",", nationality mandate","")&amp;IF($N39="",", capacity direction","")&amp;IF(N($J39)&lt;=0,", approved HC","")&amp;IF(AND($G39&lt;&gt;"",COUNTIF(CareerLevels,$G39)=0),", a career level that is not on the ladder","")&amp;IF(AND($N39="Reduce",N($O39)&lt;=0),", how many seats Reduce means","")&amp;IF(AND(N($O39)&gt;0,$N39&lt;&gt;"Reduce"),", a number of seats on a row not marked Reduce","")&amp;IF(N($O39)&gt;N($J39),", more seats given up than the row has",""),3,200))</f>
        <v>career level, nationality mandate, capacity direction</v>
      </c>
    </row>
    <row r="40" customFormat="false" ht="15" hidden="false" customHeight="false" outlineLevel="0" collapsed="false">
      <c r="A40" s="21"/>
      <c r="B40" s="21" t="s">
        <v>63</v>
      </c>
      <c r="C40" s="21" t="s">
        <v>98</v>
      </c>
      <c r="D40" s="21" t="s">
        <v>100</v>
      </c>
      <c r="E40" s="21" t="s">
        <v>102</v>
      </c>
      <c r="F40" s="21" t="s">
        <v>302</v>
      </c>
      <c r="G40" s="21"/>
      <c r="H40" s="21" t="s">
        <v>275</v>
      </c>
      <c r="I40" s="21"/>
      <c r="J40" s="22" t="n">
        <v>2</v>
      </c>
      <c r="K40" s="22" t="n">
        <v>2</v>
      </c>
      <c r="L40" s="22" t="n">
        <v>0</v>
      </c>
      <c r="M40" s="21" t="s">
        <v>265</v>
      </c>
      <c r="N40" s="21"/>
      <c r="O40" s="22"/>
      <c r="P40" s="20" t="n">
        <f aca="false">IF($N40="Reduce",N($O40),0)</f>
        <v>0</v>
      </c>
      <c r="Q40" s="23" t="str">
        <f aca="false">IF($F40="","",MID(IF($G40="",", career level","")&amp;IF($I40="",", nationality mandate","")&amp;IF($N40="",", capacity direction","")&amp;IF(N($J40)&lt;=0,", approved HC","")&amp;IF(AND($G40&lt;&gt;"",COUNTIF(CareerLevels,$G40)=0),", a career level that is not on the ladder","")&amp;IF(AND($N40="Reduce",N($O40)&lt;=0),", how many seats Reduce means","")&amp;IF(AND(N($O40)&gt;0,$N40&lt;&gt;"Reduce"),", a number of seats on a row not marked Reduce","")&amp;IF(N($O40)&gt;N($J40),", more seats given up than the row has",""),3,200))</f>
        <v>career level, nationality mandate, capacity direction</v>
      </c>
    </row>
    <row r="41" customFormat="false" ht="15" hidden="false" customHeight="false" outlineLevel="0" collapsed="false">
      <c r="A41" s="21" t="s">
        <v>303</v>
      </c>
      <c r="B41" s="21" t="s">
        <v>63</v>
      </c>
      <c r="C41" s="21" t="s">
        <v>98</v>
      </c>
      <c r="D41" s="21" t="s">
        <v>100</v>
      </c>
      <c r="E41" s="21" t="s">
        <v>102</v>
      </c>
      <c r="F41" s="21" t="s">
        <v>304</v>
      </c>
      <c r="G41" s="21"/>
      <c r="H41" s="21" t="s">
        <v>275</v>
      </c>
      <c r="I41" s="21"/>
      <c r="J41" s="22" t="n">
        <v>1</v>
      </c>
      <c r="K41" s="22" t="n">
        <v>1</v>
      </c>
      <c r="L41" s="22" t="n">
        <v>0</v>
      </c>
      <c r="M41" s="21" t="s">
        <v>265</v>
      </c>
      <c r="N41" s="21"/>
      <c r="O41" s="22"/>
      <c r="P41" s="20" t="n">
        <f aca="false">IF($N41="Reduce",N($O41),0)</f>
        <v>0</v>
      </c>
      <c r="Q41" s="23" t="str">
        <f aca="false">IF($F41="","",MID(IF($G41="",", career level","")&amp;IF($I41="",", nationality mandate","")&amp;IF($N41="",", capacity direction","")&amp;IF(N($J41)&lt;=0,", approved HC","")&amp;IF(AND($G41&lt;&gt;"",COUNTIF(CareerLevels,$G41)=0),", a career level that is not on the ladder","")&amp;IF(AND($N41="Reduce",N($O41)&lt;=0),", how many seats Reduce means","")&amp;IF(AND(N($O41)&gt;0,$N41&lt;&gt;"Reduce"),", a number of seats on a row not marked Reduce","")&amp;IF(N($O41)&gt;N($J41),", more seats given up than the row has",""),3,200))</f>
        <v>career level, nationality mandate, capacity direction</v>
      </c>
    </row>
    <row r="42" customFormat="false" ht="15" hidden="false" customHeight="false" outlineLevel="0" collapsed="false">
      <c r="A42" s="21" t="s">
        <v>305</v>
      </c>
      <c r="B42" s="21" t="s">
        <v>63</v>
      </c>
      <c r="C42" s="21" t="s">
        <v>98</v>
      </c>
      <c r="D42" s="21" t="s">
        <v>100</v>
      </c>
      <c r="E42" s="21" t="s">
        <v>102</v>
      </c>
      <c r="F42" s="21" t="s">
        <v>306</v>
      </c>
      <c r="G42" s="21"/>
      <c r="H42" s="21" t="s">
        <v>273</v>
      </c>
      <c r="I42" s="21"/>
      <c r="J42" s="22" t="n">
        <v>1</v>
      </c>
      <c r="K42" s="22" t="n">
        <v>1</v>
      </c>
      <c r="L42" s="22" t="n">
        <v>0</v>
      </c>
      <c r="M42" s="21" t="s">
        <v>265</v>
      </c>
      <c r="N42" s="21"/>
      <c r="O42" s="22"/>
      <c r="P42" s="20" t="n">
        <f aca="false">IF($N42="Reduce",N($O42),0)</f>
        <v>0</v>
      </c>
      <c r="Q42" s="23" t="str">
        <f aca="false">IF($F42="","",MID(IF($G42="",", career level","")&amp;IF($I42="",", nationality mandate","")&amp;IF($N42="",", capacity direction","")&amp;IF(N($J42)&lt;=0,", approved HC","")&amp;IF(AND($G42&lt;&gt;"",COUNTIF(CareerLevels,$G42)=0),", a career level that is not on the ladder","")&amp;IF(AND($N42="Reduce",N($O42)&lt;=0),", how many seats Reduce means","")&amp;IF(AND(N($O42)&gt;0,$N42&lt;&gt;"Reduce"),", a number of seats on a row not marked Reduce","")&amp;IF(N($O42)&gt;N($J42),", more seats given up than the row has",""),3,200))</f>
        <v>career level, nationality mandate, capacity direction</v>
      </c>
    </row>
    <row r="43" customFormat="false" ht="15" hidden="false" customHeight="false" outlineLevel="0" collapsed="false">
      <c r="A43" s="21"/>
      <c r="B43" s="21" t="s">
        <v>63</v>
      </c>
      <c r="C43" s="21" t="s">
        <v>98</v>
      </c>
      <c r="D43" s="21" t="s">
        <v>100</v>
      </c>
      <c r="E43" s="21" t="s">
        <v>108</v>
      </c>
      <c r="F43" s="21" t="s">
        <v>300</v>
      </c>
      <c r="G43" s="21"/>
      <c r="H43" s="21" t="s">
        <v>275</v>
      </c>
      <c r="I43" s="21"/>
      <c r="J43" s="22" t="n">
        <v>3</v>
      </c>
      <c r="K43" s="22" t="n">
        <v>3</v>
      </c>
      <c r="L43" s="22" t="n">
        <v>0</v>
      </c>
      <c r="M43" s="21" t="s">
        <v>265</v>
      </c>
      <c r="N43" s="21"/>
      <c r="O43" s="22"/>
      <c r="P43" s="20" t="n">
        <f aca="false">IF($N43="Reduce",N($O43),0)</f>
        <v>0</v>
      </c>
      <c r="Q43" s="23" t="str">
        <f aca="false">IF($F43="","",MID(IF($G43="",", career level","")&amp;IF($I43="",", nationality mandate","")&amp;IF($N43="",", capacity direction","")&amp;IF(N($J43)&lt;=0,", approved HC","")&amp;IF(AND($G43&lt;&gt;"",COUNTIF(CareerLevels,$G43)=0),", a career level that is not on the ladder","")&amp;IF(AND($N43="Reduce",N($O43)&lt;=0),", how many seats Reduce means","")&amp;IF(AND(N($O43)&gt;0,$N43&lt;&gt;"Reduce"),", a number of seats on a row not marked Reduce","")&amp;IF(N($O43)&gt;N($J43),", more seats given up than the row has",""),3,200))</f>
        <v>career level, nationality mandate, capacity direction</v>
      </c>
    </row>
    <row r="44" customFormat="false" ht="15" hidden="false" customHeight="false" outlineLevel="0" collapsed="false">
      <c r="A44" s="21"/>
      <c r="B44" s="21" t="s">
        <v>63</v>
      </c>
      <c r="C44" s="21" t="s">
        <v>98</v>
      </c>
      <c r="D44" s="21" t="s">
        <v>100</v>
      </c>
      <c r="E44" s="21" t="s">
        <v>108</v>
      </c>
      <c r="F44" s="21" t="s">
        <v>301</v>
      </c>
      <c r="G44" s="21"/>
      <c r="H44" s="21" t="s">
        <v>275</v>
      </c>
      <c r="I44" s="21"/>
      <c r="J44" s="22" t="n">
        <v>2</v>
      </c>
      <c r="K44" s="22" t="n">
        <v>2</v>
      </c>
      <c r="L44" s="22" t="n">
        <v>0</v>
      </c>
      <c r="M44" s="21" t="s">
        <v>265</v>
      </c>
      <c r="N44" s="21"/>
      <c r="O44" s="22"/>
      <c r="P44" s="20" t="n">
        <f aca="false">IF($N44="Reduce",N($O44),0)</f>
        <v>0</v>
      </c>
      <c r="Q44" s="23" t="str">
        <f aca="false">IF($F44="","",MID(IF($G44="",", career level","")&amp;IF($I44="",", nationality mandate","")&amp;IF($N44="",", capacity direction","")&amp;IF(N($J44)&lt;=0,", approved HC","")&amp;IF(AND($G44&lt;&gt;"",COUNTIF(CareerLevels,$G44)=0),", a career level that is not on the ladder","")&amp;IF(AND($N44="Reduce",N($O44)&lt;=0),", how many seats Reduce means","")&amp;IF(AND(N($O44)&gt;0,$N44&lt;&gt;"Reduce"),", a number of seats on a row not marked Reduce","")&amp;IF(N($O44)&gt;N($J44),", more seats given up than the row has",""),3,200))</f>
        <v>career level, nationality mandate, capacity direction</v>
      </c>
    </row>
    <row r="45" customFormat="false" ht="15" hidden="false" customHeight="false" outlineLevel="0" collapsed="false">
      <c r="A45" s="21" t="s">
        <v>307</v>
      </c>
      <c r="B45" s="21" t="s">
        <v>63</v>
      </c>
      <c r="C45" s="21" t="s">
        <v>98</v>
      </c>
      <c r="D45" s="21" t="s">
        <v>100</v>
      </c>
      <c r="E45" s="21" t="s">
        <v>108</v>
      </c>
      <c r="F45" s="21" t="s">
        <v>302</v>
      </c>
      <c r="G45" s="21"/>
      <c r="H45" s="21" t="s">
        <v>275</v>
      </c>
      <c r="I45" s="21"/>
      <c r="J45" s="22" t="n">
        <v>1</v>
      </c>
      <c r="K45" s="22" t="n">
        <v>1</v>
      </c>
      <c r="L45" s="22" t="n">
        <v>0</v>
      </c>
      <c r="M45" s="21" t="s">
        <v>265</v>
      </c>
      <c r="N45" s="21"/>
      <c r="O45" s="22"/>
      <c r="P45" s="20" t="n">
        <f aca="false">IF($N45="Reduce",N($O45),0)</f>
        <v>0</v>
      </c>
      <c r="Q45" s="23" t="str">
        <f aca="false">IF($F45="","",MID(IF($G45="",", career level","")&amp;IF($I45="",", nationality mandate","")&amp;IF($N45="",", capacity direction","")&amp;IF(N($J45)&lt;=0,", approved HC","")&amp;IF(AND($G45&lt;&gt;"",COUNTIF(CareerLevels,$G45)=0),", a career level that is not on the ladder","")&amp;IF(AND($N45="Reduce",N($O45)&lt;=0),", how many seats Reduce means","")&amp;IF(AND(N($O45)&gt;0,$N45&lt;&gt;"Reduce"),", a number of seats on a row not marked Reduce","")&amp;IF(N($O45)&gt;N($J45),", more seats given up than the row has",""),3,200))</f>
        <v>career level, nationality mandate, capacity direction</v>
      </c>
    </row>
    <row r="46" customFormat="false" ht="15" hidden="false" customHeight="false" outlineLevel="0" collapsed="false">
      <c r="A46" s="21" t="s">
        <v>295</v>
      </c>
      <c r="B46" s="21" t="s">
        <v>63</v>
      </c>
      <c r="C46" s="21" t="s">
        <v>98</v>
      </c>
      <c r="D46" s="21" t="s">
        <v>100</v>
      </c>
      <c r="E46" s="21" t="s">
        <v>108</v>
      </c>
      <c r="F46" s="21" t="s">
        <v>304</v>
      </c>
      <c r="G46" s="21"/>
      <c r="H46" s="21" t="s">
        <v>275</v>
      </c>
      <c r="I46" s="21"/>
      <c r="J46" s="22" t="n">
        <v>1</v>
      </c>
      <c r="K46" s="22" t="n">
        <v>1</v>
      </c>
      <c r="L46" s="22" t="n">
        <v>0</v>
      </c>
      <c r="M46" s="21" t="s">
        <v>265</v>
      </c>
      <c r="N46" s="21"/>
      <c r="O46" s="22"/>
      <c r="P46" s="20" t="n">
        <f aca="false">IF($N46="Reduce",N($O46),0)</f>
        <v>0</v>
      </c>
      <c r="Q46" s="23" t="str">
        <f aca="false">IF($F46="","",MID(IF($G46="",", career level","")&amp;IF($I46="",", nationality mandate","")&amp;IF($N46="",", capacity direction","")&amp;IF(N($J46)&lt;=0,", approved HC","")&amp;IF(AND($G46&lt;&gt;"",COUNTIF(CareerLevels,$G46)=0),", a career level that is not on the ladder","")&amp;IF(AND($N46="Reduce",N($O46)&lt;=0),", how many seats Reduce means","")&amp;IF(AND(N($O46)&gt;0,$N46&lt;&gt;"Reduce"),", a number of seats on a row not marked Reduce","")&amp;IF(N($O46)&gt;N($J46),", more seats given up than the row has",""),3,200))</f>
        <v>career level, nationality mandate, capacity direction</v>
      </c>
    </row>
    <row r="47" customFormat="false" ht="15" hidden="false" customHeight="false" outlineLevel="0" collapsed="false">
      <c r="A47" s="21" t="s">
        <v>308</v>
      </c>
      <c r="B47" s="21" t="s">
        <v>63</v>
      </c>
      <c r="C47" s="21" t="s">
        <v>98</v>
      </c>
      <c r="D47" s="21" t="s">
        <v>100</v>
      </c>
      <c r="E47" s="21" t="s">
        <v>108</v>
      </c>
      <c r="F47" s="21" t="s">
        <v>306</v>
      </c>
      <c r="G47" s="21"/>
      <c r="H47" s="21" t="s">
        <v>273</v>
      </c>
      <c r="I47" s="21"/>
      <c r="J47" s="22" t="n">
        <v>1</v>
      </c>
      <c r="K47" s="22" t="n">
        <v>1</v>
      </c>
      <c r="L47" s="22" t="n">
        <v>0</v>
      </c>
      <c r="M47" s="21" t="s">
        <v>265</v>
      </c>
      <c r="N47" s="21"/>
      <c r="O47" s="22"/>
      <c r="P47" s="20" t="n">
        <f aca="false">IF($N47="Reduce",N($O47),0)</f>
        <v>0</v>
      </c>
      <c r="Q47" s="23" t="str">
        <f aca="false">IF($F47="","",MID(IF($G47="",", career level","")&amp;IF($I47="",", nationality mandate","")&amp;IF($N47="",", capacity direction","")&amp;IF(N($J47)&lt;=0,", approved HC","")&amp;IF(AND($G47&lt;&gt;"",COUNTIF(CareerLevels,$G47)=0),", a career level that is not on the ladder","")&amp;IF(AND($N47="Reduce",N($O47)&lt;=0),", how many seats Reduce means","")&amp;IF(AND(N($O47)&gt;0,$N47&lt;&gt;"Reduce"),", a number of seats on a row not marked Reduce","")&amp;IF(N($O47)&gt;N($J47),", more seats given up than the row has",""),3,200))</f>
        <v>career level, nationality mandate, capacity direction</v>
      </c>
    </row>
    <row r="48" customFormat="false" ht="15" hidden="false" customHeight="false" outlineLevel="0" collapsed="false">
      <c r="A48" s="21" t="s">
        <v>309</v>
      </c>
      <c r="B48" s="21" t="s">
        <v>63</v>
      </c>
      <c r="C48" s="21" t="s">
        <v>98</v>
      </c>
      <c r="D48" s="21" t="s">
        <v>114</v>
      </c>
      <c r="E48" s="21"/>
      <c r="F48" s="21" t="s">
        <v>299</v>
      </c>
      <c r="G48" s="21"/>
      <c r="H48" s="21" t="s">
        <v>273</v>
      </c>
      <c r="I48" s="21"/>
      <c r="J48" s="22" t="n">
        <v>1</v>
      </c>
      <c r="K48" s="22" t="n">
        <v>1</v>
      </c>
      <c r="L48" s="22" t="n">
        <v>0</v>
      </c>
      <c r="M48" s="21" t="s">
        <v>265</v>
      </c>
      <c r="N48" s="21"/>
      <c r="O48" s="22"/>
      <c r="P48" s="20" t="n">
        <f aca="false">IF($N48="Reduce",N($O48),0)</f>
        <v>0</v>
      </c>
      <c r="Q48" s="23" t="str">
        <f aca="false">IF($F48="","",MID(IF($G48="",", career level","")&amp;IF($I48="",", nationality mandate","")&amp;IF($N48="",", capacity direction","")&amp;IF(N($J48)&lt;=0,", approved HC","")&amp;IF(AND($G48&lt;&gt;"",COUNTIF(CareerLevels,$G48)=0),", a career level that is not on the ladder","")&amp;IF(AND($N48="Reduce",N($O48)&lt;=0),", how many seats Reduce means","")&amp;IF(AND(N($O48)&gt;0,$N48&lt;&gt;"Reduce"),", a number of seats on a row not marked Reduce","")&amp;IF(N($O48)&gt;N($J48),", more seats given up than the row has",""),3,200))</f>
        <v>career level, nationality mandate, capacity direction</v>
      </c>
    </row>
    <row r="49" customFormat="false" ht="15" hidden="false" customHeight="false" outlineLevel="0" collapsed="false">
      <c r="A49" s="21"/>
      <c r="B49" s="21" t="s">
        <v>63</v>
      </c>
      <c r="C49" s="21" t="s">
        <v>98</v>
      </c>
      <c r="D49" s="21" t="s">
        <v>114</v>
      </c>
      <c r="E49" s="21" t="s">
        <v>116</v>
      </c>
      <c r="F49" s="21" t="s">
        <v>301</v>
      </c>
      <c r="G49" s="21"/>
      <c r="H49" s="21" t="s">
        <v>275</v>
      </c>
      <c r="I49" s="21"/>
      <c r="J49" s="22" t="n">
        <v>2</v>
      </c>
      <c r="K49" s="22" t="n">
        <v>1</v>
      </c>
      <c r="L49" s="22" t="n">
        <v>1</v>
      </c>
      <c r="M49" s="21" t="s">
        <v>265</v>
      </c>
      <c r="N49" s="21"/>
      <c r="O49" s="22"/>
      <c r="P49" s="20" t="n">
        <f aca="false">IF($N49="Reduce",N($O49),0)</f>
        <v>0</v>
      </c>
      <c r="Q49" s="23" t="str">
        <f aca="false">IF($F49="","",MID(IF($G49="",", career level","")&amp;IF($I49="",", nationality mandate","")&amp;IF($N49="",", capacity direction","")&amp;IF(N($J49)&lt;=0,", approved HC","")&amp;IF(AND($G49&lt;&gt;"",COUNTIF(CareerLevels,$G49)=0),", a career level that is not on the ladder","")&amp;IF(AND($N49="Reduce",N($O49)&lt;=0),", how many seats Reduce means","")&amp;IF(AND(N($O49)&gt;0,$N49&lt;&gt;"Reduce"),", a number of seats on a row not marked Reduce","")&amp;IF(N($O49)&gt;N($J49),", more seats given up than the row has",""),3,200))</f>
        <v>career level, nationality mandate, capacity direction</v>
      </c>
    </row>
    <row r="50" customFormat="false" ht="15" hidden="false" customHeight="false" outlineLevel="0" collapsed="false">
      <c r="A50" s="21"/>
      <c r="B50" s="21" t="s">
        <v>63</v>
      </c>
      <c r="C50" s="21" t="s">
        <v>98</v>
      </c>
      <c r="D50" s="21" t="s">
        <v>114</v>
      </c>
      <c r="E50" s="21" t="s">
        <v>116</v>
      </c>
      <c r="F50" s="21" t="s">
        <v>302</v>
      </c>
      <c r="G50" s="21"/>
      <c r="H50" s="21" t="s">
        <v>275</v>
      </c>
      <c r="I50" s="21"/>
      <c r="J50" s="22" t="n">
        <v>2</v>
      </c>
      <c r="K50" s="22" t="n">
        <v>1</v>
      </c>
      <c r="L50" s="22" t="n">
        <v>1</v>
      </c>
      <c r="M50" s="21" t="s">
        <v>265</v>
      </c>
      <c r="N50" s="21"/>
      <c r="O50" s="22"/>
      <c r="P50" s="20" t="n">
        <f aca="false">IF($N50="Reduce",N($O50),0)</f>
        <v>0</v>
      </c>
      <c r="Q50" s="23" t="str">
        <f aca="false">IF($F50="","",MID(IF($G50="",", career level","")&amp;IF($I50="",", nationality mandate","")&amp;IF($N50="",", capacity direction","")&amp;IF(N($J50)&lt;=0,", approved HC","")&amp;IF(AND($G50&lt;&gt;"",COUNTIF(CareerLevels,$G50)=0),", a career level that is not on the ladder","")&amp;IF(AND($N50="Reduce",N($O50)&lt;=0),", how many seats Reduce means","")&amp;IF(AND(N($O50)&gt;0,$N50&lt;&gt;"Reduce"),", a number of seats on a row not marked Reduce","")&amp;IF(N($O50)&gt;N($J50),", more seats given up than the row has",""),3,200))</f>
        <v>career level, nationality mandate, capacity direction</v>
      </c>
    </row>
    <row r="51" customFormat="false" ht="15" hidden="false" customHeight="false" outlineLevel="0" collapsed="false">
      <c r="A51" s="21" t="s">
        <v>282</v>
      </c>
      <c r="B51" s="21" t="s">
        <v>63</v>
      </c>
      <c r="C51" s="21" t="s">
        <v>98</v>
      </c>
      <c r="D51" s="21" t="s">
        <v>114</v>
      </c>
      <c r="E51" s="21" t="s">
        <v>116</v>
      </c>
      <c r="F51" s="21" t="s">
        <v>310</v>
      </c>
      <c r="G51" s="21"/>
      <c r="H51" s="21" t="s">
        <v>275</v>
      </c>
      <c r="I51" s="21"/>
      <c r="J51" s="22" t="n">
        <v>1</v>
      </c>
      <c r="K51" s="22" t="n">
        <v>1</v>
      </c>
      <c r="L51" s="22" t="n">
        <v>0</v>
      </c>
      <c r="M51" s="21" t="s">
        <v>265</v>
      </c>
      <c r="N51" s="21"/>
      <c r="O51" s="22"/>
      <c r="P51" s="20" t="n">
        <f aca="false">IF($N51="Reduce",N($O51),0)</f>
        <v>0</v>
      </c>
      <c r="Q51" s="23" t="str">
        <f aca="false">IF($F51="","",MID(IF($G51="",", career level","")&amp;IF($I51="",", nationality mandate","")&amp;IF($N51="",", capacity direction","")&amp;IF(N($J51)&lt;=0,", approved HC","")&amp;IF(AND($G51&lt;&gt;"",COUNTIF(CareerLevels,$G51)=0),", a career level that is not on the ladder","")&amp;IF(AND($N51="Reduce",N($O51)&lt;=0),", how many seats Reduce means","")&amp;IF(AND(N($O51)&gt;0,$N51&lt;&gt;"Reduce"),", a number of seats on a row not marked Reduce","")&amp;IF(N($O51)&gt;N($J51),", more seats given up than the row has",""),3,200))</f>
        <v>career level, nationality mandate, capacity direction</v>
      </c>
    </row>
    <row r="52" customFormat="false" ht="15" hidden="false" customHeight="false" outlineLevel="0" collapsed="false">
      <c r="A52" s="21"/>
      <c r="B52" s="21" t="s">
        <v>63</v>
      </c>
      <c r="C52" s="21" t="s">
        <v>98</v>
      </c>
      <c r="D52" s="21" t="s">
        <v>114</v>
      </c>
      <c r="E52" s="21" t="s">
        <v>116</v>
      </c>
      <c r="F52" s="21" t="s">
        <v>304</v>
      </c>
      <c r="G52" s="21"/>
      <c r="H52" s="21" t="s">
        <v>275</v>
      </c>
      <c r="I52" s="21"/>
      <c r="J52" s="22" t="n">
        <v>2</v>
      </c>
      <c r="K52" s="22" t="n">
        <v>2</v>
      </c>
      <c r="L52" s="22" t="n">
        <v>0</v>
      </c>
      <c r="M52" s="21" t="s">
        <v>265</v>
      </c>
      <c r="N52" s="21"/>
      <c r="O52" s="22"/>
      <c r="P52" s="20" t="n">
        <f aca="false">IF($N52="Reduce",N($O52),0)</f>
        <v>0</v>
      </c>
      <c r="Q52" s="23" t="str">
        <f aca="false">IF($F52="","",MID(IF($G52="",", career level","")&amp;IF($I52="",", nationality mandate","")&amp;IF($N52="",", capacity direction","")&amp;IF(N($J52)&lt;=0,", approved HC","")&amp;IF(AND($G52&lt;&gt;"",COUNTIF(CareerLevels,$G52)=0),", a career level that is not on the ladder","")&amp;IF(AND($N52="Reduce",N($O52)&lt;=0),", how many seats Reduce means","")&amp;IF(AND(N($O52)&gt;0,$N52&lt;&gt;"Reduce"),", a number of seats on a row not marked Reduce","")&amp;IF(N($O52)&gt;N($J52),", more seats given up than the row has",""),3,200))</f>
        <v>career level, nationality mandate, capacity direction</v>
      </c>
    </row>
    <row r="53" customFormat="false" ht="15" hidden="false" customHeight="false" outlineLevel="0" collapsed="false">
      <c r="A53" s="21" t="s">
        <v>292</v>
      </c>
      <c r="B53" s="21" t="s">
        <v>63</v>
      </c>
      <c r="C53" s="21" t="s">
        <v>98</v>
      </c>
      <c r="D53" s="21" t="s">
        <v>114</v>
      </c>
      <c r="E53" s="21" t="s">
        <v>116</v>
      </c>
      <c r="F53" s="21" t="s">
        <v>306</v>
      </c>
      <c r="G53" s="21"/>
      <c r="H53" s="21" t="s">
        <v>273</v>
      </c>
      <c r="I53" s="21"/>
      <c r="J53" s="22" t="n">
        <v>1</v>
      </c>
      <c r="K53" s="22" t="n">
        <v>1</v>
      </c>
      <c r="L53" s="22" t="n">
        <v>0</v>
      </c>
      <c r="M53" s="21" t="s">
        <v>265</v>
      </c>
      <c r="N53" s="21"/>
      <c r="O53" s="22"/>
      <c r="P53" s="20" t="n">
        <f aca="false">IF($N53="Reduce",N($O53),0)</f>
        <v>0</v>
      </c>
      <c r="Q53" s="23" t="str">
        <f aca="false">IF($F53="","",MID(IF($G53="",", career level","")&amp;IF($I53="",", nationality mandate","")&amp;IF($N53="",", capacity direction","")&amp;IF(N($J53)&lt;=0,", approved HC","")&amp;IF(AND($G53&lt;&gt;"",COUNTIF(CareerLevels,$G53)=0),", a career level that is not on the ladder","")&amp;IF(AND($N53="Reduce",N($O53)&lt;=0),", how many seats Reduce means","")&amp;IF(AND(N($O53)&gt;0,$N53&lt;&gt;"Reduce"),", a number of seats on a row not marked Reduce","")&amp;IF(N($O53)&gt;N($J53),", more seats given up than the row has",""),3,200))</f>
        <v>career level, nationality mandate, capacity direction</v>
      </c>
    </row>
    <row r="54" customFormat="false" ht="15" hidden="false" customHeight="false" outlineLevel="0" collapsed="false">
      <c r="A54" s="21" t="s">
        <v>311</v>
      </c>
      <c r="B54" s="21" t="s">
        <v>63</v>
      </c>
      <c r="C54" s="21" t="s">
        <v>98</v>
      </c>
      <c r="D54" s="21" t="s">
        <v>114</v>
      </c>
      <c r="E54" s="21" t="s">
        <v>122</v>
      </c>
      <c r="F54" s="21" t="s">
        <v>300</v>
      </c>
      <c r="G54" s="21"/>
      <c r="H54" s="21" t="s">
        <v>275</v>
      </c>
      <c r="I54" s="21"/>
      <c r="J54" s="22" t="n">
        <v>1</v>
      </c>
      <c r="K54" s="22" t="n">
        <v>1</v>
      </c>
      <c r="L54" s="22" t="n">
        <v>0</v>
      </c>
      <c r="M54" s="21" t="s">
        <v>265</v>
      </c>
      <c r="N54" s="21"/>
      <c r="O54" s="22"/>
      <c r="P54" s="20" t="n">
        <f aca="false">IF($N54="Reduce",N($O54),0)</f>
        <v>0</v>
      </c>
      <c r="Q54" s="23" t="str">
        <f aca="false">IF($F54="","",MID(IF($G54="",", career level","")&amp;IF($I54="",", nationality mandate","")&amp;IF($N54="",", capacity direction","")&amp;IF(N($J54)&lt;=0,", approved HC","")&amp;IF(AND($G54&lt;&gt;"",COUNTIF(CareerLevels,$G54)=0),", a career level that is not on the ladder","")&amp;IF(AND($N54="Reduce",N($O54)&lt;=0),", how many seats Reduce means","")&amp;IF(AND(N($O54)&gt;0,$N54&lt;&gt;"Reduce"),", a number of seats on a row not marked Reduce","")&amp;IF(N($O54)&gt;N($J54),", more seats given up than the row has",""),3,200))</f>
        <v>career level, nationality mandate, capacity direction</v>
      </c>
    </row>
    <row r="55" customFormat="false" ht="15" hidden="false" customHeight="false" outlineLevel="0" collapsed="false">
      <c r="A55" s="21" t="s">
        <v>262</v>
      </c>
      <c r="B55" s="21" t="s">
        <v>63</v>
      </c>
      <c r="C55" s="21" t="s">
        <v>98</v>
      </c>
      <c r="D55" s="21" t="s">
        <v>114</v>
      </c>
      <c r="E55" s="21" t="s">
        <v>122</v>
      </c>
      <c r="F55" s="21" t="s">
        <v>301</v>
      </c>
      <c r="G55" s="21"/>
      <c r="H55" s="21" t="s">
        <v>275</v>
      </c>
      <c r="I55" s="21"/>
      <c r="J55" s="22" t="n">
        <v>1</v>
      </c>
      <c r="K55" s="22" t="n">
        <v>1</v>
      </c>
      <c r="L55" s="22" t="n">
        <v>0</v>
      </c>
      <c r="M55" s="21" t="s">
        <v>265</v>
      </c>
      <c r="N55" s="21"/>
      <c r="O55" s="22"/>
      <c r="P55" s="20" t="n">
        <f aca="false">IF($N55="Reduce",N($O55),0)</f>
        <v>0</v>
      </c>
      <c r="Q55" s="23" t="str">
        <f aca="false">IF($F55="","",MID(IF($G55="",", career level","")&amp;IF($I55="",", nationality mandate","")&amp;IF($N55="",", capacity direction","")&amp;IF(N($J55)&lt;=0,", approved HC","")&amp;IF(AND($G55&lt;&gt;"",COUNTIF(CareerLevels,$G55)=0),", a career level that is not on the ladder","")&amp;IF(AND($N55="Reduce",N($O55)&lt;=0),", how many seats Reduce means","")&amp;IF(AND(N($O55)&gt;0,$N55&lt;&gt;"Reduce"),", a number of seats on a row not marked Reduce","")&amp;IF(N($O55)&gt;N($J55),", more seats given up than the row has",""),3,200))</f>
        <v>career level, nationality mandate, capacity direction</v>
      </c>
    </row>
    <row r="56" customFormat="false" ht="15" hidden="false" customHeight="false" outlineLevel="0" collapsed="false">
      <c r="A56" s="21" t="s">
        <v>276</v>
      </c>
      <c r="B56" s="21" t="s">
        <v>63</v>
      </c>
      <c r="C56" s="21" t="s">
        <v>98</v>
      </c>
      <c r="D56" s="21" t="s">
        <v>114</v>
      </c>
      <c r="E56" s="21" t="s">
        <v>122</v>
      </c>
      <c r="F56" s="21" t="s">
        <v>302</v>
      </c>
      <c r="G56" s="21"/>
      <c r="H56" s="21" t="s">
        <v>275</v>
      </c>
      <c r="I56" s="21"/>
      <c r="J56" s="22" t="n">
        <v>1</v>
      </c>
      <c r="K56" s="22" t="n">
        <v>1</v>
      </c>
      <c r="L56" s="22" t="n">
        <v>0</v>
      </c>
      <c r="M56" s="21" t="s">
        <v>265</v>
      </c>
      <c r="N56" s="21"/>
      <c r="O56" s="22"/>
      <c r="P56" s="20" t="n">
        <f aca="false">IF($N56="Reduce",N($O56),0)</f>
        <v>0</v>
      </c>
      <c r="Q56" s="23" t="str">
        <f aca="false">IF($F56="","",MID(IF($G56="",", career level","")&amp;IF($I56="",", nationality mandate","")&amp;IF($N56="",", capacity direction","")&amp;IF(N($J56)&lt;=0,", approved HC","")&amp;IF(AND($G56&lt;&gt;"",COUNTIF(CareerLevels,$G56)=0),", a career level that is not on the ladder","")&amp;IF(AND($N56="Reduce",N($O56)&lt;=0),", how many seats Reduce means","")&amp;IF(AND(N($O56)&gt;0,$N56&lt;&gt;"Reduce"),", a number of seats on a row not marked Reduce","")&amp;IF(N($O56)&gt;N($J56),", more seats given up than the row has",""),3,200))</f>
        <v>career level, nationality mandate, capacity direction</v>
      </c>
    </row>
    <row r="57" customFormat="false" ht="15" hidden="false" customHeight="false" outlineLevel="0" collapsed="false">
      <c r="A57" s="21" t="s">
        <v>312</v>
      </c>
      <c r="B57" s="21" t="s">
        <v>63</v>
      </c>
      <c r="C57" s="21" t="s">
        <v>98</v>
      </c>
      <c r="D57" s="21" t="s">
        <v>114</v>
      </c>
      <c r="E57" s="21" t="s">
        <v>122</v>
      </c>
      <c r="F57" s="21" t="s">
        <v>310</v>
      </c>
      <c r="G57" s="21"/>
      <c r="H57" s="21" t="s">
        <v>275</v>
      </c>
      <c r="I57" s="21"/>
      <c r="J57" s="22" t="n">
        <v>1</v>
      </c>
      <c r="K57" s="22" t="n">
        <v>1</v>
      </c>
      <c r="L57" s="22" t="n">
        <v>0</v>
      </c>
      <c r="M57" s="21" t="s">
        <v>265</v>
      </c>
      <c r="N57" s="21"/>
      <c r="O57" s="22"/>
      <c r="P57" s="20" t="n">
        <f aca="false">IF($N57="Reduce",N($O57),0)</f>
        <v>0</v>
      </c>
      <c r="Q57" s="23" t="str">
        <f aca="false">IF($F57="","",MID(IF($G57="",", career level","")&amp;IF($I57="",", nationality mandate","")&amp;IF($N57="",", capacity direction","")&amp;IF(N($J57)&lt;=0,", approved HC","")&amp;IF(AND($G57&lt;&gt;"",COUNTIF(CareerLevels,$G57)=0),", a career level that is not on the ladder","")&amp;IF(AND($N57="Reduce",N($O57)&lt;=0),", how many seats Reduce means","")&amp;IF(AND(N($O57)&gt;0,$N57&lt;&gt;"Reduce"),", a number of seats on a row not marked Reduce","")&amp;IF(N($O57)&gt;N($J57),", more seats given up than the row has",""),3,200))</f>
        <v>career level, nationality mandate, capacity direction</v>
      </c>
    </row>
    <row r="58" customFormat="false" ht="15" hidden="false" customHeight="false" outlineLevel="0" collapsed="false">
      <c r="A58" s="21" t="s">
        <v>292</v>
      </c>
      <c r="B58" s="21" t="s">
        <v>63</v>
      </c>
      <c r="C58" s="21" t="s">
        <v>98</v>
      </c>
      <c r="D58" s="21" t="s">
        <v>114</v>
      </c>
      <c r="E58" s="21" t="s">
        <v>122</v>
      </c>
      <c r="F58" s="21" t="s">
        <v>313</v>
      </c>
      <c r="G58" s="21"/>
      <c r="H58" s="21" t="s">
        <v>275</v>
      </c>
      <c r="I58" s="21"/>
      <c r="J58" s="22" t="n">
        <v>1</v>
      </c>
      <c r="K58" s="22" t="n">
        <v>1</v>
      </c>
      <c r="L58" s="22" t="n">
        <v>0</v>
      </c>
      <c r="M58" s="21" t="s">
        <v>265</v>
      </c>
      <c r="N58" s="21"/>
      <c r="O58" s="22"/>
      <c r="P58" s="20" t="n">
        <f aca="false">IF($N58="Reduce",N($O58),0)</f>
        <v>0</v>
      </c>
      <c r="Q58" s="23" t="str">
        <f aca="false">IF($F58="","",MID(IF($G58="",", career level","")&amp;IF($I58="",", nationality mandate","")&amp;IF($N58="",", capacity direction","")&amp;IF(N($J58)&lt;=0,", approved HC","")&amp;IF(AND($G58&lt;&gt;"",COUNTIF(CareerLevels,$G58)=0),", a career level that is not on the ladder","")&amp;IF(AND($N58="Reduce",N($O58)&lt;=0),", how many seats Reduce means","")&amp;IF(AND(N($O58)&gt;0,$N58&lt;&gt;"Reduce"),", a number of seats on a row not marked Reduce","")&amp;IF(N($O58)&gt;N($J58),", more seats given up than the row has",""),3,200))</f>
        <v>career level, nationality mandate, capacity direction</v>
      </c>
    </row>
    <row r="59" customFormat="false" ht="15" hidden="false" customHeight="false" outlineLevel="0" collapsed="false">
      <c r="A59" s="21"/>
      <c r="B59" s="21" t="s">
        <v>63</v>
      </c>
      <c r="C59" s="21" t="s">
        <v>98</v>
      </c>
      <c r="D59" s="21" t="s">
        <v>114</v>
      </c>
      <c r="E59" s="21" t="s">
        <v>122</v>
      </c>
      <c r="F59" s="21" t="s">
        <v>304</v>
      </c>
      <c r="G59" s="21"/>
      <c r="H59" s="21" t="s">
        <v>275</v>
      </c>
      <c r="I59" s="21"/>
      <c r="J59" s="22" t="n">
        <v>3</v>
      </c>
      <c r="K59" s="22" t="n">
        <v>3</v>
      </c>
      <c r="L59" s="22" t="n">
        <v>0</v>
      </c>
      <c r="M59" s="21" t="s">
        <v>265</v>
      </c>
      <c r="N59" s="21"/>
      <c r="O59" s="22"/>
      <c r="P59" s="20" t="n">
        <f aca="false">IF($N59="Reduce",N($O59),0)</f>
        <v>0</v>
      </c>
      <c r="Q59" s="23" t="str">
        <f aca="false">IF($F59="","",MID(IF($G59="",", career level","")&amp;IF($I59="",", nationality mandate","")&amp;IF($N59="",", capacity direction","")&amp;IF(N($J59)&lt;=0,", approved HC","")&amp;IF(AND($G59&lt;&gt;"",COUNTIF(CareerLevels,$G59)=0),", a career level that is not on the ladder","")&amp;IF(AND($N59="Reduce",N($O59)&lt;=0),", how many seats Reduce means","")&amp;IF(AND(N($O59)&gt;0,$N59&lt;&gt;"Reduce"),", a number of seats on a row not marked Reduce","")&amp;IF(N($O59)&gt;N($J59),", more seats given up than the row has",""),3,200))</f>
        <v>career level, nationality mandate, capacity direction</v>
      </c>
    </row>
    <row r="60" customFormat="false" ht="15" hidden="false" customHeight="false" outlineLevel="0" collapsed="false">
      <c r="A60" s="21" t="s">
        <v>293</v>
      </c>
      <c r="B60" s="21" t="s">
        <v>63</v>
      </c>
      <c r="C60" s="21" t="s">
        <v>98</v>
      </c>
      <c r="D60" s="21" t="s">
        <v>114</v>
      </c>
      <c r="E60" s="21" t="s">
        <v>122</v>
      </c>
      <c r="F60" s="21" t="s">
        <v>306</v>
      </c>
      <c r="G60" s="21"/>
      <c r="H60" s="21" t="s">
        <v>273</v>
      </c>
      <c r="I60" s="21"/>
      <c r="J60" s="22" t="n">
        <v>1</v>
      </c>
      <c r="K60" s="22" t="n">
        <v>1</v>
      </c>
      <c r="L60" s="22" t="n">
        <v>0</v>
      </c>
      <c r="M60" s="21" t="s">
        <v>265</v>
      </c>
      <c r="N60" s="21"/>
      <c r="O60" s="22"/>
      <c r="P60" s="20" t="n">
        <f aca="false">IF($N60="Reduce",N($O60),0)</f>
        <v>0</v>
      </c>
      <c r="Q60" s="23" t="str">
        <f aca="false">IF($F60="","",MID(IF($G60="",", career level","")&amp;IF($I60="",", nationality mandate","")&amp;IF($N60="",", capacity direction","")&amp;IF(N($J60)&lt;=0,", approved HC","")&amp;IF(AND($G60&lt;&gt;"",COUNTIF(CareerLevels,$G60)=0),", a career level that is not on the ladder","")&amp;IF(AND($N60="Reduce",N($O60)&lt;=0),", how many seats Reduce means","")&amp;IF(AND(N($O60)&gt;0,$N60&lt;&gt;"Reduce"),", a number of seats on a row not marked Reduce","")&amp;IF(N($O60)&gt;N($J60),", more seats given up than the row has",""),3,200))</f>
        <v>career level, nationality mandate, capacity direction</v>
      </c>
    </row>
    <row r="61" customFormat="false" ht="15" hidden="false" customHeight="false" outlineLevel="0" collapsed="false">
      <c r="A61" s="21" t="s">
        <v>298</v>
      </c>
      <c r="B61" s="21" t="s">
        <v>128</v>
      </c>
      <c r="C61" s="21"/>
      <c r="D61" s="21"/>
      <c r="E61" s="21"/>
      <c r="F61" s="21" t="s">
        <v>314</v>
      </c>
      <c r="G61" s="21"/>
      <c r="H61" s="21" t="s">
        <v>268</v>
      </c>
      <c r="I61" s="21"/>
      <c r="J61" s="22" t="n">
        <v>1</v>
      </c>
      <c r="K61" s="22" t="n">
        <v>1</v>
      </c>
      <c r="L61" s="22" t="n">
        <v>0</v>
      </c>
      <c r="M61" s="21" t="s">
        <v>265</v>
      </c>
      <c r="N61" s="21"/>
      <c r="O61" s="22"/>
      <c r="P61" s="20" t="n">
        <f aca="false">IF($N61="Reduce",N($O61),0)</f>
        <v>0</v>
      </c>
      <c r="Q61" s="23" t="str">
        <f aca="false">IF($F61="","",MID(IF($G61="",", career level","")&amp;IF($I61="",", nationality mandate","")&amp;IF($N61="",", capacity direction","")&amp;IF(N($J61)&lt;=0,", approved HC","")&amp;IF(AND($G61&lt;&gt;"",COUNTIF(CareerLevels,$G61)=0),", a career level that is not on the ladder","")&amp;IF(AND($N61="Reduce",N($O61)&lt;=0),", how many seats Reduce means","")&amp;IF(AND(N($O61)&gt;0,$N61&lt;&gt;"Reduce"),", a number of seats on a row not marked Reduce","")&amp;IF(N($O61)&gt;N($J61),", more seats given up than the row has",""),3,200))</f>
        <v>career level, nationality mandate, capacity direction</v>
      </c>
    </row>
    <row r="62" customFormat="false" ht="15" hidden="false" customHeight="false" outlineLevel="0" collapsed="false">
      <c r="A62" s="21" t="s">
        <v>278</v>
      </c>
      <c r="B62" s="21" t="s">
        <v>128</v>
      </c>
      <c r="C62" s="21" t="s">
        <v>130</v>
      </c>
      <c r="D62" s="21"/>
      <c r="E62" s="21"/>
      <c r="F62" s="21" t="s">
        <v>315</v>
      </c>
      <c r="G62" s="21"/>
      <c r="H62" s="21" t="s">
        <v>268</v>
      </c>
      <c r="I62" s="21"/>
      <c r="J62" s="22" t="n">
        <v>1</v>
      </c>
      <c r="K62" s="22" t="n">
        <v>1</v>
      </c>
      <c r="L62" s="22" t="n">
        <v>0</v>
      </c>
      <c r="M62" s="21" t="s">
        <v>265</v>
      </c>
      <c r="N62" s="21"/>
      <c r="O62" s="22"/>
      <c r="P62" s="20" t="n">
        <f aca="false">IF($N62="Reduce",N($O62),0)</f>
        <v>0</v>
      </c>
      <c r="Q62" s="23" t="str">
        <f aca="false">IF($F62="","",MID(IF($G62="",", career level","")&amp;IF($I62="",", nationality mandate","")&amp;IF($N62="",", capacity direction","")&amp;IF(N($J62)&lt;=0,", approved HC","")&amp;IF(AND($G62&lt;&gt;"",COUNTIF(CareerLevels,$G62)=0),", a career level that is not on the ladder","")&amp;IF(AND($N62="Reduce",N($O62)&lt;=0),", how many seats Reduce means","")&amp;IF(AND(N($O62)&gt;0,$N62&lt;&gt;"Reduce"),", a number of seats on a row not marked Reduce","")&amp;IF(N($O62)&gt;N($J62),", more seats given up than the row has",""),3,200))</f>
        <v>career level, nationality mandate, capacity direction</v>
      </c>
    </row>
    <row r="63" customFormat="false" ht="15" hidden="false" customHeight="false" outlineLevel="0" collapsed="false">
      <c r="A63" s="21" t="s">
        <v>316</v>
      </c>
      <c r="B63" s="21" t="s">
        <v>128</v>
      </c>
      <c r="C63" s="21" t="s">
        <v>130</v>
      </c>
      <c r="D63" s="21" t="s">
        <v>132</v>
      </c>
      <c r="E63" s="21"/>
      <c r="F63" s="21" t="s">
        <v>317</v>
      </c>
      <c r="G63" s="21"/>
      <c r="H63" s="21" t="s">
        <v>273</v>
      </c>
      <c r="I63" s="21"/>
      <c r="J63" s="22" t="n">
        <v>1</v>
      </c>
      <c r="K63" s="22" t="n">
        <v>1</v>
      </c>
      <c r="L63" s="22" t="n">
        <v>0</v>
      </c>
      <c r="M63" s="21" t="s">
        <v>265</v>
      </c>
      <c r="N63" s="21"/>
      <c r="O63" s="22"/>
      <c r="P63" s="20" t="n">
        <f aca="false">IF($N63="Reduce",N($O63),0)</f>
        <v>0</v>
      </c>
      <c r="Q63" s="23" t="str">
        <f aca="false">IF($F63="","",MID(IF($G63="",", career level","")&amp;IF($I63="",", nationality mandate","")&amp;IF($N63="",", capacity direction","")&amp;IF(N($J63)&lt;=0,", approved HC","")&amp;IF(AND($G63&lt;&gt;"",COUNTIF(CareerLevels,$G63)=0),", a career level that is not on the ladder","")&amp;IF(AND($N63="Reduce",N($O63)&lt;=0),", how many seats Reduce means","")&amp;IF(AND(N($O63)&gt;0,$N63&lt;&gt;"Reduce"),", a number of seats on a row not marked Reduce","")&amp;IF(N($O63)&gt;N($J63),", more seats given up than the row has",""),3,200))</f>
        <v>career level, nationality mandate, capacity direction</v>
      </c>
    </row>
    <row r="64" customFormat="false" ht="15" hidden="false" customHeight="false" outlineLevel="0" collapsed="false">
      <c r="A64" s="21"/>
      <c r="B64" s="21" t="s">
        <v>128</v>
      </c>
      <c r="C64" s="21" t="s">
        <v>130</v>
      </c>
      <c r="D64" s="21" t="s">
        <v>132</v>
      </c>
      <c r="E64" s="21" t="s">
        <v>134</v>
      </c>
      <c r="F64" s="21" t="s">
        <v>318</v>
      </c>
      <c r="G64" s="21"/>
      <c r="H64" s="21" t="s">
        <v>275</v>
      </c>
      <c r="I64" s="21"/>
      <c r="J64" s="22" t="n">
        <v>2</v>
      </c>
      <c r="K64" s="22" t="n">
        <v>2</v>
      </c>
      <c r="L64" s="22" t="n">
        <v>0</v>
      </c>
      <c r="M64" s="21" t="s">
        <v>265</v>
      </c>
      <c r="N64" s="21"/>
      <c r="O64" s="22"/>
      <c r="P64" s="20" t="n">
        <f aca="false">IF($N64="Reduce",N($O64),0)</f>
        <v>0</v>
      </c>
      <c r="Q64" s="23" t="str">
        <f aca="false">IF($F64="","",MID(IF($G64="",", career level","")&amp;IF($I64="",", nationality mandate","")&amp;IF($N64="",", capacity direction","")&amp;IF(N($J64)&lt;=0,", approved HC","")&amp;IF(AND($G64&lt;&gt;"",COUNTIF(CareerLevels,$G64)=0),", a career level that is not on the ladder","")&amp;IF(AND($N64="Reduce",N($O64)&lt;=0),", how many seats Reduce means","")&amp;IF(AND(N($O64)&gt;0,$N64&lt;&gt;"Reduce"),", a number of seats on a row not marked Reduce","")&amp;IF(N($O64)&gt;N($J64),", more seats given up than the row has",""),3,200))</f>
        <v>career level, nationality mandate, capacity direction</v>
      </c>
    </row>
    <row r="65" customFormat="false" ht="15" hidden="false" customHeight="false" outlineLevel="0" collapsed="false">
      <c r="A65" s="21" t="s">
        <v>319</v>
      </c>
      <c r="B65" s="21" t="s">
        <v>128</v>
      </c>
      <c r="C65" s="21" t="s">
        <v>130</v>
      </c>
      <c r="D65" s="21" t="s">
        <v>132</v>
      </c>
      <c r="E65" s="21" t="s">
        <v>134</v>
      </c>
      <c r="F65" s="21" t="s">
        <v>320</v>
      </c>
      <c r="G65" s="21"/>
      <c r="H65" s="21" t="s">
        <v>275</v>
      </c>
      <c r="I65" s="21"/>
      <c r="J65" s="22" t="n">
        <v>1</v>
      </c>
      <c r="K65" s="22" t="n">
        <v>1</v>
      </c>
      <c r="L65" s="22" t="n">
        <v>0</v>
      </c>
      <c r="M65" s="21" t="s">
        <v>265</v>
      </c>
      <c r="N65" s="21"/>
      <c r="O65" s="22"/>
      <c r="P65" s="20" t="n">
        <f aca="false">IF($N65="Reduce",N($O65),0)</f>
        <v>0</v>
      </c>
      <c r="Q65" s="23" t="str">
        <f aca="false">IF($F65="","",MID(IF($G65="",", career level","")&amp;IF($I65="",", nationality mandate","")&amp;IF($N65="",", capacity direction","")&amp;IF(N($J65)&lt;=0,", approved HC","")&amp;IF(AND($G65&lt;&gt;"",COUNTIF(CareerLevels,$G65)=0),", a career level that is not on the ladder","")&amp;IF(AND($N65="Reduce",N($O65)&lt;=0),", how many seats Reduce means","")&amp;IF(AND(N($O65)&gt;0,$N65&lt;&gt;"Reduce"),", a number of seats on a row not marked Reduce","")&amp;IF(N($O65)&gt;N($J65),", more seats given up than the row has",""),3,200))</f>
        <v>career level, nationality mandate, capacity direction</v>
      </c>
    </row>
    <row r="66" customFormat="false" ht="15" hidden="false" customHeight="false" outlineLevel="0" collapsed="false">
      <c r="A66" s="21" t="s">
        <v>321</v>
      </c>
      <c r="B66" s="21" t="s">
        <v>128</v>
      </c>
      <c r="C66" s="21" t="s">
        <v>130</v>
      </c>
      <c r="D66" s="21" t="s">
        <v>132</v>
      </c>
      <c r="E66" s="21" t="s">
        <v>134</v>
      </c>
      <c r="F66" s="21" t="s">
        <v>322</v>
      </c>
      <c r="G66" s="21"/>
      <c r="H66" s="21" t="s">
        <v>275</v>
      </c>
      <c r="I66" s="21"/>
      <c r="J66" s="22" t="n">
        <v>1</v>
      </c>
      <c r="K66" s="22" t="n">
        <v>1</v>
      </c>
      <c r="L66" s="22" t="n">
        <v>0</v>
      </c>
      <c r="M66" s="21" t="s">
        <v>265</v>
      </c>
      <c r="N66" s="21"/>
      <c r="O66" s="22"/>
      <c r="P66" s="20" t="n">
        <f aca="false">IF($N66="Reduce",N($O66),0)</f>
        <v>0</v>
      </c>
      <c r="Q66" s="23" t="str">
        <f aca="false">IF($F66="","",MID(IF($G66="",", career level","")&amp;IF($I66="",", nationality mandate","")&amp;IF($N66="",", capacity direction","")&amp;IF(N($J66)&lt;=0,", approved HC","")&amp;IF(AND($G66&lt;&gt;"",COUNTIF(CareerLevels,$G66)=0),", a career level that is not on the ladder","")&amp;IF(AND($N66="Reduce",N($O66)&lt;=0),", how many seats Reduce means","")&amp;IF(AND(N($O66)&gt;0,$N66&lt;&gt;"Reduce"),", a number of seats on a row not marked Reduce","")&amp;IF(N($O66)&gt;N($J66),", more seats given up than the row has",""),3,200))</f>
        <v>career level, nationality mandate, capacity direction</v>
      </c>
    </row>
    <row r="67" customFormat="false" ht="15" hidden="false" customHeight="false" outlineLevel="0" collapsed="false">
      <c r="A67" s="21"/>
      <c r="B67" s="21" t="s">
        <v>128</v>
      </c>
      <c r="C67" s="21" t="s">
        <v>130</v>
      </c>
      <c r="D67" s="21" t="s">
        <v>132</v>
      </c>
      <c r="E67" s="21" t="s">
        <v>134</v>
      </c>
      <c r="F67" s="21" t="s">
        <v>323</v>
      </c>
      <c r="G67" s="21"/>
      <c r="H67" s="21" t="s">
        <v>275</v>
      </c>
      <c r="I67" s="21"/>
      <c r="J67" s="22" t="n">
        <v>2</v>
      </c>
      <c r="K67" s="22" t="n">
        <v>1</v>
      </c>
      <c r="L67" s="22" t="n">
        <v>1</v>
      </c>
      <c r="M67" s="21" t="s">
        <v>265</v>
      </c>
      <c r="N67" s="21"/>
      <c r="O67" s="22"/>
      <c r="P67" s="20" t="n">
        <f aca="false">IF($N67="Reduce",N($O67),0)</f>
        <v>0</v>
      </c>
      <c r="Q67" s="23" t="str">
        <f aca="false">IF($F67="","",MID(IF($G67="",", career level","")&amp;IF($I67="",", nationality mandate","")&amp;IF($N67="",", capacity direction","")&amp;IF(N($J67)&lt;=0,", approved HC","")&amp;IF(AND($G67&lt;&gt;"",COUNTIF(CareerLevels,$G67)=0),", a career level that is not on the ladder","")&amp;IF(AND($N67="Reduce",N($O67)&lt;=0),", how many seats Reduce means","")&amp;IF(AND(N($O67)&gt;0,$N67&lt;&gt;"Reduce"),", a number of seats on a row not marked Reduce","")&amp;IF(N($O67)&gt;N($J67),", more seats given up than the row has",""),3,200))</f>
        <v>career level, nationality mandate, capacity direction</v>
      </c>
    </row>
    <row r="68" customFormat="false" ht="15" hidden="false" customHeight="false" outlineLevel="0" collapsed="false">
      <c r="A68" s="21" t="s">
        <v>324</v>
      </c>
      <c r="B68" s="21" t="s">
        <v>128</v>
      </c>
      <c r="C68" s="21" t="s">
        <v>130</v>
      </c>
      <c r="D68" s="21" t="s">
        <v>132</v>
      </c>
      <c r="E68" s="21" t="s">
        <v>134</v>
      </c>
      <c r="F68" s="21" t="s">
        <v>325</v>
      </c>
      <c r="G68" s="21"/>
      <c r="H68" s="21" t="s">
        <v>275</v>
      </c>
      <c r="I68" s="21"/>
      <c r="J68" s="22" t="n">
        <v>1</v>
      </c>
      <c r="K68" s="22" t="n">
        <v>0</v>
      </c>
      <c r="L68" s="22" t="n">
        <v>1</v>
      </c>
      <c r="M68" s="21" t="s">
        <v>265</v>
      </c>
      <c r="N68" s="21"/>
      <c r="O68" s="22"/>
      <c r="P68" s="20" t="n">
        <f aca="false">IF($N68="Reduce",N($O68),0)</f>
        <v>0</v>
      </c>
      <c r="Q68" s="23" t="str">
        <f aca="false">IF($F68="","",MID(IF($G68="",", career level","")&amp;IF($I68="",", nationality mandate","")&amp;IF($N68="",", capacity direction","")&amp;IF(N($J68)&lt;=0,", approved HC","")&amp;IF(AND($G68&lt;&gt;"",COUNTIF(CareerLevels,$G68)=0),", a career level that is not on the ladder","")&amp;IF(AND($N68="Reduce",N($O68)&lt;=0),", how many seats Reduce means","")&amp;IF(AND(N($O68)&gt;0,$N68&lt;&gt;"Reduce"),", a number of seats on a row not marked Reduce","")&amp;IF(N($O68)&gt;N($J68),", more seats given up than the row has",""),3,200))</f>
        <v>career level, nationality mandate, capacity direction</v>
      </c>
    </row>
    <row r="69" customFormat="false" ht="15" hidden="false" customHeight="false" outlineLevel="0" collapsed="false">
      <c r="A69" s="21"/>
      <c r="B69" s="21" t="s">
        <v>128</v>
      </c>
      <c r="C69" s="21" t="s">
        <v>130</v>
      </c>
      <c r="D69" s="21" t="s">
        <v>132</v>
      </c>
      <c r="E69" s="21" t="s">
        <v>134</v>
      </c>
      <c r="F69" s="21" t="s">
        <v>326</v>
      </c>
      <c r="G69" s="21"/>
      <c r="H69" s="21" t="s">
        <v>275</v>
      </c>
      <c r="I69" s="21"/>
      <c r="J69" s="22" t="n">
        <v>2</v>
      </c>
      <c r="K69" s="22" t="n">
        <v>1</v>
      </c>
      <c r="L69" s="22" t="n">
        <v>1</v>
      </c>
      <c r="M69" s="21" t="s">
        <v>265</v>
      </c>
      <c r="N69" s="21"/>
      <c r="O69" s="22"/>
      <c r="P69" s="20" t="n">
        <f aca="false">IF($N69="Reduce",N($O69),0)</f>
        <v>0</v>
      </c>
      <c r="Q69" s="23" t="str">
        <f aca="false">IF($F69="","",MID(IF($G69="",", career level","")&amp;IF($I69="",", nationality mandate","")&amp;IF($N69="",", capacity direction","")&amp;IF(N($J69)&lt;=0,", approved HC","")&amp;IF(AND($G69&lt;&gt;"",COUNTIF(CareerLevels,$G69)=0),", a career level that is not on the ladder","")&amp;IF(AND($N69="Reduce",N($O69)&lt;=0),", how many seats Reduce means","")&amp;IF(AND(N($O69)&gt;0,$N69&lt;&gt;"Reduce"),", a number of seats on a row not marked Reduce","")&amp;IF(N($O69)&gt;N($J69),", more seats given up than the row has",""),3,200))</f>
        <v>career level, nationality mandate, capacity direction</v>
      </c>
    </row>
    <row r="70" customFormat="false" ht="15" hidden="false" customHeight="false" outlineLevel="0" collapsed="false">
      <c r="A70" s="21" t="s">
        <v>311</v>
      </c>
      <c r="B70" s="21" t="s">
        <v>128</v>
      </c>
      <c r="C70" s="21" t="s">
        <v>130</v>
      </c>
      <c r="D70" s="21" t="s">
        <v>132</v>
      </c>
      <c r="E70" s="21" t="s">
        <v>134</v>
      </c>
      <c r="F70" s="21" t="s">
        <v>327</v>
      </c>
      <c r="G70" s="21"/>
      <c r="H70" s="21" t="s">
        <v>273</v>
      </c>
      <c r="I70" s="21"/>
      <c r="J70" s="22" t="n">
        <v>1</v>
      </c>
      <c r="K70" s="22" t="n">
        <v>0</v>
      </c>
      <c r="L70" s="22" t="n">
        <v>1</v>
      </c>
      <c r="M70" s="21" t="s">
        <v>265</v>
      </c>
      <c r="N70" s="21"/>
      <c r="O70" s="22"/>
      <c r="P70" s="20" t="n">
        <f aca="false">IF($N70="Reduce",N($O70),0)</f>
        <v>0</v>
      </c>
      <c r="Q70" s="23" t="str">
        <f aca="false">IF($F70="","",MID(IF($G70="",", career level","")&amp;IF($I70="",", nationality mandate","")&amp;IF($N70="",", capacity direction","")&amp;IF(N($J70)&lt;=0,", approved HC","")&amp;IF(AND($G70&lt;&gt;"",COUNTIF(CareerLevels,$G70)=0),", a career level that is not on the ladder","")&amp;IF(AND($N70="Reduce",N($O70)&lt;=0),", how many seats Reduce means","")&amp;IF(AND(N($O70)&gt;0,$N70&lt;&gt;"Reduce"),", a number of seats on a row not marked Reduce","")&amp;IF(N($O70)&gt;N($J70),", more seats given up than the row has",""),3,200))</f>
        <v>career level, nationality mandate, capacity direction</v>
      </c>
    </row>
    <row r="71" customFormat="false" ht="15" hidden="false" customHeight="false" outlineLevel="0" collapsed="false">
      <c r="A71" s="21" t="s">
        <v>303</v>
      </c>
      <c r="B71" s="21" t="s">
        <v>128</v>
      </c>
      <c r="C71" s="21" t="s">
        <v>130</v>
      </c>
      <c r="D71" s="21" t="s">
        <v>132</v>
      </c>
      <c r="E71" s="21" t="s">
        <v>140</v>
      </c>
      <c r="F71" s="21" t="s">
        <v>318</v>
      </c>
      <c r="G71" s="21"/>
      <c r="H71" s="21" t="s">
        <v>275</v>
      </c>
      <c r="I71" s="21"/>
      <c r="J71" s="22" t="n">
        <v>1</v>
      </c>
      <c r="K71" s="22" t="n">
        <v>1</v>
      </c>
      <c r="L71" s="22" t="n">
        <v>0</v>
      </c>
      <c r="M71" s="21" t="s">
        <v>277</v>
      </c>
      <c r="N71" s="21"/>
      <c r="O71" s="22"/>
      <c r="P71" s="20" t="n">
        <f aca="false">IF($N71="Reduce",N($O71),0)</f>
        <v>0</v>
      </c>
      <c r="Q71" s="23" t="str">
        <f aca="false">IF($F71="","",MID(IF($G71="",", career level","")&amp;IF($I71="",", nationality mandate","")&amp;IF($N71="",", capacity direction","")&amp;IF(N($J71)&lt;=0,", approved HC","")&amp;IF(AND($G71&lt;&gt;"",COUNTIF(CareerLevels,$G71)=0),", a career level that is not on the ladder","")&amp;IF(AND($N71="Reduce",N($O71)&lt;=0),", how many seats Reduce means","")&amp;IF(AND(N($O71)&gt;0,$N71&lt;&gt;"Reduce"),", a number of seats on a row not marked Reduce","")&amp;IF(N($O71)&gt;N($J71),", more seats given up than the row has",""),3,200))</f>
        <v>career level, nationality mandate, capacity direction</v>
      </c>
    </row>
    <row r="72" customFormat="false" ht="15" hidden="false" customHeight="false" outlineLevel="0" collapsed="false">
      <c r="A72" s="21" t="s">
        <v>290</v>
      </c>
      <c r="B72" s="21" t="s">
        <v>128</v>
      </c>
      <c r="C72" s="21" t="s">
        <v>130</v>
      </c>
      <c r="D72" s="21" t="s">
        <v>132</v>
      </c>
      <c r="E72" s="21" t="s">
        <v>140</v>
      </c>
      <c r="F72" s="21" t="s">
        <v>318</v>
      </c>
      <c r="G72" s="21"/>
      <c r="H72" s="21" t="s">
        <v>275</v>
      </c>
      <c r="I72" s="21"/>
      <c r="J72" s="22" t="n">
        <v>1</v>
      </c>
      <c r="K72" s="22" t="n">
        <v>1</v>
      </c>
      <c r="L72" s="22" t="n">
        <v>0</v>
      </c>
      <c r="M72" s="21" t="s">
        <v>265</v>
      </c>
      <c r="N72" s="21"/>
      <c r="O72" s="22"/>
      <c r="P72" s="20" t="n">
        <f aca="false">IF($N72="Reduce",N($O72),0)</f>
        <v>0</v>
      </c>
      <c r="Q72" s="23" t="str">
        <f aca="false">IF($F72="","",MID(IF($G72="",", career level","")&amp;IF($I72="",", nationality mandate","")&amp;IF($N72="",", capacity direction","")&amp;IF(N($J72)&lt;=0,", approved HC","")&amp;IF(AND($G72&lt;&gt;"",COUNTIF(CareerLevels,$G72)=0),", a career level that is not on the ladder","")&amp;IF(AND($N72="Reduce",N($O72)&lt;=0),", how many seats Reduce means","")&amp;IF(AND(N($O72)&gt;0,$N72&lt;&gt;"Reduce"),", a number of seats on a row not marked Reduce","")&amp;IF(N($O72)&gt;N($J72),", more seats given up than the row has",""),3,200))</f>
        <v>career level, nationality mandate, capacity direction</v>
      </c>
    </row>
    <row r="73" customFormat="false" ht="15" hidden="false" customHeight="false" outlineLevel="0" collapsed="false">
      <c r="A73" s="21"/>
      <c r="B73" s="21" t="s">
        <v>128</v>
      </c>
      <c r="C73" s="21" t="s">
        <v>130</v>
      </c>
      <c r="D73" s="21" t="s">
        <v>132</v>
      </c>
      <c r="E73" s="21" t="s">
        <v>140</v>
      </c>
      <c r="F73" s="21" t="s">
        <v>320</v>
      </c>
      <c r="G73" s="21"/>
      <c r="H73" s="21" t="s">
        <v>275</v>
      </c>
      <c r="I73" s="21"/>
      <c r="J73" s="22" t="n">
        <v>2</v>
      </c>
      <c r="K73" s="22" t="n">
        <v>2</v>
      </c>
      <c r="L73" s="22" t="n">
        <v>0</v>
      </c>
      <c r="M73" s="21" t="s">
        <v>265</v>
      </c>
      <c r="N73" s="21"/>
      <c r="O73" s="22"/>
      <c r="P73" s="20" t="n">
        <f aca="false">IF($N73="Reduce",N($O73),0)</f>
        <v>0</v>
      </c>
      <c r="Q73" s="23" t="str">
        <f aca="false">IF($F73="","",MID(IF($G73="",", career level","")&amp;IF($I73="",", nationality mandate","")&amp;IF($N73="",", capacity direction","")&amp;IF(N($J73)&lt;=0,", approved HC","")&amp;IF(AND($G73&lt;&gt;"",COUNTIF(CareerLevels,$G73)=0),", a career level that is not on the ladder","")&amp;IF(AND($N73="Reduce",N($O73)&lt;=0),", how many seats Reduce means","")&amp;IF(AND(N($O73)&gt;0,$N73&lt;&gt;"Reduce"),", a number of seats on a row not marked Reduce","")&amp;IF(N($O73)&gt;N($J73),", more seats given up than the row has",""),3,200))</f>
        <v>career level, nationality mandate, capacity direction</v>
      </c>
    </row>
    <row r="74" customFormat="false" ht="15" hidden="false" customHeight="false" outlineLevel="0" collapsed="false">
      <c r="A74" s="21" t="s">
        <v>328</v>
      </c>
      <c r="B74" s="21" t="s">
        <v>128</v>
      </c>
      <c r="C74" s="21" t="s">
        <v>130</v>
      </c>
      <c r="D74" s="21" t="s">
        <v>132</v>
      </c>
      <c r="E74" s="21" t="s">
        <v>140</v>
      </c>
      <c r="F74" s="21" t="s">
        <v>320</v>
      </c>
      <c r="G74" s="21"/>
      <c r="H74" s="21" t="s">
        <v>275</v>
      </c>
      <c r="I74" s="21"/>
      <c r="J74" s="22" t="n">
        <v>1</v>
      </c>
      <c r="K74" s="22" t="n">
        <v>1</v>
      </c>
      <c r="L74" s="22" t="n">
        <v>0</v>
      </c>
      <c r="M74" s="21" t="s">
        <v>277</v>
      </c>
      <c r="N74" s="21"/>
      <c r="O74" s="22"/>
      <c r="P74" s="20" t="n">
        <f aca="false">IF($N74="Reduce",N($O74),0)</f>
        <v>0</v>
      </c>
      <c r="Q74" s="23" t="str">
        <f aca="false">IF($F74="","",MID(IF($G74="",", career level","")&amp;IF($I74="",", nationality mandate","")&amp;IF($N74="",", capacity direction","")&amp;IF(N($J74)&lt;=0,", approved HC","")&amp;IF(AND($G74&lt;&gt;"",COUNTIF(CareerLevels,$G74)=0),", a career level that is not on the ladder","")&amp;IF(AND($N74="Reduce",N($O74)&lt;=0),", how many seats Reduce means","")&amp;IF(AND(N($O74)&gt;0,$N74&lt;&gt;"Reduce"),", a number of seats on a row not marked Reduce","")&amp;IF(N($O74)&gt;N($J74),", more seats given up than the row has",""),3,200))</f>
        <v>career level, nationality mandate, capacity direction</v>
      </c>
    </row>
    <row r="75" customFormat="false" ht="15" hidden="false" customHeight="false" outlineLevel="0" collapsed="false">
      <c r="A75" s="21"/>
      <c r="B75" s="21" t="s">
        <v>128</v>
      </c>
      <c r="C75" s="21" t="s">
        <v>130</v>
      </c>
      <c r="D75" s="21" t="s">
        <v>132</v>
      </c>
      <c r="E75" s="21" t="s">
        <v>140</v>
      </c>
      <c r="F75" s="21" t="s">
        <v>325</v>
      </c>
      <c r="G75" s="21"/>
      <c r="H75" s="21" t="s">
        <v>275</v>
      </c>
      <c r="I75" s="21"/>
      <c r="J75" s="22" t="n">
        <v>2</v>
      </c>
      <c r="K75" s="22" t="n">
        <v>2</v>
      </c>
      <c r="L75" s="22" t="n">
        <v>0</v>
      </c>
      <c r="M75" s="21" t="s">
        <v>265</v>
      </c>
      <c r="N75" s="21"/>
      <c r="O75" s="22"/>
      <c r="P75" s="20" t="n">
        <f aca="false">IF($N75="Reduce",N($O75),0)</f>
        <v>0</v>
      </c>
      <c r="Q75" s="23" t="str">
        <f aca="false">IF($F75="","",MID(IF($G75="",", career level","")&amp;IF($I75="",", nationality mandate","")&amp;IF($N75="",", capacity direction","")&amp;IF(N($J75)&lt;=0,", approved HC","")&amp;IF(AND($G75&lt;&gt;"",COUNTIF(CareerLevels,$G75)=0),", a career level that is not on the ladder","")&amp;IF(AND($N75="Reduce",N($O75)&lt;=0),", how many seats Reduce means","")&amp;IF(AND(N($O75)&gt;0,$N75&lt;&gt;"Reduce"),", a number of seats on a row not marked Reduce","")&amp;IF(N($O75)&gt;N($J75),", more seats given up than the row has",""),3,200))</f>
        <v>career level, nationality mandate, capacity direction</v>
      </c>
    </row>
    <row r="76" customFormat="false" ht="15" hidden="false" customHeight="false" outlineLevel="0" collapsed="false">
      <c r="A76" s="21" t="s">
        <v>276</v>
      </c>
      <c r="B76" s="21" t="s">
        <v>128</v>
      </c>
      <c r="C76" s="21" t="s">
        <v>130</v>
      </c>
      <c r="D76" s="21" t="s">
        <v>132</v>
      </c>
      <c r="E76" s="21" t="s">
        <v>140</v>
      </c>
      <c r="F76" s="21" t="s">
        <v>327</v>
      </c>
      <c r="G76" s="21"/>
      <c r="H76" s="21" t="s">
        <v>273</v>
      </c>
      <c r="I76" s="21"/>
      <c r="J76" s="22" t="n">
        <v>1</v>
      </c>
      <c r="K76" s="22" t="n">
        <v>1</v>
      </c>
      <c r="L76" s="22" t="n">
        <v>0</v>
      </c>
      <c r="M76" s="21" t="s">
        <v>265</v>
      </c>
      <c r="N76" s="21"/>
      <c r="O76" s="22"/>
      <c r="P76" s="20" t="n">
        <f aca="false">IF($N76="Reduce",N($O76),0)</f>
        <v>0</v>
      </c>
      <c r="Q76" s="23" t="str">
        <f aca="false">IF($F76="","",MID(IF($G76="",", career level","")&amp;IF($I76="",", nationality mandate","")&amp;IF($N76="",", capacity direction","")&amp;IF(N($J76)&lt;=0,", approved HC","")&amp;IF(AND($G76&lt;&gt;"",COUNTIF(CareerLevels,$G76)=0),", a career level that is not on the ladder","")&amp;IF(AND($N76="Reduce",N($O76)&lt;=0),", how many seats Reduce means","")&amp;IF(AND(N($O76)&gt;0,$N76&lt;&gt;"Reduce"),", a number of seats on a row not marked Reduce","")&amp;IF(N($O76)&gt;N($J76),", more seats given up than the row has",""),3,200))</f>
        <v>career level, nationality mandate, capacity direction</v>
      </c>
    </row>
    <row r="77" customFormat="false" ht="15" hidden="false" customHeight="false" outlineLevel="0" collapsed="false">
      <c r="A77" s="21" t="s">
        <v>329</v>
      </c>
      <c r="B77" s="21" t="s">
        <v>128</v>
      </c>
      <c r="C77" s="21" t="s">
        <v>130</v>
      </c>
      <c r="D77" s="21" t="s">
        <v>146</v>
      </c>
      <c r="E77" s="21"/>
      <c r="F77" s="21" t="s">
        <v>317</v>
      </c>
      <c r="G77" s="21"/>
      <c r="H77" s="21" t="s">
        <v>273</v>
      </c>
      <c r="I77" s="21"/>
      <c r="J77" s="22" t="n">
        <v>1</v>
      </c>
      <c r="K77" s="22" t="n">
        <v>1</v>
      </c>
      <c r="L77" s="22" t="n">
        <v>0</v>
      </c>
      <c r="M77" s="21" t="s">
        <v>277</v>
      </c>
      <c r="N77" s="21"/>
      <c r="O77" s="22"/>
      <c r="P77" s="20" t="n">
        <f aca="false">IF($N77="Reduce",N($O77),0)</f>
        <v>0</v>
      </c>
      <c r="Q77" s="23" t="str">
        <f aca="false">IF($F77="","",MID(IF($G77="",", career level","")&amp;IF($I77="",", nationality mandate","")&amp;IF($N77="",", capacity direction","")&amp;IF(N($J77)&lt;=0,", approved HC","")&amp;IF(AND($G77&lt;&gt;"",COUNTIF(CareerLevels,$G77)=0),", a career level that is not on the ladder","")&amp;IF(AND($N77="Reduce",N($O77)&lt;=0),", how many seats Reduce means","")&amp;IF(AND(N($O77)&gt;0,$N77&lt;&gt;"Reduce"),", a number of seats on a row not marked Reduce","")&amp;IF(N($O77)&gt;N($J77),", more seats given up than the row has",""),3,200))</f>
        <v>career level, nationality mandate, capacity direction</v>
      </c>
    </row>
    <row r="78" customFormat="false" ht="15" hidden="false" customHeight="false" outlineLevel="0" collapsed="false">
      <c r="A78" s="21"/>
      <c r="B78" s="21" t="s">
        <v>128</v>
      </c>
      <c r="C78" s="21" t="s">
        <v>130</v>
      </c>
      <c r="D78" s="21" t="s">
        <v>146</v>
      </c>
      <c r="E78" s="21" t="s">
        <v>148</v>
      </c>
      <c r="F78" s="21" t="s">
        <v>318</v>
      </c>
      <c r="G78" s="21"/>
      <c r="H78" s="21" t="s">
        <v>275</v>
      </c>
      <c r="I78" s="21"/>
      <c r="J78" s="22" t="n">
        <v>2</v>
      </c>
      <c r="K78" s="22" t="n">
        <v>2</v>
      </c>
      <c r="L78" s="22" t="n">
        <v>0</v>
      </c>
      <c r="M78" s="21" t="s">
        <v>265</v>
      </c>
      <c r="N78" s="21"/>
      <c r="O78" s="22"/>
      <c r="P78" s="20" t="n">
        <f aca="false">IF($N78="Reduce",N($O78),0)</f>
        <v>0</v>
      </c>
      <c r="Q78" s="23" t="str">
        <f aca="false">IF($F78="","",MID(IF($G78="",", career level","")&amp;IF($I78="",", nationality mandate","")&amp;IF($N78="",", capacity direction","")&amp;IF(N($J78)&lt;=0,", approved HC","")&amp;IF(AND($G78&lt;&gt;"",COUNTIF(CareerLevels,$G78)=0),", a career level that is not on the ladder","")&amp;IF(AND($N78="Reduce",N($O78)&lt;=0),", how many seats Reduce means","")&amp;IF(AND(N($O78)&gt;0,$N78&lt;&gt;"Reduce"),", a number of seats on a row not marked Reduce","")&amp;IF(N($O78)&gt;N($J78),", more seats given up than the row has",""),3,200))</f>
        <v>career level, nationality mandate, capacity direction</v>
      </c>
    </row>
    <row r="79" customFormat="false" ht="15" hidden="false" customHeight="false" outlineLevel="0" collapsed="false">
      <c r="A79" s="21" t="s">
        <v>296</v>
      </c>
      <c r="B79" s="21" t="s">
        <v>128</v>
      </c>
      <c r="C79" s="21" t="s">
        <v>130</v>
      </c>
      <c r="D79" s="21" t="s">
        <v>146</v>
      </c>
      <c r="E79" s="21" t="s">
        <v>148</v>
      </c>
      <c r="F79" s="21" t="s">
        <v>318</v>
      </c>
      <c r="G79" s="21"/>
      <c r="H79" s="21" t="s">
        <v>275</v>
      </c>
      <c r="I79" s="21"/>
      <c r="J79" s="22" t="n">
        <v>1</v>
      </c>
      <c r="K79" s="22" t="n">
        <v>1</v>
      </c>
      <c r="L79" s="22" t="n">
        <v>0</v>
      </c>
      <c r="M79" s="21" t="s">
        <v>277</v>
      </c>
      <c r="N79" s="21"/>
      <c r="O79" s="22"/>
      <c r="P79" s="20" t="n">
        <f aca="false">IF($N79="Reduce",N($O79),0)</f>
        <v>0</v>
      </c>
      <c r="Q79" s="23" t="str">
        <f aca="false">IF($F79="","",MID(IF($G79="",", career level","")&amp;IF($I79="",", nationality mandate","")&amp;IF($N79="",", capacity direction","")&amp;IF(N($J79)&lt;=0,", approved HC","")&amp;IF(AND($G79&lt;&gt;"",COUNTIF(CareerLevels,$G79)=0),", a career level that is not on the ladder","")&amp;IF(AND($N79="Reduce",N($O79)&lt;=0),", how many seats Reduce means","")&amp;IF(AND(N($O79)&gt;0,$N79&lt;&gt;"Reduce"),", a number of seats on a row not marked Reduce","")&amp;IF(N($O79)&gt;N($J79),", more seats given up than the row has",""),3,200))</f>
        <v>career level, nationality mandate, capacity direction</v>
      </c>
    </row>
    <row r="80" customFormat="false" ht="15" hidden="false" customHeight="false" outlineLevel="0" collapsed="false">
      <c r="A80" s="21" t="s">
        <v>303</v>
      </c>
      <c r="B80" s="21" t="s">
        <v>128</v>
      </c>
      <c r="C80" s="21" t="s">
        <v>130</v>
      </c>
      <c r="D80" s="21" t="s">
        <v>146</v>
      </c>
      <c r="E80" s="21" t="s">
        <v>148</v>
      </c>
      <c r="F80" s="21" t="s">
        <v>320</v>
      </c>
      <c r="G80" s="21"/>
      <c r="H80" s="21" t="s">
        <v>275</v>
      </c>
      <c r="I80" s="21"/>
      <c r="J80" s="22" t="n">
        <v>1</v>
      </c>
      <c r="K80" s="22" t="n">
        <v>1</v>
      </c>
      <c r="L80" s="22" t="n">
        <v>0</v>
      </c>
      <c r="M80" s="21" t="s">
        <v>265</v>
      </c>
      <c r="N80" s="21"/>
      <c r="O80" s="22"/>
      <c r="P80" s="20" t="n">
        <f aca="false">IF($N80="Reduce",N($O80),0)</f>
        <v>0</v>
      </c>
      <c r="Q80" s="23" t="str">
        <f aca="false">IF($F80="","",MID(IF($G80="",", career level","")&amp;IF($I80="",", nationality mandate","")&amp;IF($N80="",", capacity direction","")&amp;IF(N($J80)&lt;=0,", approved HC","")&amp;IF(AND($G80&lt;&gt;"",COUNTIF(CareerLevels,$G80)=0),", a career level that is not on the ladder","")&amp;IF(AND($N80="Reduce",N($O80)&lt;=0),", how many seats Reduce means","")&amp;IF(AND(N($O80)&gt;0,$N80&lt;&gt;"Reduce"),", a number of seats on a row not marked Reduce","")&amp;IF(N($O80)&gt;N($J80),", more seats given up than the row has",""),3,200))</f>
        <v>career level, nationality mandate, capacity direction</v>
      </c>
    </row>
    <row r="81" customFormat="false" ht="15" hidden="false" customHeight="false" outlineLevel="0" collapsed="false">
      <c r="A81" s="21"/>
      <c r="B81" s="21" t="s">
        <v>128</v>
      </c>
      <c r="C81" s="21" t="s">
        <v>130</v>
      </c>
      <c r="D81" s="21" t="s">
        <v>146</v>
      </c>
      <c r="E81" s="21" t="s">
        <v>148</v>
      </c>
      <c r="F81" s="21" t="s">
        <v>322</v>
      </c>
      <c r="G81" s="21"/>
      <c r="H81" s="21" t="s">
        <v>275</v>
      </c>
      <c r="I81" s="21"/>
      <c r="J81" s="22" t="n">
        <v>3</v>
      </c>
      <c r="K81" s="22" t="n">
        <v>3</v>
      </c>
      <c r="L81" s="22" t="n">
        <v>0</v>
      </c>
      <c r="M81" s="21" t="s">
        <v>265</v>
      </c>
      <c r="N81" s="21"/>
      <c r="O81" s="22"/>
      <c r="P81" s="20" t="n">
        <f aca="false">IF($N81="Reduce",N($O81),0)</f>
        <v>0</v>
      </c>
      <c r="Q81" s="23" t="str">
        <f aca="false">IF($F81="","",MID(IF($G81="",", career level","")&amp;IF($I81="",", nationality mandate","")&amp;IF($N81="",", capacity direction","")&amp;IF(N($J81)&lt;=0,", approved HC","")&amp;IF(AND($G81&lt;&gt;"",COUNTIF(CareerLevels,$G81)=0),", a career level that is not on the ladder","")&amp;IF(AND($N81="Reduce",N($O81)&lt;=0),", how many seats Reduce means","")&amp;IF(AND(N($O81)&gt;0,$N81&lt;&gt;"Reduce"),", a number of seats on a row not marked Reduce","")&amp;IF(N($O81)&gt;N($J81),", more seats given up than the row has",""),3,200))</f>
        <v>career level, nationality mandate, capacity direction</v>
      </c>
    </row>
    <row r="82" customFormat="false" ht="15" hidden="false" customHeight="false" outlineLevel="0" collapsed="false">
      <c r="A82" s="21" t="s">
        <v>330</v>
      </c>
      <c r="B82" s="21" t="s">
        <v>128</v>
      </c>
      <c r="C82" s="21" t="s">
        <v>130</v>
      </c>
      <c r="D82" s="21" t="s">
        <v>146</v>
      </c>
      <c r="E82" s="21" t="s">
        <v>148</v>
      </c>
      <c r="F82" s="21" t="s">
        <v>323</v>
      </c>
      <c r="G82" s="21"/>
      <c r="H82" s="21" t="s">
        <v>275</v>
      </c>
      <c r="I82" s="21"/>
      <c r="J82" s="22" t="n">
        <v>1</v>
      </c>
      <c r="K82" s="22" t="n">
        <v>1</v>
      </c>
      <c r="L82" s="22" t="n">
        <v>0</v>
      </c>
      <c r="M82" s="21" t="s">
        <v>265</v>
      </c>
      <c r="N82" s="21"/>
      <c r="O82" s="22"/>
      <c r="P82" s="20" t="n">
        <f aca="false">IF($N82="Reduce",N($O82),0)</f>
        <v>0</v>
      </c>
      <c r="Q82" s="23" t="str">
        <f aca="false">IF($F82="","",MID(IF($G82="",", career level","")&amp;IF($I82="",", nationality mandate","")&amp;IF($N82="",", capacity direction","")&amp;IF(N($J82)&lt;=0,", approved HC","")&amp;IF(AND($G82&lt;&gt;"",COUNTIF(CareerLevels,$G82)=0),", a career level that is not on the ladder","")&amp;IF(AND($N82="Reduce",N($O82)&lt;=0),", how many seats Reduce means","")&amp;IF(AND(N($O82)&gt;0,$N82&lt;&gt;"Reduce"),", a number of seats on a row not marked Reduce","")&amp;IF(N($O82)&gt;N($J82),", more seats given up than the row has",""),3,200))</f>
        <v>career level, nationality mandate, capacity direction</v>
      </c>
    </row>
    <row r="83" customFormat="false" ht="15" hidden="false" customHeight="false" outlineLevel="0" collapsed="false">
      <c r="A83" s="21" t="s">
        <v>331</v>
      </c>
      <c r="B83" s="21" t="s">
        <v>128</v>
      </c>
      <c r="C83" s="21" t="s">
        <v>130</v>
      </c>
      <c r="D83" s="21" t="s">
        <v>146</v>
      </c>
      <c r="E83" s="21" t="s">
        <v>148</v>
      </c>
      <c r="F83" s="21" t="s">
        <v>325</v>
      </c>
      <c r="G83" s="21"/>
      <c r="H83" s="21" t="s">
        <v>275</v>
      </c>
      <c r="I83" s="21"/>
      <c r="J83" s="22" t="n">
        <v>1</v>
      </c>
      <c r="K83" s="22" t="n">
        <v>1</v>
      </c>
      <c r="L83" s="22" t="n">
        <v>0</v>
      </c>
      <c r="M83" s="21" t="s">
        <v>265</v>
      </c>
      <c r="N83" s="21"/>
      <c r="O83" s="22"/>
      <c r="P83" s="20" t="n">
        <f aca="false">IF($N83="Reduce",N($O83),0)</f>
        <v>0</v>
      </c>
      <c r="Q83" s="23" t="str">
        <f aca="false">IF($F83="","",MID(IF($G83="",", career level","")&amp;IF($I83="",", nationality mandate","")&amp;IF($N83="",", capacity direction","")&amp;IF(N($J83)&lt;=0,", approved HC","")&amp;IF(AND($G83&lt;&gt;"",COUNTIF(CareerLevels,$G83)=0),", a career level that is not on the ladder","")&amp;IF(AND($N83="Reduce",N($O83)&lt;=0),", how many seats Reduce means","")&amp;IF(AND(N($O83)&gt;0,$N83&lt;&gt;"Reduce"),", a number of seats on a row not marked Reduce","")&amp;IF(N($O83)&gt;N($J83),", more seats given up than the row has",""),3,200))</f>
        <v>career level, nationality mandate, capacity direction</v>
      </c>
    </row>
    <row r="84" customFormat="false" ht="15" hidden="false" customHeight="false" outlineLevel="0" collapsed="false">
      <c r="A84" s="21" t="s">
        <v>329</v>
      </c>
      <c r="B84" s="21" t="s">
        <v>128</v>
      </c>
      <c r="C84" s="21" t="s">
        <v>130</v>
      </c>
      <c r="D84" s="21" t="s">
        <v>146</v>
      </c>
      <c r="E84" s="21" t="s">
        <v>148</v>
      </c>
      <c r="F84" s="21" t="s">
        <v>327</v>
      </c>
      <c r="G84" s="21"/>
      <c r="H84" s="21" t="s">
        <v>273</v>
      </c>
      <c r="I84" s="21"/>
      <c r="J84" s="22" t="n">
        <v>1</v>
      </c>
      <c r="K84" s="22" t="n">
        <v>1</v>
      </c>
      <c r="L84" s="22" t="n">
        <v>0</v>
      </c>
      <c r="M84" s="21" t="s">
        <v>265</v>
      </c>
      <c r="N84" s="21"/>
      <c r="O84" s="22"/>
      <c r="P84" s="20" t="n">
        <f aca="false">IF($N84="Reduce",N($O84),0)</f>
        <v>0</v>
      </c>
      <c r="Q84" s="23" t="str">
        <f aca="false">IF($F84="","",MID(IF($G84="",", career level","")&amp;IF($I84="",", nationality mandate","")&amp;IF($N84="",", capacity direction","")&amp;IF(N($J84)&lt;=0,", approved HC","")&amp;IF(AND($G84&lt;&gt;"",COUNTIF(CareerLevels,$G84)=0),", a career level that is not on the ladder","")&amp;IF(AND($N84="Reduce",N($O84)&lt;=0),", how many seats Reduce means","")&amp;IF(AND(N($O84)&gt;0,$N84&lt;&gt;"Reduce"),", a number of seats on a row not marked Reduce","")&amp;IF(N($O84)&gt;N($J84),", more seats given up than the row has",""),3,200))</f>
        <v>career level, nationality mandate, capacity direction</v>
      </c>
    </row>
    <row r="85" customFormat="false" ht="15" hidden="false" customHeight="false" outlineLevel="0" collapsed="false">
      <c r="A85" s="21" t="s">
        <v>291</v>
      </c>
      <c r="B85" s="21" t="s">
        <v>128</v>
      </c>
      <c r="C85" s="21" t="s">
        <v>130</v>
      </c>
      <c r="D85" s="21" t="s">
        <v>146</v>
      </c>
      <c r="E85" s="21" t="s">
        <v>154</v>
      </c>
      <c r="F85" s="21" t="s">
        <v>322</v>
      </c>
      <c r="G85" s="21"/>
      <c r="H85" s="21" t="s">
        <v>275</v>
      </c>
      <c r="I85" s="21"/>
      <c r="J85" s="22" t="n">
        <v>1</v>
      </c>
      <c r="K85" s="22" t="n">
        <v>1</v>
      </c>
      <c r="L85" s="22" t="n">
        <v>0</v>
      </c>
      <c r="M85" s="21" t="s">
        <v>265</v>
      </c>
      <c r="N85" s="21"/>
      <c r="O85" s="22"/>
      <c r="P85" s="20" t="n">
        <f aca="false">IF($N85="Reduce",N($O85),0)</f>
        <v>0</v>
      </c>
      <c r="Q85" s="23" t="str">
        <f aca="false">IF($F85="","",MID(IF($G85="",", career level","")&amp;IF($I85="",", nationality mandate","")&amp;IF($N85="",", capacity direction","")&amp;IF(N($J85)&lt;=0,", approved HC","")&amp;IF(AND($G85&lt;&gt;"",COUNTIF(CareerLevels,$G85)=0),", a career level that is not on the ladder","")&amp;IF(AND($N85="Reduce",N($O85)&lt;=0),", how many seats Reduce means","")&amp;IF(AND(N($O85)&gt;0,$N85&lt;&gt;"Reduce"),", a number of seats on a row not marked Reduce","")&amp;IF(N($O85)&gt;N($J85),", more seats given up than the row has",""),3,200))</f>
        <v>career level, nationality mandate, capacity direction</v>
      </c>
    </row>
    <row r="86" customFormat="false" ht="15" hidden="false" customHeight="false" outlineLevel="0" collapsed="false">
      <c r="A86" s="21"/>
      <c r="B86" s="21" t="s">
        <v>128</v>
      </c>
      <c r="C86" s="21" t="s">
        <v>130</v>
      </c>
      <c r="D86" s="21" t="s">
        <v>146</v>
      </c>
      <c r="E86" s="21" t="s">
        <v>154</v>
      </c>
      <c r="F86" s="21" t="s">
        <v>323</v>
      </c>
      <c r="G86" s="21"/>
      <c r="H86" s="21" t="s">
        <v>275</v>
      </c>
      <c r="I86" s="21"/>
      <c r="J86" s="22" t="n">
        <v>3</v>
      </c>
      <c r="K86" s="22" t="n">
        <v>3</v>
      </c>
      <c r="L86" s="22" t="n">
        <v>0</v>
      </c>
      <c r="M86" s="21" t="s">
        <v>265</v>
      </c>
      <c r="N86" s="21"/>
      <c r="O86" s="22"/>
      <c r="P86" s="20" t="n">
        <f aca="false">IF($N86="Reduce",N($O86),0)</f>
        <v>0</v>
      </c>
      <c r="Q86" s="23" t="str">
        <f aca="false">IF($F86="","",MID(IF($G86="",", career level","")&amp;IF($I86="",", nationality mandate","")&amp;IF($N86="",", capacity direction","")&amp;IF(N($J86)&lt;=0,", approved HC","")&amp;IF(AND($G86&lt;&gt;"",COUNTIF(CareerLevels,$G86)=0),", a career level that is not on the ladder","")&amp;IF(AND($N86="Reduce",N($O86)&lt;=0),", how many seats Reduce means","")&amp;IF(AND(N($O86)&gt;0,$N86&lt;&gt;"Reduce"),", a number of seats on a row not marked Reduce","")&amp;IF(N($O86)&gt;N($J86),", more seats given up than the row has",""),3,200))</f>
        <v>career level, nationality mandate, capacity direction</v>
      </c>
    </row>
    <row r="87" customFormat="false" ht="15" hidden="false" customHeight="false" outlineLevel="0" collapsed="false">
      <c r="A87" s="21"/>
      <c r="B87" s="21" t="s">
        <v>128</v>
      </c>
      <c r="C87" s="21" t="s">
        <v>130</v>
      </c>
      <c r="D87" s="21" t="s">
        <v>146</v>
      </c>
      <c r="E87" s="21" t="s">
        <v>154</v>
      </c>
      <c r="F87" s="21" t="s">
        <v>325</v>
      </c>
      <c r="G87" s="21"/>
      <c r="H87" s="21" t="s">
        <v>275</v>
      </c>
      <c r="I87" s="21"/>
      <c r="J87" s="22" t="n">
        <v>3</v>
      </c>
      <c r="K87" s="22" t="n">
        <v>3</v>
      </c>
      <c r="L87" s="22" t="n">
        <v>0</v>
      </c>
      <c r="M87" s="21" t="s">
        <v>265</v>
      </c>
      <c r="N87" s="21"/>
      <c r="O87" s="22"/>
      <c r="P87" s="20" t="n">
        <f aca="false">IF($N87="Reduce",N($O87),0)</f>
        <v>0</v>
      </c>
      <c r="Q87" s="23" t="str">
        <f aca="false">IF($F87="","",MID(IF($G87="",", career level","")&amp;IF($I87="",", nationality mandate","")&amp;IF($N87="",", capacity direction","")&amp;IF(N($J87)&lt;=0,", approved HC","")&amp;IF(AND($G87&lt;&gt;"",COUNTIF(CareerLevels,$G87)=0),", a career level that is not on the ladder","")&amp;IF(AND($N87="Reduce",N($O87)&lt;=0),", how many seats Reduce means","")&amp;IF(AND(N($O87)&gt;0,$N87&lt;&gt;"Reduce"),", a number of seats on a row not marked Reduce","")&amp;IF(N($O87)&gt;N($J87),", more seats given up than the row has",""),3,200))</f>
        <v>career level, nationality mandate, capacity direction</v>
      </c>
    </row>
    <row r="88" customFormat="false" ht="15" hidden="false" customHeight="false" outlineLevel="0" collapsed="false">
      <c r="A88" s="21" t="s">
        <v>332</v>
      </c>
      <c r="B88" s="21" t="s">
        <v>128</v>
      </c>
      <c r="C88" s="21" t="s">
        <v>130</v>
      </c>
      <c r="D88" s="21" t="s">
        <v>146</v>
      </c>
      <c r="E88" s="21" t="s">
        <v>154</v>
      </c>
      <c r="F88" s="21" t="s">
        <v>327</v>
      </c>
      <c r="G88" s="21"/>
      <c r="H88" s="21" t="s">
        <v>273</v>
      </c>
      <c r="I88" s="21"/>
      <c r="J88" s="22" t="n">
        <v>1</v>
      </c>
      <c r="K88" s="22" t="n">
        <v>1</v>
      </c>
      <c r="L88" s="22" t="n">
        <v>0</v>
      </c>
      <c r="M88" s="21" t="s">
        <v>277</v>
      </c>
      <c r="N88" s="21"/>
      <c r="O88" s="22"/>
      <c r="P88" s="20" t="n">
        <f aca="false">IF($N88="Reduce",N($O88),0)</f>
        <v>0</v>
      </c>
      <c r="Q88" s="23" t="str">
        <f aca="false">IF($F88="","",MID(IF($G88="",", career level","")&amp;IF($I88="",", nationality mandate","")&amp;IF($N88="",", capacity direction","")&amp;IF(N($J88)&lt;=0,", approved HC","")&amp;IF(AND($G88&lt;&gt;"",COUNTIF(CareerLevels,$G88)=0),", a career level that is not on the ladder","")&amp;IF(AND($N88="Reduce",N($O88)&lt;=0),", how many seats Reduce means","")&amp;IF(AND(N($O88)&gt;0,$N88&lt;&gt;"Reduce"),", a number of seats on a row not marked Reduce","")&amp;IF(N($O88)&gt;N($J88),", more seats given up than the row has",""),3,200))</f>
        <v>career level, nationality mandate, capacity direction</v>
      </c>
    </row>
    <row r="89" customFormat="false" ht="15" hidden="false" customHeight="false" outlineLevel="0" collapsed="false">
      <c r="A89" s="21" t="s">
        <v>298</v>
      </c>
      <c r="B89" s="21" t="s">
        <v>128</v>
      </c>
      <c r="C89" s="21" t="s">
        <v>160</v>
      </c>
      <c r="D89" s="21"/>
      <c r="E89" s="21"/>
      <c r="F89" s="21" t="s">
        <v>333</v>
      </c>
      <c r="G89" s="21"/>
      <c r="H89" s="21" t="s">
        <v>268</v>
      </c>
      <c r="I89" s="21"/>
      <c r="J89" s="22" t="n">
        <v>1</v>
      </c>
      <c r="K89" s="22" t="n">
        <v>1</v>
      </c>
      <c r="L89" s="22" t="n">
        <v>0</v>
      </c>
      <c r="M89" s="21" t="s">
        <v>265</v>
      </c>
      <c r="N89" s="21"/>
      <c r="O89" s="22"/>
      <c r="P89" s="20" t="n">
        <f aca="false">IF($N89="Reduce",N($O89),0)</f>
        <v>0</v>
      </c>
      <c r="Q89" s="23" t="str">
        <f aca="false">IF($F89="","",MID(IF($G89="",", career level","")&amp;IF($I89="",", nationality mandate","")&amp;IF($N89="",", capacity direction","")&amp;IF(N($J89)&lt;=0,", approved HC","")&amp;IF(AND($G89&lt;&gt;"",COUNTIF(CareerLevels,$G89)=0),", a career level that is not on the ladder","")&amp;IF(AND($N89="Reduce",N($O89)&lt;=0),", how many seats Reduce means","")&amp;IF(AND(N($O89)&gt;0,$N89&lt;&gt;"Reduce"),", a number of seats on a row not marked Reduce","")&amp;IF(N($O89)&gt;N($J89),", more seats given up than the row has",""),3,200))</f>
        <v>career level, nationality mandate, capacity direction</v>
      </c>
    </row>
    <row r="90" customFormat="false" ht="15" hidden="false" customHeight="false" outlineLevel="0" collapsed="false">
      <c r="A90" s="21" t="s">
        <v>334</v>
      </c>
      <c r="B90" s="21" t="s">
        <v>128</v>
      </c>
      <c r="C90" s="21" t="s">
        <v>160</v>
      </c>
      <c r="D90" s="21" t="s">
        <v>162</v>
      </c>
      <c r="E90" s="21"/>
      <c r="F90" s="21" t="s">
        <v>335</v>
      </c>
      <c r="G90" s="21"/>
      <c r="H90" s="21" t="s">
        <v>273</v>
      </c>
      <c r="I90" s="21"/>
      <c r="J90" s="22" t="n">
        <v>1</v>
      </c>
      <c r="K90" s="22" t="n">
        <v>1</v>
      </c>
      <c r="L90" s="22" t="n">
        <v>0</v>
      </c>
      <c r="M90" s="21" t="s">
        <v>265</v>
      </c>
      <c r="N90" s="21"/>
      <c r="O90" s="22"/>
      <c r="P90" s="20" t="n">
        <f aca="false">IF($N90="Reduce",N($O90),0)</f>
        <v>0</v>
      </c>
      <c r="Q90" s="23" t="str">
        <f aca="false">IF($F90="","",MID(IF($G90="",", career level","")&amp;IF($I90="",", nationality mandate","")&amp;IF($N90="",", capacity direction","")&amp;IF(N($J90)&lt;=0,", approved HC","")&amp;IF(AND($G90&lt;&gt;"",COUNTIF(CareerLevels,$G90)=0),", a career level that is not on the ladder","")&amp;IF(AND($N90="Reduce",N($O90)&lt;=0),", how many seats Reduce means","")&amp;IF(AND(N($O90)&gt;0,$N90&lt;&gt;"Reduce"),", a number of seats on a row not marked Reduce","")&amp;IF(N($O90)&gt;N($J90),", more seats given up than the row has",""),3,200))</f>
        <v>career level, nationality mandate, capacity direction</v>
      </c>
    </row>
    <row r="91" customFormat="false" ht="15" hidden="false" customHeight="false" outlineLevel="0" collapsed="false">
      <c r="A91" s="21" t="s">
        <v>266</v>
      </c>
      <c r="B91" s="21" t="s">
        <v>128</v>
      </c>
      <c r="C91" s="21" t="s">
        <v>160</v>
      </c>
      <c r="D91" s="21" t="s">
        <v>162</v>
      </c>
      <c r="E91" s="21" t="s">
        <v>164</v>
      </c>
      <c r="F91" s="21" t="s">
        <v>336</v>
      </c>
      <c r="G91" s="21"/>
      <c r="H91" s="21" t="s">
        <v>275</v>
      </c>
      <c r="I91" s="21"/>
      <c r="J91" s="22" t="n">
        <v>1</v>
      </c>
      <c r="K91" s="22" t="n">
        <v>1</v>
      </c>
      <c r="L91" s="22" t="n">
        <v>0</v>
      </c>
      <c r="M91" s="21" t="s">
        <v>265</v>
      </c>
      <c r="N91" s="21"/>
      <c r="O91" s="22"/>
      <c r="P91" s="20" t="n">
        <f aca="false">IF($N91="Reduce",N($O91),0)</f>
        <v>0</v>
      </c>
      <c r="Q91" s="23" t="str">
        <f aca="false">IF($F91="","",MID(IF($G91="",", career level","")&amp;IF($I91="",", nationality mandate","")&amp;IF($N91="",", capacity direction","")&amp;IF(N($J91)&lt;=0,", approved HC","")&amp;IF(AND($G91&lt;&gt;"",COUNTIF(CareerLevels,$G91)=0),", a career level that is not on the ladder","")&amp;IF(AND($N91="Reduce",N($O91)&lt;=0),", how many seats Reduce means","")&amp;IF(AND(N($O91)&gt;0,$N91&lt;&gt;"Reduce"),", a number of seats on a row not marked Reduce","")&amp;IF(N($O91)&gt;N($J91),", more seats given up than the row has",""),3,200))</f>
        <v>career level, nationality mandate, capacity direction</v>
      </c>
    </row>
    <row r="92" customFormat="false" ht="15" hidden="false" customHeight="false" outlineLevel="0" collapsed="false">
      <c r="A92" s="21" t="s">
        <v>284</v>
      </c>
      <c r="B92" s="21" t="s">
        <v>128</v>
      </c>
      <c r="C92" s="21" t="s">
        <v>160</v>
      </c>
      <c r="D92" s="21" t="s">
        <v>162</v>
      </c>
      <c r="E92" s="21" t="s">
        <v>164</v>
      </c>
      <c r="F92" s="21" t="s">
        <v>337</v>
      </c>
      <c r="G92" s="21"/>
      <c r="H92" s="21" t="s">
        <v>275</v>
      </c>
      <c r="I92" s="21"/>
      <c r="J92" s="22" t="n">
        <v>1</v>
      </c>
      <c r="K92" s="22" t="n">
        <v>1</v>
      </c>
      <c r="L92" s="22" t="n">
        <v>0</v>
      </c>
      <c r="M92" s="21" t="s">
        <v>265</v>
      </c>
      <c r="N92" s="21"/>
      <c r="O92" s="22"/>
      <c r="P92" s="20" t="n">
        <f aca="false">IF($N92="Reduce",N($O92),0)</f>
        <v>0</v>
      </c>
      <c r="Q92" s="23" t="str">
        <f aca="false">IF($F92="","",MID(IF($G92="",", career level","")&amp;IF($I92="",", nationality mandate","")&amp;IF($N92="",", capacity direction","")&amp;IF(N($J92)&lt;=0,", approved HC","")&amp;IF(AND($G92&lt;&gt;"",COUNTIF(CareerLevels,$G92)=0),", a career level that is not on the ladder","")&amp;IF(AND($N92="Reduce",N($O92)&lt;=0),", how many seats Reduce means","")&amp;IF(AND(N($O92)&gt;0,$N92&lt;&gt;"Reduce"),", a number of seats on a row not marked Reduce","")&amp;IF(N($O92)&gt;N($J92),", more seats given up than the row has",""),3,200))</f>
        <v>career level, nationality mandate, capacity direction</v>
      </c>
    </row>
    <row r="93" customFormat="false" ht="15" hidden="false" customHeight="false" outlineLevel="0" collapsed="false">
      <c r="A93" s="21" t="s">
        <v>303</v>
      </c>
      <c r="B93" s="21" t="s">
        <v>128</v>
      </c>
      <c r="C93" s="21" t="s">
        <v>160</v>
      </c>
      <c r="D93" s="21" t="s">
        <v>162</v>
      </c>
      <c r="E93" s="21" t="s">
        <v>164</v>
      </c>
      <c r="F93" s="21" t="s">
        <v>338</v>
      </c>
      <c r="G93" s="21"/>
      <c r="H93" s="21" t="s">
        <v>275</v>
      </c>
      <c r="I93" s="21"/>
      <c r="J93" s="22" t="n">
        <v>1</v>
      </c>
      <c r="K93" s="22" t="n">
        <v>1</v>
      </c>
      <c r="L93" s="22" t="n">
        <v>0</v>
      </c>
      <c r="M93" s="21" t="s">
        <v>265</v>
      </c>
      <c r="N93" s="21"/>
      <c r="O93" s="22"/>
      <c r="P93" s="20" t="n">
        <f aca="false">IF($N93="Reduce",N($O93),0)</f>
        <v>0</v>
      </c>
      <c r="Q93" s="23" t="str">
        <f aca="false">IF($F93="","",MID(IF($G93="",", career level","")&amp;IF($I93="",", nationality mandate","")&amp;IF($N93="",", capacity direction","")&amp;IF(N($J93)&lt;=0,", approved HC","")&amp;IF(AND($G93&lt;&gt;"",COUNTIF(CareerLevels,$G93)=0),", a career level that is not on the ladder","")&amp;IF(AND($N93="Reduce",N($O93)&lt;=0),", how many seats Reduce means","")&amp;IF(AND(N($O93)&gt;0,$N93&lt;&gt;"Reduce"),", a number of seats on a row not marked Reduce","")&amp;IF(N($O93)&gt;N($J93),", more seats given up than the row has",""),3,200))</f>
        <v>career level, nationality mandate, capacity direction</v>
      </c>
    </row>
    <row r="94" customFormat="false" ht="15" hidden="false" customHeight="false" outlineLevel="0" collapsed="false">
      <c r="A94" s="21"/>
      <c r="B94" s="21" t="s">
        <v>128</v>
      </c>
      <c r="C94" s="21" t="s">
        <v>160</v>
      </c>
      <c r="D94" s="21" t="s">
        <v>162</v>
      </c>
      <c r="E94" s="21" t="s">
        <v>164</v>
      </c>
      <c r="F94" s="21" t="s">
        <v>339</v>
      </c>
      <c r="G94" s="21"/>
      <c r="H94" s="21" t="s">
        <v>275</v>
      </c>
      <c r="I94" s="21"/>
      <c r="J94" s="22" t="n">
        <v>3</v>
      </c>
      <c r="K94" s="22" t="n">
        <v>2</v>
      </c>
      <c r="L94" s="22" t="n">
        <v>1</v>
      </c>
      <c r="M94" s="21" t="s">
        <v>265</v>
      </c>
      <c r="N94" s="21"/>
      <c r="O94" s="22"/>
      <c r="P94" s="20" t="n">
        <f aca="false">IF($N94="Reduce",N($O94),0)</f>
        <v>0</v>
      </c>
      <c r="Q94" s="23" t="str">
        <f aca="false">IF($F94="","",MID(IF($G94="",", career level","")&amp;IF($I94="",", nationality mandate","")&amp;IF($N94="",", capacity direction","")&amp;IF(N($J94)&lt;=0,", approved HC","")&amp;IF(AND($G94&lt;&gt;"",COUNTIF(CareerLevels,$G94)=0),", a career level that is not on the ladder","")&amp;IF(AND($N94="Reduce",N($O94)&lt;=0),", how many seats Reduce means","")&amp;IF(AND(N($O94)&gt;0,$N94&lt;&gt;"Reduce"),", a number of seats on a row not marked Reduce","")&amp;IF(N($O94)&gt;N($J94),", more seats given up than the row has",""),3,200))</f>
        <v>career level, nationality mandate, capacity direction</v>
      </c>
    </row>
    <row r="95" customFormat="false" ht="15" hidden="false" customHeight="false" outlineLevel="0" collapsed="false">
      <c r="A95" s="21" t="s">
        <v>340</v>
      </c>
      <c r="B95" s="21" t="s">
        <v>128</v>
      </c>
      <c r="C95" s="21" t="s">
        <v>160</v>
      </c>
      <c r="D95" s="21" t="s">
        <v>162</v>
      </c>
      <c r="E95" s="21" t="s">
        <v>164</v>
      </c>
      <c r="F95" s="21" t="s">
        <v>341</v>
      </c>
      <c r="G95" s="21"/>
      <c r="H95" s="21" t="s">
        <v>275</v>
      </c>
      <c r="I95" s="21"/>
      <c r="J95" s="22" t="n">
        <v>1</v>
      </c>
      <c r="K95" s="22" t="n">
        <v>1</v>
      </c>
      <c r="L95" s="22" t="n">
        <v>0</v>
      </c>
      <c r="M95" s="21" t="s">
        <v>265</v>
      </c>
      <c r="N95" s="21"/>
      <c r="O95" s="22"/>
      <c r="P95" s="20" t="n">
        <f aca="false">IF($N95="Reduce",N($O95),0)</f>
        <v>0</v>
      </c>
      <c r="Q95" s="23" t="str">
        <f aca="false">IF($F95="","",MID(IF($G95="",", career level","")&amp;IF($I95="",", nationality mandate","")&amp;IF($N95="",", capacity direction","")&amp;IF(N($J95)&lt;=0,", approved HC","")&amp;IF(AND($G95&lt;&gt;"",COUNTIF(CareerLevels,$G95)=0),", a career level that is not on the ladder","")&amp;IF(AND($N95="Reduce",N($O95)&lt;=0),", how many seats Reduce means","")&amp;IF(AND(N($O95)&gt;0,$N95&lt;&gt;"Reduce"),", a number of seats on a row not marked Reduce","")&amp;IF(N($O95)&gt;N($J95),", more seats given up than the row has",""),3,200))</f>
        <v>career level, nationality mandate, capacity direction</v>
      </c>
    </row>
    <row r="96" customFormat="false" ht="15" hidden="false" customHeight="false" outlineLevel="0" collapsed="false">
      <c r="A96" s="21" t="s">
        <v>334</v>
      </c>
      <c r="B96" s="21" t="s">
        <v>128</v>
      </c>
      <c r="C96" s="21" t="s">
        <v>160</v>
      </c>
      <c r="D96" s="21" t="s">
        <v>162</v>
      </c>
      <c r="E96" s="21" t="s">
        <v>164</v>
      </c>
      <c r="F96" s="21" t="s">
        <v>342</v>
      </c>
      <c r="G96" s="21"/>
      <c r="H96" s="21" t="s">
        <v>273</v>
      </c>
      <c r="I96" s="21"/>
      <c r="J96" s="22" t="n">
        <v>1</v>
      </c>
      <c r="K96" s="22" t="n">
        <v>1</v>
      </c>
      <c r="L96" s="22" t="n">
        <v>0</v>
      </c>
      <c r="M96" s="21" t="s">
        <v>265</v>
      </c>
      <c r="N96" s="21"/>
      <c r="O96" s="22"/>
      <c r="P96" s="20" t="n">
        <f aca="false">IF($N96="Reduce",N($O96),0)</f>
        <v>0</v>
      </c>
      <c r="Q96" s="23" t="str">
        <f aca="false">IF($F96="","",MID(IF($G96="",", career level","")&amp;IF($I96="",", nationality mandate","")&amp;IF($N96="",", capacity direction","")&amp;IF(N($J96)&lt;=0,", approved HC","")&amp;IF(AND($G96&lt;&gt;"",COUNTIF(CareerLevels,$G96)=0),", a career level that is not on the ladder","")&amp;IF(AND($N96="Reduce",N($O96)&lt;=0),", how many seats Reduce means","")&amp;IF(AND(N($O96)&gt;0,$N96&lt;&gt;"Reduce"),", a number of seats on a row not marked Reduce","")&amp;IF(N($O96)&gt;N($J96),", more seats given up than the row has",""),3,200))</f>
        <v>career level, nationality mandate, capacity direction</v>
      </c>
    </row>
    <row r="97" customFormat="false" ht="15" hidden="false" customHeight="false" outlineLevel="0" collapsed="false">
      <c r="A97" s="21"/>
      <c r="B97" s="21" t="s">
        <v>128</v>
      </c>
      <c r="C97" s="21" t="s">
        <v>160</v>
      </c>
      <c r="D97" s="21" t="s">
        <v>162</v>
      </c>
      <c r="E97" s="21" t="s">
        <v>170</v>
      </c>
      <c r="F97" s="21" t="s">
        <v>336</v>
      </c>
      <c r="G97" s="21"/>
      <c r="H97" s="21" t="s">
        <v>275</v>
      </c>
      <c r="I97" s="21"/>
      <c r="J97" s="22" t="n">
        <v>3</v>
      </c>
      <c r="K97" s="22" t="n">
        <v>3</v>
      </c>
      <c r="L97" s="22" t="n">
        <v>0</v>
      </c>
      <c r="M97" s="21" t="s">
        <v>265</v>
      </c>
      <c r="N97" s="21"/>
      <c r="O97" s="22"/>
      <c r="P97" s="20" t="n">
        <f aca="false">IF($N97="Reduce",N($O97),0)</f>
        <v>0</v>
      </c>
      <c r="Q97" s="23" t="str">
        <f aca="false">IF($F97="","",MID(IF($G97="",", career level","")&amp;IF($I97="",", nationality mandate","")&amp;IF($N97="",", capacity direction","")&amp;IF(N($J97)&lt;=0,", approved HC","")&amp;IF(AND($G97&lt;&gt;"",COUNTIF(CareerLevels,$G97)=0),", a career level that is not on the ladder","")&amp;IF(AND($N97="Reduce",N($O97)&lt;=0),", how many seats Reduce means","")&amp;IF(AND(N($O97)&gt;0,$N97&lt;&gt;"Reduce"),", a number of seats on a row not marked Reduce","")&amp;IF(N($O97)&gt;N($J97),", more seats given up than the row has",""),3,200))</f>
        <v>career level, nationality mandate, capacity direction</v>
      </c>
    </row>
    <row r="98" customFormat="false" ht="15" hidden="false" customHeight="false" outlineLevel="0" collapsed="false">
      <c r="A98" s="21" t="s">
        <v>282</v>
      </c>
      <c r="B98" s="21" t="s">
        <v>128</v>
      </c>
      <c r="C98" s="21" t="s">
        <v>160</v>
      </c>
      <c r="D98" s="21" t="s">
        <v>162</v>
      </c>
      <c r="E98" s="21" t="s">
        <v>170</v>
      </c>
      <c r="F98" s="21" t="s">
        <v>343</v>
      </c>
      <c r="G98" s="21"/>
      <c r="H98" s="21" t="s">
        <v>275</v>
      </c>
      <c r="I98" s="21"/>
      <c r="J98" s="22" t="n">
        <v>1</v>
      </c>
      <c r="K98" s="22" t="n">
        <v>1</v>
      </c>
      <c r="L98" s="22" t="n">
        <v>0</v>
      </c>
      <c r="M98" s="21" t="s">
        <v>265</v>
      </c>
      <c r="N98" s="21"/>
      <c r="O98" s="22"/>
      <c r="P98" s="20" t="n">
        <f aca="false">IF($N98="Reduce",N($O98),0)</f>
        <v>0</v>
      </c>
      <c r="Q98" s="23" t="str">
        <f aca="false">IF($F98="","",MID(IF($G98="",", career level","")&amp;IF($I98="",", nationality mandate","")&amp;IF($N98="",", capacity direction","")&amp;IF(N($J98)&lt;=0,", approved HC","")&amp;IF(AND($G98&lt;&gt;"",COUNTIF(CareerLevels,$G98)=0),", a career level that is not on the ladder","")&amp;IF(AND($N98="Reduce",N($O98)&lt;=0),", how many seats Reduce means","")&amp;IF(AND(N($O98)&gt;0,$N98&lt;&gt;"Reduce"),", a number of seats on a row not marked Reduce","")&amp;IF(N($O98)&gt;N($J98),", more seats given up than the row has",""),3,200))</f>
        <v>career level, nationality mandate, capacity direction</v>
      </c>
    </row>
    <row r="99" customFormat="false" ht="15" hidden="false" customHeight="false" outlineLevel="0" collapsed="false">
      <c r="A99" s="21"/>
      <c r="B99" s="21" t="s">
        <v>128</v>
      </c>
      <c r="C99" s="21" t="s">
        <v>160</v>
      </c>
      <c r="D99" s="21" t="s">
        <v>162</v>
      </c>
      <c r="E99" s="21" t="s">
        <v>170</v>
      </c>
      <c r="F99" s="21" t="s">
        <v>337</v>
      </c>
      <c r="G99" s="21"/>
      <c r="H99" s="21" t="s">
        <v>275</v>
      </c>
      <c r="I99" s="21"/>
      <c r="J99" s="22" t="n">
        <v>2</v>
      </c>
      <c r="K99" s="22" t="n">
        <v>1</v>
      </c>
      <c r="L99" s="22" t="n">
        <v>1</v>
      </c>
      <c r="M99" s="21" t="s">
        <v>265</v>
      </c>
      <c r="N99" s="21"/>
      <c r="O99" s="22"/>
      <c r="P99" s="20" t="n">
        <f aca="false">IF($N99="Reduce",N($O99),0)</f>
        <v>0</v>
      </c>
      <c r="Q99" s="23" t="str">
        <f aca="false">IF($F99="","",MID(IF($G99="",", career level","")&amp;IF($I99="",", nationality mandate","")&amp;IF($N99="",", capacity direction","")&amp;IF(N($J99)&lt;=0,", approved HC","")&amp;IF(AND($G99&lt;&gt;"",COUNTIF(CareerLevels,$G99)=0),", a career level that is not on the ladder","")&amp;IF(AND($N99="Reduce",N($O99)&lt;=0),", how many seats Reduce means","")&amp;IF(AND(N($O99)&gt;0,$N99&lt;&gt;"Reduce"),", a number of seats on a row not marked Reduce","")&amp;IF(N($O99)&gt;N($J99),", more seats given up than the row has",""),3,200))</f>
        <v>career level, nationality mandate, capacity direction</v>
      </c>
    </row>
    <row r="100" customFormat="false" ht="15" hidden="false" customHeight="false" outlineLevel="0" collapsed="false">
      <c r="A100" s="21" t="s">
        <v>344</v>
      </c>
      <c r="B100" s="21" t="s">
        <v>128</v>
      </c>
      <c r="C100" s="21" t="s">
        <v>160</v>
      </c>
      <c r="D100" s="21" t="s">
        <v>162</v>
      </c>
      <c r="E100" s="21" t="s">
        <v>170</v>
      </c>
      <c r="F100" s="21" t="s">
        <v>338</v>
      </c>
      <c r="G100" s="21"/>
      <c r="H100" s="21" t="s">
        <v>275</v>
      </c>
      <c r="I100" s="21"/>
      <c r="J100" s="22" t="n">
        <v>1</v>
      </c>
      <c r="K100" s="22" t="n">
        <v>1</v>
      </c>
      <c r="L100" s="22" t="n">
        <v>0</v>
      </c>
      <c r="M100" s="21" t="s">
        <v>265</v>
      </c>
      <c r="N100" s="21"/>
      <c r="O100" s="22"/>
      <c r="P100" s="20" t="n">
        <f aca="false">IF($N100="Reduce",N($O100),0)</f>
        <v>0</v>
      </c>
      <c r="Q100" s="23" t="str">
        <f aca="false">IF($F100="","",MID(IF($G100="",", career level","")&amp;IF($I100="",", nationality mandate","")&amp;IF($N100="",", capacity direction","")&amp;IF(N($J100)&lt;=0,", approved HC","")&amp;IF(AND($G100&lt;&gt;"",COUNTIF(CareerLevels,$G100)=0),", a career level that is not on the ladder","")&amp;IF(AND($N100="Reduce",N($O100)&lt;=0),", how many seats Reduce means","")&amp;IF(AND(N($O100)&gt;0,$N100&lt;&gt;"Reduce"),", a number of seats on a row not marked Reduce","")&amp;IF(N($O100)&gt;N($J100),", more seats given up than the row has",""),3,200))</f>
        <v>career level, nationality mandate, capacity direction</v>
      </c>
    </row>
    <row r="101" customFormat="false" ht="15" hidden="false" customHeight="false" outlineLevel="0" collapsed="false">
      <c r="A101" s="21" t="s">
        <v>345</v>
      </c>
      <c r="B101" s="21" t="s">
        <v>128</v>
      </c>
      <c r="C101" s="21" t="s">
        <v>160</v>
      </c>
      <c r="D101" s="21" t="s">
        <v>162</v>
      </c>
      <c r="E101" s="21" t="s">
        <v>170</v>
      </c>
      <c r="F101" s="21" t="s">
        <v>339</v>
      </c>
      <c r="G101" s="21"/>
      <c r="H101" s="21" t="s">
        <v>275</v>
      </c>
      <c r="I101" s="21"/>
      <c r="J101" s="22" t="n">
        <v>1</v>
      </c>
      <c r="K101" s="22" t="n">
        <v>1</v>
      </c>
      <c r="L101" s="22" t="n">
        <v>0</v>
      </c>
      <c r="M101" s="21" t="s">
        <v>265</v>
      </c>
      <c r="N101" s="21"/>
      <c r="O101" s="22"/>
      <c r="P101" s="20" t="n">
        <f aca="false">IF($N101="Reduce",N($O101),0)</f>
        <v>0</v>
      </c>
      <c r="Q101" s="23" t="str">
        <f aca="false">IF($F101="","",MID(IF($G101="",", career level","")&amp;IF($I101="",", nationality mandate","")&amp;IF($N101="",", capacity direction","")&amp;IF(N($J101)&lt;=0,", approved HC","")&amp;IF(AND($G101&lt;&gt;"",COUNTIF(CareerLevels,$G101)=0),", a career level that is not on the ladder","")&amp;IF(AND($N101="Reduce",N($O101)&lt;=0),", how many seats Reduce means","")&amp;IF(AND(N($O101)&gt;0,$N101&lt;&gt;"Reduce"),", a number of seats on a row not marked Reduce","")&amp;IF(N($O101)&gt;N($J101),", more seats given up than the row has",""),3,200))</f>
        <v>career level, nationality mandate, capacity direction</v>
      </c>
    </row>
    <row r="102" customFormat="false" ht="15" hidden="false" customHeight="false" outlineLevel="0" collapsed="false">
      <c r="A102" s="21" t="s">
        <v>319</v>
      </c>
      <c r="B102" s="21" t="s">
        <v>128</v>
      </c>
      <c r="C102" s="21" t="s">
        <v>160</v>
      </c>
      <c r="D102" s="21" t="s">
        <v>162</v>
      </c>
      <c r="E102" s="21" t="s">
        <v>170</v>
      </c>
      <c r="F102" s="21" t="s">
        <v>342</v>
      </c>
      <c r="G102" s="21"/>
      <c r="H102" s="21" t="s">
        <v>273</v>
      </c>
      <c r="I102" s="21"/>
      <c r="J102" s="22" t="n">
        <v>1</v>
      </c>
      <c r="K102" s="22" t="n">
        <v>1</v>
      </c>
      <c r="L102" s="22" t="n">
        <v>0</v>
      </c>
      <c r="M102" s="21" t="s">
        <v>265</v>
      </c>
      <c r="N102" s="21"/>
      <c r="O102" s="22"/>
      <c r="P102" s="20" t="n">
        <f aca="false">IF($N102="Reduce",N($O102),0)</f>
        <v>0</v>
      </c>
      <c r="Q102" s="23" t="str">
        <f aca="false">IF($F102="","",MID(IF($G102="",", career level","")&amp;IF($I102="",", nationality mandate","")&amp;IF($N102="",", capacity direction","")&amp;IF(N($J102)&lt;=0,", approved HC","")&amp;IF(AND($G102&lt;&gt;"",COUNTIF(CareerLevels,$G102)=0),", a career level that is not on the ladder","")&amp;IF(AND($N102="Reduce",N($O102)&lt;=0),", how many seats Reduce means","")&amp;IF(AND(N($O102)&gt;0,$N102&lt;&gt;"Reduce"),", a number of seats on a row not marked Reduce","")&amp;IF(N($O102)&gt;N($J102),", more seats given up than the row has",""),3,200))</f>
        <v>career level, nationality mandate, capacity direction</v>
      </c>
    </row>
    <row r="103" customFormat="false" ht="15" hidden="false" customHeight="false" outlineLevel="0" collapsed="false">
      <c r="A103" s="21" t="s">
        <v>286</v>
      </c>
      <c r="B103" s="21" t="s">
        <v>128</v>
      </c>
      <c r="C103" s="21" t="s">
        <v>160</v>
      </c>
      <c r="D103" s="21" t="s">
        <v>176</v>
      </c>
      <c r="E103" s="21"/>
      <c r="F103" s="21" t="s">
        <v>335</v>
      </c>
      <c r="G103" s="21"/>
      <c r="H103" s="21" t="s">
        <v>273</v>
      </c>
      <c r="I103" s="21"/>
      <c r="J103" s="22" t="n">
        <v>1</v>
      </c>
      <c r="K103" s="22" t="n">
        <v>0</v>
      </c>
      <c r="L103" s="22" t="n">
        <v>1</v>
      </c>
      <c r="M103" s="21" t="s">
        <v>265</v>
      </c>
      <c r="N103" s="21"/>
      <c r="O103" s="22"/>
      <c r="P103" s="20" t="n">
        <f aca="false">IF($N103="Reduce",N($O103),0)</f>
        <v>0</v>
      </c>
      <c r="Q103" s="23" t="str">
        <f aca="false">IF($F103="","",MID(IF($G103="",", career level","")&amp;IF($I103="",", nationality mandate","")&amp;IF($N103="",", capacity direction","")&amp;IF(N($J103)&lt;=0,", approved HC","")&amp;IF(AND($G103&lt;&gt;"",COUNTIF(CareerLevels,$G103)=0),", a career level that is not on the ladder","")&amp;IF(AND($N103="Reduce",N($O103)&lt;=0),", how many seats Reduce means","")&amp;IF(AND(N($O103)&gt;0,$N103&lt;&gt;"Reduce"),", a number of seats on a row not marked Reduce","")&amp;IF(N($O103)&gt;N($J103),", more seats given up than the row has",""),3,200))</f>
        <v>career level, nationality mandate, capacity direction</v>
      </c>
    </row>
    <row r="104" customFormat="false" ht="15" hidden="false" customHeight="false" outlineLevel="0" collapsed="false">
      <c r="A104" s="21" t="s">
        <v>346</v>
      </c>
      <c r="B104" s="21" t="s">
        <v>128</v>
      </c>
      <c r="C104" s="21" t="s">
        <v>160</v>
      </c>
      <c r="D104" s="21" t="s">
        <v>176</v>
      </c>
      <c r="E104" s="21" t="s">
        <v>178</v>
      </c>
      <c r="F104" s="21" t="s">
        <v>336</v>
      </c>
      <c r="G104" s="21"/>
      <c r="H104" s="21" t="s">
        <v>275</v>
      </c>
      <c r="I104" s="21"/>
      <c r="J104" s="22" t="n">
        <v>1</v>
      </c>
      <c r="K104" s="22" t="n">
        <v>1</v>
      </c>
      <c r="L104" s="22" t="n">
        <v>0</v>
      </c>
      <c r="M104" s="21" t="s">
        <v>265</v>
      </c>
      <c r="N104" s="21"/>
      <c r="O104" s="22"/>
      <c r="P104" s="20" t="n">
        <f aca="false">IF($N104="Reduce",N($O104),0)</f>
        <v>0</v>
      </c>
      <c r="Q104" s="23" t="str">
        <f aca="false">IF($F104="","",MID(IF($G104="",", career level","")&amp;IF($I104="",", nationality mandate","")&amp;IF($N104="",", capacity direction","")&amp;IF(N($J104)&lt;=0,", approved HC","")&amp;IF(AND($G104&lt;&gt;"",COUNTIF(CareerLevels,$G104)=0),", a career level that is not on the ladder","")&amp;IF(AND($N104="Reduce",N($O104)&lt;=0),", how many seats Reduce means","")&amp;IF(AND(N($O104)&gt;0,$N104&lt;&gt;"Reduce"),", a number of seats on a row not marked Reduce","")&amp;IF(N($O104)&gt;N($J104),", more seats given up than the row has",""),3,200))</f>
        <v>career level, nationality mandate, capacity direction</v>
      </c>
    </row>
    <row r="105" customFormat="false" ht="15" hidden="false" customHeight="false" outlineLevel="0" collapsed="false">
      <c r="A105" s="21" t="s">
        <v>344</v>
      </c>
      <c r="B105" s="21" t="s">
        <v>128</v>
      </c>
      <c r="C105" s="21" t="s">
        <v>160</v>
      </c>
      <c r="D105" s="21" t="s">
        <v>176</v>
      </c>
      <c r="E105" s="21" t="s">
        <v>178</v>
      </c>
      <c r="F105" s="21" t="s">
        <v>343</v>
      </c>
      <c r="G105" s="21"/>
      <c r="H105" s="21" t="s">
        <v>275</v>
      </c>
      <c r="I105" s="21"/>
      <c r="J105" s="22" t="n">
        <v>1</v>
      </c>
      <c r="K105" s="22" t="n">
        <v>1</v>
      </c>
      <c r="L105" s="22" t="n">
        <v>0</v>
      </c>
      <c r="M105" s="21" t="s">
        <v>265</v>
      </c>
      <c r="N105" s="21"/>
      <c r="O105" s="22"/>
      <c r="P105" s="20" t="n">
        <f aca="false">IF($N105="Reduce",N($O105),0)</f>
        <v>0</v>
      </c>
      <c r="Q105" s="23" t="str">
        <f aca="false">IF($F105="","",MID(IF($G105="",", career level","")&amp;IF($I105="",", nationality mandate","")&amp;IF($N105="",", capacity direction","")&amp;IF(N($J105)&lt;=0,", approved HC","")&amp;IF(AND($G105&lt;&gt;"",COUNTIF(CareerLevels,$G105)=0),", a career level that is not on the ladder","")&amp;IF(AND($N105="Reduce",N($O105)&lt;=0),", how many seats Reduce means","")&amp;IF(AND(N($O105)&gt;0,$N105&lt;&gt;"Reduce"),", a number of seats on a row not marked Reduce","")&amp;IF(N($O105)&gt;N($J105),", more seats given up than the row has",""),3,200))</f>
        <v>career level, nationality mandate, capacity direction</v>
      </c>
    </row>
    <row r="106" customFormat="false" ht="15" hidden="false" customHeight="false" outlineLevel="0" collapsed="false">
      <c r="A106" s="21"/>
      <c r="B106" s="21" t="s">
        <v>128</v>
      </c>
      <c r="C106" s="21" t="s">
        <v>160</v>
      </c>
      <c r="D106" s="21" t="s">
        <v>176</v>
      </c>
      <c r="E106" s="21" t="s">
        <v>178</v>
      </c>
      <c r="F106" s="21" t="s">
        <v>337</v>
      </c>
      <c r="G106" s="21"/>
      <c r="H106" s="21" t="s">
        <v>275</v>
      </c>
      <c r="I106" s="21"/>
      <c r="J106" s="22" t="n">
        <v>2</v>
      </c>
      <c r="K106" s="22" t="n">
        <v>1</v>
      </c>
      <c r="L106" s="22" t="n">
        <v>1</v>
      </c>
      <c r="M106" s="21" t="s">
        <v>265</v>
      </c>
      <c r="N106" s="21"/>
      <c r="O106" s="22"/>
      <c r="P106" s="20" t="n">
        <f aca="false">IF($N106="Reduce",N($O106),0)</f>
        <v>0</v>
      </c>
      <c r="Q106" s="23" t="str">
        <f aca="false">IF($F106="","",MID(IF($G106="",", career level","")&amp;IF($I106="",", nationality mandate","")&amp;IF($N106="",", capacity direction","")&amp;IF(N($J106)&lt;=0,", approved HC","")&amp;IF(AND($G106&lt;&gt;"",COUNTIF(CareerLevels,$G106)=0),", a career level that is not on the ladder","")&amp;IF(AND($N106="Reduce",N($O106)&lt;=0),", how many seats Reduce means","")&amp;IF(AND(N($O106)&gt;0,$N106&lt;&gt;"Reduce"),", a number of seats on a row not marked Reduce","")&amp;IF(N($O106)&gt;N($J106),", more seats given up than the row has",""),3,200))</f>
        <v>career level, nationality mandate, capacity direction</v>
      </c>
    </row>
    <row r="107" customFormat="false" ht="15" hidden="false" customHeight="false" outlineLevel="0" collapsed="false">
      <c r="A107" s="21" t="s">
        <v>308</v>
      </c>
      <c r="B107" s="21" t="s">
        <v>128</v>
      </c>
      <c r="C107" s="21" t="s">
        <v>160</v>
      </c>
      <c r="D107" s="21" t="s">
        <v>176</v>
      </c>
      <c r="E107" s="21" t="s">
        <v>178</v>
      </c>
      <c r="F107" s="21" t="s">
        <v>339</v>
      </c>
      <c r="G107" s="21"/>
      <c r="H107" s="21" t="s">
        <v>275</v>
      </c>
      <c r="I107" s="21"/>
      <c r="J107" s="22" t="n">
        <v>1</v>
      </c>
      <c r="K107" s="22" t="n">
        <v>0</v>
      </c>
      <c r="L107" s="22" t="n">
        <v>1</v>
      </c>
      <c r="M107" s="21" t="s">
        <v>265</v>
      </c>
      <c r="N107" s="21"/>
      <c r="O107" s="22"/>
      <c r="P107" s="20" t="n">
        <f aca="false">IF($N107="Reduce",N($O107),0)</f>
        <v>0</v>
      </c>
      <c r="Q107" s="23" t="str">
        <f aca="false">IF($F107="","",MID(IF($G107="",", career level","")&amp;IF($I107="",", nationality mandate","")&amp;IF($N107="",", capacity direction","")&amp;IF(N($J107)&lt;=0,", approved HC","")&amp;IF(AND($G107&lt;&gt;"",COUNTIF(CareerLevels,$G107)=0),", a career level that is not on the ladder","")&amp;IF(AND($N107="Reduce",N($O107)&lt;=0),", how many seats Reduce means","")&amp;IF(AND(N($O107)&gt;0,$N107&lt;&gt;"Reduce"),", a number of seats on a row not marked Reduce","")&amp;IF(N($O107)&gt;N($J107),", more seats given up than the row has",""),3,200))</f>
        <v>career level, nationality mandate, capacity direction</v>
      </c>
    </row>
    <row r="108" customFormat="false" ht="15" hidden="false" customHeight="false" outlineLevel="0" collapsed="false">
      <c r="A108" s="21" t="s">
        <v>305</v>
      </c>
      <c r="B108" s="21" t="s">
        <v>128</v>
      </c>
      <c r="C108" s="21" t="s">
        <v>160</v>
      </c>
      <c r="D108" s="21" t="s">
        <v>176</v>
      </c>
      <c r="E108" s="21" t="s">
        <v>178</v>
      </c>
      <c r="F108" s="21" t="s">
        <v>342</v>
      </c>
      <c r="G108" s="21"/>
      <c r="H108" s="21" t="s">
        <v>273</v>
      </c>
      <c r="I108" s="21"/>
      <c r="J108" s="22" t="n">
        <v>1</v>
      </c>
      <c r="K108" s="22" t="n">
        <v>1</v>
      </c>
      <c r="L108" s="22" t="n">
        <v>0</v>
      </c>
      <c r="M108" s="21" t="s">
        <v>265</v>
      </c>
      <c r="N108" s="21"/>
      <c r="O108" s="22"/>
      <c r="P108" s="20" t="n">
        <f aca="false">IF($N108="Reduce",N($O108),0)</f>
        <v>0</v>
      </c>
      <c r="Q108" s="23" t="str">
        <f aca="false">IF($F108="","",MID(IF($G108="",", career level","")&amp;IF($I108="",", nationality mandate","")&amp;IF($N108="",", capacity direction","")&amp;IF(N($J108)&lt;=0,", approved HC","")&amp;IF(AND($G108&lt;&gt;"",COUNTIF(CareerLevels,$G108)=0),", a career level that is not on the ladder","")&amp;IF(AND($N108="Reduce",N($O108)&lt;=0),", how many seats Reduce means","")&amp;IF(AND(N($O108)&gt;0,$N108&lt;&gt;"Reduce"),", a number of seats on a row not marked Reduce","")&amp;IF(N($O108)&gt;N($J108),", more seats given up than the row has",""),3,200))</f>
        <v>career level, nationality mandate, capacity direction</v>
      </c>
    </row>
    <row r="109" customFormat="false" ht="15" hidden="false" customHeight="false" outlineLevel="0" collapsed="false">
      <c r="A109" s="21"/>
      <c r="B109" s="21" t="s">
        <v>128</v>
      </c>
      <c r="C109" s="21" t="s">
        <v>160</v>
      </c>
      <c r="D109" s="21" t="s">
        <v>176</v>
      </c>
      <c r="E109" s="21" t="s">
        <v>184</v>
      </c>
      <c r="F109" s="21" t="s">
        <v>336</v>
      </c>
      <c r="G109" s="21"/>
      <c r="H109" s="21" t="s">
        <v>275</v>
      </c>
      <c r="I109" s="21"/>
      <c r="J109" s="22" t="n">
        <v>3</v>
      </c>
      <c r="K109" s="22" t="n">
        <v>3</v>
      </c>
      <c r="L109" s="22" t="n">
        <v>0</v>
      </c>
      <c r="M109" s="21" t="s">
        <v>265</v>
      </c>
      <c r="N109" s="21"/>
      <c r="O109" s="22"/>
      <c r="P109" s="20" t="n">
        <f aca="false">IF($N109="Reduce",N($O109),0)</f>
        <v>0</v>
      </c>
      <c r="Q109" s="23" t="str">
        <f aca="false">IF($F109="","",MID(IF($G109="",", career level","")&amp;IF($I109="",", nationality mandate","")&amp;IF($N109="",", capacity direction","")&amp;IF(N($J109)&lt;=0,", approved HC","")&amp;IF(AND($G109&lt;&gt;"",COUNTIF(CareerLevels,$G109)=0),", a career level that is not on the ladder","")&amp;IF(AND($N109="Reduce",N($O109)&lt;=0),", how many seats Reduce means","")&amp;IF(AND(N($O109)&gt;0,$N109&lt;&gt;"Reduce"),", a number of seats on a row not marked Reduce","")&amp;IF(N($O109)&gt;N($J109),", more seats given up than the row has",""),3,200))</f>
        <v>career level, nationality mandate, capacity direction</v>
      </c>
    </row>
    <row r="110" customFormat="false" ht="15" hidden="false" customHeight="false" outlineLevel="0" collapsed="false">
      <c r="A110" s="21"/>
      <c r="B110" s="21" t="s">
        <v>128</v>
      </c>
      <c r="C110" s="21" t="s">
        <v>160</v>
      </c>
      <c r="D110" s="21" t="s">
        <v>176</v>
      </c>
      <c r="E110" s="21" t="s">
        <v>184</v>
      </c>
      <c r="F110" s="21" t="s">
        <v>338</v>
      </c>
      <c r="G110" s="21"/>
      <c r="H110" s="21" t="s">
        <v>275</v>
      </c>
      <c r="I110" s="21"/>
      <c r="J110" s="22" t="n">
        <v>2</v>
      </c>
      <c r="K110" s="22" t="n">
        <v>2</v>
      </c>
      <c r="L110" s="22" t="n">
        <v>0</v>
      </c>
      <c r="M110" s="21" t="s">
        <v>265</v>
      </c>
      <c r="N110" s="21"/>
      <c r="O110" s="22"/>
      <c r="P110" s="20" t="n">
        <f aca="false">IF($N110="Reduce",N($O110),0)</f>
        <v>0</v>
      </c>
      <c r="Q110" s="23" t="str">
        <f aca="false">IF($F110="","",MID(IF($G110="",", career level","")&amp;IF($I110="",", nationality mandate","")&amp;IF($N110="",", capacity direction","")&amp;IF(N($J110)&lt;=0,", approved HC","")&amp;IF(AND($G110&lt;&gt;"",COUNTIF(CareerLevels,$G110)=0),", a career level that is not on the ladder","")&amp;IF(AND($N110="Reduce",N($O110)&lt;=0),", how many seats Reduce means","")&amp;IF(AND(N($O110)&gt;0,$N110&lt;&gt;"Reduce"),", a number of seats on a row not marked Reduce","")&amp;IF(N($O110)&gt;N($J110),", more seats given up than the row has",""),3,200))</f>
        <v>career level, nationality mandate, capacity direction</v>
      </c>
    </row>
    <row r="111" customFormat="false" ht="15" hidden="false" customHeight="false" outlineLevel="0" collapsed="false">
      <c r="A111" s="21" t="s">
        <v>321</v>
      </c>
      <c r="B111" s="21" t="s">
        <v>128</v>
      </c>
      <c r="C111" s="21" t="s">
        <v>160</v>
      </c>
      <c r="D111" s="21" t="s">
        <v>176</v>
      </c>
      <c r="E111" s="21" t="s">
        <v>184</v>
      </c>
      <c r="F111" s="21" t="s">
        <v>339</v>
      </c>
      <c r="G111" s="21"/>
      <c r="H111" s="21" t="s">
        <v>275</v>
      </c>
      <c r="I111" s="21"/>
      <c r="J111" s="22" t="n">
        <v>2</v>
      </c>
      <c r="K111" s="22" t="n">
        <v>2</v>
      </c>
      <c r="L111" s="22" t="n">
        <v>0</v>
      </c>
      <c r="M111" s="21" t="s">
        <v>265</v>
      </c>
      <c r="N111" s="21"/>
      <c r="O111" s="22"/>
      <c r="P111" s="20" t="n">
        <f aca="false">IF($N111="Reduce",N($O111),0)</f>
        <v>0</v>
      </c>
      <c r="Q111" s="23" t="str">
        <f aca="false">IF($F111="","",MID(IF($G111="",", career level","")&amp;IF($I111="",", nationality mandate","")&amp;IF($N111="",", capacity direction","")&amp;IF(N($J111)&lt;=0,", approved HC","")&amp;IF(AND($G111&lt;&gt;"",COUNTIF(CareerLevels,$G111)=0),", a career level that is not on the ladder","")&amp;IF(AND($N111="Reduce",N($O111)&lt;=0),", how many seats Reduce means","")&amp;IF(AND(N($O111)&gt;0,$N111&lt;&gt;"Reduce"),", a number of seats on a row not marked Reduce","")&amp;IF(N($O111)&gt;N($J111),", more seats given up than the row has",""),3,200))</f>
        <v>career level, nationality mandate, capacity direction</v>
      </c>
    </row>
    <row r="112" customFormat="false" ht="15" hidden="false" customHeight="false" outlineLevel="0" collapsed="false">
      <c r="A112" s="21" t="s">
        <v>276</v>
      </c>
      <c r="B112" s="21" t="s">
        <v>128</v>
      </c>
      <c r="C112" s="21" t="s">
        <v>160</v>
      </c>
      <c r="D112" s="21" t="s">
        <v>176</v>
      </c>
      <c r="E112" s="21" t="s">
        <v>184</v>
      </c>
      <c r="F112" s="21" t="s">
        <v>341</v>
      </c>
      <c r="G112" s="21"/>
      <c r="H112" s="21" t="s">
        <v>275</v>
      </c>
      <c r="I112" s="21"/>
      <c r="J112" s="22" t="n">
        <v>1</v>
      </c>
      <c r="K112" s="22" t="n">
        <v>1</v>
      </c>
      <c r="L112" s="22" t="n">
        <v>0</v>
      </c>
      <c r="M112" s="21" t="s">
        <v>265</v>
      </c>
      <c r="N112" s="21"/>
      <c r="O112" s="22"/>
      <c r="P112" s="20" t="n">
        <f aca="false">IF($N112="Reduce",N($O112),0)</f>
        <v>0</v>
      </c>
      <c r="Q112" s="23" t="str">
        <f aca="false">IF($F112="","",MID(IF($G112="",", career level","")&amp;IF($I112="",", nationality mandate","")&amp;IF($N112="",", capacity direction","")&amp;IF(N($J112)&lt;=0,", approved HC","")&amp;IF(AND($G112&lt;&gt;"",COUNTIF(CareerLevels,$G112)=0),", a career level that is not on the ladder","")&amp;IF(AND($N112="Reduce",N($O112)&lt;=0),", how many seats Reduce means","")&amp;IF(AND(N($O112)&gt;0,$N112&lt;&gt;"Reduce"),", a number of seats on a row not marked Reduce","")&amp;IF(N($O112)&gt;N($J112),", more seats given up than the row has",""),3,200))</f>
        <v>career level, nationality mandate, capacity direction</v>
      </c>
    </row>
    <row r="113" customFormat="false" ht="15" hidden="false" customHeight="false" outlineLevel="0" collapsed="false">
      <c r="A113" s="21" t="s">
        <v>282</v>
      </c>
      <c r="B113" s="21" t="s">
        <v>128</v>
      </c>
      <c r="C113" s="21" t="s">
        <v>160</v>
      </c>
      <c r="D113" s="21" t="s">
        <v>176</v>
      </c>
      <c r="E113" s="21" t="s">
        <v>184</v>
      </c>
      <c r="F113" s="21" t="s">
        <v>342</v>
      </c>
      <c r="G113" s="21"/>
      <c r="H113" s="21" t="s">
        <v>273</v>
      </c>
      <c r="I113" s="21"/>
      <c r="J113" s="22" t="n">
        <v>1</v>
      </c>
      <c r="K113" s="22" t="n">
        <v>1</v>
      </c>
      <c r="L113" s="22" t="n">
        <v>0</v>
      </c>
      <c r="M113" s="21" t="s">
        <v>265</v>
      </c>
      <c r="N113" s="21"/>
      <c r="O113" s="22"/>
      <c r="P113" s="20" t="n">
        <f aca="false">IF($N113="Reduce",N($O113),0)</f>
        <v>0</v>
      </c>
      <c r="Q113" s="23" t="str">
        <f aca="false">IF($F113="","",MID(IF($G113="",", career level","")&amp;IF($I113="",", nationality mandate","")&amp;IF($N113="",", capacity direction","")&amp;IF(N($J113)&lt;=0,", approved HC","")&amp;IF(AND($G113&lt;&gt;"",COUNTIF(CareerLevels,$G113)=0),", a career level that is not on the ladder","")&amp;IF(AND($N113="Reduce",N($O113)&lt;=0),", how many seats Reduce means","")&amp;IF(AND(N($O113)&gt;0,$N113&lt;&gt;"Reduce"),", a number of seats on a row not marked Reduce","")&amp;IF(N($O113)&gt;N($J113),", more seats given up than the row has",""),3,200))</f>
        <v>career level, nationality mandate, capacity direction</v>
      </c>
    </row>
    <row r="114" customFormat="false" ht="15" hidden="false" customHeight="false" outlineLevel="0" collapsed="false">
      <c r="A114" s="21" t="s">
        <v>294</v>
      </c>
      <c r="B114" s="21" t="s">
        <v>190</v>
      </c>
      <c r="C114" s="21"/>
      <c r="D114" s="21"/>
      <c r="E114" s="21"/>
      <c r="F114" s="21" t="s">
        <v>347</v>
      </c>
      <c r="G114" s="21"/>
      <c r="H114" s="21" t="s">
        <v>268</v>
      </c>
      <c r="I114" s="21"/>
      <c r="J114" s="22" t="n">
        <v>1</v>
      </c>
      <c r="K114" s="22" t="n">
        <v>1</v>
      </c>
      <c r="L114" s="22" t="n">
        <v>0</v>
      </c>
      <c r="M114" s="21" t="s">
        <v>265</v>
      </c>
      <c r="N114" s="21"/>
      <c r="O114" s="22"/>
      <c r="P114" s="20" t="n">
        <f aca="false">IF($N114="Reduce",N($O114),0)</f>
        <v>0</v>
      </c>
      <c r="Q114" s="23" t="str">
        <f aca="false">IF($F114="","",MID(IF($G114="",", career level","")&amp;IF($I114="",", nationality mandate","")&amp;IF($N114="",", capacity direction","")&amp;IF(N($J114)&lt;=0,", approved HC","")&amp;IF(AND($G114&lt;&gt;"",COUNTIF(CareerLevels,$G114)=0),", a career level that is not on the ladder","")&amp;IF(AND($N114="Reduce",N($O114)&lt;=0),", how many seats Reduce means","")&amp;IF(AND(N($O114)&gt;0,$N114&lt;&gt;"Reduce"),", a number of seats on a row not marked Reduce","")&amp;IF(N($O114)&gt;N($J114),", more seats given up than the row has",""),3,200))</f>
        <v>career level, nationality mandate, capacity direction</v>
      </c>
    </row>
    <row r="115" customFormat="false" ht="15" hidden="false" customHeight="false" outlineLevel="0" collapsed="false">
      <c r="A115" s="21" t="s">
        <v>298</v>
      </c>
      <c r="B115" s="21" t="s">
        <v>190</v>
      </c>
      <c r="C115" s="21" t="s">
        <v>192</v>
      </c>
      <c r="D115" s="21"/>
      <c r="E115" s="21"/>
      <c r="F115" s="21" t="s">
        <v>348</v>
      </c>
      <c r="G115" s="21"/>
      <c r="H115" s="21" t="s">
        <v>268</v>
      </c>
      <c r="I115" s="21"/>
      <c r="J115" s="22" t="n">
        <v>1</v>
      </c>
      <c r="K115" s="22" t="n">
        <v>1</v>
      </c>
      <c r="L115" s="22" t="n">
        <v>0</v>
      </c>
      <c r="M115" s="21" t="s">
        <v>265</v>
      </c>
      <c r="N115" s="21"/>
      <c r="O115" s="22"/>
      <c r="P115" s="20" t="n">
        <f aca="false">IF($N115="Reduce",N($O115),0)</f>
        <v>0</v>
      </c>
      <c r="Q115" s="23" t="str">
        <f aca="false">IF($F115="","",MID(IF($G115="",", career level","")&amp;IF($I115="",", nationality mandate","")&amp;IF($N115="",", capacity direction","")&amp;IF(N($J115)&lt;=0,", approved HC","")&amp;IF(AND($G115&lt;&gt;"",COUNTIF(CareerLevels,$G115)=0),", a career level that is not on the ladder","")&amp;IF(AND($N115="Reduce",N($O115)&lt;=0),", how many seats Reduce means","")&amp;IF(AND(N($O115)&gt;0,$N115&lt;&gt;"Reduce"),", a number of seats on a row not marked Reduce","")&amp;IF(N($O115)&gt;N($J115),", more seats given up than the row has",""),3,200))</f>
        <v>career level, nationality mandate, capacity direction</v>
      </c>
    </row>
    <row r="116" customFormat="false" ht="15" hidden="false" customHeight="false" outlineLevel="0" collapsed="false">
      <c r="A116" s="21" t="s">
        <v>294</v>
      </c>
      <c r="B116" s="21" t="s">
        <v>190</v>
      </c>
      <c r="C116" s="21" t="s">
        <v>192</v>
      </c>
      <c r="D116" s="21" t="s">
        <v>194</v>
      </c>
      <c r="E116" s="21"/>
      <c r="F116" s="21" t="s">
        <v>349</v>
      </c>
      <c r="G116" s="21"/>
      <c r="H116" s="21" t="s">
        <v>273</v>
      </c>
      <c r="I116" s="21"/>
      <c r="J116" s="22" t="n">
        <v>1</v>
      </c>
      <c r="K116" s="22" t="n">
        <v>1</v>
      </c>
      <c r="L116" s="22" t="n">
        <v>0</v>
      </c>
      <c r="M116" s="21" t="s">
        <v>265</v>
      </c>
      <c r="N116" s="21"/>
      <c r="O116" s="22"/>
      <c r="P116" s="20" t="n">
        <f aca="false">IF($N116="Reduce",N($O116),0)</f>
        <v>0</v>
      </c>
      <c r="Q116" s="23" t="str">
        <f aca="false">IF($F116="","",MID(IF($G116="",", career level","")&amp;IF($I116="",", nationality mandate","")&amp;IF($N116="",", capacity direction","")&amp;IF(N($J116)&lt;=0,", approved HC","")&amp;IF(AND($G116&lt;&gt;"",COUNTIF(CareerLevels,$G116)=0),", a career level that is not on the ladder","")&amp;IF(AND($N116="Reduce",N($O116)&lt;=0),", how many seats Reduce means","")&amp;IF(AND(N($O116)&gt;0,$N116&lt;&gt;"Reduce"),", a number of seats on a row not marked Reduce","")&amp;IF(N($O116)&gt;N($J116),", more seats given up than the row has",""),3,200))</f>
        <v>career level, nationality mandate, capacity direction</v>
      </c>
    </row>
    <row r="117" customFormat="false" ht="15" hidden="false" customHeight="false" outlineLevel="0" collapsed="false">
      <c r="A117" s="21"/>
      <c r="B117" s="21" t="s">
        <v>190</v>
      </c>
      <c r="C117" s="21" t="s">
        <v>192</v>
      </c>
      <c r="D117" s="21" t="s">
        <v>194</v>
      </c>
      <c r="E117" s="21" t="s">
        <v>196</v>
      </c>
      <c r="F117" s="21" t="s">
        <v>350</v>
      </c>
      <c r="G117" s="21"/>
      <c r="H117" s="21" t="s">
        <v>275</v>
      </c>
      <c r="I117" s="21"/>
      <c r="J117" s="22" t="n">
        <v>3</v>
      </c>
      <c r="K117" s="22" t="n">
        <v>3</v>
      </c>
      <c r="L117" s="22" t="n">
        <v>0</v>
      </c>
      <c r="M117" s="21" t="s">
        <v>265</v>
      </c>
      <c r="N117" s="21"/>
      <c r="O117" s="22"/>
      <c r="P117" s="20" t="n">
        <f aca="false">IF($N117="Reduce",N($O117),0)</f>
        <v>0</v>
      </c>
      <c r="Q117" s="23" t="str">
        <f aca="false">IF($F117="","",MID(IF($G117="",", career level","")&amp;IF($I117="",", nationality mandate","")&amp;IF($N117="",", capacity direction","")&amp;IF(N($J117)&lt;=0,", approved HC","")&amp;IF(AND($G117&lt;&gt;"",COUNTIF(CareerLevels,$G117)=0),", a career level that is not on the ladder","")&amp;IF(AND($N117="Reduce",N($O117)&lt;=0),", how many seats Reduce means","")&amp;IF(AND(N($O117)&gt;0,$N117&lt;&gt;"Reduce"),", a number of seats on a row not marked Reduce","")&amp;IF(N($O117)&gt;N($J117),", more seats given up than the row has",""),3,200))</f>
        <v>career level, nationality mandate, capacity direction</v>
      </c>
    </row>
    <row r="118" customFormat="false" ht="15" hidden="false" customHeight="false" outlineLevel="0" collapsed="false">
      <c r="A118" s="21"/>
      <c r="B118" s="21" t="s">
        <v>190</v>
      </c>
      <c r="C118" s="21" t="s">
        <v>192</v>
      </c>
      <c r="D118" s="21" t="s">
        <v>194</v>
      </c>
      <c r="E118" s="21" t="s">
        <v>196</v>
      </c>
      <c r="F118" s="21" t="s">
        <v>351</v>
      </c>
      <c r="G118" s="21"/>
      <c r="H118" s="21" t="s">
        <v>275</v>
      </c>
      <c r="I118" s="21"/>
      <c r="J118" s="22" t="n">
        <v>2</v>
      </c>
      <c r="K118" s="22" t="n">
        <v>2</v>
      </c>
      <c r="L118" s="22" t="n">
        <v>0</v>
      </c>
      <c r="M118" s="21" t="s">
        <v>265</v>
      </c>
      <c r="N118" s="21"/>
      <c r="O118" s="22"/>
      <c r="P118" s="20" t="n">
        <f aca="false">IF($N118="Reduce",N($O118),0)</f>
        <v>0</v>
      </c>
      <c r="Q118" s="23" t="str">
        <f aca="false">IF($F118="","",MID(IF($G118="",", career level","")&amp;IF($I118="",", nationality mandate","")&amp;IF($N118="",", capacity direction","")&amp;IF(N($J118)&lt;=0,", approved HC","")&amp;IF(AND($G118&lt;&gt;"",COUNTIF(CareerLevels,$G118)=0),", a career level that is not on the ladder","")&amp;IF(AND($N118="Reduce",N($O118)&lt;=0),", how many seats Reduce means","")&amp;IF(AND(N($O118)&gt;0,$N118&lt;&gt;"Reduce"),", a number of seats on a row not marked Reduce","")&amp;IF(N($O118)&gt;N($J118),", more seats given up than the row has",""),3,200))</f>
        <v>career level, nationality mandate, capacity direction</v>
      </c>
    </row>
    <row r="119" customFormat="false" ht="15" hidden="false" customHeight="false" outlineLevel="0" collapsed="false">
      <c r="A119" s="21" t="s">
        <v>352</v>
      </c>
      <c r="B119" s="21" t="s">
        <v>190</v>
      </c>
      <c r="C119" s="21" t="s">
        <v>192</v>
      </c>
      <c r="D119" s="21" t="s">
        <v>194</v>
      </c>
      <c r="E119" s="21" t="s">
        <v>196</v>
      </c>
      <c r="F119" s="21" t="s">
        <v>353</v>
      </c>
      <c r="G119" s="21"/>
      <c r="H119" s="21" t="s">
        <v>275</v>
      </c>
      <c r="I119" s="21"/>
      <c r="J119" s="22" t="n">
        <v>1</v>
      </c>
      <c r="K119" s="22" t="n">
        <v>1</v>
      </c>
      <c r="L119" s="22" t="n">
        <v>0</v>
      </c>
      <c r="M119" s="21" t="s">
        <v>265</v>
      </c>
      <c r="N119" s="21"/>
      <c r="O119" s="22"/>
      <c r="P119" s="20" t="n">
        <f aca="false">IF($N119="Reduce",N($O119),0)</f>
        <v>0</v>
      </c>
      <c r="Q119" s="23" t="str">
        <f aca="false">IF($F119="","",MID(IF($G119="",", career level","")&amp;IF($I119="",", nationality mandate","")&amp;IF($N119="",", capacity direction","")&amp;IF(N($J119)&lt;=0,", approved HC","")&amp;IF(AND($G119&lt;&gt;"",COUNTIF(CareerLevels,$G119)=0),", a career level that is not on the ladder","")&amp;IF(AND($N119="Reduce",N($O119)&lt;=0),", how many seats Reduce means","")&amp;IF(AND(N($O119)&gt;0,$N119&lt;&gt;"Reduce"),", a number of seats on a row not marked Reduce","")&amp;IF(N($O119)&gt;N($J119),", more seats given up than the row has",""),3,200))</f>
        <v>career level, nationality mandate, capacity direction</v>
      </c>
    </row>
    <row r="120" customFormat="false" ht="15" hidden="false" customHeight="false" outlineLevel="0" collapsed="false">
      <c r="A120" s="21"/>
      <c r="B120" s="21" t="s">
        <v>190</v>
      </c>
      <c r="C120" s="21" t="s">
        <v>192</v>
      </c>
      <c r="D120" s="21" t="s">
        <v>194</v>
      </c>
      <c r="E120" s="21" t="s">
        <v>196</v>
      </c>
      <c r="F120" s="21" t="s">
        <v>354</v>
      </c>
      <c r="G120" s="21"/>
      <c r="H120" s="21" t="s">
        <v>275</v>
      </c>
      <c r="I120" s="21"/>
      <c r="J120" s="22" t="n">
        <v>3</v>
      </c>
      <c r="K120" s="22" t="n">
        <v>3</v>
      </c>
      <c r="L120" s="22" t="n">
        <v>0</v>
      </c>
      <c r="M120" s="21" t="s">
        <v>265</v>
      </c>
      <c r="N120" s="21"/>
      <c r="O120" s="22"/>
      <c r="P120" s="20" t="n">
        <f aca="false">IF($N120="Reduce",N($O120),0)</f>
        <v>0</v>
      </c>
      <c r="Q120" s="23" t="str">
        <f aca="false">IF($F120="","",MID(IF($G120="",", career level","")&amp;IF($I120="",", nationality mandate","")&amp;IF($N120="",", capacity direction","")&amp;IF(N($J120)&lt;=0,", approved HC","")&amp;IF(AND($G120&lt;&gt;"",COUNTIF(CareerLevels,$G120)=0),", a career level that is not on the ladder","")&amp;IF(AND($N120="Reduce",N($O120)&lt;=0),", how many seats Reduce means","")&amp;IF(AND(N($O120)&gt;0,$N120&lt;&gt;"Reduce"),", a number of seats on a row not marked Reduce","")&amp;IF(N($O120)&gt;N($J120),", more seats given up than the row has",""),3,200))</f>
        <v>career level, nationality mandate, capacity direction</v>
      </c>
    </row>
    <row r="121" customFormat="false" ht="15" hidden="false" customHeight="false" outlineLevel="0" collapsed="false">
      <c r="A121" s="21" t="s">
        <v>291</v>
      </c>
      <c r="B121" s="21" t="s">
        <v>190</v>
      </c>
      <c r="C121" s="21" t="s">
        <v>192</v>
      </c>
      <c r="D121" s="21" t="s">
        <v>194</v>
      </c>
      <c r="E121" s="21" t="s">
        <v>196</v>
      </c>
      <c r="F121" s="21" t="s">
        <v>355</v>
      </c>
      <c r="G121" s="21"/>
      <c r="H121" s="21" t="s">
        <v>273</v>
      </c>
      <c r="I121" s="21"/>
      <c r="J121" s="22" t="n">
        <v>1</v>
      </c>
      <c r="K121" s="22" t="n">
        <v>1</v>
      </c>
      <c r="L121" s="22" t="n">
        <v>0</v>
      </c>
      <c r="M121" s="21" t="s">
        <v>265</v>
      </c>
      <c r="N121" s="21"/>
      <c r="O121" s="22"/>
      <c r="P121" s="20" t="n">
        <f aca="false">IF($N121="Reduce",N($O121),0)</f>
        <v>0</v>
      </c>
      <c r="Q121" s="23" t="str">
        <f aca="false">IF($F121="","",MID(IF($G121="",", career level","")&amp;IF($I121="",", nationality mandate","")&amp;IF($N121="",", capacity direction","")&amp;IF(N($J121)&lt;=0,", approved HC","")&amp;IF(AND($G121&lt;&gt;"",COUNTIF(CareerLevels,$G121)=0),", a career level that is not on the ladder","")&amp;IF(AND($N121="Reduce",N($O121)&lt;=0),", how many seats Reduce means","")&amp;IF(AND(N($O121)&gt;0,$N121&lt;&gt;"Reduce"),", a number of seats on a row not marked Reduce","")&amp;IF(N($O121)&gt;N($J121),", more seats given up than the row has",""),3,200))</f>
        <v>career level, nationality mandate, capacity direction</v>
      </c>
    </row>
    <row r="122" customFormat="false" ht="15" hidden="false" customHeight="false" outlineLevel="0" collapsed="false">
      <c r="A122" s="21"/>
      <c r="B122" s="21" t="s">
        <v>190</v>
      </c>
      <c r="C122" s="21" t="s">
        <v>192</v>
      </c>
      <c r="D122" s="21" t="s">
        <v>194</v>
      </c>
      <c r="E122" s="21" t="s">
        <v>202</v>
      </c>
      <c r="F122" s="21" t="s">
        <v>356</v>
      </c>
      <c r="G122" s="21"/>
      <c r="H122" s="21" t="s">
        <v>275</v>
      </c>
      <c r="I122" s="21"/>
      <c r="J122" s="22" t="n">
        <v>2</v>
      </c>
      <c r="K122" s="22" t="n">
        <v>2</v>
      </c>
      <c r="L122" s="22" t="n">
        <v>0</v>
      </c>
      <c r="M122" s="21" t="s">
        <v>265</v>
      </c>
      <c r="N122" s="21"/>
      <c r="O122" s="22"/>
      <c r="P122" s="20" t="n">
        <f aca="false">IF($N122="Reduce",N($O122),0)</f>
        <v>0</v>
      </c>
      <c r="Q122" s="23" t="str">
        <f aca="false">IF($F122="","",MID(IF($G122="",", career level","")&amp;IF($I122="",", nationality mandate","")&amp;IF($N122="",", capacity direction","")&amp;IF(N($J122)&lt;=0,", approved HC","")&amp;IF(AND($G122&lt;&gt;"",COUNTIF(CareerLevels,$G122)=0),", a career level that is not on the ladder","")&amp;IF(AND($N122="Reduce",N($O122)&lt;=0),", how many seats Reduce means","")&amp;IF(AND(N($O122)&gt;0,$N122&lt;&gt;"Reduce"),", a number of seats on a row not marked Reduce","")&amp;IF(N($O122)&gt;N($J122),", more seats given up than the row has",""),3,200))</f>
        <v>career level, nationality mandate, capacity direction</v>
      </c>
    </row>
    <row r="123" customFormat="false" ht="15" hidden="false" customHeight="false" outlineLevel="0" collapsed="false">
      <c r="A123" s="21"/>
      <c r="B123" s="21" t="s">
        <v>190</v>
      </c>
      <c r="C123" s="21" t="s">
        <v>192</v>
      </c>
      <c r="D123" s="21" t="s">
        <v>194</v>
      </c>
      <c r="E123" s="21" t="s">
        <v>202</v>
      </c>
      <c r="F123" s="21" t="s">
        <v>357</v>
      </c>
      <c r="G123" s="21"/>
      <c r="H123" s="21" t="s">
        <v>275</v>
      </c>
      <c r="I123" s="21"/>
      <c r="J123" s="22" t="n">
        <v>2</v>
      </c>
      <c r="K123" s="22" t="n">
        <v>2</v>
      </c>
      <c r="L123" s="22" t="n">
        <v>0</v>
      </c>
      <c r="M123" s="21" t="s">
        <v>265</v>
      </c>
      <c r="N123" s="21"/>
      <c r="O123" s="22"/>
      <c r="P123" s="20" t="n">
        <f aca="false">IF($N123="Reduce",N($O123),0)</f>
        <v>0</v>
      </c>
      <c r="Q123" s="23" t="str">
        <f aca="false">IF($F123="","",MID(IF($G123="",", career level","")&amp;IF($I123="",", nationality mandate","")&amp;IF($N123="",", capacity direction","")&amp;IF(N($J123)&lt;=0,", approved HC","")&amp;IF(AND($G123&lt;&gt;"",COUNTIF(CareerLevels,$G123)=0),", a career level that is not on the ladder","")&amp;IF(AND($N123="Reduce",N($O123)&lt;=0),", how many seats Reduce means","")&amp;IF(AND(N($O123)&gt;0,$N123&lt;&gt;"Reduce"),", a number of seats on a row not marked Reduce","")&amp;IF(N($O123)&gt;N($J123),", more seats given up than the row has",""),3,200))</f>
        <v>career level, nationality mandate, capacity direction</v>
      </c>
    </row>
    <row r="124" customFormat="false" ht="15" hidden="false" customHeight="false" outlineLevel="0" collapsed="false">
      <c r="A124" s="21" t="s">
        <v>269</v>
      </c>
      <c r="B124" s="21" t="s">
        <v>190</v>
      </c>
      <c r="C124" s="21" t="s">
        <v>192</v>
      </c>
      <c r="D124" s="21" t="s">
        <v>194</v>
      </c>
      <c r="E124" s="21" t="s">
        <v>202</v>
      </c>
      <c r="F124" s="21" t="s">
        <v>351</v>
      </c>
      <c r="G124" s="21"/>
      <c r="H124" s="21" t="s">
        <v>275</v>
      </c>
      <c r="I124" s="21"/>
      <c r="J124" s="22" t="n">
        <v>1</v>
      </c>
      <c r="K124" s="22" t="n">
        <v>1</v>
      </c>
      <c r="L124" s="22" t="n">
        <v>0</v>
      </c>
      <c r="M124" s="21" t="s">
        <v>265</v>
      </c>
      <c r="N124" s="21"/>
      <c r="O124" s="22"/>
      <c r="P124" s="20" t="n">
        <f aca="false">IF($N124="Reduce",N($O124),0)</f>
        <v>0</v>
      </c>
      <c r="Q124" s="23" t="str">
        <f aca="false">IF($F124="","",MID(IF($G124="",", career level","")&amp;IF($I124="",", nationality mandate","")&amp;IF($N124="",", capacity direction","")&amp;IF(N($J124)&lt;=0,", approved HC","")&amp;IF(AND($G124&lt;&gt;"",COUNTIF(CareerLevels,$G124)=0),", a career level that is not on the ladder","")&amp;IF(AND($N124="Reduce",N($O124)&lt;=0),", how many seats Reduce means","")&amp;IF(AND(N($O124)&gt;0,$N124&lt;&gt;"Reduce"),", a number of seats on a row not marked Reduce","")&amp;IF(N($O124)&gt;N($J124),", more seats given up than the row has",""),3,200))</f>
        <v>career level, nationality mandate, capacity direction</v>
      </c>
    </row>
    <row r="125" customFormat="false" ht="15" hidden="false" customHeight="false" outlineLevel="0" collapsed="false">
      <c r="A125" s="21" t="s">
        <v>358</v>
      </c>
      <c r="B125" s="21" t="s">
        <v>190</v>
      </c>
      <c r="C125" s="21" t="s">
        <v>192</v>
      </c>
      <c r="D125" s="21" t="s">
        <v>194</v>
      </c>
      <c r="E125" s="21" t="s">
        <v>202</v>
      </c>
      <c r="F125" s="21" t="s">
        <v>355</v>
      </c>
      <c r="G125" s="21"/>
      <c r="H125" s="21" t="s">
        <v>273</v>
      </c>
      <c r="I125" s="21"/>
      <c r="J125" s="22" t="n">
        <v>1</v>
      </c>
      <c r="K125" s="22" t="n">
        <v>1</v>
      </c>
      <c r="L125" s="22" t="n">
        <v>0</v>
      </c>
      <c r="M125" s="21" t="s">
        <v>265</v>
      </c>
      <c r="N125" s="21"/>
      <c r="O125" s="22"/>
      <c r="P125" s="20" t="n">
        <f aca="false">IF($N125="Reduce",N($O125),0)</f>
        <v>0</v>
      </c>
      <c r="Q125" s="23" t="str">
        <f aca="false">IF($F125="","",MID(IF($G125="",", career level","")&amp;IF($I125="",", nationality mandate","")&amp;IF($N125="",", capacity direction","")&amp;IF(N($J125)&lt;=0,", approved HC","")&amp;IF(AND($G125&lt;&gt;"",COUNTIF(CareerLevels,$G125)=0),", a career level that is not on the ladder","")&amp;IF(AND($N125="Reduce",N($O125)&lt;=0),", how many seats Reduce means","")&amp;IF(AND(N($O125)&gt;0,$N125&lt;&gt;"Reduce"),", a number of seats on a row not marked Reduce","")&amp;IF(N($O125)&gt;N($J125),", more seats given up than the row has",""),3,200))</f>
        <v>career level, nationality mandate, capacity direction</v>
      </c>
    </row>
    <row r="126" customFormat="false" ht="15" hidden="false" customHeight="false" outlineLevel="0" collapsed="false">
      <c r="A126" s="21" t="s">
        <v>359</v>
      </c>
      <c r="B126" s="21" t="s">
        <v>190</v>
      </c>
      <c r="C126" s="21" t="s">
        <v>192</v>
      </c>
      <c r="D126" s="21" t="s">
        <v>208</v>
      </c>
      <c r="E126" s="21"/>
      <c r="F126" s="21" t="s">
        <v>349</v>
      </c>
      <c r="G126" s="21"/>
      <c r="H126" s="21" t="s">
        <v>273</v>
      </c>
      <c r="I126" s="21"/>
      <c r="J126" s="22" t="n">
        <v>1</v>
      </c>
      <c r="K126" s="22" t="n">
        <v>1</v>
      </c>
      <c r="L126" s="22" t="n">
        <v>0</v>
      </c>
      <c r="M126" s="21" t="s">
        <v>265</v>
      </c>
      <c r="N126" s="21"/>
      <c r="O126" s="22"/>
      <c r="P126" s="20" t="n">
        <f aca="false">IF($N126="Reduce",N($O126),0)</f>
        <v>0</v>
      </c>
      <c r="Q126" s="23" t="str">
        <f aca="false">IF($F126="","",MID(IF($G126="",", career level","")&amp;IF($I126="",", nationality mandate","")&amp;IF($N126="",", capacity direction","")&amp;IF(N($J126)&lt;=0,", approved HC","")&amp;IF(AND($G126&lt;&gt;"",COUNTIF(CareerLevels,$G126)=0),", a career level that is not on the ladder","")&amp;IF(AND($N126="Reduce",N($O126)&lt;=0),", how many seats Reduce means","")&amp;IF(AND(N($O126)&gt;0,$N126&lt;&gt;"Reduce"),", a number of seats on a row not marked Reduce","")&amp;IF(N($O126)&gt;N($J126),", more seats given up than the row has",""),3,200))</f>
        <v>career level, nationality mandate, capacity direction</v>
      </c>
    </row>
    <row r="127" customFormat="false" ht="15" hidden="false" customHeight="false" outlineLevel="0" collapsed="false">
      <c r="A127" s="21"/>
      <c r="B127" s="21" t="s">
        <v>190</v>
      </c>
      <c r="C127" s="21" t="s">
        <v>192</v>
      </c>
      <c r="D127" s="21" t="s">
        <v>208</v>
      </c>
      <c r="E127" s="21" t="s">
        <v>210</v>
      </c>
      <c r="F127" s="21" t="s">
        <v>356</v>
      </c>
      <c r="G127" s="21"/>
      <c r="H127" s="21" t="s">
        <v>275</v>
      </c>
      <c r="I127" s="21"/>
      <c r="J127" s="22" t="n">
        <v>3</v>
      </c>
      <c r="K127" s="22" t="n">
        <v>3</v>
      </c>
      <c r="L127" s="22" t="n">
        <v>0</v>
      </c>
      <c r="M127" s="21" t="s">
        <v>265</v>
      </c>
      <c r="N127" s="21"/>
      <c r="O127" s="22"/>
      <c r="P127" s="20" t="n">
        <f aca="false">IF($N127="Reduce",N($O127),0)</f>
        <v>0</v>
      </c>
      <c r="Q127" s="23" t="str">
        <f aca="false">IF($F127="","",MID(IF($G127="",", career level","")&amp;IF($I127="",", nationality mandate","")&amp;IF($N127="",", capacity direction","")&amp;IF(N($J127)&lt;=0,", approved HC","")&amp;IF(AND($G127&lt;&gt;"",COUNTIF(CareerLevels,$G127)=0),", a career level that is not on the ladder","")&amp;IF(AND($N127="Reduce",N($O127)&lt;=0),", how many seats Reduce means","")&amp;IF(AND(N($O127)&gt;0,$N127&lt;&gt;"Reduce"),", a number of seats on a row not marked Reduce","")&amp;IF(N($O127)&gt;N($J127),", more seats given up than the row has",""),3,200))</f>
        <v>career level, nationality mandate, capacity direction</v>
      </c>
    </row>
    <row r="128" customFormat="false" ht="15" hidden="false" customHeight="false" outlineLevel="0" collapsed="false">
      <c r="A128" s="21" t="s">
        <v>340</v>
      </c>
      <c r="B128" s="21" t="s">
        <v>190</v>
      </c>
      <c r="C128" s="21" t="s">
        <v>192</v>
      </c>
      <c r="D128" s="21" t="s">
        <v>208</v>
      </c>
      <c r="E128" s="21" t="s">
        <v>210</v>
      </c>
      <c r="F128" s="21" t="s">
        <v>350</v>
      </c>
      <c r="G128" s="21"/>
      <c r="H128" s="21" t="s">
        <v>275</v>
      </c>
      <c r="I128" s="21"/>
      <c r="J128" s="22" t="n">
        <v>1</v>
      </c>
      <c r="K128" s="22" t="n">
        <v>1</v>
      </c>
      <c r="L128" s="22" t="n">
        <v>0</v>
      </c>
      <c r="M128" s="21" t="s">
        <v>265</v>
      </c>
      <c r="N128" s="21"/>
      <c r="O128" s="22"/>
      <c r="P128" s="20" t="n">
        <f aca="false">IF($N128="Reduce",N($O128),0)</f>
        <v>0</v>
      </c>
      <c r="Q128" s="23" t="str">
        <f aca="false">IF($F128="","",MID(IF($G128="",", career level","")&amp;IF($I128="",", nationality mandate","")&amp;IF($N128="",", capacity direction","")&amp;IF(N($J128)&lt;=0,", approved HC","")&amp;IF(AND($G128&lt;&gt;"",COUNTIF(CareerLevels,$G128)=0),", a career level that is not on the ladder","")&amp;IF(AND($N128="Reduce",N($O128)&lt;=0),", how many seats Reduce means","")&amp;IF(AND(N($O128)&gt;0,$N128&lt;&gt;"Reduce"),", a number of seats on a row not marked Reduce","")&amp;IF(N($O128)&gt;N($J128),", more seats given up than the row has",""),3,200))</f>
        <v>career level, nationality mandate, capacity direction</v>
      </c>
    </row>
    <row r="129" customFormat="false" ht="15" hidden="false" customHeight="false" outlineLevel="0" collapsed="false">
      <c r="A129" s="21"/>
      <c r="B129" s="21" t="s">
        <v>190</v>
      </c>
      <c r="C129" s="21" t="s">
        <v>192</v>
      </c>
      <c r="D129" s="21" t="s">
        <v>208</v>
      </c>
      <c r="E129" s="21" t="s">
        <v>210</v>
      </c>
      <c r="F129" s="21" t="s">
        <v>357</v>
      </c>
      <c r="G129" s="21"/>
      <c r="H129" s="21" t="s">
        <v>275</v>
      </c>
      <c r="I129" s="21"/>
      <c r="J129" s="22" t="n">
        <v>2</v>
      </c>
      <c r="K129" s="22" t="n">
        <v>2</v>
      </c>
      <c r="L129" s="22" t="n">
        <v>0</v>
      </c>
      <c r="M129" s="21" t="s">
        <v>265</v>
      </c>
      <c r="N129" s="21"/>
      <c r="O129" s="22"/>
      <c r="P129" s="20" t="n">
        <f aca="false">IF($N129="Reduce",N($O129),0)</f>
        <v>0</v>
      </c>
      <c r="Q129" s="23" t="str">
        <f aca="false">IF($F129="","",MID(IF($G129="",", career level","")&amp;IF($I129="",", nationality mandate","")&amp;IF($N129="",", capacity direction","")&amp;IF(N($J129)&lt;=0,", approved HC","")&amp;IF(AND($G129&lt;&gt;"",COUNTIF(CareerLevels,$G129)=0),", a career level that is not on the ladder","")&amp;IF(AND($N129="Reduce",N($O129)&lt;=0),", how many seats Reduce means","")&amp;IF(AND(N($O129)&gt;0,$N129&lt;&gt;"Reduce"),", a number of seats on a row not marked Reduce","")&amp;IF(N($O129)&gt;N($J129),", more seats given up than the row has",""),3,200))</f>
        <v>career level, nationality mandate, capacity direction</v>
      </c>
    </row>
    <row r="130" customFormat="false" ht="15" hidden="false" customHeight="false" outlineLevel="0" collapsed="false">
      <c r="A130" s="21"/>
      <c r="B130" s="21" t="s">
        <v>190</v>
      </c>
      <c r="C130" s="21" t="s">
        <v>192</v>
      </c>
      <c r="D130" s="21" t="s">
        <v>208</v>
      </c>
      <c r="E130" s="21" t="s">
        <v>210</v>
      </c>
      <c r="F130" s="21" t="s">
        <v>353</v>
      </c>
      <c r="G130" s="21"/>
      <c r="H130" s="21" t="s">
        <v>275</v>
      </c>
      <c r="I130" s="21"/>
      <c r="J130" s="22" t="n">
        <v>2</v>
      </c>
      <c r="K130" s="22" t="n">
        <v>2</v>
      </c>
      <c r="L130" s="22" t="n">
        <v>0</v>
      </c>
      <c r="M130" s="21" t="s">
        <v>265</v>
      </c>
      <c r="N130" s="21"/>
      <c r="O130" s="22"/>
      <c r="P130" s="20" t="n">
        <f aca="false">IF($N130="Reduce",N($O130),0)</f>
        <v>0</v>
      </c>
      <c r="Q130" s="23" t="str">
        <f aca="false">IF($F130="","",MID(IF($G130="",", career level","")&amp;IF($I130="",", nationality mandate","")&amp;IF($N130="",", capacity direction","")&amp;IF(N($J130)&lt;=0,", approved HC","")&amp;IF(AND($G130&lt;&gt;"",COUNTIF(CareerLevels,$G130)=0),", a career level that is not on the ladder","")&amp;IF(AND($N130="Reduce",N($O130)&lt;=0),", how many seats Reduce means","")&amp;IF(AND(N($O130)&gt;0,$N130&lt;&gt;"Reduce"),", a number of seats on a row not marked Reduce","")&amp;IF(N($O130)&gt;N($J130),", more seats given up than the row has",""),3,200))</f>
        <v>career level, nationality mandate, capacity direction</v>
      </c>
    </row>
    <row r="131" customFormat="false" ht="15" hidden="false" customHeight="false" outlineLevel="0" collapsed="false">
      <c r="A131" s="21" t="s">
        <v>329</v>
      </c>
      <c r="B131" s="21" t="s">
        <v>190</v>
      </c>
      <c r="C131" s="21" t="s">
        <v>192</v>
      </c>
      <c r="D131" s="21" t="s">
        <v>208</v>
      </c>
      <c r="E131" s="21" t="s">
        <v>210</v>
      </c>
      <c r="F131" s="21" t="s">
        <v>355</v>
      </c>
      <c r="G131" s="21"/>
      <c r="H131" s="21" t="s">
        <v>273</v>
      </c>
      <c r="I131" s="21"/>
      <c r="J131" s="22" t="n">
        <v>1</v>
      </c>
      <c r="K131" s="22" t="n">
        <v>1</v>
      </c>
      <c r="L131" s="22" t="n">
        <v>0</v>
      </c>
      <c r="M131" s="21" t="s">
        <v>265</v>
      </c>
      <c r="N131" s="21"/>
      <c r="O131" s="22"/>
      <c r="P131" s="20" t="n">
        <f aca="false">IF($N131="Reduce",N($O131),0)</f>
        <v>0</v>
      </c>
      <c r="Q131" s="23" t="str">
        <f aca="false">IF($F131="","",MID(IF($G131="",", career level","")&amp;IF($I131="",", nationality mandate","")&amp;IF($N131="",", capacity direction","")&amp;IF(N($J131)&lt;=0,", approved HC","")&amp;IF(AND($G131&lt;&gt;"",COUNTIF(CareerLevels,$G131)=0),", a career level that is not on the ladder","")&amp;IF(AND($N131="Reduce",N($O131)&lt;=0),", how many seats Reduce means","")&amp;IF(AND(N($O131)&gt;0,$N131&lt;&gt;"Reduce"),", a number of seats on a row not marked Reduce","")&amp;IF(N($O131)&gt;N($J131),", more seats given up than the row has",""),3,200))</f>
        <v>career level, nationality mandate, capacity direction</v>
      </c>
    </row>
    <row r="132" customFormat="false" ht="15" hidden="false" customHeight="false" outlineLevel="0" collapsed="false">
      <c r="A132" s="21" t="s">
        <v>311</v>
      </c>
      <c r="B132" s="21" t="s">
        <v>190</v>
      </c>
      <c r="C132" s="21" t="s">
        <v>192</v>
      </c>
      <c r="D132" s="21" t="s">
        <v>208</v>
      </c>
      <c r="E132" s="21" t="s">
        <v>216</v>
      </c>
      <c r="F132" s="21" t="s">
        <v>356</v>
      </c>
      <c r="G132" s="21"/>
      <c r="H132" s="21" t="s">
        <v>275</v>
      </c>
      <c r="I132" s="21"/>
      <c r="J132" s="22" t="n">
        <v>1</v>
      </c>
      <c r="K132" s="22" t="n">
        <v>1</v>
      </c>
      <c r="L132" s="22" t="n">
        <v>0</v>
      </c>
      <c r="M132" s="21" t="s">
        <v>265</v>
      </c>
      <c r="N132" s="21"/>
      <c r="O132" s="22"/>
      <c r="P132" s="20" t="n">
        <f aca="false">IF($N132="Reduce",N($O132),0)</f>
        <v>0</v>
      </c>
      <c r="Q132" s="23" t="str">
        <f aca="false">IF($F132="","",MID(IF($G132="",", career level","")&amp;IF($I132="",", nationality mandate","")&amp;IF($N132="",", capacity direction","")&amp;IF(N($J132)&lt;=0,", approved HC","")&amp;IF(AND($G132&lt;&gt;"",COUNTIF(CareerLevels,$G132)=0),", a career level that is not on the ladder","")&amp;IF(AND($N132="Reduce",N($O132)&lt;=0),", how many seats Reduce means","")&amp;IF(AND(N($O132)&gt;0,$N132&lt;&gt;"Reduce"),", a number of seats on a row not marked Reduce","")&amp;IF(N($O132)&gt;N($J132),", more seats given up than the row has",""),3,200))</f>
        <v>career level, nationality mandate, capacity direction</v>
      </c>
    </row>
    <row r="133" customFormat="false" ht="15" hidden="false" customHeight="false" outlineLevel="0" collapsed="false">
      <c r="A133" s="21" t="s">
        <v>360</v>
      </c>
      <c r="B133" s="21" t="s">
        <v>190</v>
      </c>
      <c r="C133" s="21" t="s">
        <v>192</v>
      </c>
      <c r="D133" s="21" t="s">
        <v>208</v>
      </c>
      <c r="E133" s="21" t="s">
        <v>216</v>
      </c>
      <c r="F133" s="21" t="s">
        <v>350</v>
      </c>
      <c r="G133" s="21"/>
      <c r="H133" s="21" t="s">
        <v>275</v>
      </c>
      <c r="I133" s="21"/>
      <c r="J133" s="22" t="n">
        <v>1</v>
      </c>
      <c r="K133" s="22" t="n">
        <v>0</v>
      </c>
      <c r="L133" s="22" t="n">
        <v>1</v>
      </c>
      <c r="M133" s="21" t="s">
        <v>265</v>
      </c>
      <c r="N133" s="21"/>
      <c r="O133" s="22"/>
      <c r="P133" s="20" t="n">
        <f aca="false">IF($N133="Reduce",N($O133),0)</f>
        <v>0</v>
      </c>
      <c r="Q133" s="23" t="str">
        <f aca="false">IF($F133="","",MID(IF($G133="",", career level","")&amp;IF($I133="",", nationality mandate","")&amp;IF($N133="",", capacity direction","")&amp;IF(N($J133)&lt;=0,", approved HC","")&amp;IF(AND($G133&lt;&gt;"",COUNTIF(CareerLevels,$G133)=0),", a career level that is not on the ladder","")&amp;IF(AND($N133="Reduce",N($O133)&lt;=0),", how many seats Reduce means","")&amp;IF(AND(N($O133)&gt;0,$N133&lt;&gt;"Reduce"),", a number of seats on a row not marked Reduce","")&amp;IF(N($O133)&gt;N($J133),", more seats given up than the row has",""),3,200))</f>
        <v>career level, nationality mandate, capacity direction</v>
      </c>
    </row>
    <row r="134" customFormat="false" ht="15" hidden="false" customHeight="false" outlineLevel="0" collapsed="false">
      <c r="A134" s="21" t="s">
        <v>361</v>
      </c>
      <c r="B134" s="21" t="s">
        <v>190</v>
      </c>
      <c r="C134" s="21" t="s">
        <v>192</v>
      </c>
      <c r="D134" s="21" t="s">
        <v>208</v>
      </c>
      <c r="E134" s="21" t="s">
        <v>216</v>
      </c>
      <c r="F134" s="21" t="s">
        <v>357</v>
      </c>
      <c r="G134" s="21"/>
      <c r="H134" s="21" t="s">
        <v>275</v>
      </c>
      <c r="I134" s="21"/>
      <c r="J134" s="22" t="n">
        <v>1</v>
      </c>
      <c r="K134" s="22" t="n">
        <v>1</v>
      </c>
      <c r="L134" s="22" t="n">
        <v>0</v>
      </c>
      <c r="M134" s="21" t="s">
        <v>265</v>
      </c>
      <c r="N134" s="21"/>
      <c r="O134" s="22"/>
      <c r="P134" s="20" t="n">
        <f aca="false">IF($N134="Reduce",N($O134),0)</f>
        <v>0</v>
      </c>
      <c r="Q134" s="23" t="str">
        <f aca="false">IF($F134="","",MID(IF($G134="",", career level","")&amp;IF($I134="",", nationality mandate","")&amp;IF($N134="",", capacity direction","")&amp;IF(N($J134)&lt;=0,", approved HC","")&amp;IF(AND($G134&lt;&gt;"",COUNTIF(CareerLevels,$G134)=0),", a career level that is not on the ladder","")&amp;IF(AND($N134="Reduce",N($O134)&lt;=0),", how many seats Reduce means","")&amp;IF(AND(N($O134)&gt;0,$N134&lt;&gt;"Reduce"),", a number of seats on a row not marked Reduce","")&amp;IF(N($O134)&gt;N($J134),", more seats given up than the row has",""),3,200))</f>
        <v>career level, nationality mandate, capacity direction</v>
      </c>
    </row>
    <row r="135" customFormat="false" ht="15" hidden="false" customHeight="false" outlineLevel="0" collapsed="false">
      <c r="A135" s="21"/>
      <c r="B135" s="21" t="s">
        <v>190</v>
      </c>
      <c r="C135" s="21" t="s">
        <v>192</v>
      </c>
      <c r="D135" s="21" t="s">
        <v>208</v>
      </c>
      <c r="E135" s="21" t="s">
        <v>216</v>
      </c>
      <c r="F135" s="21" t="s">
        <v>357</v>
      </c>
      <c r="G135" s="21"/>
      <c r="H135" s="21" t="s">
        <v>275</v>
      </c>
      <c r="I135" s="21"/>
      <c r="J135" s="22" t="n">
        <v>2</v>
      </c>
      <c r="K135" s="22" t="n">
        <v>2</v>
      </c>
      <c r="L135" s="22" t="n">
        <v>0</v>
      </c>
      <c r="M135" s="21" t="s">
        <v>277</v>
      </c>
      <c r="N135" s="21"/>
      <c r="O135" s="22"/>
      <c r="P135" s="20" t="n">
        <f aca="false">IF($N135="Reduce",N($O135),0)</f>
        <v>0</v>
      </c>
      <c r="Q135" s="23" t="str">
        <f aca="false">IF($F135="","",MID(IF($G135="",", career level","")&amp;IF($I135="",", nationality mandate","")&amp;IF($N135="",", capacity direction","")&amp;IF(N($J135)&lt;=0,", approved HC","")&amp;IF(AND($G135&lt;&gt;"",COUNTIF(CareerLevels,$G135)=0),", a career level that is not on the ladder","")&amp;IF(AND($N135="Reduce",N($O135)&lt;=0),", how many seats Reduce means","")&amp;IF(AND(N($O135)&gt;0,$N135&lt;&gt;"Reduce"),", a number of seats on a row not marked Reduce","")&amp;IF(N($O135)&gt;N($J135),", more seats given up than the row has",""),3,200))</f>
        <v>career level, nationality mandate, capacity direction</v>
      </c>
    </row>
    <row r="136" customFormat="false" ht="15" hidden="false" customHeight="false" outlineLevel="0" collapsed="false">
      <c r="A136" s="21" t="s">
        <v>362</v>
      </c>
      <c r="B136" s="21" t="s">
        <v>190</v>
      </c>
      <c r="C136" s="21" t="s">
        <v>192</v>
      </c>
      <c r="D136" s="21" t="s">
        <v>208</v>
      </c>
      <c r="E136" s="21" t="s">
        <v>216</v>
      </c>
      <c r="F136" s="21" t="s">
        <v>351</v>
      </c>
      <c r="G136" s="21"/>
      <c r="H136" s="21" t="s">
        <v>275</v>
      </c>
      <c r="I136" s="21"/>
      <c r="J136" s="22" t="n">
        <v>1</v>
      </c>
      <c r="K136" s="22" t="n">
        <v>1</v>
      </c>
      <c r="L136" s="22" t="n">
        <v>0</v>
      </c>
      <c r="M136" s="21" t="s">
        <v>265</v>
      </c>
      <c r="N136" s="21"/>
      <c r="O136" s="22"/>
      <c r="P136" s="20" t="n">
        <f aca="false">IF($N136="Reduce",N($O136),0)</f>
        <v>0</v>
      </c>
      <c r="Q136" s="23" t="str">
        <f aca="false">IF($F136="","",MID(IF($G136="",", career level","")&amp;IF($I136="",", nationality mandate","")&amp;IF($N136="",", capacity direction","")&amp;IF(N($J136)&lt;=0,", approved HC","")&amp;IF(AND($G136&lt;&gt;"",COUNTIF(CareerLevels,$G136)=0),", a career level that is not on the ladder","")&amp;IF(AND($N136="Reduce",N($O136)&lt;=0),", how many seats Reduce means","")&amp;IF(AND(N($O136)&gt;0,$N136&lt;&gt;"Reduce"),", a number of seats on a row not marked Reduce","")&amp;IF(N($O136)&gt;N($J136),", more seats given up than the row has",""),3,200))</f>
        <v>career level, nationality mandate, capacity direction</v>
      </c>
    </row>
    <row r="137" customFormat="false" ht="15" hidden="false" customHeight="false" outlineLevel="0" collapsed="false">
      <c r="A137" s="21" t="s">
        <v>290</v>
      </c>
      <c r="B137" s="21" t="s">
        <v>190</v>
      </c>
      <c r="C137" s="21" t="s">
        <v>192</v>
      </c>
      <c r="D137" s="21" t="s">
        <v>208</v>
      </c>
      <c r="E137" s="21" t="s">
        <v>216</v>
      </c>
      <c r="F137" s="21" t="s">
        <v>353</v>
      </c>
      <c r="G137" s="21"/>
      <c r="H137" s="21" t="s">
        <v>275</v>
      </c>
      <c r="I137" s="21"/>
      <c r="J137" s="22" t="n">
        <v>1</v>
      </c>
      <c r="K137" s="22" t="n">
        <v>1</v>
      </c>
      <c r="L137" s="22" t="n">
        <v>0</v>
      </c>
      <c r="M137" s="21" t="s">
        <v>265</v>
      </c>
      <c r="N137" s="21"/>
      <c r="O137" s="22"/>
      <c r="P137" s="20" t="n">
        <f aca="false">IF($N137="Reduce",N($O137),0)</f>
        <v>0</v>
      </c>
      <c r="Q137" s="23" t="str">
        <f aca="false">IF($F137="","",MID(IF($G137="",", career level","")&amp;IF($I137="",", nationality mandate","")&amp;IF($N137="",", capacity direction","")&amp;IF(N($J137)&lt;=0,", approved HC","")&amp;IF(AND($G137&lt;&gt;"",COUNTIF(CareerLevels,$G137)=0),", a career level that is not on the ladder","")&amp;IF(AND($N137="Reduce",N($O137)&lt;=0),", how many seats Reduce means","")&amp;IF(AND(N($O137)&gt;0,$N137&lt;&gt;"Reduce"),", a number of seats on a row not marked Reduce","")&amp;IF(N($O137)&gt;N($J137),", more seats given up than the row has",""),3,200))</f>
        <v>career level, nationality mandate, capacity direction</v>
      </c>
    </row>
    <row r="138" customFormat="false" ht="15" hidden="false" customHeight="false" outlineLevel="0" collapsed="false">
      <c r="A138" s="21" t="s">
        <v>305</v>
      </c>
      <c r="B138" s="21" t="s">
        <v>190</v>
      </c>
      <c r="C138" s="21" t="s">
        <v>192</v>
      </c>
      <c r="D138" s="21" t="s">
        <v>208</v>
      </c>
      <c r="E138" s="21" t="s">
        <v>216</v>
      </c>
      <c r="F138" s="21" t="s">
        <v>354</v>
      </c>
      <c r="G138" s="21"/>
      <c r="H138" s="21" t="s">
        <v>275</v>
      </c>
      <c r="I138" s="21"/>
      <c r="J138" s="22" t="n">
        <v>1</v>
      </c>
      <c r="K138" s="22" t="n">
        <v>1</v>
      </c>
      <c r="L138" s="22" t="n">
        <v>0</v>
      </c>
      <c r="M138" s="21" t="s">
        <v>265</v>
      </c>
      <c r="N138" s="21"/>
      <c r="O138" s="22"/>
      <c r="P138" s="20" t="n">
        <f aca="false">IF($N138="Reduce",N($O138),0)</f>
        <v>0</v>
      </c>
      <c r="Q138" s="23" t="str">
        <f aca="false">IF($F138="","",MID(IF($G138="",", career level","")&amp;IF($I138="",", nationality mandate","")&amp;IF($N138="",", capacity direction","")&amp;IF(N($J138)&lt;=0,", approved HC","")&amp;IF(AND($G138&lt;&gt;"",COUNTIF(CareerLevels,$G138)=0),", a career level that is not on the ladder","")&amp;IF(AND($N138="Reduce",N($O138)&lt;=0),", how many seats Reduce means","")&amp;IF(AND(N($O138)&gt;0,$N138&lt;&gt;"Reduce"),", a number of seats on a row not marked Reduce","")&amp;IF(N($O138)&gt;N($J138),", more seats given up than the row has",""),3,200))</f>
        <v>career level, nationality mandate, capacity direction</v>
      </c>
    </row>
    <row r="139" customFormat="false" ht="15" hidden="false" customHeight="false" outlineLevel="0" collapsed="false">
      <c r="A139" s="21" t="s">
        <v>344</v>
      </c>
      <c r="B139" s="21" t="s">
        <v>190</v>
      </c>
      <c r="C139" s="21" t="s">
        <v>192</v>
      </c>
      <c r="D139" s="21" t="s">
        <v>208</v>
      </c>
      <c r="E139" s="21" t="s">
        <v>216</v>
      </c>
      <c r="F139" s="21" t="s">
        <v>355</v>
      </c>
      <c r="G139" s="21"/>
      <c r="H139" s="21" t="s">
        <v>273</v>
      </c>
      <c r="I139" s="21"/>
      <c r="J139" s="22" t="n">
        <v>1</v>
      </c>
      <c r="K139" s="22" t="n">
        <v>1</v>
      </c>
      <c r="L139" s="22" t="n">
        <v>0</v>
      </c>
      <c r="M139" s="21" t="s">
        <v>277</v>
      </c>
      <c r="N139" s="21"/>
      <c r="O139" s="22"/>
      <c r="P139" s="20" t="n">
        <f aca="false">IF($N139="Reduce",N($O139),0)</f>
        <v>0</v>
      </c>
      <c r="Q139" s="23" t="str">
        <f aca="false">IF($F139="","",MID(IF($G139="",", career level","")&amp;IF($I139="",", nationality mandate","")&amp;IF($N139="",", capacity direction","")&amp;IF(N($J139)&lt;=0,", approved HC","")&amp;IF(AND($G139&lt;&gt;"",COUNTIF(CareerLevels,$G139)=0),", a career level that is not on the ladder","")&amp;IF(AND($N139="Reduce",N($O139)&lt;=0),", how many seats Reduce means","")&amp;IF(AND(N($O139)&gt;0,$N139&lt;&gt;"Reduce"),", a number of seats on a row not marked Reduce","")&amp;IF(N($O139)&gt;N($J139),", more seats given up than the row has",""),3,200))</f>
        <v>career level, nationality mandate, capacity direction</v>
      </c>
    </row>
    <row r="140" customFormat="false" ht="15" hidden="false" customHeight="false" outlineLevel="0" collapsed="false">
      <c r="A140" s="21" t="s">
        <v>316</v>
      </c>
      <c r="B140" s="21" t="s">
        <v>190</v>
      </c>
      <c r="C140" s="21" t="s">
        <v>222</v>
      </c>
      <c r="D140" s="21"/>
      <c r="E140" s="21"/>
      <c r="F140" s="21" t="s">
        <v>363</v>
      </c>
      <c r="G140" s="21"/>
      <c r="H140" s="21" t="s">
        <v>268</v>
      </c>
      <c r="I140" s="21"/>
      <c r="J140" s="22" t="n">
        <v>1</v>
      </c>
      <c r="K140" s="22" t="n">
        <v>1</v>
      </c>
      <c r="L140" s="22" t="n">
        <v>0</v>
      </c>
      <c r="M140" s="21" t="s">
        <v>265</v>
      </c>
      <c r="N140" s="21"/>
      <c r="O140" s="22"/>
      <c r="P140" s="20" t="n">
        <f aca="false">IF($N140="Reduce",N($O140),0)</f>
        <v>0</v>
      </c>
      <c r="Q140" s="23" t="str">
        <f aca="false">IF($F140="","",MID(IF($G140="",", career level","")&amp;IF($I140="",", nationality mandate","")&amp;IF($N140="",", capacity direction","")&amp;IF(N($J140)&lt;=0,", approved HC","")&amp;IF(AND($G140&lt;&gt;"",COUNTIF(CareerLevels,$G140)=0),", a career level that is not on the ladder","")&amp;IF(AND($N140="Reduce",N($O140)&lt;=0),", how many seats Reduce means","")&amp;IF(AND(N($O140)&gt;0,$N140&lt;&gt;"Reduce"),", a number of seats on a row not marked Reduce","")&amp;IF(N($O140)&gt;N($J140),", more seats given up than the row has",""),3,200))</f>
        <v>career level, nationality mandate, capacity direction</v>
      </c>
    </row>
    <row r="141" customFormat="false" ht="15" hidden="false" customHeight="false" outlineLevel="0" collapsed="false">
      <c r="A141" s="21" t="s">
        <v>266</v>
      </c>
      <c r="B141" s="21" t="s">
        <v>190</v>
      </c>
      <c r="C141" s="21" t="s">
        <v>222</v>
      </c>
      <c r="D141" s="21" t="s">
        <v>224</v>
      </c>
      <c r="E141" s="21"/>
      <c r="F141" s="21" t="s">
        <v>364</v>
      </c>
      <c r="G141" s="21"/>
      <c r="H141" s="21" t="s">
        <v>273</v>
      </c>
      <c r="I141" s="21"/>
      <c r="J141" s="22" t="n">
        <v>1</v>
      </c>
      <c r="K141" s="22" t="n">
        <v>1</v>
      </c>
      <c r="L141" s="22" t="n">
        <v>0</v>
      </c>
      <c r="M141" s="21" t="s">
        <v>265</v>
      </c>
      <c r="N141" s="21"/>
      <c r="O141" s="22"/>
      <c r="P141" s="20" t="n">
        <f aca="false">IF($N141="Reduce",N($O141),0)</f>
        <v>0</v>
      </c>
      <c r="Q141" s="23" t="str">
        <f aca="false">IF($F141="","",MID(IF($G141="",", career level","")&amp;IF($I141="",", nationality mandate","")&amp;IF($N141="",", capacity direction","")&amp;IF(N($J141)&lt;=0,", approved HC","")&amp;IF(AND($G141&lt;&gt;"",COUNTIF(CareerLevels,$G141)=0),", a career level that is not on the ladder","")&amp;IF(AND($N141="Reduce",N($O141)&lt;=0),", how many seats Reduce means","")&amp;IF(AND(N($O141)&gt;0,$N141&lt;&gt;"Reduce"),", a number of seats on a row not marked Reduce","")&amp;IF(N($O141)&gt;N($J141),", more seats given up than the row has",""),3,200))</f>
        <v>career level, nationality mandate, capacity direction</v>
      </c>
    </row>
    <row r="142" customFormat="false" ht="15" hidden="false" customHeight="false" outlineLevel="0" collapsed="false">
      <c r="A142" s="21" t="s">
        <v>362</v>
      </c>
      <c r="B142" s="21" t="s">
        <v>190</v>
      </c>
      <c r="C142" s="21" t="s">
        <v>222</v>
      </c>
      <c r="D142" s="21" t="s">
        <v>224</v>
      </c>
      <c r="E142" s="21" t="s">
        <v>226</v>
      </c>
      <c r="F142" s="21" t="s">
        <v>365</v>
      </c>
      <c r="G142" s="21"/>
      <c r="H142" s="21" t="s">
        <v>275</v>
      </c>
      <c r="I142" s="21"/>
      <c r="J142" s="22" t="n">
        <v>1</v>
      </c>
      <c r="K142" s="22" t="n">
        <v>1</v>
      </c>
      <c r="L142" s="22" t="n">
        <v>0</v>
      </c>
      <c r="M142" s="21" t="s">
        <v>265</v>
      </c>
      <c r="N142" s="21"/>
      <c r="O142" s="22"/>
      <c r="P142" s="20" t="n">
        <f aca="false">IF($N142="Reduce",N($O142),0)</f>
        <v>0</v>
      </c>
      <c r="Q142" s="23" t="str">
        <f aca="false">IF($F142="","",MID(IF($G142="",", career level","")&amp;IF($I142="",", nationality mandate","")&amp;IF($N142="",", capacity direction","")&amp;IF(N($J142)&lt;=0,", approved HC","")&amp;IF(AND($G142&lt;&gt;"",COUNTIF(CareerLevels,$G142)=0),", a career level that is not on the ladder","")&amp;IF(AND($N142="Reduce",N($O142)&lt;=0),", how many seats Reduce means","")&amp;IF(AND(N($O142)&gt;0,$N142&lt;&gt;"Reduce"),", a number of seats on a row not marked Reduce","")&amp;IF(N($O142)&gt;N($J142),", more seats given up than the row has",""),3,200))</f>
        <v>career level, nationality mandate, capacity direction</v>
      </c>
    </row>
    <row r="143" customFormat="false" ht="15" hidden="false" customHeight="false" outlineLevel="0" collapsed="false">
      <c r="A143" s="21" t="s">
        <v>366</v>
      </c>
      <c r="B143" s="21" t="s">
        <v>190</v>
      </c>
      <c r="C143" s="21" t="s">
        <v>222</v>
      </c>
      <c r="D143" s="21" t="s">
        <v>224</v>
      </c>
      <c r="E143" s="21" t="s">
        <v>226</v>
      </c>
      <c r="F143" s="21" t="s">
        <v>367</v>
      </c>
      <c r="G143" s="21"/>
      <c r="H143" s="21" t="s">
        <v>275</v>
      </c>
      <c r="I143" s="21"/>
      <c r="J143" s="22" t="n">
        <v>1</v>
      </c>
      <c r="K143" s="22" t="n">
        <v>1</v>
      </c>
      <c r="L143" s="22" t="n">
        <v>0</v>
      </c>
      <c r="M143" s="21" t="s">
        <v>265</v>
      </c>
      <c r="N143" s="21"/>
      <c r="O143" s="22"/>
      <c r="P143" s="20" t="n">
        <f aca="false">IF($N143="Reduce",N($O143),0)</f>
        <v>0</v>
      </c>
      <c r="Q143" s="23" t="str">
        <f aca="false">IF($F143="","",MID(IF($G143="",", career level","")&amp;IF($I143="",", nationality mandate","")&amp;IF($N143="",", capacity direction","")&amp;IF(N($J143)&lt;=0,", approved HC","")&amp;IF(AND($G143&lt;&gt;"",COUNTIF(CareerLevels,$G143)=0),", a career level that is not on the ladder","")&amp;IF(AND($N143="Reduce",N($O143)&lt;=0),", how many seats Reduce means","")&amp;IF(AND(N($O143)&gt;0,$N143&lt;&gt;"Reduce"),", a number of seats on a row not marked Reduce","")&amp;IF(N($O143)&gt;N($J143),", more seats given up than the row has",""),3,200))</f>
        <v>career level, nationality mandate, capacity direction</v>
      </c>
    </row>
    <row r="144" customFormat="false" ht="15" hidden="false" customHeight="false" outlineLevel="0" collapsed="false">
      <c r="A144" s="21" t="s">
        <v>290</v>
      </c>
      <c r="B144" s="21" t="s">
        <v>190</v>
      </c>
      <c r="C144" s="21" t="s">
        <v>222</v>
      </c>
      <c r="D144" s="21" t="s">
        <v>224</v>
      </c>
      <c r="E144" s="21" t="s">
        <v>226</v>
      </c>
      <c r="F144" s="21" t="s">
        <v>368</v>
      </c>
      <c r="G144" s="21"/>
      <c r="H144" s="21" t="s">
        <v>275</v>
      </c>
      <c r="I144" s="21"/>
      <c r="J144" s="22" t="n">
        <v>1</v>
      </c>
      <c r="K144" s="22" t="n">
        <v>1</v>
      </c>
      <c r="L144" s="22" t="n">
        <v>0</v>
      </c>
      <c r="M144" s="21" t="s">
        <v>265</v>
      </c>
      <c r="N144" s="21"/>
      <c r="O144" s="22"/>
      <c r="P144" s="20" t="n">
        <f aca="false">IF($N144="Reduce",N($O144),0)</f>
        <v>0</v>
      </c>
      <c r="Q144" s="23" t="str">
        <f aca="false">IF($F144="","",MID(IF($G144="",", career level","")&amp;IF($I144="",", nationality mandate","")&amp;IF($N144="",", capacity direction","")&amp;IF(N($J144)&lt;=0,", approved HC","")&amp;IF(AND($G144&lt;&gt;"",COUNTIF(CareerLevels,$G144)=0),", a career level that is not on the ladder","")&amp;IF(AND($N144="Reduce",N($O144)&lt;=0),", how many seats Reduce means","")&amp;IF(AND(N($O144)&gt;0,$N144&lt;&gt;"Reduce"),", a number of seats on a row not marked Reduce","")&amp;IF(N($O144)&gt;N($J144),", more seats given up than the row has",""),3,200))</f>
        <v>career level, nationality mandate, capacity direction</v>
      </c>
    </row>
    <row r="145" customFormat="false" ht="15" hidden="false" customHeight="false" outlineLevel="0" collapsed="false">
      <c r="A145" s="21"/>
      <c r="B145" s="21" t="s">
        <v>190</v>
      </c>
      <c r="C145" s="21" t="s">
        <v>222</v>
      </c>
      <c r="D145" s="21" t="s">
        <v>224</v>
      </c>
      <c r="E145" s="21" t="s">
        <v>226</v>
      </c>
      <c r="F145" s="21" t="s">
        <v>369</v>
      </c>
      <c r="G145" s="21"/>
      <c r="H145" s="21" t="s">
        <v>275</v>
      </c>
      <c r="I145" s="21"/>
      <c r="J145" s="22" t="n">
        <v>2</v>
      </c>
      <c r="K145" s="22" t="n">
        <v>2</v>
      </c>
      <c r="L145" s="22" t="n">
        <v>0</v>
      </c>
      <c r="M145" s="21" t="s">
        <v>265</v>
      </c>
      <c r="N145" s="21"/>
      <c r="O145" s="22"/>
      <c r="P145" s="20" t="n">
        <f aca="false">IF($N145="Reduce",N($O145),0)</f>
        <v>0</v>
      </c>
      <c r="Q145" s="23" t="str">
        <f aca="false">IF($F145="","",MID(IF($G145="",", career level","")&amp;IF($I145="",", nationality mandate","")&amp;IF($N145="",", capacity direction","")&amp;IF(N($J145)&lt;=0,", approved HC","")&amp;IF(AND($G145&lt;&gt;"",COUNTIF(CareerLevels,$G145)=0),", a career level that is not on the ladder","")&amp;IF(AND($N145="Reduce",N($O145)&lt;=0),", how many seats Reduce means","")&amp;IF(AND(N($O145)&gt;0,$N145&lt;&gt;"Reduce"),", a number of seats on a row not marked Reduce","")&amp;IF(N($O145)&gt;N($J145),", more seats given up than the row has",""),3,200))</f>
        <v>career level, nationality mandate, capacity direction</v>
      </c>
    </row>
    <row r="146" customFormat="false" ht="15" hidden="false" customHeight="false" outlineLevel="0" collapsed="false">
      <c r="A146" s="21"/>
      <c r="B146" s="21" t="s">
        <v>190</v>
      </c>
      <c r="C146" s="21" t="s">
        <v>222</v>
      </c>
      <c r="D146" s="21" t="s">
        <v>224</v>
      </c>
      <c r="E146" s="21" t="s">
        <v>226</v>
      </c>
      <c r="F146" s="21" t="s">
        <v>370</v>
      </c>
      <c r="G146" s="21"/>
      <c r="H146" s="21" t="s">
        <v>275</v>
      </c>
      <c r="I146" s="21"/>
      <c r="J146" s="22" t="n">
        <v>2</v>
      </c>
      <c r="K146" s="22" t="n">
        <v>1</v>
      </c>
      <c r="L146" s="22" t="n">
        <v>1</v>
      </c>
      <c r="M146" s="21" t="s">
        <v>265</v>
      </c>
      <c r="N146" s="21"/>
      <c r="O146" s="22"/>
      <c r="P146" s="20" t="n">
        <f aca="false">IF($N146="Reduce",N($O146),0)</f>
        <v>0</v>
      </c>
      <c r="Q146" s="23" t="str">
        <f aca="false">IF($F146="","",MID(IF($G146="",", career level","")&amp;IF($I146="",", nationality mandate","")&amp;IF($N146="",", capacity direction","")&amp;IF(N($J146)&lt;=0,", approved HC","")&amp;IF(AND($G146&lt;&gt;"",COUNTIF(CareerLevels,$G146)=0),", a career level that is not on the ladder","")&amp;IF(AND($N146="Reduce",N($O146)&lt;=0),", how many seats Reduce means","")&amp;IF(AND(N($O146)&gt;0,$N146&lt;&gt;"Reduce"),", a number of seats on a row not marked Reduce","")&amp;IF(N($O146)&gt;N($J146),", more seats given up than the row has",""),3,200))</f>
        <v>career level, nationality mandate, capacity direction</v>
      </c>
    </row>
    <row r="147" customFormat="false" ht="15" hidden="false" customHeight="false" outlineLevel="0" collapsed="false">
      <c r="A147" s="21" t="s">
        <v>282</v>
      </c>
      <c r="B147" s="21" t="s">
        <v>190</v>
      </c>
      <c r="C147" s="21" t="s">
        <v>222</v>
      </c>
      <c r="D147" s="21" t="s">
        <v>224</v>
      </c>
      <c r="E147" s="21" t="s">
        <v>226</v>
      </c>
      <c r="F147" s="21" t="s">
        <v>370</v>
      </c>
      <c r="G147" s="21"/>
      <c r="H147" s="21" t="s">
        <v>275</v>
      </c>
      <c r="I147" s="21"/>
      <c r="J147" s="22" t="n">
        <v>1</v>
      </c>
      <c r="K147" s="22" t="n">
        <v>1</v>
      </c>
      <c r="L147" s="22" t="n">
        <v>0</v>
      </c>
      <c r="M147" s="21" t="s">
        <v>277</v>
      </c>
      <c r="N147" s="21"/>
      <c r="O147" s="22"/>
      <c r="P147" s="20" t="n">
        <f aca="false">IF($N147="Reduce",N($O147),0)</f>
        <v>0</v>
      </c>
      <c r="Q147" s="23" t="str">
        <f aca="false">IF($F147="","",MID(IF($G147="",", career level","")&amp;IF($I147="",", nationality mandate","")&amp;IF($N147="",", capacity direction","")&amp;IF(N($J147)&lt;=0,", approved HC","")&amp;IF(AND($G147&lt;&gt;"",COUNTIF(CareerLevels,$G147)=0),", a career level that is not on the ladder","")&amp;IF(AND($N147="Reduce",N($O147)&lt;=0),", how many seats Reduce means","")&amp;IF(AND(N($O147)&gt;0,$N147&lt;&gt;"Reduce"),", a number of seats on a row not marked Reduce","")&amp;IF(N($O147)&gt;N($J147),", more seats given up than the row has",""),3,200))</f>
        <v>career level, nationality mandate, capacity direction</v>
      </c>
    </row>
    <row r="148" customFormat="false" ht="15" hidden="false" customHeight="false" outlineLevel="0" collapsed="false">
      <c r="A148" s="21" t="s">
        <v>298</v>
      </c>
      <c r="B148" s="21" t="s">
        <v>190</v>
      </c>
      <c r="C148" s="21" t="s">
        <v>222</v>
      </c>
      <c r="D148" s="21" t="s">
        <v>224</v>
      </c>
      <c r="E148" s="21" t="s">
        <v>226</v>
      </c>
      <c r="F148" s="21" t="s">
        <v>371</v>
      </c>
      <c r="G148" s="21"/>
      <c r="H148" s="21" t="s">
        <v>273</v>
      </c>
      <c r="I148" s="21"/>
      <c r="J148" s="22" t="n">
        <v>1</v>
      </c>
      <c r="K148" s="22" t="n">
        <v>0</v>
      </c>
      <c r="L148" s="22" t="n">
        <v>1</v>
      </c>
      <c r="M148" s="21" t="s">
        <v>265</v>
      </c>
      <c r="N148" s="21"/>
      <c r="O148" s="22"/>
      <c r="P148" s="20" t="n">
        <f aca="false">IF($N148="Reduce",N($O148),0)</f>
        <v>0</v>
      </c>
      <c r="Q148" s="23" t="str">
        <f aca="false">IF($F148="","",MID(IF($G148="",", career level","")&amp;IF($I148="",", nationality mandate","")&amp;IF($N148="",", capacity direction","")&amp;IF(N($J148)&lt;=0,", approved HC","")&amp;IF(AND($G148&lt;&gt;"",COUNTIF(CareerLevels,$G148)=0),", a career level that is not on the ladder","")&amp;IF(AND($N148="Reduce",N($O148)&lt;=0),", how many seats Reduce means","")&amp;IF(AND(N($O148)&gt;0,$N148&lt;&gt;"Reduce"),", a number of seats on a row not marked Reduce","")&amp;IF(N($O148)&gt;N($J148),", more seats given up than the row has",""),3,200))</f>
        <v>career level, nationality mandate, capacity direction</v>
      </c>
    </row>
    <row r="149" customFormat="false" ht="15" hidden="false" customHeight="false" outlineLevel="0" collapsed="false">
      <c r="A149" s="21"/>
      <c r="B149" s="21" t="s">
        <v>190</v>
      </c>
      <c r="C149" s="21" t="s">
        <v>222</v>
      </c>
      <c r="D149" s="21" t="s">
        <v>224</v>
      </c>
      <c r="E149" s="21" t="s">
        <v>232</v>
      </c>
      <c r="F149" s="21" t="s">
        <v>365</v>
      </c>
      <c r="G149" s="21"/>
      <c r="H149" s="21" t="s">
        <v>275</v>
      </c>
      <c r="I149" s="21"/>
      <c r="J149" s="22" t="n">
        <v>3</v>
      </c>
      <c r="K149" s="22" t="n">
        <v>3</v>
      </c>
      <c r="L149" s="22" t="n">
        <v>0</v>
      </c>
      <c r="M149" s="21" t="s">
        <v>265</v>
      </c>
      <c r="N149" s="21"/>
      <c r="O149" s="22"/>
      <c r="P149" s="20" t="n">
        <f aca="false">IF($N149="Reduce",N($O149),0)</f>
        <v>0</v>
      </c>
      <c r="Q149" s="23" t="str">
        <f aca="false">IF($F149="","",MID(IF($G149="",", career level","")&amp;IF($I149="",", nationality mandate","")&amp;IF($N149="",", capacity direction","")&amp;IF(N($J149)&lt;=0,", approved HC","")&amp;IF(AND($G149&lt;&gt;"",COUNTIF(CareerLevels,$G149)=0),", a career level that is not on the ladder","")&amp;IF(AND($N149="Reduce",N($O149)&lt;=0),", how many seats Reduce means","")&amp;IF(AND(N($O149)&gt;0,$N149&lt;&gt;"Reduce"),", a number of seats on a row not marked Reduce","")&amp;IF(N($O149)&gt;N($J149),", more seats given up than the row has",""),3,200))</f>
        <v>career level, nationality mandate, capacity direction</v>
      </c>
    </row>
    <row r="150" customFormat="false" ht="15" hidden="false" customHeight="false" outlineLevel="0" collapsed="false">
      <c r="A150" s="21"/>
      <c r="B150" s="21" t="s">
        <v>190</v>
      </c>
      <c r="C150" s="21" t="s">
        <v>222</v>
      </c>
      <c r="D150" s="21" t="s">
        <v>224</v>
      </c>
      <c r="E150" s="21" t="s">
        <v>232</v>
      </c>
      <c r="F150" s="21" t="s">
        <v>367</v>
      </c>
      <c r="G150" s="21"/>
      <c r="H150" s="21" t="s">
        <v>275</v>
      </c>
      <c r="I150" s="21"/>
      <c r="J150" s="22" t="n">
        <v>2</v>
      </c>
      <c r="K150" s="22" t="n">
        <v>2</v>
      </c>
      <c r="L150" s="22" t="n">
        <v>0</v>
      </c>
      <c r="M150" s="21" t="s">
        <v>265</v>
      </c>
      <c r="N150" s="21"/>
      <c r="O150" s="22"/>
      <c r="P150" s="20" t="n">
        <f aca="false">IF($N150="Reduce",N($O150),0)</f>
        <v>0</v>
      </c>
      <c r="Q150" s="23" t="str">
        <f aca="false">IF($F150="","",MID(IF($G150="",", career level","")&amp;IF($I150="",", nationality mandate","")&amp;IF($N150="",", capacity direction","")&amp;IF(N($J150)&lt;=0,", approved HC","")&amp;IF(AND($G150&lt;&gt;"",COUNTIF(CareerLevels,$G150)=0),", a career level that is not on the ladder","")&amp;IF(AND($N150="Reduce",N($O150)&lt;=0),", how many seats Reduce means","")&amp;IF(AND(N($O150)&gt;0,$N150&lt;&gt;"Reduce"),", a number of seats on a row not marked Reduce","")&amp;IF(N($O150)&gt;N($J150),", more seats given up than the row has",""),3,200))</f>
        <v>career level, nationality mandate, capacity direction</v>
      </c>
    </row>
    <row r="151" customFormat="false" ht="15" hidden="false" customHeight="false" outlineLevel="0" collapsed="false">
      <c r="A151" s="21" t="s">
        <v>372</v>
      </c>
      <c r="B151" s="21" t="s">
        <v>190</v>
      </c>
      <c r="C151" s="21" t="s">
        <v>222</v>
      </c>
      <c r="D151" s="21" t="s">
        <v>224</v>
      </c>
      <c r="E151" s="21" t="s">
        <v>232</v>
      </c>
      <c r="F151" s="21" t="s">
        <v>367</v>
      </c>
      <c r="G151" s="21"/>
      <c r="H151" s="21" t="s">
        <v>275</v>
      </c>
      <c r="I151" s="21"/>
      <c r="J151" s="22" t="n">
        <v>1</v>
      </c>
      <c r="K151" s="22" t="n">
        <v>1</v>
      </c>
      <c r="L151" s="22" t="n">
        <v>0</v>
      </c>
      <c r="M151" s="21" t="s">
        <v>277</v>
      </c>
      <c r="N151" s="21"/>
      <c r="O151" s="22"/>
      <c r="P151" s="20" t="n">
        <f aca="false">IF($N151="Reduce",N($O151),0)</f>
        <v>0</v>
      </c>
      <c r="Q151" s="23" t="str">
        <f aca="false">IF($F151="","",MID(IF($G151="",", career level","")&amp;IF($I151="",", nationality mandate","")&amp;IF($N151="",", capacity direction","")&amp;IF(N($J151)&lt;=0,", approved HC","")&amp;IF(AND($G151&lt;&gt;"",COUNTIF(CareerLevels,$G151)=0),", a career level that is not on the ladder","")&amp;IF(AND($N151="Reduce",N($O151)&lt;=0),", how many seats Reduce means","")&amp;IF(AND(N($O151)&gt;0,$N151&lt;&gt;"Reduce"),", a number of seats on a row not marked Reduce","")&amp;IF(N($O151)&gt;N($J151),", more seats given up than the row has",""),3,200))</f>
        <v>career level, nationality mandate, capacity direction</v>
      </c>
    </row>
    <row r="152" customFormat="false" ht="15" hidden="false" customHeight="false" outlineLevel="0" collapsed="false">
      <c r="A152" s="21"/>
      <c r="B152" s="21" t="s">
        <v>190</v>
      </c>
      <c r="C152" s="21" t="s">
        <v>222</v>
      </c>
      <c r="D152" s="21" t="s">
        <v>224</v>
      </c>
      <c r="E152" s="21" t="s">
        <v>232</v>
      </c>
      <c r="F152" s="21" t="s">
        <v>370</v>
      </c>
      <c r="G152" s="21"/>
      <c r="H152" s="21" t="s">
        <v>275</v>
      </c>
      <c r="I152" s="21"/>
      <c r="J152" s="22" t="n">
        <v>2</v>
      </c>
      <c r="K152" s="22" t="n">
        <v>1</v>
      </c>
      <c r="L152" s="22" t="n">
        <v>1</v>
      </c>
      <c r="M152" s="21" t="s">
        <v>265</v>
      </c>
      <c r="N152" s="21"/>
      <c r="O152" s="22"/>
      <c r="P152" s="20" t="n">
        <f aca="false">IF($N152="Reduce",N($O152),0)</f>
        <v>0</v>
      </c>
      <c r="Q152" s="23" t="str">
        <f aca="false">IF($F152="","",MID(IF($G152="",", career level","")&amp;IF($I152="",", nationality mandate","")&amp;IF($N152="",", capacity direction","")&amp;IF(N($J152)&lt;=0,", approved HC","")&amp;IF(AND($G152&lt;&gt;"",COUNTIF(CareerLevels,$G152)=0),", a career level that is not on the ladder","")&amp;IF(AND($N152="Reduce",N($O152)&lt;=0),", how many seats Reduce means","")&amp;IF(AND(N($O152)&gt;0,$N152&lt;&gt;"Reduce"),", a number of seats on a row not marked Reduce","")&amp;IF(N($O152)&gt;N($J152),", more seats given up than the row has",""),3,200))</f>
        <v>career level, nationality mandate, capacity direction</v>
      </c>
    </row>
    <row r="153" customFormat="false" ht="15" hidden="false" customHeight="false" outlineLevel="0" collapsed="false">
      <c r="A153" s="21" t="s">
        <v>319</v>
      </c>
      <c r="B153" s="21" t="s">
        <v>190</v>
      </c>
      <c r="C153" s="21" t="s">
        <v>222</v>
      </c>
      <c r="D153" s="21" t="s">
        <v>224</v>
      </c>
      <c r="E153" s="21" t="s">
        <v>232</v>
      </c>
      <c r="F153" s="21" t="s">
        <v>371</v>
      </c>
      <c r="G153" s="21"/>
      <c r="H153" s="21" t="s">
        <v>273</v>
      </c>
      <c r="I153" s="21"/>
      <c r="J153" s="22" t="n">
        <v>1</v>
      </c>
      <c r="K153" s="22" t="n">
        <v>1</v>
      </c>
      <c r="L153" s="22" t="n">
        <v>0</v>
      </c>
      <c r="M153" s="21" t="s">
        <v>265</v>
      </c>
      <c r="N153" s="21"/>
      <c r="O153" s="22"/>
      <c r="P153" s="20" t="n">
        <f aca="false">IF($N153="Reduce",N($O153),0)</f>
        <v>0</v>
      </c>
      <c r="Q153" s="23" t="str">
        <f aca="false">IF($F153="","",MID(IF($G153="",", career level","")&amp;IF($I153="",", nationality mandate","")&amp;IF($N153="",", capacity direction","")&amp;IF(N($J153)&lt;=0,", approved HC","")&amp;IF(AND($G153&lt;&gt;"",COUNTIF(CareerLevels,$G153)=0),", a career level that is not on the ladder","")&amp;IF(AND($N153="Reduce",N($O153)&lt;=0),", how many seats Reduce means","")&amp;IF(AND(N($O153)&gt;0,$N153&lt;&gt;"Reduce"),", a number of seats on a row not marked Reduce","")&amp;IF(N($O153)&gt;N($J153),", more seats given up than the row has",""),3,200))</f>
        <v>career level, nationality mandate, capacity direction</v>
      </c>
    </row>
    <row r="154" customFormat="false" ht="15" hidden="false" customHeight="false" outlineLevel="0" collapsed="false">
      <c r="A154" s="21" t="s">
        <v>321</v>
      </c>
      <c r="B154" s="21" t="s">
        <v>190</v>
      </c>
      <c r="C154" s="21" t="s">
        <v>222</v>
      </c>
      <c r="D154" s="21" t="s">
        <v>238</v>
      </c>
      <c r="E154" s="21"/>
      <c r="F154" s="21" t="s">
        <v>364</v>
      </c>
      <c r="G154" s="21"/>
      <c r="H154" s="21" t="s">
        <v>273</v>
      </c>
      <c r="I154" s="21"/>
      <c r="J154" s="22" t="n">
        <v>1</v>
      </c>
      <c r="K154" s="22" t="n">
        <v>1</v>
      </c>
      <c r="L154" s="22" t="n">
        <v>0</v>
      </c>
      <c r="M154" s="21" t="s">
        <v>265</v>
      </c>
      <c r="N154" s="21"/>
      <c r="O154" s="22"/>
      <c r="P154" s="20" t="n">
        <f aca="false">IF($N154="Reduce",N($O154),0)</f>
        <v>0</v>
      </c>
      <c r="Q154" s="23" t="str">
        <f aca="false">IF($F154="","",MID(IF($G154="",", career level","")&amp;IF($I154="",", nationality mandate","")&amp;IF($N154="",", capacity direction","")&amp;IF(N($J154)&lt;=0,", approved HC","")&amp;IF(AND($G154&lt;&gt;"",COUNTIF(CareerLevels,$G154)=0),", a career level that is not on the ladder","")&amp;IF(AND($N154="Reduce",N($O154)&lt;=0),", how many seats Reduce means","")&amp;IF(AND(N($O154)&gt;0,$N154&lt;&gt;"Reduce"),", a number of seats on a row not marked Reduce","")&amp;IF(N($O154)&gt;N($J154),", more seats given up than the row has",""),3,200))</f>
        <v>career level, nationality mandate, capacity direction</v>
      </c>
    </row>
    <row r="155" customFormat="false" ht="15" hidden="false" customHeight="false" outlineLevel="0" collapsed="false">
      <c r="A155" s="21" t="s">
        <v>352</v>
      </c>
      <c r="B155" s="21" t="s">
        <v>190</v>
      </c>
      <c r="C155" s="21" t="s">
        <v>222</v>
      </c>
      <c r="D155" s="21" t="s">
        <v>238</v>
      </c>
      <c r="E155" s="21" t="s">
        <v>240</v>
      </c>
      <c r="F155" s="21" t="s">
        <v>367</v>
      </c>
      <c r="G155" s="21"/>
      <c r="H155" s="21" t="s">
        <v>275</v>
      </c>
      <c r="I155" s="21"/>
      <c r="J155" s="22" t="n">
        <v>1</v>
      </c>
      <c r="K155" s="22" t="n">
        <v>1</v>
      </c>
      <c r="L155" s="22" t="n">
        <v>0</v>
      </c>
      <c r="M155" s="21" t="s">
        <v>265</v>
      </c>
      <c r="N155" s="21"/>
      <c r="O155" s="22"/>
      <c r="P155" s="20" t="n">
        <f aca="false">IF($N155="Reduce",N($O155),0)</f>
        <v>0</v>
      </c>
      <c r="Q155" s="23" t="str">
        <f aca="false">IF($F155="","",MID(IF($G155="",", career level","")&amp;IF($I155="",", nationality mandate","")&amp;IF($N155="",", capacity direction","")&amp;IF(N($J155)&lt;=0,", approved HC","")&amp;IF(AND($G155&lt;&gt;"",COUNTIF(CareerLevels,$G155)=0),", a career level that is not on the ladder","")&amp;IF(AND($N155="Reduce",N($O155)&lt;=0),", how many seats Reduce means","")&amp;IF(AND(N($O155)&gt;0,$N155&lt;&gt;"Reduce"),", a number of seats on a row not marked Reduce","")&amp;IF(N($O155)&gt;N($J155),", more seats given up than the row has",""),3,200))</f>
        <v>career level, nationality mandate, capacity direction</v>
      </c>
    </row>
    <row r="156" customFormat="false" ht="15" hidden="false" customHeight="false" outlineLevel="0" collapsed="false">
      <c r="A156" s="21"/>
      <c r="B156" s="21" t="s">
        <v>190</v>
      </c>
      <c r="C156" s="21" t="s">
        <v>222</v>
      </c>
      <c r="D156" s="21" t="s">
        <v>238</v>
      </c>
      <c r="E156" s="21" t="s">
        <v>240</v>
      </c>
      <c r="F156" s="21" t="s">
        <v>373</v>
      </c>
      <c r="G156" s="21"/>
      <c r="H156" s="21" t="s">
        <v>275</v>
      </c>
      <c r="I156" s="21"/>
      <c r="J156" s="22" t="n">
        <v>2</v>
      </c>
      <c r="K156" s="22" t="n">
        <v>1</v>
      </c>
      <c r="L156" s="22" t="n">
        <v>1</v>
      </c>
      <c r="M156" s="21" t="s">
        <v>265</v>
      </c>
      <c r="N156" s="21"/>
      <c r="O156" s="22"/>
      <c r="P156" s="20" t="n">
        <f aca="false">IF($N156="Reduce",N($O156),0)</f>
        <v>0</v>
      </c>
      <c r="Q156" s="23" t="str">
        <f aca="false">IF($F156="","",MID(IF($G156="",", career level","")&amp;IF($I156="",", nationality mandate","")&amp;IF($N156="",", capacity direction","")&amp;IF(N($J156)&lt;=0,", approved HC","")&amp;IF(AND($G156&lt;&gt;"",COUNTIF(CareerLevels,$G156)=0),", a career level that is not on the ladder","")&amp;IF(AND($N156="Reduce",N($O156)&lt;=0),", how many seats Reduce means","")&amp;IF(AND(N($O156)&gt;0,$N156&lt;&gt;"Reduce"),", a number of seats on a row not marked Reduce","")&amp;IF(N($O156)&gt;N($J156),", more seats given up than the row has",""),3,200))</f>
        <v>career level, nationality mandate, capacity direction</v>
      </c>
    </row>
    <row r="157" customFormat="false" ht="15" hidden="false" customHeight="false" outlineLevel="0" collapsed="false">
      <c r="A157" s="21"/>
      <c r="B157" s="21" t="s">
        <v>190</v>
      </c>
      <c r="C157" s="21" t="s">
        <v>222</v>
      </c>
      <c r="D157" s="21" t="s">
        <v>238</v>
      </c>
      <c r="E157" s="21" t="s">
        <v>240</v>
      </c>
      <c r="F157" s="21" t="s">
        <v>370</v>
      </c>
      <c r="G157" s="21"/>
      <c r="H157" s="21" t="s">
        <v>275</v>
      </c>
      <c r="I157" s="21"/>
      <c r="J157" s="22" t="n">
        <v>2</v>
      </c>
      <c r="K157" s="22" t="n">
        <v>2</v>
      </c>
      <c r="L157" s="22" t="n">
        <v>0</v>
      </c>
      <c r="M157" s="21" t="s">
        <v>265</v>
      </c>
      <c r="N157" s="21"/>
      <c r="O157" s="22"/>
      <c r="P157" s="20" t="n">
        <f aca="false">IF($N157="Reduce",N($O157),0)</f>
        <v>0</v>
      </c>
      <c r="Q157" s="23" t="str">
        <f aca="false">IF($F157="","",MID(IF($G157="",", career level","")&amp;IF($I157="",", nationality mandate","")&amp;IF($N157="",", capacity direction","")&amp;IF(N($J157)&lt;=0,", approved HC","")&amp;IF(AND($G157&lt;&gt;"",COUNTIF(CareerLevels,$G157)=0),", a career level that is not on the ladder","")&amp;IF(AND($N157="Reduce",N($O157)&lt;=0),", how many seats Reduce means","")&amp;IF(AND(N($O157)&gt;0,$N157&lt;&gt;"Reduce"),", a number of seats on a row not marked Reduce","")&amp;IF(N($O157)&gt;N($J157),", more seats given up than the row has",""),3,200))</f>
        <v>career level, nationality mandate, capacity direction</v>
      </c>
    </row>
    <row r="158" customFormat="false" ht="15" hidden="false" customHeight="false" outlineLevel="0" collapsed="false">
      <c r="A158" s="21" t="s">
        <v>366</v>
      </c>
      <c r="B158" s="21" t="s">
        <v>190</v>
      </c>
      <c r="C158" s="21" t="s">
        <v>222</v>
      </c>
      <c r="D158" s="21" t="s">
        <v>238</v>
      </c>
      <c r="E158" s="21" t="s">
        <v>240</v>
      </c>
      <c r="F158" s="21" t="s">
        <v>371</v>
      </c>
      <c r="G158" s="21"/>
      <c r="H158" s="21" t="s">
        <v>273</v>
      </c>
      <c r="I158" s="21"/>
      <c r="J158" s="22" t="n">
        <v>1</v>
      </c>
      <c r="K158" s="22" t="n">
        <v>1</v>
      </c>
      <c r="L158" s="22" t="n">
        <v>0</v>
      </c>
      <c r="M158" s="21" t="s">
        <v>265</v>
      </c>
      <c r="N158" s="21"/>
      <c r="O158" s="22"/>
      <c r="P158" s="20" t="n">
        <f aca="false">IF($N158="Reduce",N($O158),0)</f>
        <v>0</v>
      </c>
      <c r="Q158" s="23" t="str">
        <f aca="false">IF($F158="","",MID(IF($G158="",", career level","")&amp;IF($I158="",", nationality mandate","")&amp;IF($N158="",", capacity direction","")&amp;IF(N($J158)&lt;=0,", approved HC","")&amp;IF(AND($G158&lt;&gt;"",COUNTIF(CareerLevels,$G158)=0),", a career level that is not on the ladder","")&amp;IF(AND($N158="Reduce",N($O158)&lt;=0),", how many seats Reduce means","")&amp;IF(AND(N($O158)&gt;0,$N158&lt;&gt;"Reduce"),", a number of seats on a row not marked Reduce","")&amp;IF(N($O158)&gt;N($J158),", more seats given up than the row has",""),3,200))</f>
        <v>career level, nationality mandate, capacity direction</v>
      </c>
    </row>
    <row r="159" customFormat="false" ht="15" hidden="false" customHeight="false" outlineLevel="0" collapsed="false">
      <c r="A159" s="21" t="s">
        <v>358</v>
      </c>
      <c r="B159" s="21" t="s">
        <v>190</v>
      </c>
      <c r="C159" s="21" t="s">
        <v>222</v>
      </c>
      <c r="D159" s="21" t="s">
        <v>238</v>
      </c>
      <c r="E159" s="21" t="s">
        <v>246</v>
      </c>
      <c r="F159" s="21" t="s">
        <v>367</v>
      </c>
      <c r="G159" s="21"/>
      <c r="H159" s="21" t="s">
        <v>275</v>
      </c>
      <c r="I159" s="21"/>
      <c r="J159" s="22" t="n">
        <v>1</v>
      </c>
      <c r="K159" s="22" t="n">
        <v>0</v>
      </c>
      <c r="L159" s="22" t="n">
        <v>1</v>
      </c>
      <c r="M159" s="21" t="s">
        <v>265</v>
      </c>
      <c r="N159" s="21"/>
      <c r="O159" s="22"/>
      <c r="P159" s="20" t="n">
        <f aca="false">IF($N159="Reduce",N($O159),0)</f>
        <v>0</v>
      </c>
      <c r="Q159" s="23" t="str">
        <f aca="false">IF($F159="","",MID(IF($G159="",", career level","")&amp;IF($I159="",", nationality mandate","")&amp;IF($N159="",", capacity direction","")&amp;IF(N($J159)&lt;=0,", approved HC","")&amp;IF(AND($G159&lt;&gt;"",COUNTIF(CareerLevels,$G159)=0),", a career level that is not on the ladder","")&amp;IF(AND($N159="Reduce",N($O159)&lt;=0),", how many seats Reduce means","")&amp;IF(AND(N($O159)&gt;0,$N159&lt;&gt;"Reduce"),", a number of seats on a row not marked Reduce","")&amp;IF(N($O159)&gt;N($J159),", more seats given up than the row has",""),3,200))</f>
        <v>career level, nationality mandate, capacity direction</v>
      </c>
    </row>
    <row r="160" customFormat="false" ht="15" hidden="false" customHeight="false" outlineLevel="0" collapsed="false">
      <c r="A160" s="21"/>
      <c r="B160" s="21" t="s">
        <v>190</v>
      </c>
      <c r="C160" s="21" t="s">
        <v>222</v>
      </c>
      <c r="D160" s="21" t="s">
        <v>238</v>
      </c>
      <c r="E160" s="21" t="s">
        <v>246</v>
      </c>
      <c r="F160" s="21" t="s">
        <v>369</v>
      </c>
      <c r="G160" s="21"/>
      <c r="H160" s="21" t="s">
        <v>275</v>
      </c>
      <c r="I160" s="21"/>
      <c r="J160" s="22" t="n">
        <v>2</v>
      </c>
      <c r="K160" s="22" t="n">
        <v>2</v>
      </c>
      <c r="L160" s="22" t="n">
        <v>0</v>
      </c>
      <c r="M160" s="21" t="s">
        <v>265</v>
      </c>
      <c r="N160" s="21"/>
      <c r="O160" s="22"/>
      <c r="P160" s="20" t="n">
        <f aca="false">IF($N160="Reduce",N($O160),0)</f>
        <v>0</v>
      </c>
      <c r="Q160" s="23" t="str">
        <f aca="false">IF($F160="","",MID(IF($G160="",", career level","")&amp;IF($I160="",", nationality mandate","")&amp;IF($N160="",", capacity direction","")&amp;IF(N($J160)&lt;=0,", approved HC","")&amp;IF(AND($G160&lt;&gt;"",COUNTIF(CareerLevels,$G160)=0),", a career level that is not on the ladder","")&amp;IF(AND($N160="Reduce",N($O160)&lt;=0),", how many seats Reduce means","")&amp;IF(AND(N($O160)&gt;0,$N160&lt;&gt;"Reduce"),", a number of seats on a row not marked Reduce","")&amp;IF(N($O160)&gt;N($J160),", more seats given up than the row has",""),3,200))</f>
        <v>career level, nationality mandate, capacity direction</v>
      </c>
    </row>
    <row r="161" customFormat="false" ht="15" hidden="false" customHeight="false" outlineLevel="0" collapsed="false">
      <c r="A161" s="21"/>
      <c r="B161" s="21" t="s">
        <v>190</v>
      </c>
      <c r="C161" s="21" t="s">
        <v>222</v>
      </c>
      <c r="D161" s="21" t="s">
        <v>238</v>
      </c>
      <c r="E161" s="21" t="s">
        <v>246</v>
      </c>
      <c r="F161" s="21" t="s">
        <v>373</v>
      </c>
      <c r="G161" s="21"/>
      <c r="H161" s="21" t="s">
        <v>275</v>
      </c>
      <c r="I161" s="21"/>
      <c r="J161" s="22" t="n">
        <v>2</v>
      </c>
      <c r="K161" s="22" t="n">
        <v>2</v>
      </c>
      <c r="L161" s="22" t="n">
        <v>0</v>
      </c>
      <c r="M161" s="21" t="s">
        <v>277</v>
      </c>
      <c r="N161" s="21"/>
      <c r="O161" s="22"/>
      <c r="P161" s="20" t="n">
        <f aca="false">IF($N161="Reduce",N($O161),0)</f>
        <v>0</v>
      </c>
      <c r="Q161" s="23" t="str">
        <f aca="false">IF($F161="","",MID(IF($G161="",", career level","")&amp;IF($I161="",", nationality mandate","")&amp;IF($N161="",", capacity direction","")&amp;IF(N($J161)&lt;=0,", approved HC","")&amp;IF(AND($G161&lt;&gt;"",COUNTIF(CareerLevels,$G161)=0),", a career level that is not on the ladder","")&amp;IF(AND($N161="Reduce",N($O161)&lt;=0),", how many seats Reduce means","")&amp;IF(AND(N($O161)&gt;0,$N161&lt;&gt;"Reduce"),", a number of seats on a row not marked Reduce","")&amp;IF(N($O161)&gt;N($J161),", more seats given up than the row has",""),3,200))</f>
        <v>career level, nationality mandate, capacity direction</v>
      </c>
    </row>
    <row r="162" customFormat="false" ht="15" hidden="false" customHeight="false" outlineLevel="0" collapsed="false">
      <c r="A162" s="21"/>
      <c r="B162" s="21" t="s">
        <v>190</v>
      </c>
      <c r="C162" s="21" t="s">
        <v>222</v>
      </c>
      <c r="D162" s="21" t="s">
        <v>238</v>
      </c>
      <c r="E162" s="21" t="s">
        <v>246</v>
      </c>
      <c r="F162" s="21" t="s">
        <v>373</v>
      </c>
      <c r="G162" s="21"/>
      <c r="H162" s="21" t="s">
        <v>275</v>
      </c>
      <c r="I162" s="21"/>
      <c r="J162" s="22" t="n">
        <v>2</v>
      </c>
      <c r="K162" s="22" t="n">
        <v>2</v>
      </c>
      <c r="L162" s="22" t="n">
        <v>0</v>
      </c>
      <c r="M162" s="21" t="s">
        <v>265</v>
      </c>
      <c r="N162" s="21"/>
      <c r="O162" s="22"/>
      <c r="P162" s="20" t="n">
        <f aca="false">IF($N162="Reduce",N($O162),0)</f>
        <v>0</v>
      </c>
      <c r="Q162" s="23" t="str">
        <f aca="false">IF($F162="","",MID(IF($G162="",", career level","")&amp;IF($I162="",", nationality mandate","")&amp;IF($N162="",", capacity direction","")&amp;IF(N($J162)&lt;=0,", approved HC","")&amp;IF(AND($G162&lt;&gt;"",COUNTIF(CareerLevels,$G162)=0),", a career level that is not on the ladder","")&amp;IF(AND($N162="Reduce",N($O162)&lt;=0),", how many seats Reduce means","")&amp;IF(AND(N($O162)&gt;0,$N162&lt;&gt;"Reduce"),", a number of seats on a row not marked Reduce","")&amp;IF(N($O162)&gt;N($J162),", more seats given up than the row has",""),3,200))</f>
        <v>career level, nationality mandate, capacity direction</v>
      </c>
    </row>
    <row r="163" customFormat="false" ht="15" hidden="false" customHeight="false" outlineLevel="0" collapsed="false">
      <c r="A163" s="21"/>
      <c r="B163" s="21" t="s">
        <v>190</v>
      </c>
      <c r="C163" s="21" t="s">
        <v>222</v>
      </c>
      <c r="D163" s="21" t="s">
        <v>238</v>
      </c>
      <c r="E163" s="21" t="s">
        <v>246</v>
      </c>
      <c r="F163" s="21" t="s">
        <v>370</v>
      </c>
      <c r="G163" s="21"/>
      <c r="H163" s="21" t="s">
        <v>275</v>
      </c>
      <c r="I163" s="21"/>
      <c r="J163" s="22" t="n">
        <v>2</v>
      </c>
      <c r="K163" s="22" t="n">
        <v>2</v>
      </c>
      <c r="L163" s="22" t="n">
        <v>0</v>
      </c>
      <c r="M163" s="21" t="s">
        <v>265</v>
      </c>
      <c r="N163" s="21"/>
      <c r="O163" s="22"/>
      <c r="P163" s="20" t="n">
        <f aca="false">IF($N163="Reduce",N($O163),0)</f>
        <v>0</v>
      </c>
      <c r="Q163" s="23" t="str">
        <f aca="false">IF($F163="","",MID(IF($G163="",", career level","")&amp;IF($I163="",", nationality mandate","")&amp;IF($N163="",", capacity direction","")&amp;IF(N($J163)&lt;=0,", approved HC","")&amp;IF(AND($G163&lt;&gt;"",COUNTIF(CareerLevels,$G163)=0),", a career level that is not on the ladder","")&amp;IF(AND($N163="Reduce",N($O163)&lt;=0),", how many seats Reduce means","")&amp;IF(AND(N($O163)&gt;0,$N163&lt;&gt;"Reduce"),", a number of seats on a row not marked Reduce","")&amp;IF(N($O163)&gt;N($J163),", more seats given up than the row has",""),3,200))</f>
        <v>career level, nationality mandate, capacity direction</v>
      </c>
    </row>
    <row r="164" customFormat="false" ht="15" hidden="false" customHeight="false" outlineLevel="0" collapsed="false">
      <c r="A164" s="21" t="s">
        <v>359</v>
      </c>
      <c r="B164" s="21" t="s">
        <v>190</v>
      </c>
      <c r="C164" s="21" t="s">
        <v>222</v>
      </c>
      <c r="D164" s="21" t="s">
        <v>238</v>
      </c>
      <c r="E164" s="21" t="s">
        <v>246</v>
      </c>
      <c r="F164" s="21" t="s">
        <v>371</v>
      </c>
      <c r="G164" s="21"/>
      <c r="H164" s="21" t="s">
        <v>273</v>
      </c>
      <c r="I164" s="21"/>
      <c r="J164" s="22" t="n">
        <v>1</v>
      </c>
      <c r="K164" s="22" t="n">
        <v>1</v>
      </c>
      <c r="L164" s="22" t="n">
        <v>0</v>
      </c>
      <c r="M164" s="21" t="s">
        <v>265</v>
      </c>
      <c r="N164" s="21"/>
      <c r="O164" s="22"/>
      <c r="P164" s="20" t="n">
        <f aca="false">IF($N164="Reduce",N($O164),0)</f>
        <v>0</v>
      </c>
      <c r="Q164" s="23" t="str">
        <f aca="false">IF($F164="","",MID(IF($G164="",", career level","")&amp;IF($I164="",", nationality mandate","")&amp;IF($N164="",", capacity direction","")&amp;IF(N($J164)&lt;=0,", approved HC","")&amp;IF(AND($G164&lt;&gt;"",COUNTIF(CareerLevels,$G164)=0),", a career level that is not on the ladder","")&amp;IF(AND($N164="Reduce",N($O164)&lt;=0),", how many seats Reduce means","")&amp;IF(AND(N($O164)&gt;0,$N164&lt;&gt;"Reduce"),", a number of seats on a row not marked Reduce","")&amp;IF(N($O164)&gt;N($J164),", more seats given up than the row has",""),3,200))</f>
        <v>career level, nationality mandate, capacity direction</v>
      </c>
    </row>
    <row r="165" customFormat="false" ht="15" hidden="false" customHeight="false" outlineLevel="0" collapsed="false">
      <c r="A165" s="21"/>
      <c r="B165" s="21"/>
      <c r="C165" s="21"/>
      <c r="D165" s="21"/>
      <c r="E165" s="21"/>
      <c r="F165" s="21"/>
      <c r="G165" s="21"/>
      <c r="H165" s="21"/>
      <c r="I165" s="21"/>
      <c r="J165" s="22"/>
      <c r="K165" s="22"/>
      <c r="L165" s="22"/>
      <c r="M165" s="21"/>
      <c r="N165" s="21"/>
      <c r="O165" s="22"/>
      <c r="P165" s="20" t="n">
        <f aca="false">IF($N165="Reduce",N($O165),0)</f>
        <v>0</v>
      </c>
      <c r="Q165" s="23" t="str">
        <f aca="false">IF($F165="","",MID(IF($G165="",", career level","")&amp;IF($I165="",", nationality mandate","")&amp;IF($N165="",", capacity direction","")&amp;IF(N($J165)&lt;=0,", approved HC","")&amp;IF(AND($G165&lt;&gt;"",COUNTIF(CareerLevels,$G165)=0),", a career level that is not on the ladder","")&amp;IF(AND($N165="Reduce",N($O165)&lt;=0),", how many seats Reduce means","")&amp;IF(AND(N($O165)&gt;0,$N165&lt;&gt;"Reduce"),", a number of seats on a row not marked Reduce","")&amp;IF(N($O165)&gt;N($J165),", more seats given up than the row has",""),3,200))</f>
        <v/>
      </c>
    </row>
    <row r="166" customFormat="false" ht="15" hidden="false" customHeight="false" outlineLevel="0" collapsed="false">
      <c r="A166" s="21"/>
      <c r="B166" s="21"/>
      <c r="C166" s="21"/>
      <c r="D166" s="21"/>
      <c r="E166" s="21"/>
      <c r="F166" s="21"/>
      <c r="G166" s="21"/>
      <c r="H166" s="21"/>
      <c r="I166" s="21"/>
      <c r="J166" s="22"/>
      <c r="K166" s="22"/>
      <c r="L166" s="22"/>
      <c r="M166" s="21"/>
      <c r="N166" s="21"/>
      <c r="O166" s="22"/>
      <c r="P166" s="20" t="n">
        <f aca="false">IF($N166="Reduce",N($O166),0)</f>
        <v>0</v>
      </c>
      <c r="Q166" s="23" t="str">
        <f aca="false">IF($F166="","",MID(IF($G166="",", career level","")&amp;IF($I166="",", nationality mandate","")&amp;IF($N166="",", capacity direction","")&amp;IF(N($J166)&lt;=0,", approved HC","")&amp;IF(AND($G166&lt;&gt;"",COUNTIF(CareerLevels,$G166)=0),", a career level that is not on the ladder","")&amp;IF(AND($N166="Reduce",N($O166)&lt;=0),", how many seats Reduce means","")&amp;IF(AND(N($O166)&gt;0,$N166&lt;&gt;"Reduce"),", a number of seats on a row not marked Reduce","")&amp;IF(N($O166)&gt;N($J166),", more seats given up than the row has",""),3,200))</f>
        <v/>
      </c>
    </row>
    <row r="167" customFormat="false" ht="15" hidden="false" customHeight="false" outlineLevel="0" collapsed="false">
      <c r="A167" s="21"/>
      <c r="B167" s="21"/>
      <c r="C167" s="21"/>
      <c r="D167" s="21"/>
      <c r="E167" s="21"/>
      <c r="F167" s="21"/>
      <c r="G167" s="21"/>
      <c r="H167" s="21"/>
      <c r="I167" s="21"/>
      <c r="J167" s="22"/>
      <c r="K167" s="22"/>
      <c r="L167" s="22"/>
      <c r="M167" s="21"/>
      <c r="N167" s="21"/>
      <c r="O167" s="22"/>
      <c r="P167" s="20" t="n">
        <f aca="false">IF($N167="Reduce",N($O167),0)</f>
        <v>0</v>
      </c>
      <c r="Q167" s="23" t="str">
        <f aca="false">IF($F167="","",MID(IF($G167="",", career level","")&amp;IF($I167="",", nationality mandate","")&amp;IF($N167="",", capacity direction","")&amp;IF(N($J167)&lt;=0,", approved HC","")&amp;IF(AND($G167&lt;&gt;"",COUNTIF(CareerLevels,$G167)=0),", a career level that is not on the ladder","")&amp;IF(AND($N167="Reduce",N($O167)&lt;=0),", how many seats Reduce means","")&amp;IF(AND(N($O167)&gt;0,$N167&lt;&gt;"Reduce"),", a number of seats on a row not marked Reduce","")&amp;IF(N($O167)&gt;N($J167),", more seats given up than the row has",""),3,200))</f>
        <v/>
      </c>
    </row>
    <row r="168" customFormat="false" ht="15" hidden="false" customHeight="false" outlineLevel="0" collapsed="false">
      <c r="A168" s="21"/>
      <c r="B168" s="21"/>
      <c r="C168" s="21"/>
      <c r="D168" s="21"/>
      <c r="E168" s="21"/>
      <c r="F168" s="21"/>
      <c r="G168" s="21"/>
      <c r="H168" s="21"/>
      <c r="I168" s="21"/>
      <c r="J168" s="22"/>
      <c r="K168" s="22"/>
      <c r="L168" s="22"/>
      <c r="M168" s="21"/>
      <c r="N168" s="21"/>
      <c r="O168" s="22"/>
      <c r="P168" s="20" t="n">
        <f aca="false">IF($N168="Reduce",N($O168),0)</f>
        <v>0</v>
      </c>
      <c r="Q168" s="23" t="str">
        <f aca="false">IF($F168="","",MID(IF($G168="",", career level","")&amp;IF($I168="",", nationality mandate","")&amp;IF($N168="",", capacity direction","")&amp;IF(N($J168)&lt;=0,", approved HC","")&amp;IF(AND($G168&lt;&gt;"",COUNTIF(CareerLevels,$G168)=0),", a career level that is not on the ladder","")&amp;IF(AND($N168="Reduce",N($O168)&lt;=0),", how many seats Reduce means","")&amp;IF(AND(N($O168)&gt;0,$N168&lt;&gt;"Reduce"),", a number of seats on a row not marked Reduce","")&amp;IF(N($O168)&gt;N($J168),", more seats given up than the row has",""),3,200))</f>
        <v/>
      </c>
    </row>
    <row r="169" customFormat="false" ht="15" hidden="false" customHeight="false" outlineLevel="0" collapsed="false">
      <c r="A169" s="21"/>
      <c r="B169" s="21"/>
      <c r="C169" s="21"/>
      <c r="D169" s="21"/>
      <c r="E169" s="21"/>
      <c r="F169" s="21"/>
      <c r="G169" s="21"/>
      <c r="H169" s="21"/>
      <c r="I169" s="21"/>
      <c r="J169" s="22"/>
      <c r="K169" s="22"/>
      <c r="L169" s="22"/>
      <c r="M169" s="21"/>
      <c r="N169" s="21"/>
      <c r="O169" s="22"/>
      <c r="P169" s="20" t="n">
        <f aca="false">IF($N169="Reduce",N($O169),0)</f>
        <v>0</v>
      </c>
      <c r="Q169" s="23" t="str">
        <f aca="false">IF($F169="","",MID(IF($G169="",", career level","")&amp;IF($I169="",", nationality mandate","")&amp;IF($N169="",", capacity direction","")&amp;IF(N($J169)&lt;=0,", approved HC","")&amp;IF(AND($G169&lt;&gt;"",COUNTIF(CareerLevels,$G169)=0),", a career level that is not on the ladder","")&amp;IF(AND($N169="Reduce",N($O169)&lt;=0),", how many seats Reduce means","")&amp;IF(AND(N($O169)&gt;0,$N169&lt;&gt;"Reduce"),", a number of seats on a row not marked Reduce","")&amp;IF(N($O169)&gt;N($J169),", more seats given up than the row has",""),3,200))</f>
        <v/>
      </c>
    </row>
    <row r="170" customFormat="false" ht="15" hidden="false" customHeight="false" outlineLevel="0" collapsed="false">
      <c r="A170" s="21"/>
      <c r="B170" s="21"/>
      <c r="C170" s="21"/>
      <c r="D170" s="21"/>
      <c r="E170" s="21"/>
      <c r="F170" s="21"/>
      <c r="G170" s="21"/>
      <c r="H170" s="21"/>
      <c r="I170" s="21"/>
      <c r="J170" s="22"/>
      <c r="K170" s="22"/>
      <c r="L170" s="22"/>
      <c r="M170" s="21"/>
      <c r="N170" s="21"/>
      <c r="O170" s="22"/>
      <c r="P170" s="20" t="n">
        <f aca="false">IF($N170="Reduce",N($O170),0)</f>
        <v>0</v>
      </c>
      <c r="Q170" s="23" t="str">
        <f aca="false">IF($F170="","",MID(IF($G170="",", career level","")&amp;IF($I170="",", nationality mandate","")&amp;IF($N170="",", capacity direction","")&amp;IF(N($J170)&lt;=0,", approved HC","")&amp;IF(AND($G170&lt;&gt;"",COUNTIF(CareerLevels,$G170)=0),", a career level that is not on the ladder","")&amp;IF(AND($N170="Reduce",N($O170)&lt;=0),", how many seats Reduce means","")&amp;IF(AND(N($O170)&gt;0,$N170&lt;&gt;"Reduce"),", a number of seats on a row not marked Reduce","")&amp;IF(N($O170)&gt;N($J170),", more seats given up than the row has",""),3,200))</f>
        <v/>
      </c>
    </row>
    <row r="171" customFormat="false" ht="15" hidden="false" customHeight="false" outlineLevel="0" collapsed="false">
      <c r="A171" s="21"/>
      <c r="B171" s="21"/>
      <c r="C171" s="21"/>
      <c r="D171" s="21"/>
      <c r="E171" s="21"/>
      <c r="F171" s="21"/>
      <c r="G171" s="21"/>
      <c r="H171" s="21"/>
      <c r="I171" s="21"/>
      <c r="J171" s="22"/>
      <c r="K171" s="22"/>
      <c r="L171" s="22"/>
      <c r="M171" s="21"/>
      <c r="N171" s="21"/>
      <c r="O171" s="22"/>
      <c r="P171" s="20" t="n">
        <f aca="false">IF($N171="Reduce",N($O171),0)</f>
        <v>0</v>
      </c>
      <c r="Q171" s="23" t="str">
        <f aca="false">IF($F171="","",MID(IF($G171="",", career level","")&amp;IF($I171="",", nationality mandate","")&amp;IF($N171="",", capacity direction","")&amp;IF(N($J171)&lt;=0,", approved HC","")&amp;IF(AND($G171&lt;&gt;"",COUNTIF(CareerLevels,$G171)=0),", a career level that is not on the ladder","")&amp;IF(AND($N171="Reduce",N($O171)&lt;=0),", how many seats Reduce means","")&amp;IF(AND(N($O171)&gt;0,$N171&lt;&gt;"Reduce"),", a number of seats on a row not marked Reduce","")&amp;IF(N($O171)&gt;N($J171),", more seats given up than the row has",""),3,200))</f>
        <v/>
      </c>
    </row>
    <row r="172" customFormat="false" ht="15" hidden="false" customHeight="false" outlineLevel="0" collapsed="false">
      <c r="A172" s="21"/>
      <c r="B172" s="21"/>
      <c r="C172" s="21"/>
      <c r="D172" s="21"/>
      <c r="E172" s="21"/>
      <c r="F172" s="21"/>
      <c r="G172" s="21"/>
      <c r="H172" s="21"/>
      <c r="I172" s="21"/>
      <c r="J172" s="22"/>
      <c r="K172" s="22"/>
      <c r="L172" s="22"/>
      <c r="M172" s="21"/>
      <c r="N172" s="21"/>
      <c r="O172" s="22"/>
      <c r="P172" s="20" t="n">
        <f aca="false">IF($N172="Reduce",N($O172),0)</f>
        <v>0</v>
      </c>
      <c r="Q172" s="23" t="str">
        <f aca="false">IF($F172="","",MID(IF($G172="",", career level","")&amp;IF($I172="",", nationality mandate","")&amp;IF($N172="",", capacity direction","")&amp;IF(N($J172)&lt;=0,", approved HC","")&amp;IF(AND($G172&lt;&gt;"",COUNTIF(CareerLevels,$G172)=0),", a career level that is not on the ladder","")&amp;IF(AND($N172="Reduce",N($O172)&lt;=0),", how many seats Reduce means","")&amp;IF(AND(N($O172)&gt;0,$N172&lt;&gt;"Reduce"),", a number of seats on a row not marked Reduce","")&amp;IF(N($O172)&gt;N($J172),", more seats given up than the row has",""),3,200))</f>
        <v/>
      </c>
    </row>
    <row r="173" customFormat="false" ht="15" hidden="false" customHeight="false" outlineLevel="0" collapsed="false">
      <c r="A173" s="21"/>
      <c r="B173" s="21"/>
      <c r="C173" s="21"/>
      <c r="D173" s="21"/>
      <c r="E173" s="21"/>
      <c r="F173" s="21"/>
      <c r="G173" s="21"/>
      <c r="H173" s="21"/>
      <c r="I173" s="21"/>
      <c r="J173" s="22"/>
      <c r="K173" s="22"/>
      <c r="L173" s="22"/>
      <c r="M173" s="21"/>
      <c r="N173" s="21"/>
      <c r="O173" s="22"/>
      <c r="P173" s="20" t="n">
        <f aca="false">IF($N173="Reduce",N($O173),0)</f>
        <v>0</v>
      </c>
      <c r="Q173" s="23" t="str">
        <f aca="false">IF($F173="","",MID(IF($G173="",", career level","")&amp;IF($I173="",", nationality mandate","")&amp;IF($N173="",", capacity direction","")&amp;IF(N($J173)&lt;=0,", approved HC","")&amp;IF(AND($G173&lt;&gt;"",COUNTIF(CareerLevels,$G173)=0),", a career level that is not on the ladder","")&amp;IF(AND($N173="Reduce",N($O173)&lt;=0),", how many seats Reduce means","")&amp;IF(AND(N($O173)&gt;0,$N173&lt;&gt;"Reduce"),", a number of seats on a row not marked Reduce","")&amp;IF(N($O173)&gt;N($J173),", more seats given up than the row has",""),3,200))</f>
        <v/>
      </c>
    </row>
    <row r="174" customFormat="false" ht="15" hidden="false" customHeight="false" outlineLevel="0" collapsed="false">
      <c r="A174" s="21"/>
      <c r="B174" s="21"/>
      <c r="C174" s="21"/>
      <c r="D174" s="21"/>
      <c r="E174" s="21"/>
      <c r="F174" s="21"/>
      <c r="G174" s="21"/>
      <c r="H174" s="21"/>
      <c r="I174" s="21"/>
      <c r="J174" s="22"/>
      <c r="K174" s="22"/>
      <c r="L174" s="22"/>
      <c r="M174" s="21"/>
      <c r="N174" s="21"/>
      <c r="O174" s="22"/>
      <c r="P174" s="20" t="n">
        <f aca="false">IF($N174="Reduce",N($O174),0)</f>
        <v>0</v>
      </c>
      <c r="Q174" s="23" t="str">
        <f aca="false">IF($F174="","",MID(IF($G174="",", career level","")&amp;IF($I174="",", nationality mandate","")&amp;IF($N174="",", capacity direction","")&amp;IF(N($J174)&lt;=0,", approved HC","")&amp;IF(AND($G174&lt;&gt;"",COUNTIF(CareerLevels,$G174)=0),", a career level that is not on the ladder","")&amp;IF(AND($N174="Reduce",N($O174)&lt;=0),", how many seats Reduce means","")&amp;IF(AND(N($O174)&gt;0,$N174&lt;&gt;"Reduce"),", a number of seats on a row not marked Reduce","")&amp;IF(N($O174)&gt;N($J174),", more seats given up than the row has",""),3,200))</f>
        <v/>
      </c>
    </row>
    <row r="175" customFormat="false" ht="15" hidden="false" customHeight="false" outlineLevel="0" collapsed="false">
      <c r="A175" s="21"/>
      <c r="B175" s="21"/>
      <c r="C175" s="21"/>
      <c r="D175" s="21"/>
      <c r="E175" s="21"/>
      <c r="F175" s="21"/>
      <c r="G175" s="21"/>
      <c r="H175" s="21"/>
      <c r="I175" s="21"/>
      <c r="J175" s="22"/>
      <c r="K175" s="22"/>
      <c r="L175" s="22"/>
      <c r="M175" s="21"/>
      <c r="N175" s="21"/>
      <c r="O175" s="22"/>
      <c r="P175" s="20" t="n">
        <f aca="false">IF($N175="Reduce",N($O175),0)</f>
        <v>0</v>
      </c>
      <c r="Q175" s="23" t="str">
        <f aca="false">IF($F175="","",MID(IF($G175="",", career level","")&amp;IF($I175="",", nationality mandate","")&amp;IF($N175="",", capacity direction","")&amp;IF(N($J175)&lt;=0,", approved HC","")&amp;IF(AND($G175&lt;&gt;"",COUNTIF(CareerLevels,$G175)=0),", a career level that is not on the ladder","")&amp;IF(AND($N175="Reduce",N($O175)&lt;=0),", how many seats Reduce means","")&amp;IF(AND(N($O175)&gt;0,$N175&lt;&gt;"Reduce"),", a number of seats on a row not marked Reduce","")&amp;IF(N($O175)&gt;N($J175),", more seats given up than the row has",""),3,200))</f>
        <v/>
      </c>
    </row>
    <row r="176" customFormat="false" ht="15" hidden="false" customHeight="false" outlineLevel="0" collapsed="false">
      <c r="A176" s="21"/>
      <c r="B176" s="21"/>
      <c r="C176" s="21"/>
      <c r="D176" s="21"/>
      <c r="E176" s="21"/>
      <c r="F176" s="21"/>
      <c r="G176" s="21"/>
      <c r="H176" s="21"/>
      <c r="I176" s="21"/>
      <c r="J176" s="22"/>
      <c r="K176" s="22"/>
      <c r="L176" s="22"/>
      <c r="M176" s="21"/>
      <c r="N176" s="21"/>
      <c r="O176" s="22"/>
      <c r="P176" s="20" t="n">
        <f aca="false">IF($N176="Reduce",N($O176),0)</f>
        <v>0</v>
      </c>
      <c r="Q176" s="23" t="str">
        <f aca="false">IF($F176="","",MID(IF($G176="",", career level","")&amp;IF($I176="",", nationality mandate","")&amp;IF($N176="",", capacity direction","")&amp;IF(N($J176)&lt;=0,", approved HC","")&amp;IF(AND($G176&lt;&gt;"",COUNTIF(CareerLevels,$G176)=0),", a career level that is not on the ladder","")&amp;IF(AND($N176="Reduce",N($O176)&lt;=0),", how many seats Reduce means","")&amp;IF(AND(N($O176)&gt;0,$N176&lt;&gt;"Reduce"),", a number of seats on a row not marked Reduce","")&amp;IF(N($O176)&gt;N($J176),", more seats given up than the row has",""),3,200))</f>
        <v/>
      </c>
    </row>
    <row r="177" customFormat="false" ht="15" hidden="false" customHeight="false" outlineLevel="0" collapsed="false">
      <c r="A177" s="21"/>
      <c r="B177" s="21"/>
      <c r="C177" s="21"/>
      <c r="D177" s="21"/>
      <c r="E177" s="21"/>
      <c r="F177" s="21"/>
      <c r="G177" s="21"/>
      <c r="H177" s="21"/>
      <c r="I177" s="21"/>
      <c r="J177" s="22"/>
      <c r="K177" s="22"/>
      <c r="L177" s="22"/>
      <c r="M177" s="21"/>
      <c r="N177" s="21"/>
      <c r="O177" s="22"/>
      <c r="P177" s="20" t="n">
        <f aca="false">IF($N177="Reduce",N($O177),0)</f>
        <v>0</v>
      </c>
      <c r="Q177" s="23" t="str">
        <f aca="false">IF($F177="","",MID(IF($G177="",", career level","")&amp;IF($I177="",", nationality mandate","")&amp;IF($N177="",", capacity direction","")&amp;IF(N($J177)&lt;=0,", approved HC","")&amp;IF(AND($G177&lt;&gt;"",COUNTIF(CareerLevels,$G177)=0),", a career level that is not on the ladder","")&amp;IF(AND($N177="Reduce",N($O177)&lt;=0),", how many seats Reduce means","")&amp;IF(AND(N($O177)&gt;0,$N177&lt;&gt;"Reduce"),", a number of seats on a row not marked Reduce","")&amp;IF(N($O177)&gt;N($J177),", more seats given up than the row has",""),3,200))</f>
        <v/>
      </c>
    </row>
    <row r="178" customFormat="false" ht="15" hidden="false" customHeight="false" outlineLevel="0" collapsed="false">
      <c r="A178" s="21"/>
      <c r="B178" s="21"/>
      <c r="C178" s="21"/>
      <c r="D178" s="21"/>
      <c r="E178" s="21"/>
      <c r="F178" s="21"/>
      <c r="G178" s="21"/>
      <c r="H178" s="21"/>
      <c r="I178" s="21"/>
      <c r="J178" s="22"/>
      <c r="K178" s="22"/>
      <c r="L178" s="22"/>
      <c r="M178" s="21"/>
      <c r="N178" s="21"/>
      <c r="O178" s="22"/>
      <c r="P178" s="20" t="n">
        <f aca="false">IF($N178="Reduce",N($O178),0)</f>
        <v>0</v>
      </c>
      <c r="Q178" s="23" t="str">
        <f aca="false">IF($F178="","",MID(IF($G178="",", career level","")&amp;IF($I178="",", nationality mandate","")&amp;IF($N178="",", capacity direction","")&amp;IF(N($J178)&lt;=0,", approved HC","")&amp;IF(AND($G178&lt;&gt;"",COUNTIF(CareerLevels,$G178)=0),", a career level that is not on the ladder","")&amp;IF(AND($N178="Reduce",N($O178)&lt;=0),", how many seats Reduce means","")&amp;IF(AND(N($O178)&gt;0,$N178&lt;&gt;"Reduce"),", a number of seats on a row not marked Reduce","")&amp;IF(N($O178)&gt;N($J178),", more seats given up than the row has",""),3,200))</f>
        <v/>
      </c>
    </row>
    <row r="179" customFormat="false" ht="15" hidden="false" customHeight="false" outlineLevel="0" collapsed="false">
      <c r="A179" s="21"/>
      <c r="B179" s="21"/>
      <c r="C179" s="21"/>
      <c r="D179" s="21"/>
      <c r="E179" s="21"/>
      <c r="F179" s="21"/>
      <c r="G179" s="21"/>
      <c r="H179" s="21"/>
      <c r="I179" s="21"/>
      <c r="J179" s="22"/>
      <c r="K179" s="22"/>
      <c r="L179" s="22"/>
      <c r="M179" s="21"/>
      <c r="N179" s="21"/>
      <c r="O179" s="22"/>
      <c r="P179" s="20" t="n">
        <f aca="false">IF($N179="Reduce",N($O179),0)</f>
        <v>0</v>
      </c>
      <c r="Q179" s="23" t="str">
        <f aca="false">IF($F179="","",MID(IF($G179="",", career level","")&amp;IF($I179="",", nationality mandate","")&amp;IF($N179="",", capacity direction","")&amp;IF(N($J179)&lt;=0,", approved HC","")&amp;IF(AND($G179&lt;&gt;"",COUNTIF(CareerLevels,$G179)=0),", a career level that is not on the ladder","")&amp;IF(AND($N179="Reduce",N($O179)&lt;=0),", how many seats Reduce means","")&amp;IF(AND(N($O179)&gt;0,$N179&lt;&gt;"Reduce"),", a number of seats on a row not marked Reduce","")&amp;IF(N($O179)&gt;N($J179),", more seats given up than the row has",""),3,200))</f>
        <v/>
      </c>
    </row>
    <row r="180" customFormat="false" ht="15" hidden="false" customHeight="false" outlineLevel="0" collapsed="false">
      <c r="A180" s="21"/>
      <c r="B180" s="21"/>
      <c r="C180" s="21"/>
      <c r="D180" s="21"/>
      <c r="E180" s="21"/>
      <c r="F180" s="21"/>
      <c r="G180" s="21"/>
      <c r="H180" s="21"/>
      <c r="I180" s="21"/>
      <c r="J180" s="22"/>
      <c r="K180" s="22"/>
      <c r="L180" s="22"/>
      <c r="M180" s="21"/>
      <c r="N180" s="21"/>
      <c r="O180" s="22"/>
      <c r="P180" s="20" t="n">
        <f aca="false">IF($N180="Reduce",N($O180),0)</f>
        <v>0</v>
      </c>
      <c r="Q180" s="23" t="str">
        <f aca="false">IF($F180="","",MID(IF($G180="",", career level","")&amp;IF($I180="",", nationality mandate","")&amp;IF($N180="",", capacity direction","")&amp;IF(N($J180)&lt;=0,", approved HC","")&amp;IF(AND($G180&lt;&gt;"",COUNTIF(CareerLevels,$G180)=0),", a career level that is not on the ladder","")&amp;IF(AND($N180="Reduce",N($O180)&lt;=0),", how many seats Reduce means","")&amp;IF(AND(N($O180)&gt;0,$N180&lt;&gt;"Reduce"),", a number of seats on a row not marked Reduce","")&amp;IF(N($O180)&gt;N($J180),", more seats given up than the row has",""),3,200))</f>
        <v/>
      </c>
    </row>
    <row r="181" customFormat="false" ht="15" hidden="false" customHeight="false" outlineLevel="0" collapsed="false">
      <c r="A181" s="21"/>
      <c r="B181" s="21"/>
      <c r="C181" s="21"/>
      <c r="D181" s="21"/>
      <c r="E181" s="21"/>
      <c r="F181" s="21"/>
      <c r="G181" s="21"/>
      <c r="H181" s="21"/>
      <c r="I181" s="21"/>
      <c r="J181" s="22"/>
      <c r="K181" s="22"/>
      <c r="L181" s="22"/>
      <c r="M181" s="21"/>
      <c r="N181" s="21"/>
      <c r="O181" s="22"/>
      <c r="P181" s="20" t="n">
        <f aca="false">IF($N181="Reduce",N($O181),0)</f>
        <v>0</v>
      </c>
      <c r="Q181" s="23" t="str">
        <f aca="false">IF($F181="","",MID(IF($G181="",", career level","")&amp;IF($I181="",", nationality mandate","")&amp;IF($N181="",", capacity direction","")&amp;IF(N($J181)&lt;=0,", approved HC","")&amp;IF(AND($G181&lt;&gt;"",COUNTIF(CareerLevels,$G181)=0),", a career level that is not on the ladder","")&amp;IF(AND($N181="Reduce",N($O181)&lt;=0),", how many seats Reduce means","")&amp;IF(AND(N($O181)&gt;0,$N181&lt;&gt;"Reduce"),", a number of seats on a row not marked Reduce","")&amp;IF(N($O181)&gt;N($J181),", more seats given up than the row has",""),3,200))</f>
        <v/>
      </c>
    </row>
    <row r="182" customFormat="false" ht="15" hidden="false" customHeight="false" outlineLevel="0" collapsed="false">
      <c r="A182" s="21"/>
      <c r="B182" s="21"/>
      <c r="C182" s="21"/>
      <c r="D182" s="21"/>
      <c r="E182" s="21"/>
      <c r="F182" s="21"/>
      <c r="G182" s="21"/>
      <c r="H182" s="21"/>
      <c r="I182" s="21"/>
      <c r="J182" s="22"/>
      <c r="K182" s="22"/>
      <c r="L182" s="22"/>
      <c r="M182" s="21"/>
      <c r="N182" s="21"/>
      <c r="O182" s="22"/>
      <c r="P182" s="20" t="n">
        <f aca="false">IF($N182="Reduce",N($O182),0)</f>
        <v>0</v>
      </c>
      <c r="Q182" s="23" t="str">
        <f aca="false">IF($F182="","",MID(IF($G182="",", career level","")&amp;IF($I182="",", nationality mandate","")&amp;IF($N182="",", capacity direction","")&amp;IF(N($J182)&lt;=0,", approved HC","")&amp;IF(AND($G182&lt;&gt;"",COUNTIF(CareerLevels,$G182)=0),", a career level that is not on the ladder","")&amp;IF(AND($N182="Reduce",N($O182)&lt;=0),", how many seats Reduce means","")&amp;IF(AND(N($O182)&gt;0,$N182&lt;&gt;"Reduce"),", a number of seats on a row not marked Reduce","")&amp;IF(N($O182)&gt;N($J182),", more seats given up than the row has",""),3,200))</f>
        <v/>
      </c>
    </row>
    <row r="183" customFormat="false" ht="15" hidden="false" customHeight="false" outlineLevel="0" collapsed="false">
      <c r="A183" s="21"/>
      <c r="B183" s="21"/>
      <c r="C183" s="21"/>
      <c r="D183" s="21"/>
      <c r="E183" s="21"/>
      <c r="F183" s="21"/>
      <c r="G183" s="21"/>
      <c r="H183" s="21"/>
      <c r="I183" s="21"/>
      <c r="J183" s="22"/>
      <c r="K183" s="22"/>
      <c r="L183" s="22"/>
      <c r="M183" s="21"/>
      <c r="N183" s="21"/>
      <c r="O183" s="22"/>
      <c r="P183" s="20" t="n">
        <f aca="false">IF($N183="Reduce",N($O183),0)</f>
        <v>0</v>
      </c>
      <c r="Q183" s="23" t="str">
        <f aca="false">IF($F183="","",MID(IF($G183="",", career level","")&amp;IF($I183="",", nationality mandate","")&amp;IF($N183="",", capacity direction","")&amp;IF(N($J183)&lt;=0,", approved HC","")&amp;IF(AND($G183&lt;&gt;"",COUNTIF(CareerLevels,$G183)=0),", a career level that is not on the ladder","")&amp;IF(AND($N183="Reduce",N($O183)&lt;=0),", how many seats Reduce means","")&amp;IF(AND(N($O183)&gt;0,$N183&lt;&gt;"Reduce"),", a number of seats on a row not marked Reduce","")&amp;IF(N($O183)&gt;N($J183),", more seats given up than the row has",""),3,200))</f>
        <v/>
      </c>
    </row>
    <row r="184" customFormat="false" ht="15" hidden="false" customHeight="false" outlineLevel="0" collapsed="false">
      <c r="A184" s="21"/>
      <c r="B184" s="21"/>
      <c r="C184" s="21"/>
      <c r="D184" s="21"/>
      <c r="E184" s="21"/>
      <c r="F184" s="21"/>
      <c r="G184" s="21"/>
      <c r="H184" s="21"/>
      <c r="I184" s="21"/>
      <c r="J184" s="22"/>
      <c r="K184" s="22"/>
      <c r="L184" s="22"/>
      <c r="M184" s="21"/>
      <c r="N184" s="21"/>
      <c r="O184" s="22"/>
      <c r="P184" s="20" t="n">
        <f aca="false">IF($N184="Reduce",N($O184),0)</f>
        <v>0</v>
      </c>
      <c r="Q184" s="23" t="str">
        <f aca="false">IF($F184="","",MID(IF($G184="",", career level","")&amp;IF($I184="",", nationality mandate","")&amp;IF($N184="",", capacity direction","")&amp;IF(N($J184)&lt;=0,", approved HC","")&amp;IF(AND($G184&lt;&gt;"",COUNTIF(CareerLevels,$G184)=0),", a career level that is not on the ladder","")&amp;IF(AND($N184="Reduce",N($O184)&lt;=0),", how many seats Reduce means","")&amp;IF(AND(N($O184)&gt;0,$N184&lt;&gt;"Reduce"),", a number of seats on a row not marked Reduce","")&amp;IF(N($O184)&gt;N($J184),", more seats given up than the row has",""),3,200))</f>
        <v/>
      </c>
    </row>
    <row r="185" customFormat="false" ht="15" hidden="false" customHeight="false" outlineLevel="0" collapsed="false">
      <c r="A185" s="21"/>
      <c r="B185" s="21"/>
      <c r="C185" s="21"/>
      <c r="D185" s="21"/>
      <c r="E185" s="21"/>
      <c r="F185" s="21"/>
      <c r="G185" s="21"/>
      <c r="H185" s="21"/>
      <c r="I185" s="21"/>
      <c r="J185" s="22"/>
      <c r="K185" s="22"/>
      <c r="L185" s="22"/>
      <c r="M185" s="21"/>
      <c r="N185" s="21"/>
      <c r="O185" s="22"/>
      <c r="P185" s="20" t="n">
        <f aca="false">IF($N185="Reduce",N($O185),0)</f>
        <v>0</v>
      </c>
      <c r="Q185" s="23" t="str">
        <f aca="false">IF($F185="","",MID(IF($G185="",", career level","")&amp;IF($I185="",", nationality mandate","")&amp;IF($N185="",", capacity direction","")&amp;IF(N($J185)&lt;=0,", approved HC","")&amp;IF(AND($G185&lt;&gt;"",COUNTIF(CareerLevels,$G185)=0),", a career level that is not on the ladder","")&amp;IF(AND($N185="Reduce",N($O185)&lt;=0),", how many seats Reduce means","")&amp;IF(AND(N($O185)&gt;0,$N185&lt;&gt;"Reduce"),", a number of seats on a row not marked Reduce","")&amp;IF(N($O185)&gt;N($J185),", more seats given up than the row has",""),3,200))</f>
        <v/>
      </c>
    </row>
    <row r="186" customFormat="false" ht="15" hidden="false" customHeight="false" outlineLevel="0" collapsed="false">
      <c r="A186" s="21"/>
      <c r="B186" s="21"/>
      <c r="C186" s="21"/>
      <c r="D186" s="21"/>
      <c r="E186" s="21"/>
      <c r="F186" s="21"/>
      <c r="G186" s="21"/>
      <c r="H186" s="21"/>
      <c r="I186" s="21"/>
      <c r="J186" s="22"/>
      <c r="K186" s="22"/>
      <c r="L186" s="22"/>
      <c r="M186" s="21"/>
      <c r="N186" s="21"/>
      <c r="O186" s="22"/>
      <c r="P186" s="20" t="n">
        <f aca="false">IF($N186="Reduce",N($O186),0)</f>
        <v>0</v>
      </c>
      <c r="Q186" s="23" t="str">
        <f aca="false">IF($F186="","",MID(IF($G186="",", career level","")&amp;IF($I186="",", nationality mandate","")&amp;IF($N186="",", capacity direction","")&amp;IF(N($J186)&lt;=0,", approved HC","")&amp;IF(AND($G186&lt;&gt;"",COUNTIF(CareerLevels,$G186)=0),", a career level that is not on the ladder","")&amp;IF(AND($N186="Reduce",N($O186)&lt;=0),", how many seats Reduce means","")&amp;IF(AND(N($O186)&gt;0,$N186&lt;&gt;"Reduce"),", a number of seats on a row not marked Reduce","")&amp;IF(N($O186)&gt;N($J186),", more seats given up than the row has",""),3,200))</f>
        <v/>
      </c>
    </row>
    <row r="187" customFormat="false" ht="15" hidden="false" customHeight="false" outlineLevel="0" collapsed="false">
      <c r="A187" s="21"/>
      <c r="B187" s="21"/>
      <c r="C187" s="21"/>
      <c r="D187" s="21"/>
      <c r="E187" s="21"/>
      <c r="F187" s="21"/>
      <c r="G187" s="21"/>
      <c r="H187" s="21"/>
      <c r="I187" s="21"/>
      <c r="J187" s="22"/>
      <c r="K187" s="22"/>
      <c r="L187" s="22"/>
      <c r="M187" s="21"/>
      <c r="N187" s="21"/>
      <c r="O187" s="22"/>
      <c r="P187" s="20" t="n">
        <f aca="false">IF($N187="Reduce",N($O187),0)</f>
        <v>0</v>
      </c>
      <c r="Q187" s="23" t="str">
        <f aca="false">IF($F187="","",MID(IF($G187="",", career level","")&amp;IF($I187="",", nationality mandate","")&amp;IF($N187="",", capacity direction","")&amp;IF(N($J187)&lt;=0,", approved HC","")&amp;IF(AND($G187&lt;&gt;"",COUNTIF(CareerLevels,$G187)=0),", a career level that is not on the ladder","")&amp;IF(AND($N187="Reduce",N($O187)&lt;=0),", how many seats Reduce means","")&amp;IF(AND(N($O187)&gt;0,$N187&lt;&gt;"Reduce"),", a number of seats on a row not marked Reduce","")&amp;IF(N($O187)&gt;N($J187),", more seats given up than the row has",""),3,200))</f>
        <v/>
      </c>
    </row>
    <row r="188" customFormat="false" ht="15" hidden="false" customHeight="false" outlineLevel="0" collapsed="false">
      <c r="A188" s="21"/>
      <c r="B188" s="21"/>
      <c r="C188" s="21"/>
      <c r="D188" s="21"/>
      <c r="E188" s="21"/>
      <c r="F188" s="21"/>
      <c r="G188" s="21"/>
      <c r="H188" s="21"/>
      <c r="I188" s="21"/>
      <c r="J188" s="22"/>
      <c r="K188" s="22"/>
      <c r="L188" s="22"/>
      <c r="M188" s="21"/>
      <c r="N188" s="21"/>
      <c r="O188" s="22"/>
      <c r="P188" s="20" t="n">
        <f aca="false">IF($N188="Reduce",N($O188),0)</f>
        <v>0</v>
      </c>
      <c r="Q188" s="23" t="str">
        <f aca="false">IF($F188="","",MID(IF($G188="",", career level","")&amp;IF($I188="",", nationality mandate","")&amp;IF($N188="",", capacity direction","")&amp;IF(N($J188)&lt;=0,", approved HC","")&amp;IF(AND($G188&lt;&gt;"",COUNTIF(CareerLevels,$G188)=0),", a career level that is not on the ladder","")&amp;IF(AND($N188="Reduce",N($O188)&lt;=0),", how many seats Reduce means","")&amp;IF(AND(N($O188)&gt;0,$N188&lt;&gt;"Reduce"),", a number of seats on a row not marked Reduce","")&amp;IF(N($O188)&gt;N($J188),", more seats given up than the row has",""),3,200))</f>
        <v/>
      </c>
    </row>
    <row r="189" customFormat="false" ht="15" hidden="false" customHeight="false" outlineLevel="0" collapsed="false">
      <c r="A189" s="21"/>
      <c r="B189" s="21"/>
      <c r="C189" s="21"/>
      <c r="D189" s="21"/>
      <c r="E189" s="21"/>
      <c r="F189" s="21"/>
      <c r="G189" s="21"/>
      <c r="H189" s="21"/>
      <c r="I189" s="21"/>
      <c r="J189" s="22"/>
      <c r="K189" s="22"/>
      <c r="L189" s="22"/>
      <c r="M189" s="21"/>
      <c r="N189" s="21"/>
      <c r="O189" s="22"/>
      <c r="P189" s="20" t="n">
        <f aca="false">IF($N189="Reduce",N($O189),0)</f>
        <v>0</v>
      </c>
      <c r="Q189" s="23" t="str">
        <f aca="false">IF($F189="","",MID(IF($G189="",", career level","")&amp;IF($I189="",", nationality mandate","")&amp;IF($N189="",", capacity direction","")&amp;IF(N($J189)&lt;=0,", approved HC","")&amp;IF(AND($G189&lt;&gt;"",COUNTIF(CareerLevels,$G189)=0),", a career level that is not on the ladder","")&amp;IF(AND($N189="Reduce",N($O189)&lt;=0),", how many seats Reduce means","")&amp;IF(AND(N($O189)&gt;0,$N189&lt;&gt;"Reduce"),", a number of seats on a row not marked Reduce","")&amp;IF(N($O189)&gt;N($J189),", more seats given up than the row has",""),3,200))</f>
        <v/>
      </c>
    </row>
    <row r="190" customFormat="false" ht="15" hidden="false" customHeight="false" outlineLevel="0" collapsed="false">
      <c r="A190" s="21"/>
      <c r="B190" s="21"/>
      <c r="C190" s="21"/>
      <c r="D190" s="21"/>
      <c r="E190" s="21"/>
      <c r="F190" s="21"/>
      <c r="G190" s="21"/>
      <c r="H190" s="21"/>
      <c r="I190" s="21"/>
      <c r="J190" s="22"/>
      <c r="K190" s="22"/>
      <c r="L190" s="22"/>
      <c r="M190" s="21"/>
      <c r="N190" s="21"/>
      <c r="O190" s="22"/>
      <c r="P190" s="20" t="n">
        <f aca="false">IF($N190="Reduce",N($O190),0)</f>
        <v>0</v>
      </c>
      <c r="Q190" s="23" t="str">
        <f aca="false">IF($F190="","",MID(IF($G190="",", career level","")&amp;IF($I190="",", nationality mandate","")&amp;IF($N190="",", capacity direction","")&amp;IF(N($J190)&lt;=0,", approved HC","")&amp;IF(AND($G190&lt;&gt;"",COUNTIF(CareerLevels,$G190)=0),", a career level that is not on the ladder","")&amp;IF(AND($N190="Reduce",N($O190)&lt;=0),", how many seats Reduce means","")&amp;IF(AND(N($O190)&gt;0,$N190&lt;&gt;"Reduce"),", a number of seats on a row not marked Reduce","")&amp;IF(N($O190)&gt;N($J190),", more seats given up than the row has",""),3,200))</f>
        <v/>
      </c>
    </row>
    <row r="191" customFormat="false" ht="15" hidden="false" customHeight="false" outlineLevel="0" collapsed="false">
      <c r="A191" s="21"/>
      <c r="B191" s="21"/>
      <c r="C191" s="21"/>
      <c r="D191" s="21"/>
      <c r="E191" s="21"/>
      <c r="F191" s="21"/>
      <c r="G191" s="21"/>
      <c r="H191" s="21"/>
      <c r="I191" s="21"/>
      <c r="J191" s="22"/>
      <c r="K191" s="22"/>
      <c r="L191" s="22"/>
      <c r="M191" s="21"/>
      <c r="N191" s="21"/>
      <c r="O191" s="22"/>
      <c r="P191" s="20" t="n">
        <f aca="false">IF($N191="Reduce",N($O191),0)</f>
        <v>0</v>
      </c>
      <c r="Q191" s="23" t="str">
        <f aca="false">IF($F191="","",MID(IF($G191="",", career level","")&amp;IF($I191="",", nationality mandate","")&amp;IF($N191="",", capacity direction","")&amp;IF(N($J191)&lt;=0,", approved HC","")&amp;IF(AND($G191&lt;&gt;"",COUNTIF(CareerLevels,$G191)=0),", a career level that is not on the ladder","")&amp;IF(AND($N191="Reduce",N($O191)&lt;=0),", how many seats Reduce means","")&amp;IF(AND(N($O191)&gt;0,$N191&lt;&gt;"Reduce"),", a number of seats on a row not marked Reduce","")&amp;IF(N($O191)&gt;N($J191),", more seats given up than the row has",""),3,200))</f>
        <v/>
      </c>
    </row>
    <row r="192" customFormat="false" ht="15" hidden="false" customHeight="false" outlineLevel="0" collapsed="false">
      <c r="A192" s="21"/>
      <c r="B192" s="21"/>
      <c r="C192" s="21"/>
      <c r="D192" s="21"/>
      <c r="E192" s="21"/>
      <c r="F192" s="21"/>
      <c r="G192" s="21"/>
      <c r="H192" s="21"/>
      <c r="I192" s="21"/>
      <c r="J192" s="22"/>
      <c r="K192" s="22"/>
      <c r="L192" s="22"/>
      <c r="M192" s="21"/>
      <c r="N192" s="21"/>
      <c r="O192" s="22"/>
      <c r="P192" s="20" t="n">
        <f aca="false">IF($N192="Reduce",N($O192),0)</f>
        <v>0</v>
      </c>
      <c r="Q192" s="23" t="str">
        <f aca="false">IF($F192="","",MID(IF($G192="",", career level","")&amp;IF($I192="",", nationality mandate","")&amp;IF($N192="",", capacity direction","")&amp;IF(N($J192)&lt;=0,", approved HC","")&amp;IF(AND($G192&lt;&gt;"",COUNTIF(CareerLevels,$G192)=0),", a career level that is not on the ladder","")&amp;IF(AND($N192="Reduce",N($O192)&lt;=0),", how many seats Reduce means","")&amp;IF(AND(N($O192)&gt;0,$N192&lt;&gt;"Reduce"),", a number of seats on a row not marked Reduce","")&amp;IF(N($O192)&gt;N($J192),", more seats given up than the row has",""),3,200))</f>
        <v/>
      </c>
    </row>
    <row r="193" customFormat="false" ht="15" hidden="false" customHeight="false" outlineLevel="0" collapsed="false">
      <c r="A193" s="21"/>
      <c r="B193" s="21"/>
      <c r="C193" s="21"/>
      <c r="D193" s="21"/>
      <c r="E193" s="21"/>
      <c r="F193" s="21"/>
      <c r="G193" s="21"/>
      <c r="H193" s="21"/>
      <c r="I193" s="21"/>
      <c r="J193" s="22"/>
      <c r="K193" s="22"/>
      <c r="L193" s="22"/>
      <c r="M193" s="21"/>
      <c r="N193" s="21"/>
      <c r="O193" s="22"/>
      <c r="P193" s="20" t="n">
        <f aca="false">IF($N193="Reduce",N($O193),0)</f>
        <v>0</v>
      </c>
      <c r="Q193" s="23" t="str">
        <f aca="false">IF($F193="","",MID(IF($G193="",", career level","")&amp;IF($I193="",", nationality mandate","")&amp;IF($N193="",", capacity direction","")&amp;IF(N($J193)&lt;=0,", approved HC","")&amp;IF(AND($G193&lt;&gt;"",COUNTIF(CareerLevels,$G193)=0),", a career level that is not on the ladder","")&amp;IF(AND($N193="Reduce",N($O193)&lt;=0),", how many seats Reduce means","")&amp;IF(AND(N($O193)&gt;0,$N193&lt;&gt;"Reduce"),", a number of seats on a row not marked Reduce","")&amp;IF(N($O193)&gt;N($J193),", more seats given up than the row has",""),3,200))</f>
        <v/>
      </c>
    </row>
    <row r="194" customFormat="false" ht="15" hidden="false" customHeight="false" outlineLevel="0" collapsed="false">
      <c r="A194" s="21"/>
      <c r="B194" s="21"/>
      <c r="C194" s="21"/>
      <c r="D194" s="21"/>
      <c r="E194" s="21"/>
      <c r="F194" s="21"/>
      <c r="G194" s="21"/>
      <c r="H194" s="21"/>
      <c r="I194" s="21"/>
      <c r="J194" s="22"/>
      <c r="K194" s="22"/>
      <c r="L194" s="22"/>
      <c r="M194" s="21"/>
      <c r="N194" s="21"/>
      <c r="O194" s="22"/>
      <c r="P194" s="20" t="n">
        <f aca="false">IF($N194="Reduce",N($O194),0)</f>
        <v>0</v>
      </c>
      <c r="Q194" s="23" t="str">
        <f aca="false">IF($F194="","",MID(IF($G194="",", career level","")&amp;IF($I194="",", nationality mandate","")&amp;IF($N194="",", capacity direction","")&amp;IF(N($J194)&lt;=0,", approved HC","")&amp;IF(AND($G194&lt;&gt;"",COUNTIF(CareerLevels,$G194)=0),", a career level that is not on the ladder","")&amp;IF(AND($N194="Reduce",N($O194)&lt;=0),", how many seats Reduce means","")&amp;IF(AND(N($O194)&gt;0,$N194&lt;&gt;"Reduce"),", a number of seats on a row not marked Reduce","")&amp;IF(N($O194)&gt;N($J194),", more seats given up than the row has",""),3,200))</f>
        <v/>
      </c>
    </row>
    <row r="195" customFormat="false" ht="15" hidden="false" customHeight="false" outlineLevel="0" collapsed="false">
      <c r="A195" s="21"/>
      <c r="B195" s="21"/>
      <c r="C195" s="21"/>
      <c r="D195" s="21"/>
      <c r="E195" s="21"/>
      <c r="F195" s="21"/>
      <c r="G195" s="21"/>
      <c r="H195" s="21"/>
      <c r="I195" s="21"/>
      <c r="J195" s="22"/>
      <c r="K195" s="22"/>
      <c r="L195" s="22"/>
      <c r="M195" s="21"/>
      <c r="N195" s="21"/>
      <c r="O195" s="22"/>
      <c r="P195" s="20" t="n">
        <f aca="false">IF($N195="Reduce",N($O195),0)</f>
        <v>0</v>
      </c>
      <c r="Q195" s="23" t="str">
        <f aca="false">IF($F195="","",MID(IF($G195="",", career level","")&amp;IF($I195="",", nationality mandate","")&amp;IF($N195="",", capacity direction","")&amp;IF(N($J195)&lt;=0,", approved HC","")&amp;IF(AND($G195&lt;&gt;"",COUNTIF(CareerLevels,$G195)=0),", a career level that is not on the ladder","")&amp;IF(AND($N195="Reduce",N($O195)&lt;=0),", how many seats Reduce means","")&amp;IF(AND(N($O195)&gt;0,$N195&lt;&gt;"Reduce"),", a number of seats on a row not marked Reduce","")&amp;IF(N($O195)&gt;N($J195),", more seats given up than the row has",""),3,200))</f>
        <v/>
      </c>
    </row>
    <row r="196" customFormat="false" ht="15" hidden="false" customHeight="false" outlineLevel="0" collapsed="false">
      <c r="A196" s="21"/>
      <c r="B196" s="21"/>
      <c r="C196" s="21"/>
      <c r="D196" s="21"/>
      <c r="E196" s="21"/>
      <c r="F196" s="21"/>
      <c r="G196" s="21"/>
      <c r="H196" s="21"/>
      <c r="I196" s="21"/>
      <c r="J196" s="22"/>
      <c r="K196" s="22"/>
      <c r="L196" s="22"/>
      <c r="M196" s="21"/>
      <c r="N196" s="21"/>
      <c r="O196" s="22"/>
      <c r="P196" s="20" t="n">
        <f aca="false">IF($N196="Reduce",N($O196),0)</f>
        <v>0</v>
      </c>
      <c r="Q196" s="23" t="str">
        <f aca="false">IF($F196="","",MID(IF($G196="",", career level","")&amp;IF($I196="",", nationality mandate","")&amp;IF($N196="",", capacity direction","")&amp;IF(N($J196)&lt;=0,", approved HC","")&amp;IF(AND($G196&lt;&gt;"",COUNTIF(CareerLevels,$G196)=0),", a career level that is not on the ladder","")&amp;IF(AND($N196="Reduce",N($O196)&lt;=0),", how many seats Reduce means","")&amp;IF(AND(N($O196)&gt;0,$N196&lt;&gt;"Reduce"),", a number of seats on a row not marked Reduce","")&amp;IF(N($O196)&gt;N($J196),", more seats given up than the row has",""),3,200))</f>
        <v/>
      </c>
    </row>
    <row r="197" customFormat="false" ht="15" hidden="false" customHeight="false" outlineLevel="0" collapsed="false">
      <c r="A197" s="21"/>
      <c r="B197" s="21"/>
      <c r="C197" s="21"/>
      <c r="D197" s="21"/>
      <c r="E197" s="21"/>
      <c r="F197" s="21"/>
      <c r="G197" s="21"/>
      <c r="H197" s="21"/>
      <c r="I197" s="21"/>
      <c r="J197" s="22"/>
      <c r="K197" s="22"/>
      <c r="L197" s="22"/>
      <c r="M197" s="21"/>
      <c r="N197" s="21"/>
      <c r="O197" s="22"/>
      <c r="P197" s="20" t="n">
        <f aca="false">IF($N197="Reduce",N($O197),0)</f>
        <v>0</v>
      </c>
      <c r="Q197" s="23" t="str">
        <f aca="false">IF($F197="","",MID(IF($G197="",", career level","")&amp;IF($I197="",", nationality mandate","")&amp;IF($N197="",", capacity direction","")&amp;IF(N($J197)&lt;=0,", approved HC","")&amp;IF(AND($G197&lt;&gt;"",COUNTIF(CareerLevels,$G197)=0),", a career level that is not on the ladder","")&amp;IF(AND($N197="Reduce",N($O197)&lt;=0),", how many seats Reduce means","")&amp;IF(AND(N($O197)&gt;0,$N197&lt;&gt;"Reduce"),", a number of seats on a row not marked Reduce","")&amp;IF(N($O197)&gt;N($J197),", more seats given up than the row has",""),3,200))</f>
        <v/>
      </c>
    </row>
    <row r="198" customFormat="false" ht="15" hidden="false" customHeight="false" outlineLevel="0" collapsed="false">
      <c r="A198" s="21"/>
      <c r="B198" s="21"/>
      <c r="C198" s="21"/>
      <c r="D198" s="21"/>
      <c r="E198" s="21"/>
      <c r="F198" s="21"/>
      <c r="G198" s="21"/>
      <c r="H198" s="21"/>
      <c r="I198" s="21"/>
      <c r="J198" s="22"/>
      <c r="K198" s="22"/>
      <c r="L198" s="22"/>
      <c r="M198" s="21"/>
      <c r="N198" s="21"/>
      <c r="O198" s="22"/>
      <c r="P198" s="20" t="n">
        <f aca="false">IF($N198="Reduce",N($O198),0)</f>
        <v>0</v>
      </c>
      <c r="Q198" s="23" t="str">
        <f aca="false">IF($F198="","",MID(IF($G198="",", career level","")&amp;IF($I198="",", nationality mandate","")&amp;IF($N198="",", capacity direction","")&amp;IF(N($J198)&lt;=0,", approved HC","")&amp;IF(AND($G198&lt;&gt;"",COUNTIF(CareerLevels,$G198)=0),", a career level that is not on the ladder","")&amp;IF(AND($N198="Reduce",N($O198)&lt;=0),", how many seats Reduce means","")&amp;IF(AND(N($O198)&gt;0,$N198&lt;&gt;"Reduce"),", a number of seats on a row not marked Reduce","")&amp;IF(N($O198)&gt;N($J198),", more seats given up than the row has",""),3,200))</f>
        <v/>
      </c>
    </row>
    <row r="199" customFormat="false" ht="15" hidden="false" customHeight="false" outlineLevel="0" collapsed="false">
      <c r="A199" s="21"/>
      <c r="B199" s="21"/>
      <c r="C199" s="21"/>
      <c r="D199" s="21"/>
      <c r="E199" s="21"/>
      <c r="F199" s="21"/>
      <c r="G199" s="21"/>
      <c r="H199" s="21"/>
      <c r="I199" s="21"/>
      <c r="J199" s="22"/>
      <c r="K199" s="22"/>
      <c r="L199" s="22"/>
      <c r="M199" s="21"/>
      <c r="N199" s="21"/>
      <c r="O199" s="22"/>
      <c r="P199" s="20" t="n">
        <f aca="false">IF($N199="Reduce",N($O199),0)</f>
        <v>0</v>
      </c>
      <c r="Q199" s="23" t="str">
        <f aca="false">IF($F199="","",MID(IF($G199="",", career level","")&amp;IF($I199="",", nationality mandate","")&amp;IF($N199="",", capacity direction","")&amp;IF(N($J199)&lt;=0,", approved HC","")&amp;IF(AND($G199&lt;&gt;"",COUNTIF(CareerLevels,$G199)=0),", a career level that is not on the ladder","")&amp;IF(AND($N199="Reduce",N($O199)&lt;=0),", how many seats Reduce means","")&amp;IF(AND(N($O199)&gt;0,$N199&lt;&gt;"Reduce"),", a number of seats on a row not marked Reduce","")&amp;IF(N($O199)&gt;N($J199),", more seats given up than the row has",""),3,200))</f>
        <v/>
      </c>
    </row>
    <row r="200" customFormat="false" ht="15" hidden="false" customHeight="false" outlineLevel="0" collapsed="false">
      <c r="A200" s="21"/>
      <c r="B200" s="21"/>
      <c r="C200" s="21"/>
      <c r="D200" s="21"/>
      <c r="E200" s="21"/>
      <c r="F200" s="21"/>
      <c r="G200" s="21"/>
      <c r="H200" s="21"/>
      <c r="I200" s="21"/>
      <c r="J200" s="22"/>
      <c r="K200" s="22"/>
      <c r="L200" s="22"/>
      <c r="M200" s="21"/>
      <c r="N200" s="21"/>
      <c r="O200" s="22"/>
      <c r="P200" s="20" t="n">
        <f aca="false">IF($N200="Reduce",N($O200),0)</f>
        <v>0</v>
      </c>
      <c r="Q200" s="23" t="str">
        <f aca="false">IF($F200="","",MID(IF($G200="",", career level","")&amp;IF($I200="",", nationality mandate","")&amp;IF($N200="",", capacity direction","")&amp;IF(N($J200)&lt;=0,", approved HC","")&amp;IF(AND($G200&lt;&gt;"",COUNTIF(CareerLevels,$G200)=0),", a career level that is not on the ladder","")&amp;IF(AND($N200="Reduce",N($O200)&lt;=0),", how many seats Reduce means","")&amp;IF(AND(N($O200)&gt;0,$N200&lt;&gt;"Reduce"),", a number of seats on a row not marked Reduce","")&amp;IF(N($O200)&gt;N($J200),", more seats given up than the row has",""),3,200))</f>
        <v/>
      </c>
    </row>
    <row r="201" customFormat="false" ht="15" hidden="false" customHeight="false" outlineLevel="0" collapsed="false">
      <c r="A201" s="21"/>
      <c r="B201" s="21"/>
      <c r="C201" s="21"/>
      <c r="D201" s="21"/>
      <c r="E201" s="21"/>
      <c r="F201" s="21"/>
      <c r="G201" s="21"/>
      <c r="H201" s="21"/>
      <c r="I201" s="21"/>
      <c r="J201" s="22"/>
      <c r="K201" s="22"/>
      <c r="L201" s="22"/>
      <c r="M201" s="21"/>
      <c r="N201" s="21"/>
      <c r="O201" s="22"/>
      <c r="P201" s="20" t="n">
        <f aca="false">IF($N201="Reduce",N($O201),0)</f>
        <v>0</v>
      </c>
      <c r="Q201" s="23" t="str">
        <f aca="false">IF($F201="","",MID(IF($G201="",", career level","")&amp;IF($I201="",", nationality mandate","")&amp;IF($N201="",", capacity direction","")&amp;IF(N($J201)&lt;=0,", approved HC","")&amp;IF(AND($G201&lt;&gt;"",COUNTIF(CareerLevels,$G201)=0),", a career level that is not on the ladder","")&amp;IF(AND($N201="Reduce",N($O201)&lt;=0),", how many seats Reduce means","")&amp;IF(AND(N($O201)&gt;0,$N201&lt;&gt;"Reduce"),", a number of seats on a row not marked Reduce","")&amp;IF(N($O201)&gt;N($J201),", more seats given up than the row has",""),3,200))</f>
        <v/>
      </c>
    </row>
    <row r="202" customFormat="false" ht="15" hidden="false" customHeight="false" outlineLevel="0" collapsed="false">
      <c r="A202" s="21"/>
      <c r="B202" s="21"/>
      <c r="C202" s="21"/>
      <c r="D202" s="21"/>
      <c r="E202" s="21"/>
      <c r="F202" s="21"/>
      <c r="G202" s="21"/>
      <c r="H202" s="21"/>
      <c r="I202" s="21"/>
      <c r="J202" s="22"/>
      <c r="K202" s="22"/>
      <c r="L202" s="22"/>
      <c r="M202" s="21"/>
      <c r="N202" s="21"/>
      <c r="O202" s="22"/>
      <c r="P202" s="20" t="n">
        <f aca="false">IF($N202="Reduce",N($O202),0)</f>
        <v>0</v>
      </c>
      <c r="Q202" s="23" t="str">
        <f aca="false">IF($F202="","",MID(IF($G202="",", career level","")&amp;IF($I202="",", nationality mandate","")&amp;IF($N202="",", capacity direction","")&amp;IF(N($J202)&lt;=0,", approved HC","")&amp;IF(AND($G202&lt;&gt;"",COUNTIF(CareerLevels,$G202)=0),", a career level that is not on the ladder","")&amp;IF(AND($N202="Reduce",N($O202)&lt;=0),", how many seats Reduce means","")&amp;IF(AND(N($O202)&gt;0,$N202&lt;&gt;"Reduce"),", a number of seats on a row not marked Reduce","")&amp;IF(N($O202)&gt;N($J202),", more seats given up than the row has",""),3,200))</f>
        <v/>
      </c>
    </row>
    <row r="203" customFormat="false" ht="15" hidden="false" customHeight="false" outlineLevel="0" collapsed="false">
      <c r="A203" s="21"/>
      <c r="B203" s="21"/>
      <c r="C203" s="21"/>
      <c r="D203" s="21"/>
      <c r="E203" s="21"/>
      <c r="F203" s="21"/>
      <c r="G203" s="21"/>
      <c r="H203" s="21"/>
      <c r="I203" s="21"/>
      <c r="J203" s="22"/>
      <c r="K203" s="22"/>
      <c r="L203" s="22"/>
      <c r="M203" s="21"/>
      <c r="N203" s="21"/>
      <c r="O203" s="22"/>
      <c r="P203" s="20" t="n">
        <f aca="false">IF($N203="Reduce",N($O203),0)</f>
        <v>0</v>
      </c>
      <c r="Q203" s="23" t="str">
        <f aca="false">IF($F203="","",MID(IF($G203="",", career level","")&amp;IF($I203="",", nationality mandate","")&amp;IF($N203="",", capacity direction","")&amp;IF(N($J203)&lt;=0,", approved HC","")&amp;IF(AND($G203&lt;&gt;"",COUNTIF(CareerLevels,$G203)=0),", a career level that is not on the ladder","")&amp;IF(AND($N203="Reduce",N($O203)&lt;=0),", how many seats Reduce means","")&amp;IF(AND(N($O203)&gt;0,$N203&lt;&gt;"Reduce"),", a number of seats on a row not marked Reduce","")&amp;IF(N($O203)&gt;N($J203),", more seats given up than the row has",""),3,200))</f>
        <v/>
      </c>
    </row>
    <row r="204" customFormat="false" ht="15" hidden="false" customHeight="false" outlineLevel="0" collapsed="false">
      <c r="A204" s="21"/>
      <c r="B204" s="21"/>
      <c r="C204" s="21"/>
      <c r="D204" s="21"/>
      <c r="E204" s="21"/>
      <c r="F204" s="21"/>
      <c r="G204" s="21"/>
      <c r="H204" s="21"/>
      <c r="I204" s="21"/>
      <c r="J204" s="22"/>
      <c r="K204" s="22"/>
      <c r="L204" s="22"/>
      <c r="M204" s="21"/>
      <c r="N204" s="21"/>
      <c r="O204" s="22"/>
      <c r="P204" s="20" t="n">
        <f aca="false">IF($N204="Reduce",N($O204),0)</f>
        <v>0</v>
      </c>
      <c r="Q204" s="23" t="str">
        <f aca="false">IF($F204="","",MID(IF($G204="",", career level","")&amp;IF($I204="",", nationality mandate","")&amp;IF($N204="",", capacity direction","")&amp;IF(N($J204)&lt;=0,", approved HC","")&amp;IF(AND($G204&lt;&gt;"",COUNTIF(CareerLevels,$G204)=0),", a career level that is not on the ladder","")&amp;IF(AND($N204="Reduce",N($O204)&lt;=0),", how many seats Reduce means","")&amp;IF(AND(N($O204)&gt;0,$N204&lt;&gt;"Reduce"),", a number of seats on a row not marked Reduce","")&amp;IF(N($O204)&gt;N($J204),", more seats given up than the row has",""),3,200))</f>
        <v/>
      </c>
    </row>
  </sheetData>
  <sheetProtection sheet="true" sort="false" autoFilter="false"/>
  <autoFilter ref="A5:Q204"/>
  <mergeCells count="1">
    <mergeCell ref="A2:J2"/>
  </mergeCells>
  <conditionalFormatting sqref="A6:Q204">
    <cfRule type="expression" priority="2" aboveAverage="0" equalAverage="0" bottom="0" percent="0" rank="0" text="" dxfId="11">
      <formula>AND(N($J6)&gt;0,$P6=$J6)</formula>
    </cfRule>
  </conditionalFormatting>
  <conditionalFormatting sqref="P6:P204">
    <cfRule type="cellIs" priority="3" operator="greaterThan" aboveAverage="0" equalAverage="0" bottom="0" percent="0" rank="0" text="" dxfId="12">
      <formula>0</formula>
    </cfRule>
  </conditionalFormatting>
  <conditionalFormatting sqref="Q6:Q204">
    <cfRule type="expression" priority="4" aboveAverage="0" equalAverage="0" bottom="0" percent="0" rank="0" text="" dxfId="13">
      <formula>$Q6&lt;&gt;""</formula>
    </cfRule>
  </conditionalFormatting>
  <dataValidations count="6">
    <dataValidation allowBlank="true" error="Pick a value from the list." errorStyle="stop" operator="between" showDropDown="false" showErrorMessage="true" showInputMessage="false" sqref="G6:G204" type="list">
      <formula1>CareerLevels</formula1>
      <formula2>0</formula2>
    </dataValidation>
    <dataValidation allowBlank="true" error="Pick a value from the list." errorStyle="stop" operator="between" showDropDown="false" showErrorMessage="true" showInputMessage="false" sqref="H6:H204" type="list">
      <formula1>JobFamilies</formula1>
      <formula2>0</formula2>
    </dataValidation>
    <dataValidation allowBlank="true" error="Pick a value from the list." errorStyle="stop" operator="between" showDropDown="false" showErrorMessage="true" showInputMessage="false" sqref="I6:I204" type="list">
      <formula1>YesNo</formula1>
      <formula2>0</formula2>
    </dataValidation>
    <dataValidation allowBlank="true" error="Pick a value from the list." errorStyle="stop" operator="between" showDropDown="false" showErrorMessage="true" showInputMessage="false" sqref="M6:M204" type="list">
      <formula1>WorkerTypes</formula1>
      <formula2>0</formula2>
    </dataValidation>
    <dataValidation allowBlank="true" error="Pick a value from the list." errorStyle="stop" operator="between" showDropDown="false" showErrorMessage="true" showInputMessage="false" sqref="N6:N204" type="list">
      <formula1>DirectionList</formula1>
      <formula2>0</formula2>
    </dataValidation>
    <dataValidation allowBlank="true" error="Give up between none and all of this row's approved headcount." errorStyle="stop" errorTitle="More than the row has" operator="between" showDropDown="false" showErrorMessage="true" showInputMessage="false" sqref="O6:O204" type="decimal">
      <formula1>0</formula1>
      <formula2>$J6</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26"/>
    <col collapsed="false" customWidth="true" hidden="false" outlineLevel="0" max="4" min="4" style="0" width="28"/>
    <col collapsed="false" customWidth="true" hidden="false" outlineLevel="0" max="5" min="5" style="0" width="17"/>
    <col collapsed="false" customWidth="true" hidden="false" outlineLevel="0" max="6" min="6" style="0" width="13"/>
    <col collapsed="false" customWidth="true" hidden="false" outlineLevel="0" max="8" min="7" style="0" width="20"/>
    <col collapsed="false" customWidth="true" hidden="false" outlineLevel="0" max="9" min="9" style="0" width="13"/>
    <col collapsed="false" customWidth="true" hidden="false" outlineLevel="0" max="10" min="10" style="0" width="24"/>
    <col collapsed="false" customWidth="true" hidden="false" outlineLevel="0" max="12" min="11" style="0" width="13"/>
    <col collapsed="false" customWidth="true" hidden="false" outlineLevel="0" max="14" min="13" style="0" width="15"/>
    <col collapsed="false" customWidth="true" hidden="false" outlineLevel="0" max="15" min="15" style="0" width="32"/>
  </cols>
  <sheetData>
    <row r="1" customFormat="false" ht="24" hidden="false" customHeight="true" outlineLevel="0" collapsed="false">
      <c r="A1" s="1" t="s">
        <v>374</v>
      </c>
    </row>
    <row r="2" customFormat="false" ht="15" hidden="false" customHeight="false" outlineLevel="0" collapsed="false">
      <c r="A2" s="2" t="s">
        <v>375</v>
      </c>
      <c r="B2" s="2"/>
      <c r="C2" s="2"/>
      <c r="D2" s="2"/>
      <c r="E2" s="2"/>
      <c r="F2" s="2"/>
      <c r="G2" s="2"/>
      <c r="H2" s="2"/>
      <c r="I2" s="2"/>
      <c r="J2" s="2"/>
    </row>
    <row r="5" customFormat="false" ht="30" hidden="false" customHeight="true" outlineLevel="0" collapsed="false">
      <c r="A5" s="12" t="s">
        <v>376</v>
      </c>
      <c r="B5" s="12" t="s">
        <v>61</v>
      </c>
      <c r="C5" s="12" t="s">
        <v>50</v>
      </c>
      <c r="D5" s="12" t="s">
        <v>377</v>
      </c>
      <c r="E5" s="12" t="s">
        <v>18</v>
      </c>
      <c r="F5" s="12" t="s">
        <v>259</v>
      </c>
      <c r="G5" s="12" t="s">
        <v>378</v>
      </c>
      <c r="H5" s="12" t="s">
        <v>379</v>
      </c>
      <c r="I5" s="12" t="s">
        <v>380</v>
      </c>
      <c r="J5" s="12" t="s">
        <v>26</v>
      </c>
      <c r="K5" s="12" t="s">
        <v>381</v>
      </c>
      <c r="L5" s="12" t="s">
        <v>382</v>
      </c>
      <c r="M5" s="12" t="s">
        <v>383</v>
      </c>
      <c r="N5" s="12" t="s">
        <v>384</v>
      </c>
      <c r="O5" s="12" t="s">
        <v>261</v>
      </c>
    </row>
    <row r="6" customFormat="false" ht="15" hidden="false" customHeight="false" outlineLevel="0" collapsed="false">
      <c r="A6" s="17" t="n">
        <v>1</v>
      </c>
      <c r="B6" s="21"/>
      <c r="C6" s="21"/>
      <c r="D6" s="21"/>
      <c r="E6" s="21"/>
      <c r="F6" s="21"/>
      <c r="G6" s="21"/>
      <c r="H6" s="21"/>
      <c r="I6" s="21"/>
      <c r="J6" s="21"/>
      <c r="K6" s="21"/>
      <c r="L6" s="24" t="str">
        <f aca="false">IF(OR($D6="",$I6="",$J6=""),"",IF($J6="Surrender to fund new asks",MATCH($I6,QuarterList,0)/4,IF($J6="Defer backfill",IF($K6="",MATCH($I6,QuarterList,0)/4,MIN(1,MATCH($I6,QuarterList,0)/4+(5-MATCH($K6,QuarterList,0))/4)),1)))</f>
        <v/>
      </c>
      <c r="M6" s="19" t="str">
        <f aca="false">IF($L6="","",IFERROR(INDEX(LevelBasic,MATCH($E6,LevelList,0))+INDEX(LevelHousing,MATCH($E6,LevelList,0))+INDEX(LevelTransport,MATCH($E6,LevelList,0))+INDEX(LevelBasic,MATCH($E6,LevelList,0))*INDEX(LevelBonus,MATCH($E6,LevelList,0))+(INDEX(LevelBasic,MATCH($E6,LevelList,0))+INDEX(LevelHousing,MATCH($E6,LevelList,0)))*GosiSaudi,0)*(1-$L6))</f>
        <v/>
      </c>
      <c r="N6" s="19" t="n">
        <f aca="false">IF($J6="Surrender to fund new asks",IFERROR(INDEX(LevelBasic,MATCH($E6,LevelList,0))+INDEX(LevelHousing,MATCH($E6,LevelList,0))+INDEX(LevelTransport,MATCH($E6,LevelList,0))+INDEX(LevelBasic,MATCH($E6,LevelList,0))*INDEX(LevelBonus,MATCH($E6,LevelList,0))+(INDEX(LevelBasic,MATCH($E6,LevelList,0))+INDEX(LevelHousing,MATCH($E6,LevelList,0)))*GosiSaudi,0),0)</f>
        <v>0</v>
      </c>
      <c r="O6" s="23" t="str">
        <f aca="false">IF($D6="","",MID(IF($C6="",", unit","")&amp;IF($E6="",", career level","")&amp;IF($H6="",", reason","")&amp;IF($I6="",", leaving quarter","")&amp;IF($J6="",", what happens to the seat","")&amp;IF(AND($J6="Defer backfill",$K6=""),", the backfill quarter","")&amp;IF(IFERROR(AND($K6&lt;&gt;"",$I6&lt;&gt;"",MATCH($K6,QuarterList,0)&lt;=MATCH($I6,QuarterList,0)),FALSE()),", a backfill quarter later than the leaving quarter","")&amp;IF(AND($C6&lt;&gt;"",COUNTIF(UnitList,$C6)=0),", a unit that is not in your structure",""),3,300))</f>
        <v/>
      </c>
    </row>
    <row r="7" customFormat="false" ht="15" hidden="false" customHeight="false" outlineLevel="0" collapsed="false">
      <c r="A7" s="17" t="n">
        <v>2</v>
      </c>
      <c r="B7" s="21"/>
      <c r="C7" s="21"/>
      <c r="D7" s="21"/>
      <c r="E7" s="21"/>
      <c r="F7" s="21"/>
      <c r="G7" s="21"/>
      <c r="H7" s="21"/>
      <c r="I7" s="21"/>
      <c r="J7" s="21"/>
      <c r="K7" s="21"/>
      <c r="L7" s="24" t="str">
        <f aca="false">IF(OR($D7="",$I7="",$J7=""),"",IF($J7="Surrender to fund new asks",MATCH($I7,QuarterList,0)/4,IF($J7="Defer backfill",IF($K7="",MATCH($I7,QuarterList,0)/4,MIN(1,MATCH($I7,QuarterList,0)/4+(5-MATCH($K7,QuarterList,0))/4)),1)))</f>
        <v/>
      </c>
      <c r="M7" s="19" t="str">
        <f aca="false">IF($L7="","",IFERROR(INDEX(LevelBasic,MATCH($E7,LevelList,0))+INDEX(LevelHousing,MATCH($E7,LevelList,0))+INDEX(LevelTransport,MATCH($E7,LevelList,0))+INDEX(LevelBasic,MATCH($E7,LevelList,0))*INDEX(LevelBonus,MATCH($E7,LevelList,0))+(INDEX(LevelBasic,MATCH($E7,LevelList,0))+INDEX(LevelHousing,MATCH($E7,LevelList,0)))*GosiSaudi,0)*(1-$L7))</f>
        <v/>
      </c>
      <c r="N7" s="19" t="n">
        <f aca="false">IF($J7="Surrender to fund new asks",IFERROR(INDEX(LevelBasic,MATCH($E7,LevelList,0))+INDEX(LevelHousing,MATCH($E7,LevelList,0))+INDEX(LevelTransport,MATCH($E7,LevelList,0))+INDEX(LevelBasic,MATCH($E7,LevelList,0))*INDEX(LevelBonus,MATCH($E7,LevelList,0))+(INDEX(LevelBasic,MATCH($E7,LevelList,0))+INDEX(LevelHousing,MATCH($E7,LevelList,0)))*GosiSaudi,0),0)</f>
        <v>0</v>
      </c>
      <c r="O7" s="23" t="str">
        <f aca="false">IF($D7="","",MID(IF($C7="",", unit","")&amp;IF($E7="",", career level","")&amp;IF($H7="",", reason","")&amp;IF($I7="",", leaving quarter","")&amp;IF($J7="",", what happens to the seat","")&amp;IF(AND($J7="Defer backfill",$K7=""),", the backfill quarter","")&amp;IF(IFERROR(AND($K7&lt;&gt;"",$I7&lt;&gt;"",MATCH($K7,QuarterList,0)&lt;=MATCH($I7,QuarterList,0)),FALSE()),", a backfill quarter later than the leaving quarter","")&amp;IF(AND($C7&lt;&gt;"",COUNTIF(UnitList,$C7)=0),", a unit that is not in your structure",""),3,300))</f>
        <v/>
      </c>
    </row>
    <row r="8" customFormat="false" ht="15" hidden="false" customHeight="false" outlineLevel="0" collapsed="false">
      <c r="A8" s="17" t="n">
        <v>3</v>
      </c>
      <c r="B8" s="21"/>
      <c r="C8" s="21"/>
      <c r="D8" s="21"/>
      <c r="E8" s="21"/>
      <c r="F8" s="21"/>
      <c r="G8" s="21"/>
      <c r="H8" s="21"/>
      <c r="I8" s="21"/>
      <c r="J8" s="21"/>
      <c r="K8" s="21"/>
      <c r="L8" s="24" t="str">
        <f aca="false">IF(OR($D8="",$I8="",$J8=""),"",IF($J8="Surrender to fund new asks",MATCH($I8,QuarterList,0)/4,IF($J8="Defer backfill",IF($K8="",MATCH($I8,QuarterList,0)/4,MIN(1,MATCH($I8,QuarterList,0)/4+(5-MATCH($K8,QuarterList,0))/4)),1)))</f>
        <v/>
      </c>
      <c r="M8" s="19" t="str">
        <f aca="false">IF($L8="","",IFERROR(INDEX(LevelBasic,MATCH($E8,LevelList,0))+INDEX(LevelHousing,MATCH($E8,LevelList,0))+INDEX(LevelTransport,MATCH($E8,LevelList,0))+INDEX(LevelBasic,MATCH($E8,LevelList,0))*INDEX(LevelBonus,MATCH($E8,LevelList,0))+(INDEX(LevelBasic,MATCH($E8,LevelList,0))+INDEX(LevelHousing,MATCH($E8,LevelList,0)))*GosiSaudi,0)*(1-$L8))</f>
        <v/>
      </c>
      <c r="N8" s="19" t="n">
        <f aca="false">IF($J8="Surrender to fund new asks",IFERROR(INDEX(LevelBasic,MATCH($E8,LevelList,0))+INDEX(LevelHousing,MATCH($E8,LevelList,0))+INDEX(LevelTransport,MATCH($E8,LevelList,0))+INDEX(LevelBasic,MATCH($E8,LevelList,0))*INDEX(LevelBonus,MATCH($E8,LevelList,0))+(INDEX(LevelBasic,MATCH($E8,LevelList,0))+INDEX(LevelHousing,MATCH($E8,LevelList,0)))*GosiSaudi,0),0)</f>
        <v>0</v>
      </c>
      <c r="O8" s="23" t="str">
        <f aca="false">IF($D8="","",MID(IF($C8="",", unit","")&amp;IF($E8="",", career level","")&amp;IF($H8="",", reason","")&amp;IF($I8="",", leaving quarter","")&amp;IF($J8="",", what happens to the seat","")&amp;IF(AND($J8="Defer backfill",$K8=""),", the backfill quarter","")&amp;IF(IFERROR(AND($K8&lt;&gt;"",$I8&lt;&gt;"",MATCH($K8,QuarterList,0)&lt;=MATCH($I8,QuarterList,0)),FALSE()),", a backfill quarter later than the leaving quarter","")&amp;IF(AND($C8&lt;&gt;"",COUNTIF(UnitList,$C8)=0),", a unit that is not in your structure",""),3,300))</f>
        <v/>
      </c>
    </row>
    <row r="9" customFormat="false" ht="15" hidden="false" customHeight="false" outlineLevel="0" collapsed="false">
      <c r="A9" s="17" t="n">
        <v>4</v>
      </c>
      <c r="B9" s="21"/>
      <c r="C9" s="21"/>
      <c r="D9" s="21"/>
      <c r="E9" s="21"/>
      <c r="F9" s="21"/>
      <c r="G9" s="21"/>
      <c r="H9" s="21"/>
      <c r="I9" s="21"/>
      <c r="J9" s="21"/>
      <c r="K9" s="21"/>
      <c r="L9" s="24" t="str">
        <f aca="false">IF(OR($D9="",$I9="",$J9=""),"",IF($J9="Surrender to fund new asks",MATCH($I9,QuarterList,0)/4,IF($J9="Defer backfill",IF($K9="",MATCH($I9,QuarterList,0)/4,MIN(1,MATCH($I9,QuarterList,0)/4+(5-MATCH($K9,QuarterList,0))/4)),1)))</f>
        <v/>
      </c>
      <c r="M9" s="19" t="str">
        <f aca="false">IF($L9="","",IFERROR(INDEX(LevelBasic,MATCH($E9,LevelList,0))+INDEX(LevelHousing,MATCH($E9,LevelList,0))+INDEX(LevelTransport,MATCH($E9,LevelList,0))+INDEX(LevelBasic,MATCH($E9,LevelList,0))*INDEX(LevelBonus,MATCH($E9,LevelList,0))+(INDEX(LevelBasic,MATCH($E9,LevelList,0))+INDEX(LevelHousing,MATCH($E9,LevelList,0)))*GosiSaudi,0)*(1-$L9))</f>
        <v/>
      </c>
      <c r="N9" s="19" t="n">
        <f aca="false">IF($J9="Surrender to fund new asks",IFERROR(INDEX(LevelBasic,MATCH($E9,LevelList,0))+INDEX(LevelHousing,MATCH($E9,LevelList,0))+INDEX(LevelTransport,MATCH($E9,LevelList,0))+INDEX(LevelBasic,MATCH($E9,LevelList,0))*INDEX(LevelBonus,MATCH($E9,LevelList,0))+(INDEX(LevelBasic,MATCH($E9,LevelList,0))+INDEX(LevelHousing,MATCH($E9,LevelList,0)))*GosiSaudi,0),0)</f>
        <v>0</v>
      </c>
      <c r="O9" s="23" t="str">
        <f aca="false">IF($D9="","",MID(IF($C9="",", unit","")&amp;IF($E9="",", career level","")&amp;IF($H9="",", reason","")&amp;IF($I9="",", leaving quarter","")&amp;IF($J9="",", what happens to the seat","")&amp;IF(AND($J9="Defer backfill",$K9=""),", the backfill quarter","")&amp;IF(IFERROR(AND($K9&lt;&gt;"",$I9&lt;&gt;"",MATCH($K9,QuarterList,0)&lt;=MATCH($I9,QuarterList,0)),FALSE()),", a backfill quarter later than the leaving quarter","")&amp;IF(AND($C9&lt;&gt;"",COUNTIF(UnitList,$C9)=0),", a unit that is not in your structure",""),3,300))</f>
        <v/>
      </c>
    </row>
    <row r="10" customFormat="false" ht="15" hidden="false" customHeight="false" outlineLevel="0" collapsed="false">
      <c r="A10" s="17" t="n">
        <v>5</v>
      </c>
      <c r="B10" s="21"/>
      <c r="C10" s="21"/>
      <c r="D10" s="21"/>
      <c r="E10" s="21"/>
      <c r="F10" s="21"/>
      <c r="G10" s="21"/>
      <c r="H10" s="21"/>
      <c r="I10" s="21"/>
      <c r="J10" s="21"/>
      <c r="K10" s="21"/>
      <c r="L10" s="24" t="str">
        <f aca="false">IF(OR($D10="",$I10="",$J10=""),"",IF($J10="Surrender to fund new asks",MATCH($I10,QuarterList,0)/4,IF($J10="Defer backfill",IF($K10="",MATCH($I10,QuarterList,0)/4,MIN(1,MATCH($I10,QuarterList,0)/4+(5-MATCH($K10,QuarterList,0))/4)),1)))</f>
        <v/>
      </c>
      <c r="M10" s="19" t="str">
        <f aca="false">IF($L10="","",IFERROR(INDEX(LevelBasic,MATCH($E10,LevelList,0))+INDEX(LevelHousing,MATCH($E10,LevelList,0))+INDEX(LevelTransport,MATCH($E10,LevelList,0))+INDEX(LevelBasic,MATCH($E10,LevelList,0))*INDEX(LevelBonus,MATCH($E10,LevelList,0))+(INDEX(LevelBasic,MATCH($E10,LevelList,0))+INDEX(LevelHousing,MATCH($E10,LevelList,0)))*GosiSaudi,0)*(1-$L10))</f>
        <v/>
      </c>
      <c r="N10" s="19" t="n">
        <f aca="false">IF($J10="Surrender to fund new asks",IFERROR(INDEX(LevelBasic,MATCH($E10,LevelList,0))+INDEX(LevelHousing,MATCH($E10,LevelList,0))+INDEX(LevelTransport,MATCH($E10,LevelList,0))+INDEX(LevelBasic,MATCH($E10,LevelList,0))*INDEX(LevelBonus,MATCH($E10,LevelList,0))+(INDEX(LevelBasic,MATCH($E10,LevelList,0))+INDEX(LevelHousing,MATCH($E10,LevelList,0)))*GosiSaudi,0),0)</f>
        <v>0</v>
      </c>
      <c r="O10" s="23" t="str">
        <f aca="false">IF($D10="","",MID(IF($C10="",", unit","")&amp;IF($E10="",", career level","")&amp;IF($H10="",", reason","")&amp;IF($I10="",", leaving quarter","")&amp;IF($J10="",", what happens to the seat","")&amp;IF(AND($J10="Defer backfill",$K10=""),", the backfill quarter","")&amp;IF(IFERROR(AND($K10&lt;&gt;"",$I10&lt;&gt;"",MATCH($K10,QuarterList,0)&lt;=MATCH($I10,QuarterList,0)),FALSE()),", a backfill quarter later than the leaving quarter","")&amp;IF(AND($C10&lt;&gt;"",COUNTIF(UnitList,$C10)=0),", a unit that is not in your structure",""),3,300))</f>
        <v/>
      </c>
    </row>
    <row r="11" customFormat="false" ht="15" hidden="false" customHeight="false" outlineLevel="0" collapsed="false">
      <c r="A11" s="17" t="n">
        <v>6</v>
      </c>
      <c r="B11" s="21"/>
      <c r="C11" s="21"/>
      <c r="D11" s="21"/>
      <c r="E11" s="21"/>
      <c r="F11" s="21"/>
      <c r="G11" s="21"/>
      <c r="H11" s="21"/>
      <c r="I11" s="21"/>
      <c r="J11" s="21"/>
      <c r="K11" s="21"/>
      <c r="L11" s="24" t="str">
        <f aca="false">IF(OR($D11="",$I11="",$J11=""),"",IF($J11="Surrender to fund new asks",MATCH($I11,QuarterList,0)/4,IF($J11="Defer backfill",IF($K11="",MATCH($I11,QuarterList,0)/4,MIN(1,MATCH($I11,QuarterList,0)/4+(5-MATCH($K11,QuarterList,0))/4)),1)))</f>
        <v/>
      </c>
      <c r="M11" s="19" t="str">
        <f aca="false">IF($L11="","",IFERROR(INDEX(LevelBasic,MATCH($E11,LevelList,0))+INDEX(LevelHousing,MATCH($E11,LevelList,0))+INDEX(LevelTransport,MATCH($E11,LevelList,0))+INDEX(LevelBasic,MATCH($E11,LevelList,0))*INDEX(LevelBonus,MATCH($E11,LevelList,0))+(INDEX(LevelBasic,MATCH($E11,LevelList,0))+INDEX(LevelHousing,MATCH($E11,LevelList,0)))*GosiSaudi,0)*(1-$L11))</f>
        <v/>
      </c>
      <c r="N11" s="19" t="n">
        <f aca="false">IF($J11="Surrender to fund new asks",IFERROR(INDEX(LevelBasic,MATCH($E11,LevelList,0))+INDEX(LevelHousing,MATCH($E11,LevelList,0))+INDEX(LevelTransport,MATCH($E11,LevelList,0))+INDEX(LevelBasic,MATCH($E11,LevelList,0))*INDEX(LevelBonus,MATCH($E11,LevelList,0))+(INDEX(LevelBasic,MATCH($E11,LevelList,0))+INDEX(LevelHousing,MATCH($E11,LevelList,0)))*GosiSaudi,0),0)</f>
        <v>0</v>
      </c>
      <c r="O11" s="23" t="str">
        <f aca="false">IF($D11="","",MID(IF($C11="",", unit","")&amp;IF($E11="",", career level","")&amp;IF($H11="",", reason","")&amp;IF($I11="",", leaving quarter","")&amp;IF($J11="",", what happens to the seat","")&amp;IF(AND($J11="Defer backfill",$K11=""),", the backfill quarter","")&amp;IF(IFERROR(AND($K11&lt;&gt;"",$I11&lt;&gt;"",MATCH($K11,QuarterList,0)&lt;=MATCH($I11,QuarterList,0)),FALSE()),", a backfill quarter later than the leaving quarter","")&amp;IF(AND($C11&lt;&gt;"",COUNTIF(UnitList,$C11)=0),", a unit that is not in your structure",""),3,300))</f>
        <v/>
      </c>
    </row>
    <row r="12" customFormat="false" ht="15" hidden="false" customHeight="false" outlineLevel="0" collapsed="false">
      <c r="A12" s="17" t="n">
        <v>7</v>
      </c>
      <c r="B12" s="21"/>
      <c r="C12" s="21"/>
      <c r="D12" s="21"/>
      <c r="E12" s="21"/>
      <c r="F12" s="21"/>
      <c r="G12" s="21"/>
      <c r="H12" s="21"/>
      <c r="I12" s="21"/>
      <c r="J12" s="21"/>
      <c r="K12" s="21"/>
      <c r="L12" s="24" t="str">
        <f aca="false">IF(OR($D12="",$I12="",$J12=""),"",IF($J12="Surrender to fund new asks",MATCH($I12,QuarterList,0)/4,IF($J12="Defer backfill",IF($K12="",MATCH($I12,QuarterList,0)/4,MIN(1,MATCH($I12,QuarterList,0)/4+(5-MATCH($K12,QuarterList,0))/4)),1)))</f>
        <v/>
      </c>
      <c r="M12" s="19" t="str">
        <f aca="false">IF($L12="","",IFERROR(INDEX(LevelBasic,MATCH($E12,LevelList,0))+INDEX(LevelHousing,MATCH($E12,LevelList,0))+INDEX(LevelTransport,MATCH($E12,LevelList,0))+INDEX(LevelBasic,MATCH($E12,LevelList,0))*INDEX(LevelBonus,MATCH($E12,LevelList,0))+(INDEX(LevelBasic,MATCH($E12,LevelList,0))+INDEX(LevelHousing,MATCH($E12,LevelList,0)))*GosiSaudi,0)*(1-$L12))</f>
        <v/>
      </c>
      <c r="N12" s="19" t="n">
        <f aca="false">IF($J12="Surrender to fund new asks",IFERROR(INDEX(LevelBasic,MATCH($E12,LevelList,0))+INDEX(LevelHousing,MATCH($E12,LevelList,0))+INDEX(LevelTransport,MATCH($E12,LevelList,0))+INDEX(LevelBasic,MATCH($E12,LevelList,0))*INDEX(LevelBonus,MATCH($E12,LevelList,0))+(INDEX(LevelBasic,MATCH($E12,LevelList,0))+INDEX(LevelHousing,MATCH($E12,LevelList,0)))*GosiSaudi,0),0)</f>
        <v>0</v>
      </c>
      <c r="O12" s="23" t="str">
        <f aca="false">IF($D12="","",MID(IF($C12="",", unit","")&amp;IF($E12="",", career level","")&amp;IF($H12="",", reason","")&amp;IF($I12="",", leaving quarter","")&amp;IF($J12="",", what happens to the seat","")&amp;IF(AND($J12="Defer backfill",$K12=""),", the backfill quarter","")&amp;IF(IFERROR(AND($K12&lt;&gt;"",$I12&lt;&gt;"",MATCH($K12,QuarterList,0)&lt;=MATCH($I12,QuarterList,0)),FALSE()),", a backfill quarter later than the leaving quarter","")&amp;IF(AND($C12&lt;&gt;"",COUNTIF(UnitList,$C12)=0),", a unit that is not in your structure",""),3,300))</f>
        <v/>
      </c>
    </row>
    <row r="13" customFormat="false" ht="15" hidden="false" customHeight="false" outlineLevel="0" collapsed="false">
      <c r="A13" s="17" t="n">
        <v>8</v>
      </c>
      <c r="B13" s="21"/>
      <c r="C13" s="21"/>
      <c r="D13" s="21"/>
      <c r="E13" s="21"/>
      <c r="F13" s="21"/>
      <c r="G13" s="21"/>
      <c r="H13" s="21"/>
      <c r="I13" s="21"/>
      <c r="J13" s="21"/>
      <c r="K13" s="21"/>
      <c r="L13" s="24" t="str">
        <f aca="false">IF(OR($D13="",$I13="",$J13=""),"",IF($J13="Surrender to fund new asks",MATCH($I13,QuarterList,0)/4,IF($J13="Defer backfill",IF($K13="",MATCH($I13,QuarterList,0)/4,MIN(1,MATCH($I13,QuarterList,0)/4+(5-MATCH($K13,QuarterList,0))/4)),1)))</f>
        <v/>
      </c>
      <c r="M13" s="19" t="str">
        <f aca="false">IF($L13="","",IFERROR(INDEX(LevelBasic,MATCH($E13,LevelList,0))+INDEX(LevelHousing,MATCH($E13,LevelList,0))+INDEX(LevelTransport,MATCH($E13,LevelList,0))+INDEX(LevelBasic,MATCH($E13,LevelList,0))*INDEX(LevelBonus,MATCH($E13,LevelList,0))+(INDEX(LevelBasic,MATCH($E13,LevelList,0))+INDEX(LevelHousing,MATCH($E13,LevelList,0)))*GosiSaudi,0)*(1-$L13))</f>
        <v/>
      </c>
      <c r="N13" s="19" t="n">
        <f aca="false">IF($J13="Surrender to fund new asks",IFERROR(INDEX(LevelBasic,MATCH($E13,LevelList,0))+INDEX(LevelHousing,MATCH($E13,LevelList,0))+INDEX(LevelTransport,MATCH($E13,LevelList,0))+INDEX(LevelBasic,MATCH($E13,LevelList,0))*INDEX(LevelBonus,MATCH($E13,LevelList,0))+(INDEX(LevelBasic,MATCH($E13,LevelList,0))+INDEX(LevelHousing,MATCH($E13,LevelList,0)))*GosiSaudi,0),0)</f>
        <v>0</v>
      </c>
      <c r="O13" s="23" t="str">
        <f aca="false">IF($D13="","",MID(IF($C13="",", unit","")&amp;IF($E13="",", career level","")&amp;IF($H13="",", reason","")&amp;IF($I13="",", leaving quarter","")&amp;IF($J13="",", what happens to the seat","")&amp;IF(AND($J13="Defer backfill",$K13=""),", the backfill quarter","")&amp;IF(IFERROR(AND($K13&lt;&gt;"",$I13&lt;&gt;"",MATCH($K13,QuarterList,0)&lt;=MATCH($I13,QuarterList,0)),FALSE()),", a backfill quarter later than the leaving quarter","")&amp;IF(AND($C13&lt;&gt;"",COUNTIF(UnitList,$C13)=0),", a unit that is not in your structure",""),3,300))</f>
        <v/>
      </c>
    </row>
    <row r="14" customFormat="false" ht="15" hidden="false" customHeight="false" outlineLevel="0" collapsed="false">
      <c r="A14" s="17" t="n">
        <v>9</v>
      </c>
      <c r="B14" s="21"/>
      <c r="C14" s="21"/>
      <c r="D14" s="21"/>
      <c r="E14" s="21"/>
      <c r="F14" s="21"/>
      <c r="G14" s="21"/>
      <c r="H14" s="21"/>
      <c r="I14" s="21"/>
      <c r="J14" s="21"/>
      <c r="K14" s="21"/>
      <c r="L14" s="24" t="str">
        <f aca="false">IF(OR($D14="",$I14="",$J14=""),"",IF($J14="Surrender to fund new asks",MATCH($I14,QuarterList,0)/4,IF($J14="Defer backfill",IF($K14="",MATCH($I14,QuarterList,0)/4,MIN(1,MATCH($I14,QuarterList,0)/4+(5-MATCH($K14,QuarterList,0))/4)),1)))</f>
        <v/>
      </c>
      <c r="M14" s="19" t="str">
        <f aca="false">IF($L14="","",IFERROR(INDEX(LevelBasic,MATCH($E14,LevelList,0))+INDEX(LevelHousing,MATCH($E14,LevelList,0))+INDEX(LevelTransport,MATCH($E14,LevelList,0))+INDEX(LevelBasic,MATCH($E14,LevelList,0))*INDEX(LevelBonus,MATCH($E14,LevelList,0))+(INDEX(LevelBasic,MATCH($E14,LevelList,0))+INDEX(LevelHousing,MATCH($E14,LevelList,0)))*GosiSaudi,0)*(1-$L14))</f>
        <v/>
      </c>
      <c r="N14" s="19" t="n">
        <f aca="false">IF($J14="Surrender to fund new asks",IFERROR(INDEX(LevelBasic,MATCH($E14,LevelList,0))+INDEX(LevelHousing,MATCH($E14,LevelList,0))+INDEX(LevelTransport,MATCH($E14,LevelList,0))+INDEX(LevelBasic,MATCH($E14,LevelList,0))*INDEX(LevelBonus,MATCH($E14,LevelList,0))+(INDEX(LevelBasic,MATCH($E14,LevelList,0))+INDEX(LevelHousing,MATCH($E14,LevelList,0)))*GosiSaudi,0),0)</f>
        <v>0</v>
      </c>
      <c r="O14" s="23" t="str">
        <f aca="false">IF($D14="","",MID(IF($C14="",", unit","")&amp;IF($E14="",", career level","")&amp;IF($H14="",", reason","")&amp;IF($I14="",", leaving quarter","")&amp;IF($J14="",", what happens to the seat","")&amp;IF(AND($J14="Defer backfill",$K14=""),", the backfill quarter","")&amp;IF(IFERROR(AND($K14&lt;&gt;"",$I14&lt;&gt;"",MATCH($K14,QuarterList,0)&lt;=MATCH($I14,QuarterList,0)),FALSE()),", a backfill quarter later than the leaving quarter","")&amp;IF(AND($C14&lt;&gt;"",COUNTIF(UnitList,$C14)=0),", a unit that is not in your structure",""),3,300))</f>
        <v/>
      </c>
    </row>
    <row r="15" customFormat="false" ht="15" hidden="false" customHeight="false" outlineLevel="0" collapsed="false">
      <c r="A15" s="17" t="n">
        <v>10</v>
      </c>
      <c r="B15" s="21"/>
      <c r="C15" s="21"/>
      <c r="D15" s="21"/>
      <c r="E15" s="21"/>
      <c r="F15" s="21"/>
      <c r="G15" s="21"/>
      <c r="H15" s="21"/>
      <c r="I15" s="21"/>
      <c r="J15" s="21"/>
      <c r="K15" s="21"/>
      <c r="L15" s="24" t="str">
        <f aca="false">IF(OR($D15="",$I15="",$J15=""),"",IF($J15="Surrender to fund new asks",MATCH($I15,QuarterList,0)/4,IF($J15="Defer backfill",IF($K15="",MATCH($I15,QuarterList,0)/4,MIN(1,MATCH($I15,QuarterList,0)/4+(5-MATCH($K15,QuarterList,0))/4)),1)))</f>
        <v/>
      </c>
      <c r="M15" s="19" t="str">
        <f aca="false">IF($L15="","",IFERROR(INDEX(LevelBasic,MATCH($E15,LevelList,0))+INDEX(LevelHousing,MATCH($E15,LevelList,0))+INDEX(LevelTransport,MATCH($E15,LevelList,0))+INDEX(LevelBasic,MATCH($E15,LevelList,0))*INDEX(LevelBonus,MATCH($E15,LevelList,0))+(INDEX(LevelBasic,MATCH($E15,LevelList,0))+INDEX(LevelHousing,MATCH($E15,LevelList,0)))*GosiSaudi,0)*(1-$L15))</f>
        <v/>
      </c>
      <c r="N15" s="19" t="n">
        <f aca="false">IF($J15="Surrender to fund new asks",IFERROR(INDEX(LevelBasic,MATCH($E15,LevelList,0))+INDEX(LevelHousing,MATCH($E15,LevelList,0))+INDEX(LevelTransport,MATCH($E15,LevelList,0))+INDEX(LevelBasic,MATCH($E15,LevelList,0))*INDEX(LevelBonus,MATCH($E15,LevelList,0))+(INDEX(LevelBasic,MATCH($E15,LevelList,0))+INDEX(LevelHousing,MATCH($E15,LevelList,0)))*GosiSaudi,0),0)</f>
        <v>0</v>
      </c>
      <c r="O15" s="23" t="str">
        <f aca="false">IF($D15="","",MID(IF($C15="",", unit","")&amp;IF($E15="",", career level","")&amp;IF($H15="",", reason","")&amp;IF($I15="",", leaving quarter","")&amp;IF($J15="",", what happens to the seat","")&amp;IF(AND($J15="Defer backfill",$K15=""),", the backfill quarter","")&amp;IF(IFERROR(AND($K15&lt;&gt;"",$I15&lt;&gt;"",MATCH($K15,QuarterList,0)&lt;=MATCH($I15,QuarterList,0)),FALSE()),", a backfill quarter later than the leaving quarter","")&amp;IF(AND($C15&lt;&gt;"",COUNTIF(UnitList,$C15)=0),", a unit that is not in your structure",""),3,300))</f>
        <v/>
      </c>
    </row>
    <row r="16" customFormat="false" ht="15" hidden="false" customHeight="false" outlineLevel="0" collapsed="false">
      <c r="A16" s="17" t="n">
        <v>11</v>
      </c>
      <c r="B16" s="21"/>
      <c r="C16" s="21"/>
      <c r="D16" s="21"/>
      <c r="E16" s="21"/>
      <c r="F16" s="21"/>
      <c r="G16" s="21"/>
      <c r="H16" s="21"/>
      <c r="I16" s="21"/>
      <c r="J16" s="21"/>
      <c r="K16" s="21"/>
      <c r="L16" s="24" t="str">
        <f aca="false">IF(OR($D16="",$I16="",$J16=""),"",IF($J16="Surrender to fund new asks",MATCH($I16,QuarterList,0)/4,IF($J16="Defer backfill",IF($K16="",MATCH($I16,QuarterList,0)/4,MIN(1,MATCH($I16,QuarterList,0)/4+(5-MATCH($K16,QuarterList,0))/4)),1)))</f>
        <v/>
      </c>
      <c r="M16" s="19" t="str">
        <f aca="false">IF($L16="","",IFERROR(INDEX(LevelBasic,MATCH($E16,LevelList,0))+INDEX(LevelHousing,MATCH($E16,LevelList,0))+INDEX(LevelTransport,MATCH($E16,LevelList,0))+INDEX(LevelBasic,MATCH($E16,LevelList,0))*INDEX(LevelBonus,MATCH($E16,LevelList,0))+(INDEX(LevelBasic,MATCH($E16,LevelList,0))+INDEX(LevelHousing,MATCH($E16,LevelList,0)))*GosiSaudi,0)*(1-$L16))</f>
        <v/>
      </c>
      <c r="N16" s="19" t="n">
        <f aca="false">IF($J16="Surrender to fund new asks",IFERROR(INDEX(LevelBasic,MATCH($E16,LevelList,0))+INDEX(LevelHousing,MATCH($E16,LevelList,0))+INDEX(LevelTransport,MATCH($E16,LevelList,0))+INDEX(LevelBasic,MATCH($E16,LevelList,0))*INDEX(LevelBonus,MATCH($E16,LevelList,0))+(INDEX(LevelBasic,MATCH($E16,LevelList,0))+INDEX(LevelHousing,MATCH($E16,LevelList,0)))*GosiSaudi,0),0)</f>
        <v>0</v>
      </c>
      <c r="O16" s="23" t="str">
        <f aca="false">IF($D16="","",MID(IF($C16="",", unit","")&amp;IF($E16="",", career level","")&amp;IF($H16="",", reason","")&amp;IF($I16="",", leaving quarter","")&amp;IF($J16="",", what happens to the seat","")&amp;IF(AND($J16="Defer backfill",$K16=""),", the backfill quarter","")&amp;IF(IFERROR(AND($K16&lt;&gt;"",$I16&lt;&gt;"",MATCH($K16,QuarterList,0)&lt;=MATCH($I16,QuarterList,0)),FALSE()),", a backfill quarter later than the leaving quarter","")&amp;IF(AND($C16&lt;&gt;"",COUNTIF(UnitList,$C16)=0),", a unit that is not in your structure",""),3,300))</f>
        <v/>
      </c>
    </row>
    <row r="17" customFormat="false" ht="15" hidden="false" customHeight="false" outlineLevel="0" collapsed="false">
      <c r="A17" s="17" t="n">
        <v>12</v>
      </c>
      <c r="B17" s="21"/>
      <c r="C17" s="21"/>
      <c r="D17" s="21"/>
      <c r="E17" s="21"/>
      <c r="F17" s="21"/>
      <c r="G17" s="21"/>
      <c r="H17" s="21"/>
      <c r="I17" s="21"/>
      <c r="J17" s="21"/>
      <c r="K17" s="21"/>
      <c r="L17" s="24" t="str">
        <f aca="false">IF(OR($D17="",$I17="",$J17=""),"",IF($J17="Surrender to fund new asks",MATCH($I17,QuarterList,0)/4,IF($J17="Defer backfill",IF($K17="",MATCH($I17,QuarterList,0)/4,MIN(1,MATCH($I17,QuarterList,0)/4+(5-MATCH($K17,QuarterList,0))/4)),1)))</f>
        <v/>
      </c>
      <c r="M17" s="19" t="str">
        <f aca="false">IF($L17="","",IFERROR(INDEX(LevelBasic,MATCH($E17,LevelList,0))+INDEX(LevelHousing,MATCH($E17,LevelList,0))+INDEX(LevelTransport,MATCH($E17,LevelList,0))+INDEX(LevelBasic,MATCH($E17,LevelList,0))*INDEX(LevelBonus,MATCH($E17,LevelList,0))+(INDEX(LevelBasic,MATCH($E17,LevelList,0))+INDEX(LevelHousing,MATCH($E17,LevelList,0)))*GosiSaudi,0)*(1-$L17))</f>
        <v/>
      </c>
      <c r="N17" s="19" t="n">
        <f aca="false">IF($J17="Surrender to fund new asks",IFERROR(INDEX(LevelBasic,MATCH($E17,LevelList,0))+INDEX(LevelHousing,MATCH($E17,LevelList,0))+INDEX(LevelTransport,MATCH($E17,LevelList,0))+INDEX(LevelBasic,MATCH($E17,LevelList,0))*INDEX(LevelBonus,MATCH($E17,LevelList,0))+(INDEX(LevelBasic,MATCH($E17,LevelList,0))+INDEX(LevelHousing,MATCH($E17,LevelList,0)))*GosiSaudi,0),0)</f>
        <v>0</v>
      </c>
      <c r="O17" s="23" t="str">
        <f aca="false">IF($D17="","",MID(IF($C17="",", unit","")&amp;IF($E17="",", career level","")&amp;IF($H17="",", reason","")&amp;IF($I17="",", leaving quarter","")&amp;IF($J17="",", what happens to the seat","")&amp;IF(AND($J17="Defer backfill",$K17=""),", the backfill quarter","")&amp;IF(IFERROR(AND($K17&lt;&gt;"",$I17&lt;&gt;"",MATCH($K17,QuarterList,0)&lt;=MATCH($I17,QuarterList,0)),FALSE()),", a backfill quarter later than the leaving quarter","")&amp;IF(AND($C17&lt;&gt;"",COUNTIF(UnitList,$C17)=0),", a unit that is not in your structure",""),3,300))</f>
        <v/>
      </c>
    </row>
    <row r="18" customFormat="false" ht="15" hidden="false" customHeight="false" outlineLevel="0" collapsed="false">
      <c r="A18" s="17" t="n">
        <v>13</v>
      </c>
      <c r="B18" s="21"/>
      <c r="C18" s="21"/>
      <c r="D18" s="21"/>
      <c r="E18" s="21"/>
      <c r="F18" s="21"/>
      <c r="G18" s="21"/>
      <c r="H18" s="21"/>
      <c r="I18" s="21"/>
      <c r="J18" s="21"/>
      <c r="K18" s="21"/>
      <c r="L18" s="24" t="str">
        <f aca="false">IF(OR($D18="",$I18="",$J18=""),"",IF($J18="Surrender to fund new asks",MATCH($I18,QuarterList,0)/4,IF($J18="Defer backfill",IF($K18="",MATCH($I18,QuarterList,0)/4,MIN(1,MATCH($I18,QuarterList,0)/4+(5-MATCH($K18,QuarterList,0))/4)),1)))</f>
        <v/>
      </c>
      <c r="M18" s="19" t="str">
        <f aca="false">IF($L18="","",IFERROR(INDEX(LevelBasic,MATCH($E18,LevelList,0))+INDEX(LevelHousing,MATCH($E18,LevelList,0))+INDEX(LevelTransport,MATCH($E18,LevelList,0))+INDEX(LevelBasic,MATCH($E18,LevelList,0))*INDEX(LevelBonus,MATCH($E18,LevelList,0))+(INDEX(LevelBasic,MATCH($E18,LevelList,0))+INDEX(LevelHousing,MATCH($E18,LevelList,0)))*GosiSaudi,0)*(1-$L18))</f>
        <v/>
      </c>
      <c r="N18" s="19" t="n">
        <f aca="false">IF($J18="Surrender to fund new asks",IFERROR(INDEX(LevelBasic,MATCH($E18,LevelList,0))+INDEX(LevelHousing,MATCH($E18,LevelList,0))+INDEX(LevelTransport,MATCH($E18,LevelList,0))+INDEX(LevelBasic,MATCH($E18,LevelList,0))*INDEX(LevelBonus,MATCH($E18,LevelList,0))+(INDEX(LevelBasic,MATCH($E18,LevelList,0))+INDEX(LevelHousing,MATCH($E18,LevelList,0)))*GosiSaudi,0),0)</f>
        <v>0</v>
      </c>
      <c r="O18" s="23" t="str">
        <f aca="false">IF($D18="","",MID(IF($C18="",", unit","")&amp;IF($E18="",", career level","")&amp;IF($H18="",", reason","")&amp;IF($I18="",", leaving quarter","")&amp;IF($J18="",", what happens to the seat","")&amp;IF(AND($J18="Defer backfill",$K18=""),", the backfill quarter","")&amp;IF(IFERROR(AND($K18&lt;&gt;"",$I18&lt;&gt;"",MATCH($K18,QuarterList,0)&lt;=MATCH($I18,QuarterList,0)),FALSE()),", a backfill quarter later than the leaving quarter","")&amp;IF(AND($C18&lt;&gt;"",COUNTIF(UnitList,$C18)=0),", a unit that is not in your structure",""),3,300))</f>
        <v/>
      </c>
    </row>
    <row r="19" customFormat="false" ht="15" hidden="false" customHeight="false" outlineLevel="0" collapsed="false">
      <c r="A19" s="17" t="n">
        <v>14</v>
      </c>
      <c r="B19" s="21"/>
      <c r="C19" s="21"/>
      <c r="D19" s="21"/>
      <c r="E19" s="21"/>
      <c r="F19" s="21"/>
      <c r="G19" s="21"/>
      <c r="H19" s="21"/>
      <c r="I19" s="21"/>
      <c r="J19" s="21"/>
      <c r="K19" s="21"/>
      <c r="L19" s="24" t="str">
        <f aca="false">IF(OR($D19="",$I19="",$J19=""),"",IF($J19="Surrender to fund new asks",MATCH($I19,QuarterList,0)/4,IF($J19="Defer backfill",IF($K19="",MATCH($I19,QuarterList,0)/4,MIN(1,MATCH($I19,QuarterList,0)/4+(5-MATCH($K19,QuarterList,0))/4)),1)))</f>
        <v/>
      </c>
      <c r="M19" s="19" t="str">
        <f aca="false">IF($L19="","",IFERROR(INDEX(LevelBasic,MATCH($E19,LevelList,0))+INDEX(LevelHousing,MATCH($E19,LevelList,0))+INDEX(LevelTransport,MATCH($E19,LevelList,0))+INDEX(LevelBasic,MATCH($E19,LevelList,0))*INDEX(LevelBonus,MATCH($E19,LevelList,0))+(INDEX(LevelBasic,MATCH($E19,LevelList,0))+INDEX(LevelHousing,MATCH($E19,LevelList,0)))*GosiSaudi,0)*(1-$L19))</f>
        <v/>
      </c>
      <c r="N19" s="19" t="n">
        <f aca="false">IF($J19="Surrender to fund new asks",IFERROR(INDEX(LevelBasic,MATCH($E19,LevelList,0))+INDEX(LevelHousing,MATCH($E19,LevelList,0))+INDEX(LevelTransport,MATCH($E19,LevelList,0))+INDEX(LevelBasic,MATCH($E19,LevelList,0))*INDEX(LevelBonus,MATCH($E19,LevelList,0))+(INDEX(LevelBasic,MATCH($E19,LevelList,0))+INDEX(LevelHousing,MATCH($E19,LevelList,0)))*GosiSaudi,0),0)</f>
        <v>0</v>
      </c>
      <c r="O19" s="23" t="str">
        <f aca="false">IF($D19="","",MID(IF($C19="",", unit","")&amp;IF($E19="",", career level","")&amp;IF($H19="",", reason","")&amp;IF($I19="",", leaving quarter","")&amp;IF($J19="",", what happens to the seat","")&amp;IF(AND($J19="Defer backfill",$K19=""),", the backfill quarter","")&amp;IF(IFERROR(AND($K19&lt;&gt;"",$I19&lt;&gt;"",MATCH($K19,QuarterList,0)&lt;=MATCH($I19,QuarterList,0)),FALSE()),", a backfill quarter later than the leaving quarter","")&amp;IF(AND($C19&lt;&gt;"",COUNTIF(UnitList,$C19)=0),", a unit that is not in your structure",""),3,300))</f>
        <v/>
      </c>
    </row>
    <row r="20" customFormat="false" ht="15" hidden="false" customHeight="false" outlineLevel="0" collapsed="false">
      <c r="A20" s="17" t="n">
        <v>15</v>
      </c>
      <c r="B20" s="21"/>
      <c r="C20" s="21"/>
      <c r="D20" s="21"/>
      <c r="E20" s="21"/>
      <c r="F20" s="21"/>
      <c r="G20" s="21"/>
      <c r="H20" s="21"/>
      <c r="I20" s="21"/>
      <c r="J20" s="21"/>
      <c r="K20" s="21"/>
      <c r="L20" s="24" t="str">
        <f aca="false">IF(OR($D20="",$I20="",$J20=""),"",IF($J20="Surrender to fund new asks",MATCH($I20,QuarterList,0)/4,IF($J20="Defer backfill",IF($K20="",MATCH($I20,QuarterList,0)/4,MIN(1,MATCH($I20,QuarterList,0)/4+(5-MATCH($K20,QuarterList,0))/4)),1)))</f>
        <v/>
      </c>
      <c r="M20" s="19" t="str">
        <f aca="false">IF($L20="","",IFERROR(INDEX(LevelBasic,MATCH($E20,LevelList,0))+INDEX(LevelHousing,MATCH($E20,LevelList,0))+INDEX(LevelTransport,MATCH($E20,LevelList,0))+INDEX(LevelBasic,MATCH($E20,LevelList,0))*INDEX(LevelBonus,MATCH($E20,LevelList,0))+(INDEX(LevelBasic,MATCH($E20,LevelList,0))+INDEX(LevelHousing,MATCH($E20,LevelList,0)))*GosiSaudi,0)*(1-$L20))</f>
        <v/>
      </c>
      <c r="N20" s="19" t="n">
        <f aca="false">IF($J20="Surrender to fund new asks",IFERROR(INDEX(LevelBasic,MATCH($E20,LevelList,0))+INDEX(LevelHousing,MATCH($E20,LevelList,0))+INDEX(LevelTransport,MATCH($E20,LevelList,0))+INDEX(LevelBasic,MATCH($E20,LevelList,0))*INDEX(LevelBonus,MATCH($E20,LevelList,0))+(INDEX(LevelBasic,MATCH($E20,LevelList,0))+INDEX(LevelHousing,MATCH($E20,LevelList,0)))*GosiSaudi,0),0)</f>
        <v>0</v>
      </c>
      <c r="O20" s="23" t="str">
        <f aca="false">IF($D20="","",MID(IF($C20="",", unit","")&amp;IF($E20="",", career level","")&amp;IF($H20="",", reason","")&amp;IF($I20="",", leaving quarter","")&amp;IF($J20="",", what happens to the seat","")&amp;IF(AND($J20="Defer backfill",$K20=""),", the backfill quarter","")&amp;IF(IFERROR(AND($K20&lt;&gt;"",$I20&lt;&gt;"",MATCH($K20,QuarterList,0)&lt;=MATCH($I20,QuarterList,0)),FALSE()),", a backfill quarter later than the leaving quarter","")&amp;IF(AND($C20&lt;&gt;"",COUNTIF(UnitList,$C20)=0),", a unit that is not in your structure",""),3,300))</f>
        <v/>
      </c>
    </row>
    <row r="21" customFormat="false" ht="15" hidden="false" customHeight="false" outlineLevel="0" collapsed="false">
      <c r="A21" s="17" t="n">
        <v>16</v>
      </c>
      <c r="B21" s="21"/>
      <c r="C21" s="21"/>
      <c r="D21" s="21"/>
      <c r="E21" s="21"/>
      <c r="F21" s="21"/>
      <c r="G21" s="21"/>
      <c r="H21" s="21"/>
      <c r="I21" s="21"/>
      <c r="J21" s="21"/>
      <c r="K21" s="21"/>
      <c r="L21" s="24" t="str">
        <f aca="false">IF(OR($D21="",$I21="",$J21=""),"",IF($J21="Surrender to fund new asks",MATCH($I21,QuarterList,0)/4,IF($J21="Defer backfill",IF($K21="",MATCH($I21,QuarterList,0)/4,MIN(1,MATCH($I21,QuarterList,0)/4+(5-MATCH($K21,QuarterList,0))/4)),1)))</f>
        <v/>
      </c>
      <c r="M21" s="19" t="str">
        <f aca="false">IF($L21="","",IFERROR(INDEX(LevelBasic,MATCH($E21,LevelList,0))+INDEX(LevelHousing,MATCH($E21,LevelList,0))+INDEX(LevelTransport,MATCH($E21,LevelList,0))+INDEX(LevelBasic,MATCH($E21,LevelList,0))*INDEX(LevelBonus,MATCH($E21,LevelList,0))+(INDEX(LevelBasic,MATCH($E21,LevelList,0))+INDEX(LevelHousing,MATCH($E21,LevelList,0)))*GosiSaudi,0)*(1-$L21))</f>
        <v/>
      </c>
      <c r="N21" s="19" t="n">
        <f aca="false">IF($J21="Surrender to fund new asks",IFERROR(INDEX(LevelBasic,MATCH($E21,LevelList,0))+INDEX(LevelHousing,MATCH($E21,LevelList,0))+INDEX(LevelTransport,MATCH($E21,LevelList,0))+INDEX(LevelBasic,MATCH($E21,LevelList,0))*INDEX(LevelBonus,MATCH($E21,LevelList,0))+(INDEX(LevelBasic,MATCH($E21,LevelList,0))+INDEX(LevelHousing,MATCH($E21,LevelList,0)))*GosiSaudi,0),0)</f>
        <v>0</v>
      </c>
      <c r="O21" s="23" t="str">
        <f aca="false">IF($D21="","",MID(IF($C21="",", unit","")&amp;IF($E21="",", career level","")&amp;IF($H21="",", reason","")&amp;IF($I21="",", leaving quarter","")&amp;IF($J21="",", what happens to the seat","")&amp;IF(AND($J21="Defer backfill",$K21=""),", the backfill quarter","")&amp;IF(IFERROR(AND($K21&lt;&gt;"",$I21&lt;&gt;"",MATCH($K21,QuarterList,0)&lt;=MATCH($I21,QuarterList,0)),FALSE()),", a backfill quarter later than the leaving quarter","")&amp;IF(AND($C21&lt;&gt;"",COUNTIF(UnitList,$C21)=0),", a unit that is not in your structure",""),3,300))</f>
        <v/>
      </c>
    </row>
    <row r="22" customFormat="false" ht="15" hidden="false" customHeight="false" outlineLevel="0" collapsed="false">
      <c r="A22" s="17" t="n">
        <v>17</v>
      </c>
      <c r="B22" s="21"/>
      <c r="C22" s="21"/>
      <c r="D22" s="21"/>
      <c r="E22" s="21"/>
      <c r="F22" s="21"/>
      <c r="G22" s="21"/>
      <c r="H22" s="21"/>
      <c r="I22" s="21"/>
      <c r="J22" s="21"/>
      <c r="K22" s="21"/>
      <c r="L22" s="24" t="str">
        <f aca="false">IF(OR($D22="",$I22="",$J22=""),"",IF($J22="Surrender to fund new asks",MATCH($I22,QuarterList,0)/4,IF($J22="Defer backfill",IF($K22="",MATCH($I22,QuarterList,0)/4,MIN(1,MATCH($I22,QuarterList,0)/4+(5-MATCH($K22,QuarterList,0))/4)),1)))</f>
        <v/>
      </c>
      <c r="M22" s="19" t="str">
        <f aca="false">IF($L22="","",IFERROR(INDEX(LevelBasic,MATCH($E22,LevelList,0))+INDEX(LevelHousing,MATCH($E22,LevelList,0))+INDEX(LevelTransport,MATCH($E22,LevelList,0))+INDEX(LevelBasic,MATCH($E22,LevelList,0))*INDEX(LevelBonus,MATCH($E22,LevelList,0))+(INDEX(LevelBasic,MATCH($E22,LevelList,0))+INDEX(LevelHousing,MATCH($E22,LevelList,0)))*GosiSaudi,0)*(1-$L22))</f>
        <v/>
      </c>
      <c r="N22" s="19" t="n">
        <f aca="false">IF($J22="Surrender to fund new asks",IFERROR(INDEX(LevelBasic,MATCH($E22,LevelList,0))+INDEX(LevelHousing,MATCH($E22,LevelList,0))+INDEX(LevelTransport,MATCH($E22,LevelList,0))+INDEX(LevelBasic,MATCH($E22,LevelList,0))*INDEX(LevelBonus,MATCH($E22,LevelList,0))+(INDEX(LevelBasic,MATCH($E22,LevelList,0))+INDEX(LevelHousing,MATCH($E22,LevelList,0)))*GosiSaudi,0),0)</f>
        <v>0</v>
      </c>
      <c r="O22" s="23" t="str">
        <f aca="false">IF($D22="","",MID(IF($C22="",", unit","")&amp;IF($E22="",", career level","")&amp;IF($H22="",", reason","")&amp;IF($I22="",", leaving quarter","")&amp;IF($J22="",", what happens to the seat","")&amp;IF(AND($J22="Defer backfill",$K22=""),", the backfill quarter","")&amp;IF(IFERROR(AND($K22&lt;&gt;"",$I22&lt;&gt;"",MATCH($K22,QuarterList,0)&lt;=MATCH($I22,QuarterList,0)),FALSE()),", a backfill quarter later than the leaving quarter","")&amp;IF(AND($C22&lt;&gt;"",COUNTIF(UnitList,$C22)=0),", a unit that is not in your structure",""),3,300))</f>
        <v/>
      </c>
    </row>
    <row r="23" customFormat="false" ht="15" hidden="false" customHeight="false" outlineLevel="0" collapsed="false">
      <c r="A23" s="17" t="n">
        <v>18</v>
      </c>
      <c r="B23" s="21"/>
      <c r="C23" s="21"/>
      <c r="D23" s="21"/>
      <c r="E23" s="21"/>
      <c r="F23" s="21"/>
      <c r="G23" s="21"/>
      <c r="H23" s="21"/>
      <c r="I23" s="21"/>
      <c r="J23" s="21"/>
      <c r="K23" s="21"/>
      <c r="L23" s="24" t="str">
        <f aca="false">IF(OR($D23="",$I23="",$J23=""),"",IF($J23="Surrender to fund new asks",MATCH($I23,QuarterList,0)/4,IF($J23="Defer backfill",IF($K23="",MATCH($I23,QuarterList,0)/4,MIN(1,MATCH($I23,QuarterList,0)/4+(5-MATCH($K23,QuarterList,0))/4)),1)))</f>
        <v/>
      </c>
      <c r="M23" s="19" t="str">
        <f aca="false">IF($L23="","",IFERROR(INDEX(LevelBasic,MATCH($E23,LevelList,0))+INDEX(LevelHousing,MATCH($E23,LevelList,0))+INDEX(LevelTransport,MATCH($E23,LevelList,0))+INDEX(LevelBasic,MATCH($E23,LevelList,0))*INDEX(LevelBonus,MATCH($E23,LevelList,0))+(INDEX(LevelBasic,MATCH($E23,LevelList,0))+INDEX(LevelHousing,MATCH($E23,LevelList,0)))*GosiSaudi,0)*(1-$L23))</f>
        <v/>
      </c>
      <c r="N23" s="19" t="n">
        <f aca="false">IF($J23="Surrender to fund new asks",IFERROR(INDEX(LevelBasic,MATCH($E23,LevelList,0))+INDEX(LevelHousing,MATCH($E23,LevelList,0))+INDEX(LevelTransport,MATCH($E23,LevelList,0))+INDEX(LevelBasic,MATCH($E23,LevelList,0))*INDEX(LevelBonus,MATCH($E23,LevelList,0))+(INDEX(LevelBasic,MATCH($E23,LevelList,0))+INDEX(LevelHousing,MATCH($E23,LevelList,0)))*GosiSaudi,0),0)</f>
        <v>0</v>
      </c>
      <c r="O23" s="23" t="str">
        <f aca="false">IF($D23="","",MID(IF($C23="",", unit","")&amp;IF($E23="",", career level","")&amp;IF($H23="",", reason","")&amp;IF($I23="",", leaving quarter","")&amp;IF($J23="",", what happens to the seat","")&amp;IF(AND($J23="Defer backfill",$K23=""),", the backfill quarter","")&amp;IF(IFERROR(AND($K23&lt;&gt;"",$I23&lt;&gt;"",MATCH($K23,QuarterList,0)&lt;=MATCH($I23,QuarterList,0)),FALSE()),", a backfill quarter later than the leaving quarter","")&amp;IF(AND($C23&lt;&gt;"",COUNTIF(UnitList,$C23)=0),", a unit that is not in your structure",""),3,300))</f>
        <v/>
      </c>
    </row>
    <row r="24" customFormat="false" ht="15" hidden="false" customHeight="false" outlineLevel="0" collapsed="false">
      <c r="A24" s="17" t="n">
        <v>19</v>
      </c>
      <c r="B24" s="21"/>
      <c r="C24" s="21"/>
      <c r="D24" s="21"/>
      <c r="E24" s="21"/>
      <c r="F24" s="21"/>
      <c r="G24" s="21"/>
      <c r="H24" s="21"/>
      <c r="I24" s="21"/>
      <c r="J24" s="21"/>
      <c r="K24" s="21"/>
      <c r="L24" s="24" t="str">
        <f aca="false">IF(OR($D24="",$I24="",$J24=""),"",IF($J24="Surrender to fund new asks",MATCH($I24,QuarterList,0)/4,IF($J24="Defer backfill",IF($K24="",MATCH($I24,QuarterList,0)/4,MIN(1,MATCH($I24,QuarterList,0)/4+(5-MATCH($K24,QuarterList,0))/4)),1)))</f>
        <v/>
      </c>
      <c r="M24" s="19" t="str">
        <f aca="false">IF($L24="","",IFERROR(INDEX(LevelBasic,MATCH($E24,LevelList,0))+INDEX(LevelHousing,MATCH($E24,LevelList,0))+INDEX(LevelTransport,MATCH($E24,LevelList,0))+INDEX(LevelBasic,MATCH($E24,LevelList,0))*INDEX(LevelBonus,MATCH($E24,LevelList,0))+(INDEX(LevelBasic,MATCH($E24,LevelList,0))+INDEX(LevelHousing,MATCH($E24,LevelList,0)))*GosiSaudi,0)*(1-$L24))</f>
        <v/>
      </c>
      <c r="N24" s="19" t="n">
        <f aca="false">IF($J24="Surrender to fund new asks",IFERROR(INDEX(LevelBasic,MATCH($E24,LevelList,0))+INDEX(LevelHousing,MATCH($E24,LevelList,0))+INDEX(LevelTransport,MATCH($E24,LevelList,0))+INDEX(LevelBasic,MATCH($E24,LevelList,0))*INDEX(LevelBonus,MATCH($E24,LevelList,0))+(INDEX(LevelBasic,MATCH($E24,LevelList,0))+INDEX(LevelHousing,MATCH($E24,LevelList,0)))*GosiSaudi,0),0)</f>
        <v>0</v>
      </c>
      <c r="O24" s="23" t="str">
        <f aca="false">IF($D24="","",MID(IF($C24="",", unit","")&amp;IF($E24="",", career level","")&amp;IF($H24="",", reason","")&amp;IF($I24="",", leaving quarter","")&amp;IF($J24="",", what happens to the seat","")&amp;IF(AND($J24="Defer backfill",$K24=""),", the backfill quarter","")&amp;IF(IFERROR(AND($K24&lt;&gt;"",$I24&lt;&gt;"",MATCH($K24,QuarterList,0)&lt;=MATCH($I24,QuarterList,0)),FALSE()),", a backfill quarter later than the leaving quarter","")&amp;IF(AND($C24&lt;&gt;"",COUNTIF(UnitList,$C24)=0),", a unit that is not in your structure",""),3,300))</f>
        <v/>
      </c>
    </row>
    <row r="25" customFormat="false" ht="15" hidden="false" customHeight="false" outlineLevel="0" collapsed="false">
      <c r="A25" s="17" t="n">
        <v>20</v>
      </c>
      <c r="B25" s="21"/>
      <c r="C25" s="21"/>
      <c r="D25" s="21"/>
      <c r="E25" s="21"/>
      <c r="F25" s="21"/>
      <c r="G25" s="21"/>
      <c r="H25" s="21"/>
      <c r="I25" s="21"/>
      <c r="J25" s="21"/>
      <c r="K25" s="21"/>
      <c r="L25" s="24" t="str">
        <f aca="false">IF(OR($D25="",$I25="",$J25=""),"",IF($J25="Surrender to fund new asks",MATCH($I25,QuarterList,0)/4,IF($J25="Defer backfill",IF($K25="",MATCH($I25,QuarterList,0)/4,MIN(1,MATCH($I25,QuarterList,0)/4+(5-MATCH($K25,QuarterList,0))/4)),1)))</f>
        <v/>
      </c>
      <c r="M25" s="19" t="str">
        <f aca="false">IF($L25="","",IFERROR(INDEX(LevelBasic,MATCH($E25,LevelList,0))+INDEX(LevelHousing,MATCH($E25,LevelList,0))+INDEX(LevelTransport,MATCH($E25,LevelList,0))+INDEX(LevelBasic,MATCH($E25,LevelList,0))*INDEX(LevelBonus,MATCH($E25,LevelList,0))+(INDEX(LevelBasic,MATCH($E25,LevelList,0))+INDEX(LevelHousing,MATCH($E25,LevelList,0)))*GosiSaudi,0)*(1-$L25))</f>
        <v/>
      </c>
      <c r="N25" s="19" t="n">
        <f aca="false">IF($J25="Surrender to fund new asks",IFERROR(INDEX(LevelBasic,MATCH($E25,LevelList,0))+INDEX(LevelHousing,MATCH($E25,LevelList,0))+INDEX(LevelTransport,MATCH($E25,LevelList,0))+INDEX(LevelBasic,MATCH($E25,LevelList,0))*INDEX(LevelBonus,MATCH($E25,LevelList,0))+(INDEX(LevelBasic,MATCH($E25,LevelList,0))+INDEX(LevelHousing,MATCH($E25,LevelList,0)))*GosiSaudi,0),0)</f>
        <v>0</v>
      </c>
      <c r="O25" s="23" t="str">
        <f aca="false">IF($D25="","",MID(IF($C25="",", unit","")&amp;IF($E25="",", career level","")&amp;IF($H25="",", reason","")&amp;IF($I25="",", leaving quarter","")&amp;IF($J25="",", what happens to the seat","")&amp;IF(AND($J25="Defer backfill",$K25=""),", the backfill quarter","")&amp;IF(IFERROR(AND($K25&lt;&gt;"",$I25&lt;&gt;"",MATCH($K25,QuarterList,0)&lt;=MATCH($I25,QuarterList,0)),FALSE()),", a backfill quarter later than the leaving quarter","")&amp;IF(AND($C25&lt;&gt;"",COUNTIF(UnitList,$C25)=0),", a unit that is not in your structure",""),3,300))</f>
        <v/>
      </c>
    </row>
    <row r="26" customFormat="false" ht="15" hidden="false" customHeight="false" outlineLevel="0" collapsed="false">
      <c r="A26" s="17" t="n">
        <v>21</v>
      </c>
      <c r="B26" s="21"/>
      <c r="C26" s="21"/>
      <c r="D26" s="21"/>
      <c r="E26" s="21"/>
      <c r="F26" s="21"/>
      <c r="G26" s="21"/>
      <c r="H26" s="21"/>
      <c r="I26" s="21"/>
      <c r="J26" s="21"/>
      <c r="K26" s="21"/>
      <c r="L26" s="24" t="str">
        <f aca="false">IF(OR($D26="",$I26="",$J26=""),"",IF($J26="Surrender to fund new asks",MATCH($I26,QuarterList,0)/4,IF($J26="Defer backfill",IF($K26="",MATCH($I26,QuarterList,0)/4,MIN(1,MATCH($I26,QuarterList,0)/4+(5-MATCH($K26,QuarterList,0))/4)),1)))</f>
        <v/>
      </c>
      <c r="M26" s="19" t="str">
        <f aca="false">IF($L26="","",IFERROR(INDEX(LevelBasic,MATCH($E26,LevelList,0))+INDEX(LevelHousing,MATCH($E26,LevelList,0))+INDEX(LevelTransport,MATCH($E26,LevelList,0))+INDEX(LevelBasic,MATCH($E26,LevelList,0))*INDEX(LevelBonus,MATCH($E26,LevelList,0))+(INDEX(LevelBasic,MATCH($E26,LevelList,0))+INDEX(LevelHousing,MATCH($E26,LevelList,0)))*GosiSaudi,0)*(1-$L26))</f>
        <v/>
      </c>
      <c r="N26" s="19" t="n">
        <f aca="false">IF($J26="Surrender to fund new asks",IFERROR(INDEX(LevelBasic,MATCH($E26,LevelList,0))+INDEX(LevelHousing,MATCH($E26,LevelList,0))+INDEX(LevelTransport,MATCH($E26,LevelList,0))+INDEX(LevelBasic,MATCH($E26,LevelList,0))*INDEX(LevelBonus,MATCH($E26,LevelList,0))+(INDEX(LevelBasic,MATCH($E26,LevelList,0))+INDEX(LevelHousing,MATCH($E26,LevelList,0)))*GosiSaudi,0),0)</f>
        <v>0</v>
      </c>
      <c r="O26" s="23" t="str">
        <f aca="false">IF($D26="","",MID(IF($C26="",", unit","")&amp;IF($E26="",", career level","")&amp;IF($H26="",", reason","")&amp;IF($I26="",", leaving quarter","")&amp;IF($J26="",", what happens to the seat","")&amp;IF(AND($J26="Defer backfill",$K26=""),", the backfill quarter","")&amp;IF(IFERROR(AND($K26&lt;&gt;"",$I26&lt;&gt;"",MATCH($K26,QuarterList,0)&lt;=MATCH($I26,QuarterList,0)),FALSE()),", a backfill quarter later than the leaving quarter","")&amp;IF(AND($C26&lt;&gt;"",COUNTIF(UnitList,$C26)=0),", a unit that is not in your structure",""),3,300))</f>
        <v/>
      </c>
    </row>
    <row r="27" customFormat="false" ht="15" hidden="false" customHeight="false" outlineLevel="0" collapsed="false">
      <c r="A27" s="17" t="n">
        <v>22</v>
      </c>
      <c r="B27" s="21"/>
      <c r="C27" s="21"/>
      <c r="D27" s="21"/>
      <c r="E27" s="21"/>
      <c r="F27" s="21"/>
      <c r="G27" s="21"/>
      <c r="H27" s="21"/>
      <c r="I27" s="21"/>
      <c r="J27" s="21"/>
      <c r="K27" s="21"/>
      <c r="L27" s="24" t="str">
        <f aca="false">IF(OR($D27="",$I27="",$J27=""),"",IF($J27="Surrender to fund new asks",MATCH($I27,QuarterList,0)/4,IF($J27="Defer backfill",IF($K27="",MATCH($I27,QuarterList,0)/4,MIN(1,MATCH($I27,QuarterList,0)/4+(5-MATCH($K27,QuarterList,0))/4)),1)))</f>
        <v/>
      </c>
      <c r="M27" s="19" t="str">
        <f aca="false">IF($L27="","",IFERROR(INDEX(LevelBasic,MATCH($E27,LevelList,0))+INDEX(LevelHousing,MATCH($E27,LevelList,0))+INDEX(LevelTransport,MATCH($E27,LevelList,0))+INDEX(LevelBasic,MATCH($E27,LevelList,0))*INDEX(LevelBonus,MATCH($E27,LevelList,0))+(INDEX(LevelBasic,MATCH($E27,LevelList,0))+INDEX(LevelHousing,MATCH($E27,LevelList,0)))*GosiSaudi,0)*(1-$L27))</f>
        <v/>
      </c>
      <c r="N27" s="19" t="n">
        <f aca="false">IF($J27="Surrender to fund new asks",IFERROR(INDEX(LevelBasic,MATCH($E27,LevelList,0))+INDEX(LevelHousing,MATCH($E27,LevelList,0))+INDEX(LevelTransport,MATCH($E27,LevelList,0))+INDEX(LevelBasic,MATCH($E27,LevelList,0))*INDEX(LevelBonus,MATCH($E27,LevelList,0))+(INDEX(LevelBasic,MATCH($E27,LevelList,0))+INDEX(LevelHousing,MATCH($E27,LevelList,0)))*GosiSaudi,0),0)</f>
        <v>0</v>
      </c>
      <c r="O27" s="23" t="str">
        <f aca="false">IF($D27="","",MID(IF($C27="",", unit","")&amp;IF($E27="",", career level","")&amp;IF($H27="",", reason","")&amp;IF($I27="",", leaving quarter","")&amp;IF($J27="",", what happens to the seat","")&amp;IF(AND($J27="Defer backfill",$K27=""),", the backfill quarter","")&amp;IF(IFERROR(AND($K27&lt;&gt;"",$I27&lt;&gt;"",MATCH($K27,QuarterList,0)&lt;=MATCH($I27,QuarterList,0)),FALSE()),", a backfill quarter later than the leaving quarter","")&amp;IF(AND($C27&lt;&gt;"",COUNTIF(UnitList,$C27)=0),", a unit that is not in your structure",""),3,300))</f>
        <v/>
      </c>
    </row>
    <row r="28" customFormat="false" ht="15" hidden="false" customHeight="false" outlineLevel="0" collapsed="false">
      <c r="A28" s="17" t="n">
        <v>23</v>
      </c>
      <c r="B28" s="21"/>
      <c r="C28" s="21"/>
      <c r="D28" s="21"/>
      <c r="E28" s="21"/>
      <c r="F28" s="21"/>
      <c r="G28" s="21"/>
      <c r="H28" s="21"/>
      <c r="I28" s="21"/>
      <c r="J28" s="21"/>
      <c r="K28" s="21"/>
      <c r="L28" s="24" t="str">
        <f aca="false">IF(OR($D28="",$I28="",$J28=""),"",IF($J28="Surrender to fund new asks",MATCH($I28,QuarterList,0)/4,IF($J28="Defer backfill",IF($K28="",MATCH($I28,QuarterList,0)/4,MIN(1,MATCH($I28,QuarterList,0)/4+(5-MATCH($K28,QuarterList,0))/4)),1)))</f>
        <v/>
      </c>
      <c r="M28" s="19" t="str">
        <f aca="false">IF($L28="","",IFERROR(INDEX(LevelBasic,MATCH($E28,LevelList,0))+INDEX(LevelHousing,MATCH($E28,LevelList,0))+INDEX(LevelTransport,MATCH($E28,LevelList,0))+INDEX(LevelBasic,MATCH($E28,LevelList,0))*INDEX(LevelBonus,MATCH($E28,LevelList,0))+(INDEX(LevelBasic,MATCH($E28,LevelList,0))+INDEX(LevelHousing,MATCH($E28,LevelList,0)))*GosiSaudi,0)*(1-$L28))</f>
        <v/>
      </c>
      <c r="N28" s="19" t="n">
        <f aca="false">IF($J28="Surrender to fund new asks",IFERROR(INDEX(LevelBasic,MATCH($E28,LevelList,0))+INDEX(LevelHousing,MATCH($E28,LevelList,0))+INDEX(LevelTransport,MATCH($E28,LevelList,0))+INDEX(LevelBasic,MATCH($E28,LevelList,0))*INDEX(LevelBonus,MATCH($E28,LevelList,0))+(INDEX(LevelBasic,MATCH($E28,LevelList,0))+INDEX(LevelHousing,MATCH($E28,LevelList,0)))*GosiSaudi,0),0)</f>
        <v>0</v>
      </c>
      <c r="O28" s="23" t="str">
        <f aca="false">IF($D28="","",MID(IF($C28="",", unit","")&amp;IF($E28="",", career level","")&amp;IF($H28="",", reason","")&amp;IF($I28="",", leaving quarter","")&amp;IF($J28="",", what happens to the seat","")&amp;IF(AND($J28="Defer backfill",$K28=""),", the backfill quarter","")&amp;IF(IFERROR(AND($K28&lt;&gt;"",$I28&lt;&gt;"",MATCH($K28,QuarterList,0)&lt;=MATCH($I28,QuarterList,0)),FALSE()),", a backfill quarter later than the leaving quarter","")&amp;IF(AND($C28&lt;&gt;"",COUNTIF(UnitList,$C28)=0),", a unit that is not in your structure",""),3,300))</f>
        <v/>
      </c>
    </row>
    <row r="29" customFormat="false" ht="15" hidden="false" customHeight="false" outlineLevel="0" collapsed="false">
      <c r="A29" s="17" t="n">
        <v>24</v>
      </c>
      <c r="B29" s="21"/>
      <c r="C29" s="21"/>
      <c r="D29" s="21"/>
      <c r="E29" s="21"/>
      <c r="F29" s="21"/>
      <c r="G29" s="21"/>
      <c r="H29" s="21"/>
      <c r="I29" s="21"/>
      <c r="J29" s="21"/>
      <c r="K29" s="21"/>
      <c r="L29" s="24" t="str">
        <f aca="false">IF(OR($D29="",$I29="",$J29=""),"",IF($J29="Surrender to fund new asks",MATCH($I29,QuarterList,0)/4,IF($J29="Defer backfill",IF($K29="",MATCH($I29,QuarterList,0)/4,MIN(1,MATCH($I29,QuarterList,0)/4+(5-MATCH($K29,QuarterList,0))/4)),1)))</f>
        <v/>
      </c>
      <c r="M29" s="19" t="str">
        <f aca="false">IF($L29="","",IFERROR(INDEX(LevelBasic,MATCH($E29,LevelList,0))+INDEX(LevelHousing,MATCH($E29,LevelList,0))+INDEX(LevelTransport,MATCH($E29,LevelList,0))+INDEX(LevelBasic,MATCH($E29,LevelList,0))*INDEX(LevelBonus,MATCH($E29,LevelList,0))+(INDEX(LevelBasic,MATCH($E29,LevelList,0))+INDEX(LevelHousing,MATCH($E29,LevelList,0)))*GosiSaudi,0)*(1-$L29))</f>
        <v/>
      </c>
      <c r="N29" s="19" t="n">
        <f aca="false">IF($J29="Surrender to fund new asks",IFERROR(INDEX(LevelBasic,MATCH($E29,LevelList,0))+INDEX(LevelHousing,MATCH($E29,LevelList,0))+INDEX(LevelTransport,MATCH($E29,LevelList,0))+INDEX(LevelBasic,MATCH($E29,LevelList,0))*INDEX(LevelBonus,MATCH($E29,LevelList,0))+(INDEX(LevelBasic,MATCH($E29,LevelList,0))+INDEX(LevelHousing,MATCH($E29,LevelList,0)))*GosiSaudi,0),0)</f>
        <v>0</v>
      </c>
      <c r="O29" s="23" t="str">
        <f aca="false">IF($D29="","",MID(IF($C29="",", unit","")&amp;IF($E29="",", career level","")&amp;IF($H29="",", reason","")&amp;IF($I29="",", leaving quarter","")&amp;IF($J29="",", what happens to the seat","")&amp;IF(AND($J29="Defer backfill",$K29=""),", the backfill quarter","")&amp;IF(IFERROR(AND($K29&lt;&gt;"",$I29&lt;&gt;"",MATCH($K29,QuarterList,0)&lt;=MATCH($I29,QuarterList,0)),FALSE()),", a backfill quarter later than the leaving quarter","")&amp;IF(AND($C29&lt;&gt;"",COUNTIF(UnitList,$C29)=0),", a unit that is not in your structure",""),3,300))</f>
        <v/>
      </c>
    </row>
    <row r="30" customFormat="false" ht="15" hidden="false" customHeight="false" outlineLevel="0" collapsed="false">
      <c r="A30" s="17" t="n">
        <v>25</v>
      </c>
      <c r="B30" s="21"/>
      <c r="C30" s="21"/>
      <c r="D30" s="21"/>
      <c r="E30" s="21"/>
      <c r="F30" s="21"/>
      <c r="G30" s="21"/>
      <c r="H30" s="21"/>
      <c r="I30" s="21"/>
      <c r="J30" s="21"/>
      <c r="K30" s="21"/>
      <c r="L30" s="24" t="str">
        <f aca="false">IF(OR($D30="",$I30="",$J30=""),"",IF($J30="Surrender to fund new asks",MATCH($I30,QuarterList,0)/4,IF($J30="Defer backfill",IF($K30="",MATCH($I30,QuarterList,0)/4,MIN(1,MATCH($I30,QuarterList,0)/4+(5-MATCH($K30,QuarterList,0))/4)),1)))</f>
        <v/>
      </c>
      <c r="M30" s="19" t="str">
        <f aca="false">IF($L30="","",IFERROR(INDEX(LevelBasic,MATCH($E30,LevelList,0))+INDEX(LevelHousing,MATCH($E30,LevelList,0))+INDEX(LevelTransport,MATCH($E30,LevelList,0))+INDEX(LevelBasic,MATCH($E30,LevelList,0))*INDEX(LevelBonus,MATCH($E30,LevelList,0))+(INDEX(LevelBasic,MATCH($E30,LevelList,0))+INDEX(LevelHousing,MATCH($E30,LevelList,0)))*GosiSaudi,0)*(1-$L30))</f>
        <v/>
      </c>
      <c r="N30" s="19" t="n">
        <f aca="false">IF($J30="Surrender to fund new asks",IFERROR(INDEX(LevelBasic,MATCH($E30,LevelList,0))+INDEX(LevelHousing,MATCH($E30,LevelList,0))+INDEX(LevelTransport,MATCH($E30,LevelList,0))+INDEX(LevelBasic,MATCH($E30,LevelList,0))*INDEX(LevelBonus,MATCH($E30,LevelList,0))+(INDEX(LevelBasic,MATCH($E30,LevelList,0))+INDEX(LevelHousing,MATCH($E30,LevelList,0)))*GosiSaudi,0),0)</f>
        <v>0</v>
      </c>
      <c r="O30" s="23" t="str">
        <f aca="false">IF($D30="","",MID(IF($C30="",", unit","")&amp;IF($E30="",", career level","")&amp;IF($H30="",", reason","")&amp;IF($I30="",", leaving quarter","")&amp;IF($J30="",", what happens to the seat","")&amp;IF(AND($J30="Defer backfill",$K30=""),", the backfill quarter","")&amp;IF(IFERROR(AND($K30&lt;&gt;"",$I30&lt;&gt;"",MATCH($K30,QuarterList,0)&lt;=MATCH($I30,QuarterList,0)),FALSE()),", a backfill quarter later than the leaving quarter","")&amp;IF(AND($C30&lt;&gt;"",COUNTIF(UnitList,$C30)=0),", a unit that is not in your structure",""),3,300))</f>
        <v/>
      </c>
    </row>
    <row r="31" customFormat="false" ht="15" hidden="false" customHeight="false" outlineLevel="0" collapsed="false">
      <c r="A31" s="17" t="n">
        <v>26</v>
      </c>
      <c r="B31" s="21"/>
      <c r="C31" s="21"/>
      <c r="D31" s="21"/>
      <c r="E31" s="21"/>
      <c r="F31" s="21"/>
      <c r="G31" s="21"/>
      <c r="H31" s="21"/>
      <c r="I31" s="21"/>
      <c r="J31" s="21"/>
      <c r="K31" s="21"/>
      <c r="L31" s="24" t="str">
        <f aca="false">IF(OR($D31="",$I31="",$J31=""),"",IF($J31="Surrender to fund new asks",MATCH($I31,QuarterList,0)/4,IF($J31="Defer backfill",IF($K31="",MATCH($I31,QuarterList,0)/4,MIN(1,MATCH($I31,QuarterList,0)/4+(5-MATCH($K31,QuarterList,0))/4)),1)))</f>
        <v/>
      </c>
      <c r="M31" s="19" t="str">
        <f aca="false">IF($L31="","",IFERROR(INDEX(LevelBasic,MATCH($E31,LevelList,0))+INDEX(LevelHousing,MATCH($E31,LevelList,0))+INDEX(LevelTransport,MATCH($E31,LevelList,0))+INDEX(LevelBasic,MATCH($E31,LevelList,0))*INDEX(LevelBonus,MATCH($E31,LevelList,0))+(INDEX(LevelBasic,MATCH($E31,LevelList,0))+INDEX(LevelHousing,MATCH($E31,LevelList,0)))*GosiSaudi,0)*(1-$L31))</f>
        <v/>
      </c>
      <c r="N31" s="19" t="n">
        <f aca="false">IF($J31="Surrender to fund new asks",IFERROR(INDEX(LevelBasic,MATCH($E31,LevelList,0))+INDEX(LevelHousing,MATCH($E31,LevelList,0))+INDEX(LevelTransport,MATCH($E31,LevelList,0))+INDEX(LevelBasic,MATCH($E31,LevelList,0))*INDEX(LevelBonus,MATCH($E31,LevelList,0))+(INDEX(LevelBasic,MATCH($E31,LevelList,0))+INDEX(LevelHousing,MATCH($E31,LevelList,0)))*GosiSaudi,0),0)</f>
        <v>0</v>
      </c>
      <c r="O31" s="23" t="str">
        <f aca="false">IF($D31="","",MID(IF($C31="",", unit","")&amp;IF($E31="",", career level","")&amp;IF($H31="",", reason","")&amp;IF($I31="",", leaving quarter","")&amp;IF($J31="",", what happens to the seat","")&amp;IF(AND($J31="Defer backfill",$K31=""),", the backfill quarter","")&amp;IF(IFERROR(AND($K31&lt;&gt;"",$I31&lt;&gt;"",MATCH($K31,QuarterList,0)&lt;=MATCH($I31,QuarterList,0)),FALSE()),", a backfill quarter later than the leaving quarter","")&amp;IF(AND($C31&lt;&gt;"",COUNTIF(UnitList,$C31)=0),", a unit that is not in your structure",""),3,300))</f>
        <v/>
      </c>
    </row>
    <row r="32" customFormat="false" ht="15" hidden="false" customHeight="false" outlineLevel="0" collapsed="false">
      <c r="A32" s="17" t="n">
        <v>27</v>
      </c>
      <c r="B32" s="21"/>
      <c r="C32" s="21"/>
      <c r="D32" s="21"/>
      <c r="E32" s="21"/>
      <c r="F32" s="21"/>
      <c r="G32" s="21"/>
      <c r="H32" s="21"/>
      <c r="I32" s="21"/>
      <c r="J32" s="21"/>
      <c r="K32" s="21"/>
      <c r="L32" s="24" t="str">
        <f aca="false">IF(OR($D32="",$I32="",$J32=""),"",IF($J32="Surrender to fund new asks",MATCH($I32,QuarterList,0)/4,IF($J32="Defer backfill",IF($K32="",MATCH($I32,QuarterList,0)/4,MIN(1,MATCH($I32,QuarterList,0)/4+(5-MATCH($K32,QuarterList,0))/4)),1)))</f>
        <v/>
      </c>
      <c r="M32" s="19" t="str">
        <f aca="false">IF($L32="","",IFERROR(INDEX(LevelBasic,MATCH($E32,LevelList,0))+INDEX(LevelHousing,MATCH($E32,LevelList,0))+INDEX(LevelTransport,MATCH($E32,LevelList,0))+INDEX(LevelBasic,MATCH($E32,LevelList,0))*INDEX(LevelBonus,MATCH($E32,LevelList,0))+(INDEX(LevelBasic,MATCH($E32,LevelList,0))+INDEX(LevelHousing,MATCH($E32,LevelList,0)))*GosiSaudi,0)*(1-$L32))</f>
        <v/>
      </c>
      <c r="N32" s="19" t="n">
        <f aca="false">IF($J32="Surrender to fund new asks",IFERROR(INDEX(LevelBasic,MATCH($E32,LevelList,0))+INDEX(LevelHousing,MATCH($E32,LevelList,0))+INDEX(LevelTransport,MATCH($E32,LevelList,0))+INDEX(LevelBasic,MATCH($E32,LevelList,0))*INDEX(LevelBonus,MATCH($E32,LevelList,0))+(INDEX(LevelBasic,MATCH($E32,LevelList,0))+INDEX(LevelHousing,MATCH($E32,LevelList,0)))*GosiSaudi,0),0)</f>
        <v>0</v>
      </c>
      <c r="O32" s="23" t="str">
        <f aca="false">IF($D32="","",MID(IF($C32="",", unit","")&amp;IF($E32="",", career level","")&amp;IF($H32="",", reason","")&amp;IF($I32="",", leaving quarter","")&amp;IF($J32="",", what happens to the seat","")&amp;IF(AND($J32="Defer backfill",$K32=""),", the backfill quarter","")&amp;IF(IFERROR(AND($K32&lt;&gt;"",$I32&lt;&gt;"",MATCH($K32,QuarterList,0)&lt;=MATCH($I32,QuarterList,0)),FALSE()),", a backfill quarter later than the leaving quarter","")&amp;IF(AND($C32&lt;&gt;"",COUNTIF(UnitList,$C32)=0),", a unit that is not in your structure",""),3,300))</f>
        <v/>
      </c>
    </row>
    <row r="33" customFormat="false" ht="15" hidden="false" customHeight="false" outlineLevel="0" collapsed="false">
      <c r="A33" s="17" t="n">
        <v>28</v>
      </c>
      <c r="B33" s="21"/>
      <c r="C33" s="21"/>
      <c r="D33" s="21"/>
      <c r="E33" s="21"/>
      <c r="F33" s="21"/>
      <c r="G33" s="21"/>
      <c r="H33" s="21"/>
      <c r="I33" s="21"/>
      <c r="J33" s="21"/>
      <c r="K33" s="21"/>
      <c r="L33" s="24" t="str">
        <f aca="false">IF(OR($D33="",$I33="",$J33=""),"",IF($J33="Surrender to fund new asks",MATCH($I33,QuarterList,0)/4,IF($J33="Defer backfill",IF($K33="",MATCH($I33,QuarterList,0)/4,MIN(1,MATCH($I33,QuarterList,0)/4+(5-MATCH($K33,QuarterList,0))/4)),1)))</f>
        <v/>
      </c>
      <c r="M33" s="19" t="str">
        <f aca="false">IF($L33="","",IFERROR(INDEX(LevelBasic,MATCH($E33,LevelList,0))+INDEX(LevelHousing,MATCH($E33,LevelList,0))+INDEX(LevelTransport,MATCH($E33,LevelList,0))+INDEX(LevelBasic,MATCH($E33,LevelList,0))*INDEX(LevelBonus,MATCH($E33,LevelList,0))+(INDEX(LevelBasic,MATCH($E33,LevelList,0))+INDEX(LevelHousing,MATCH($E33,LevelList,0)))*GosiSaudi,0)*(1-$L33))</f>
        <v/>
      </c>
      <c r="N33" s="19" t="n">
        <f aca="false">IF($J33="Surrender to fund new asks",IFERROR(INDEX(LevelBasic,MATCH($E33,LevelList,0))+INDEX(LevelHousing,MATCH($E33,LevelList,0))+INDEX(LevelTransport,MATCH($E33,LevelList,0))+INDEX(LevelBasic,MATCH($E33,LevelList,0))*INDEX(LevelBonus,MATCH($E33,LevelList,0))+(INDEX(LevelBasic,MATCH($E33,LevelList,0))+INDEX(LevelHousing,MATCH($E33,LevelList,0)))*GosiSaudi,0),0)</f>
        <v>0</v>
      </c>
      <c r="O33" s="23" t="str">
        <f aca="false">IF($D33="","",MID(IF($C33="",", unit","")&amp;IF($E33="",", career level","")&amp;IF($H33="",", reason","")&amp;IF($I33="",", leaving quarter","")&amp;IF($J33="",", what happens to the seat","")&amp;IF(AND($J33="Defer backfill",$K33=""),", the backfill quarter","")&amp;IF(IFERROR(AND($K33&lt;&gt;"",$I33&lt;&gt;"",MATCH($K33,QuarterList,0)&lt;=MATCH($I33,QuarterList,0)),FALSE()),", a backfill quarter later than the leaving quarter","")&amp;IF(AND($C33&lt;&gt;"",COUNTIF(UnitList,$C33)=0),", a unit that is not in your structure",""),3,300))</f>
        <v/>
      </c>
    </row>
    <row r="34" customFormat="false" ht="15" hidden="false" customHeight="false" outlineLevel="0" collapsed="false">
      <c r="A34" s="17" t="n">
        <v>29</v>
      </c>
      <c r="B34" s="21"/>
      <c r="C34" s="21"/>
      <c r="D34" s="21"/>
      <c r="E34" s="21"/>
      <c r="F34" s="21"/>
      <c r="G34" s="21"/>
      <c r="H34" s="21"/>
      <c r="I34" s="21"/>
      <c r="J34" s="21"/>
      <c r="K34" s="21"/>
      <c r="L34" s="24" t="str">
        <f aca="false">IF(OR($D34="",$I34="",$J34=""),"",IF($J34="Surrender to fund new asks",MATCH($I34,QuarterList,0)/4,IF($J34="Defer backfill",IF($K34="",MATCH($I34,QuarterList,0)/4,MIN(1,MATCH($I34,QuarterList,0)/4+(5-MATCH($K34,QuarterList,0))/4)),1)))</f>
        <v/>
      </c>
      <c r="M34" s="19" t="str">
        <f aca="false">IF($L34="","",IFERROR(INDEX(LevelBasic,MATCH($E34,LevelList,0))+INDEX(LevelHousing,MATCH($E34,LevelList,0))+INDEX(LevelTransport,MATCH($E34,LevelList,0))+INDEX(LevelBasic,MATCH($E34,LevelList,0))*INDEX(LevelBonus,MATCH($E34,LevelList,0))+(INDEX(LevelBasic,MATCH($E34,LevelList,0))+INDEX(LevelHousing,MATCH($E34,LevelList,0)))*GosiSaudi,0)*(1-$L34))</f>
        <v/>
      </c>
      <c r="N34" s="19" t="n">
        <f aca="false">IF($J34="Surrender to fund new asks",IFERROR(INDEX(LevelBasic,MATCH($E34,LevelList,0))+INDEX(LevelHousing,MATCH($E34,LevelList,0))+INDEX(LevelTransport,MATCH($E34,LevelList,0))+INDEX(LevelBasic,MATCH($E34,LevelList,0))*INDEX(LevelBonus,MATCH($E34,LevelList,0))+(INDEX(LevelBasic,MATCH($E34,LevelList,0))+INDEX(LevelHousing,MATCH($E34,LevelList,0)))*GosiSaudi,0),0)</f>
        <v>0</v>
      </c>
      <c r="O34" s="23" t="str">
        <f aca="false">IF($D34="","",MID(IF($C34="",", unit","")&amp;IF($E34="",", career level","")&amp;IF($H34="",", reason","")&amp;IF($I34="",", leaving quarter","")&amp;IF($J34="",", what happens to the seat","")&amp;IF(AND($J34="Defer backfill",$K34=""),", the backfill quarter","")&amp;IF(IFERROR(AND($K34&lt;&gt;"",$I34&lt;&gt;"",MATCH($K34,QuarterList,0)&lt;=MATCH($I34,QuarterList,0)),FALSE()),", a backfill quarter later than the leaving quarter","")&amp;IF(AND($C34&lt;&gt;"",COUNTIF(UnitList,$C34)=0),", a unit that is not in your structure",""),3,300))</f>
        <v/>
      </c>
    </row>
    <row r="35" customFormat="false" ht="15" hidden="false" customHeight="false" outlineLevel="0" collapsed="false">
      <c r="A35" s="17" t="n">
        <v>30</v>
      </c>
      <c r="B35" s="21"/>
      <c r="C35" s="21"/>
      <c r="D35" s="21"/>
      <c r="E35" s="21"/>
      <c r="F35" s="21"/>
      <c r="G35" s="21"/>
      <c r="H35" s="21"/>
      <c r="I35" s="21"/>
      <c r="J35" s="21"/>
      <c r="K35" s="21"/>
      <c r="L35" s="24" t="str">
        <f aca="false">IF(OR($D35="",$I35="",$J35=""),"",IF($J35="Surrender to fund new asks",MATCH($I35,QuarterList,0)/4,IF($J35="Defer backfill",IF($K35="",MATCH($I35,QuarterList,0)/4,MIN(1,MATCH($I35,QuarterList,0)/4+(5-MATCH($K35,QuarterList,0))/4)),1)))</f>
        <v/>
      </c>
      <c r="M35" s="19" t="str">
        <f aca="false">IF($L35="","",IFERROR(INDEX(LevelBasic,MATCH($E35,LevelList,0))+INDEX(LevelHousing,MATCH($E35,LevelList,0))+INDEX(LevelTransport,MATCH($E35,LevelList,0))+INDEX(LevelBasic,MATCH($E35,LevelList,0))*INDEX(LevelBonus,MATCH($E35,LevelList,0))+(INDEX(LevelBasic,MATCH($E35,LevelList,0))+INDEX(LevelHousing,MATCH($E35,LevelList,0)))*GosiSaudi,0)*(1-$L35))</f>
        <v/>
      </c>
      <c r="N35" s="19" t="n">
        <f aca="false">IF($J35="Surrender to fund new asks",IFERROR(INDEX(LevelBasic,MATCH($E35,LevelList,0))+INDEX(LevelHousing,MATCH($E35,LevelList,0))+INDEX(LevelTransport,MATCH($E35,LevelList,0))+INDEX(LevelBasic,MATCH($E35,LevelList,0))*INDEX(LevelBonus,MATCH($E35,LevelList,0))+(INDEX(LevelBasic,MATCH($E35,LevelList,0))+INDEX(LevelHousing,MATCH($E35,LevelList,0)))*GosiSaudi,0),0)</f>
        <v>0</v>
      </c>
      <c r="O35" s="23" t="str">
        <f aca="false">IF($D35="","",MID(IF($C35="",", unit","")&amp;IF($E35="",", career level","")&amp;IF($H35="",", reason","")&amp;IF($I35="",", leaving quarter","")&amp;IF($J35="",", what happens to the seat","")&amp;IF(AND($J35="Defer backfill",$K35=""),", the backfill quarter","")&amp;IF(IFERROR(AND($K35&lt;&gt;"",$I35&lt;&gt;"",MATCH($K35,QuarterList,0)&lt;=MATCH($I35,QuarterList,0)),FALSE()),", a backfill quarter later than the leaving quarter","")&amp;IF(AND($C35&lt;&gt;"",COUNTIF(UnitList,$C35)=0),", a unit that is not in your structure",""),3,300))</f>
        <v/>
      </c>
    </row>
    <row r="36" customFormat="false" ht="15" hidden="false" customHeight="false" outlineLevel="0" collapsed="false">
      <c r="A36" s="17" t="n">
        <v>31</v>
      </c>
      <c r="B36" s="21"/>
      <c r="C36" s="21"/>
      <c r="D36" s="21"/>
      <c r="E36" s="21"/>
      <c r="F36" s="21"/>
      <c r="G36" s="21"/>
      <c r="H36" s="21"/>
      <c r="I36" s="21"/>
      <c r="J36" s="21"/>
      <c r="K36" s="21"/>
      <c r="L36" s="24" t="str">
        <f aca="false">IF(OR($D36="",$I36="",$J36=""),"",IF($J36="Surrender to fund new asks",MATCH($I36,QuarterList,0)/4,IF($J36="Defer backfill",IF($K36="",MATCH($I36,QuarterList,0)/4,MIN(1,MATCH($I36,QuarterList,0)/4+(5-MATCH($K36,QuarterList,0))/4)),1)))</f>
        <v/>
      </c>
      <c r="M36" s="19" t="str">
        <f aca="false">IF($L36="","",IFERROR(INDEX(LevelBasic,MATCH($E36,LevelList,0))+INDEX(LevelHousing,MATCH($E36,LevelList,0))+INDEX(LevelTransport,MATCH($E36,LevelList,0))+INDEX(LevelBasic,MATCH($E36,LevelList,0))*INDEX(LevelBonus,MATCH($E36,LevelList,0))+(INDEX(LevelBasic,MATCH($E36,LevelList,0))+INDEX(LevelHousing,MATCH($E36,LevelList,0)))*GosiSaudi,0)*(1-$L36))</f>
        <v/>
      </c>
      <c r="N36" s="19" t="n">
        <f aca="false">IF($J36="Surrender to fund new asks",IFERROR(INDEX(LevelBasic,MATCH($E36,LevelList,0))+INDEX(LevelHousing,MATCH($E36,LevelList,0))+INDEX(LevelTransport,MATCH($E36,LevelList,0))+INDEX(LevelBasic,MATCH($E36,LevelList,0))*INDEX(LevelBonus,MATCH($E36,LevelList,0))+(INDEX(LevelBasic,MATCH($E36,LevelList,0))+INDEX(LevelHousing,MATCH($E36,LevelList,0)))*GosiSaudi,0),0)</f>
        <v>0</v>
      </c>
      <c r="O36" s="23" t="str">
        <f aca="false">IF($D36="","",MID(IF($C36="",", unit","")&amp;IF($E36="",", career level","")&amp;IF($H36="",", reason","")&amp;IF($I36="",", leaving quarter","")&amp;IF($J36="",", what happens to the seat","")&amp;IF(AND($J36="Defer backfill",$K36=""),", the backfill quarter","")&amp;IF(IFERROR(AND($K36&lt;&gt;"",$I36&lt;&gt;"",MATCH($K36,QuarterList,0)&lt;=MATCH($I36,QuarterList,0)),FALSE()),", a backfill quarter later than the leaving quarter","")&amp;IF(AND($C36&lt;&gt;"",COUNTIF(UnitList,$C36)=0),", a unit that is not in your structure",""),3,300))</f>
        <v/>
      </c>
    </row>
    <row r="37" customFormat="false" ht="15" hidden="false" customHeight="false" outlineLevel="0" collapsed="false">
      <c r="A37" s="17" t="n">
        <v>32</v>
      </c>
      <c r="B37" s="21"/>
      <c r="C37" s="21"/>
      <c r="D37" s="21"/>
      <c r="E37" s="21"/>
      <c r="F37" s="21"/>
      <c r="G37" s="21"/>
      <c r="H37" s="21"/>
      <c r="I37" s="21"/>
      <c r="J37" s="21"/>
      <c r="K37" s="21"/>
      <c r="L37" s="24" t="str">
        <f aca="false">IF(OR($D37="",$I37="",$J37=""),"",IF($J37="Surrender to fund new asks",MATCH($I37,QuarterList,0)/4,IF($J37="Defer backfill",IF($K37="",MATCH($I37,QuarterList,0)/4,MIN(1,MATCH($I37,QuarterList,0)/4+(5-MATCH($K37,QuarterList,0))/4)),1)))</f>
        <v/>
      </c>
      <c r="M37" s="19" t="str">
        <f aca="false">IF($L37="","",IFERROR(INDEX(LevelBasic,MATCH($E37,LevelList,0))+INDEX(LevelHousing,MATCH($E37,LevelList,0))+INDEX(LevelTransport,MATCH($E37,LevelList,0))+INDEX(LevelBasic,MATCH($E37,LevelList,0))*INDEX(LevelBonus,MATCH($E37,LevelList,0))+(INDEX(LevelBasic,MATCH($E37,LevelList,0))+INDEX(LevelHousing,MATCH($E37,LevelList,0)))*GosiSaudi,0)*(1-$L37))</f>
        <v/>
      </c>
      <c r="N37" s="19" t="n">
        <f aca="false">IF($J37="Surrender to fund new asks",IFERROR(INDEX(LevelBasic,MATCH($E37,LevelList,0))+INDEX(LevelHousing,MATCH($E37,LevelList,0))+INDEX(LevelTransport,MATCH($E37,LevelList,0))+INDEX(LevelBasic,MATCH($E37,LevelList,0))*INDEX(LevelBonus,MATCH($E37,LevelList,0))+(INDEX(LevelBasic,MATCH($E37,LevelList,0))+INDEX(LevelHousing,MATCH($E37,LevelList,0)))*GosiSaudi,0),0)</f>
        <v>0</v>
      </c>
      <c r="O37" s="23" t="str">
        <f aca="false">IF($D37="","",MID(IF($C37="",", unit","")&amp;IF($E37="",", career level","")&amp;IF($H37="",", reason","")&amp;IF($I37="",", leaving quarter","")&amp;IF($J37="",", what happens to the seat","")&amp;IF(AND($J37="Defer backfill",$K37=""),", the backfill quarter","")&amp;IF(IFERROR(AND($K37&lt;&gt;"",$I37&lt;&gt;"",MATCH($K37,QuarterList,0)&lt;=MATCH($I37,QuarterList,0)),FALSE()),", a backfill quarter later than the leaving quarter","")&amp;IF(AND($C37&lt;&gt;"",COUNTIF(UnitList,$C37)=0),", a unit that is not in your structure",""),3,300))</f>
        <v/>
      </c>
    </row>
    <row r="38" customFormat="false" ht="15" hidden="false" customHeight="false" outlineLevel="0" collapsed="false">
      <c r="A38" s="17" t="n">
        <v>33</v>
      </c>
      <c r="B38" s="21"/>
      <c r="C38" s="21"/>
      <c r="D38" s="21"/>
      <c r="E38" s="21"/>
      <c r="F38" s="21"/>
      <c r="G38" s="21"/>
      <c r="H38" s="21"/>
      <c r="I38" s="21"/>
      <c r="J38" s="21"/>
      <c r="K38" s="21"/>
      <c r="L38" s="24" t="str">
        <f aca="false">IF(OR($D38="",$I38="",$J38=""),"",IF($J38="Surrender to fund new asks",MATCH($I38,QuarterList,0)/4,IF($J38="Defer backfill",IF($K38="",MATCH($I38,QuarterList,0)/4,MIN(1,MATCH($I38,QuarterList,0)/4+(5-MATCH($K38,QuarterList,0))/4)),1)))</f>
        <v/>
      </c>
      <c r="M38" s="19" t="str">
        <f aca="false">IF($L38="","",IFERROR(INDEX(LevelBasic,MATCH($E38,LevelList,0))+INDEX(LevelHousing,MATCH($E38,LevelList,0))+INDEX(LevelTransport,MATCH($E38,LevelList,0))+INDEX(LevelBasic,MATCH($E38,LevelList,0))*INDEX(LevelBonus,MATCH($E38,LevelList,0))+(INDEX(LevelBasic,MATCH($E38,LevelList,0))+INDEX(LevelHousing,MATCH($E38,LevelList,0)))*GosiSaudi,0)*(1-$L38))</f>
        <v/>
      </c>
      <c r="N38" s="19" t="n">
        <f aca="false">IF($J38="Surrender to fund new asks",IFERROR(INDEX(LevelBasic,MATCH($E38,LevelList,0))+INDEX(LevelHousing,MATCH($E38,LevelList,0))+INDEX(LevelTransport,MATCH($E38,LevelList,0))+INDEX(LevelBasic,MATCH($E38,LevelList,0))*INDEX(LevelBonus,MATCH($E38,LevelList,0))+(INDEX(LevelBasic,MATCH($E38,LevelList,0))+INDEX(LevelHousing,MATCH($E38,LevelList,0)))*GosiSaudi,0),0)</f>
        <v>0</v>
      </c>
      <c r="O38" s="23" t="str">
        <f aca="false">IF($D38="","",MID(IF($C38="",", unit","")&amp;IF($E38="",", career level","")&amp;IF($H38="",", reason","")&amp;IF($I38="",", leaving quarter","")&amp;IF($J38="",", what happens to the seat","")&amp;IF(AND($J38="Defer backfill",$K38=""),", the backfill quarter","")&amp;IF(IFERROR(AND($K38&lt;&gt;"",$I38&lt;&gt;"",MATCH($K38,QuarterList,0)&lt;=MATCH($I38,QuarterList,0)),FALSE()),", a backfill quarter later than the leaving quarter","")&amp;IF(AND($C38&lt;&gt;"",COUNTIF(UnitList,$C38)=0),", a unit that is not in your structure",""),3,300))</f>
        <v/>
      </c>
    </row>
    <row r="39" customFormat="false" ht="15" hidden="false" customHeight="false" outlineLevel="0" collapsed="false">
      <c r="A39" s="17" t="n">
        <v>34</v>
      </c>
      <c r="B39" s="21"/>
      <c r="C39" s="21"/>
      <c r="D39" s="21"/>
      <c r="E39" s="21"/>
      <c r="F39" s="21"/>
      <c r="G39" s="21"/>
      <c r="H39" s="21"/>
      <c r="I39" s="21"/>
      <c r="J39" s="21"/>
      <c r="K39" s="21"/>
      <c r="L39" s="24" t="str">
        <f aca="false">IF(OR($D39="",$I39="",$J39=""),"",IF($J39="Surrender to fund new asks",MATCH($I39,QuarterList,0)/4,IF($J39="Defer backfill",IF($K39="",MATCH($I39,QuarterList,0)/4,MIN(1,MATCH($I39,QuarterList,0)/4+(5-MATCH($K39,QuarterList,0))/4)),1)))</f>
        <v/>
      </c>
      <c r="M39" s="19" t="str">
        <f aca="false">IF($L39="","",IFERROR(INDEX(LevelBasic,MATCH($E39,LevelList,0))+INDEX(LevelHousing,MATCH($E39,LevelList,0))+INDEX(LevelTransport,MATCH($E39,LevelList,0))+INDEX(LevelBasic,MATCH($E39,LevelList,0))*INDEX(LevelBonus,MATCH($E39,LevelList,0))+(INDEX(LevelBasic,MATCH($E39,LevelList,0))+INDEX(LevelHousing,MATCH($E39,LevelList,0)))*GosiSaudi,0)*(1-$L39))</f>
        <v/>
      </c>
      <c r="N39" s="19" t="n">
        <f aca="false">IF($J39="Surrender to fund new asks",IFERROR(INDEX(LevelBasic,MATCH($E39,LevelList,0))+INDEX(LevelHousing,MATCH($E39,LevelList,0))+INDEX(LevelTransport,MATCH($E39,LevelList,0))+INDEX(LevelBasic,MATCH($E39,LevelList,0))*INDEX(LevelBonus,MATCH($E39,LevelList,0))+(INDEX(LevelBasic,MATCH($E39,LevelList,0))+INDEX(LevelHousing,MATCH($E39,LevelList,0)))*GosiSaudi,0),0)</f>
        <v>0</v>
      </c>
      <c r="O39" s="23" t="str">
        <f aca="false">IF($D39="","",MID(IF($C39="",", unit","")&amp;IF($E39="",", career level","")&amp;IF($H39="",", reason","")&amp;IF($I39="",", leaving quarter","")&amp;IF($J39="",", what happens to the seat","")&amp;IF(AND($J39="Defer backfill",$K39=""),", the backfill quarter","")&amp;IF(IFERROR(AND($K39&lt;&gt;"",$I39&lt;&gt;"",MATCH($K39,QuarterList,0)&lt;=MATCH($I39,QuarterList,0)),FALSE()),", a backfill quarter later than the leaving quarter","")&amp;IF(AND($C39&lt;&gt;"",COUNTIF(UnitList,$C39)=0),", a unit that is not in your structure",""),3,300))</f>
        <v/>
      </c>
    </row>
    <row r="40" customFormat="false" ht="15" hidden="false" customHeight="false" outlineLevel="0" collapsed="false">
      <c r="A40" s="17" t="n">
        <v>35</v>
      </c>
      <c r="B40" s="21"/>
      <c r="C40" s="21"/>
      <c r="D40" s="21"/>
      <c r="E40" s="21"/>
      <c r="F40" s="21"/>
      <c r="G40" s="21"/>
      <c r="H40" s="21"/>
      <c r="I40" s="21"/>
      <c r="J40" s="21"/>
      <c r="K40" s="21"/>
      <c r="L40" s="24" t="str">
        <f aca="false">IF(OR($D40="",$I40="",$J40=""),"",IF($J40="Surrender to fund new asks",MATCH($I40,QuarterList,0)/4,IF($J40="Defer backfill",IF($K40="",MATCH($I40,QuarterList,0)/4,MIN(1,MATCH($I40,QuarterList,0)/4+(5-MATCH($K40,QuarterList,0))/4)),1)))</f>
        <v/>
      </c>
      <c r="M40" s="19" t="str">
        <f aca="false">IF($L40="","",IFERROR(INDEX(LevelBasic,MATCH($E40,LevelList,0))+INDEX(LevelHousing,MATCH($E40,LevelList,0))+INDEX(LevelTransport,MATCH($E40,LevelList,0))+INDEX(LevelBasic,MATCH($E40,LevelList,0))*INDEX(LevelBonus,MATCH($E40,LevelList,0))+(INDEX(LevelBasic,MATCH($E40,LevelList,0))+INDEX(LevelHousing,MATCH($E40,LevelList,0)))*GosiSaudi,0)*(1-$L40))</f>
        <v/>
      </c>
      <c r="N40" s="19" t="n">
        <f aca="false">IF($J40="Surrender to fund new asks",IFERROR(INDEX(LevelBasic,MATCH($E40,LevelList,0))+INDEX(LevelHousing,MATCH($E40,LevelList,0))+INDEX(LevelTransport,MATCH($E40,LevelList,0))+INDEX(LevelBasic,MATCH($E40,LevelList,0))*INDEX(LevelBonus,MATCH($E40,LevelList,0))+(INDEX(LevelBasic,MATCH($E40,LevelList,0))+INDEX(LevelHousing,MATCH($E40,LevelList,0)))*GosiSaudi,0),0)</f>
        <v>0</v>
      </c>
      <c r="O40" s="23" t="str">
        <f aca="false">IF($D40="","",MID(IF($C40="",", unit","")&amp;IF($E40="",", career level","")&amp;IF($H40="",", reason","")&amp;IF($I40="",", leaving quarter","")&amp;IF($J40="",", what happens to the seat","")&amp;IF(AND($J40="Defer backfill",$K40=""),", the backfill quarter","")&amp;IF(IFERROR(AND($K40&lt;&gt;"",$I40&lt;&gt;"",MATCH($K40,QuarterList,0)&lt;=MATCH($I40,QuarterList,0)),FALSE()),", a backfill quarter later than the leaving quarter","")&amp;IF(AND($C40&lt;&gt;"",COUNTIF(UnitList,$C40)=0),", a unit that is not in your structure",""),3,300))</f>
        <v/>
      </c>
    </row>
    <row r="41" customFormat="false" ht="15" hidden="false" customHeight="false" outlineLevel="0" collapsed="false">
      <c r="A41" s="17" t="n">
        <v>36</v>
      </c>
      <c r="B41" s="21"/>
      <c r="C41" s="21"/>
      <c r="D41" s="21"/>
      <c r="E41" s="21"/>
      <c r="F41" s="21"/>
      <c r="G41" s="21"/>
      <c r="H41" s="21"/>
      <c r="I41" s="21"/>
      <c r="J41" s="21"/>
      <c r="K41" s="21"/>
      <c r="L41" s="24" t="str">
        <f aca="false">IF(OR($D41="",$I41="",$J41=""),"",IF($J41="Surrender to fund new asks",MATCH($I41,QuarterList,0)/4,IF($J41="Defer backfill",IF($K41="",MATCH($I41,QuarterList,0)/4,MIN(1,MATCH($I41,QuarterList,0)/4+(5-MATCH($K41,QuarterList,0))/4)),1)))</f>
        <v/>
      </c>
      <c r="M41" s="19" t="str">
        <f aca="false">IF($L41="","",IFERROR(INDEX(LevelBasic,MATCH($E41,LevelList,0))+INDEX(LevelHousing,MATCH($E41,LevelList,0))+INDEX(LevelTransport,MATCH($E41,LevelList,0))+INDEX(LevelBasic,MATCH($E41,LevelList,0))*INDEX(LevelBonus,MATCH($E41,LevelList,0))+(INDEX(LevelBasic,MATCH($E41,LevelList,0))+INDEX(LevelHousing,MATCH($E41,LevelList,0)))*GosiSaudi,0)*(1-$L41))</f>
        <v/>
      </c>
      <c r="N41" s="19" t="n">
        <f aca="false">IF($J41="Surrender to fund new asks",IFERROR(INDEX(LevelBasic,MATCH($E41,LevelList,0))+INDEX(LevelHousing,MATCH($E41,LevelList,0))+INDEX(LevelTransport,MATCH($E41,LevelList,0))+INDEX(LevelBasic,MATCH($E41,LevelList,0))*INDEX(LevelBonus,MATCH($E41,LevelList,0))+(INDEX(LevelBasic,MATCH($E41,LevelList,0))+INDEX(LevelHousing,MATCH($E41,LevelList,0)))*GosiSaudi,0),0)</f>
        <v>0</v>
      </c>
      <c r="O41" s="23" t="str">
        <f aca="false">IF($D41="","",MID(IF($C41="",", unit","")&amp;IF($E41="",", career level","")&amp;IF($H41="",", reason","")&amp;IF($I41="",", leaving quarter","")&amp;IF($J41="",", what happens to the seat","")&amp;IF(AND($J41="Defer backfill",$K41=""),", the backfill quarter","")&amp;IF(IFERROR(AND($K41&lt;&gt;"",$I41&lt;&gt;"",MATCH($K41,QuarterList,0)&lt;=MATCH($I41,QuarterList,0)),FALSE()),", a backfill quarter later than the leaving quarter","")&amp;IF(AND($C41&lt;&gt;"",COUNTIF(UnitList,$C41)=0),", a unit that is not in your structure",""),3,300))</f>
        <v/>
      </c>
    </row>
    <row r="42" customFormat="false" ht="15" hidden="false" customHeight="false" outlineLevel="0" collapsed="false">
      <c r="A42" s="17" t="n">
        <v>37</v>
      </c>
      <c r="B42" s="21"/>
      <c r="C42" s="21"/>
      <c r="D42" s="21"/>
      <c r="E42" s="21"/>
      <c r="F42" s="21"/>
      <c r="G42" s="21"/>
      <c r="H42" s="21"/>
      <c r="I42" s="21"/>
      <c r="J42" s="21"/>
      <c r="K42" s="21"/>
      <c r="L42" s="24" t="str">
        <f aca="false">IF(OR($D42="",$I42="",$J42=""),"",IF($J42="Surrender to fund new asks",MATCH($I42,QuarterList,0)/4,IF($J42="Defer backfill",IF($K42="",MATCH($I42,QuarterList,0)/4,MIN(1,MATCH($I42,QuarterList,0)/4+(5-MATCH($K42,QuarterList,0))/4)),1)))</f>
        <v/>
      </c>
      <c r="M42" s="19" t="str">
        <f aca="false">IF($L42="","",IFERROR(INDEX(LevelBasic,MATCH($E42,LevelList,0))+INDEX(LevelHousing,MATCH($E42,LevelList,0))+INDEX(LevelTransport,MATCH($E42,LevelList,0))+INDEX(LevelBasic,MATCH($E42,LevelList,0))*INDEX(LevelBonus,MATCH($E42,LevelList,0))+(INDEX(LevelBasic,MATCH($E42,LevelList,0))+INDEX(LevelHousing,MATCH($E42,LevelList,0)))*GosiSaudi,0)*(1-$L42))</f>
        <v/>
      </c>
      <c r="N42" s="19" t="n">
        <f aca="false">IF($J42="Surrender to fund new asks",IFERROR(INDEX(LevelBasic,MATCH($E42,LevelList,0))+INDEX(LevelHousing,MATCH($E42,LevelList,0))+INDEX(LevelTransport,MATCH($E42,LevelList,0))+INDEX(LevelBasic,MATCH($E42,LevelList,0))*INDEX(LevelBonus,MATCH($E42,LevelList,0))+(INDEX(LevelBasic,MATCH($E42,LevelList,0))+INDEX(LevelHousing,MATCH($E42,LevelList,0)))*GosiSaudi,0),0)</f>
        <v>0</v>
      </c>
      <c r="O42" s="23" t="str">
        <f aca="false">IF($D42="","",MID(IF($C42="",", unit","")&amp;IF($E42="",", career level","")&amp;IF($H42="",", reason","")&amp;IF($I42="",", leaving quarter","")&amp;IF($J42="",", what happens to the seat","")&amp;IF(AND($J42="Defer backfill",$K42=""),", the backfill quarter","")&amp;IF(IFERROR(AND($K42&lt;&gt;"",$I42&lt;&gt;"",MATCH($K42,QuarterList,0)&lt;=MATCH($I42,QuarterList,0)),FALSE()),", a backfill quarter later than the leaving quarter","")&amp;IF(AND($C42&lt;&gt;"",COUNTIF(UnitList,$C42)=0),", a unit that is not in your structure",""),3,300))</f>
        <v/>
      </c>
    </row>
    <row r="43" customFormat="false" ht="15" hidden="false" customHeight="false" outlineLevel="0" collapsed="false">
      <c r="A43" s="17" t="n">
        <v>38</v>
      </c>
      <c r="B43" s="21"/>
      <c r="C43" s="21"/>
      <c r="D43" s="21"/>
      <c r="E43" s="21"/>
      <c r="F43" s="21"/>
      <c r="G43" s="21"/>
      <c r="H43" s="21"/>
      <c r="I43" s="21"/>
      <c r="J43" s="21"/>
      <c r="K43" s="21"/>
      <c r="L43" s="24" t="str">
        <f aca="false">IF(OR($D43="",$I43="",$J43=""),"",IF($J43="Surrender to fund new asks",MATCH($I43,QuarterList,0)/4,IF($J43="Defer backfill",IF($K43="",MATCH($I43,QuarterList,0)/4,MIN(1,MATCH($I43,QuarterList,0)/4+(5-MATCH($K43,QuarterList,0))/4)),1)))</f>
        <v/>
      </c>
      <c r="M43" s="19" t="str">
        <f aca="false">IF($L43="","",IFERROR(INDEX(LevelBasic,MATCH($E43,LevelList,0))+INDEX(LevelHousing,MATCH($E43,LevelList,0))+INDEX(LevelTransport,MATCH($E43,LevelList,0))+INDEX(LevelBasic,MATCH($E43,LevelList,0))*INDEX(LevelBonus,MATCH($E43,LevelList,0))+(INDEX(LevelBasic,MATCH($E43,LevelList,0))+INDEX(LevelHousing,MATCH($E43,LevelList,0)))*GosiSaudi,0)*(1-$L43))</f>
        <v/>
      </c>
      <c r="N43" s="19" t="n">
        <f aca="false">IF($J43="Surrender to fund new asks",IFERROR(INDEX(LevelBasic,MATCH($E43,LevelList,0))+INDEX(LevelHousing,MATCH($E43,LevelList,0))+INDEX(LevelTransport,MATCH($E43,LevelList,0))+INDEX(LevelBasic,MATCH($E43,LevelList,0))*INDEX(LevelBonus,MATCH($E43,LevelList,0))+(INDEX(LevelBasic,MATCH($E43,LevelList,0))+INDEX(LevelHousing,MATCH($E43,LevelList,0)))*GosiSaudi,0),0)</f>
        <v>0</v>
      </c>
      <c r="O43" s="23" t="str">
        <f aca="false">IF($D43="","",MID(IF($C43="",", unit","")&amp;IF($E43="",", career level","")&amp;IF($H43="",", reason","")&amp;IF($I43="",", leaving quarter","")&amp;IF($J43="",", what happens to the seat","")&amp;IF(AND($J43="Defer backfill",$K43=""),", the backfill quarter","")&amp;IF(IFERROR(AND($K43&lt;&gt;"",$I43&lt;&gt;"",MATCH($K43,QuarterList,0)&lt;=MATCH($I43,QuarterList,0)),FALSE()),", a backfill quarter later than the leaving quarter","")&amp;IF(AND($C43&lt;&gt;"",COUNTIF(UnitList,$C43)=0),", a unit that is not in your structure",""),3,300))</f>
        <v/>
      </c>
    </row>
    <row r="44" customFormat="false" ht="15" hidden="false" customHeight="false" outlineLevel="0" collapsed="false">
      <c r="A44" s="17" t="n">
        <v>39</v>
      </c>
      <c r="B44" s="21"/>
      <c r="C44" s="21"/>
      <c r="D44" s="21"/>
      <c r="E44" s="21"/>
      <c r="F44" s="21"/>
      <c r="G44" s="21"/>
      <c r="H44" s="21"/>
      <c r="I44" s="21"/>
      <c r="J44" s="21"/>
      <c r="K44" s="21"/>
      <c r="L44" s="24" t="str">
        <f aca="false">IF(OR($D44="",$I44="",$J44=""),"",IF($J44="Surrender to fund new asks",MATCH($I44,QuarterList,0)/4,IF($J44="Defer backfill",IF($K44="",MATCH($I44,QuarterList,0)/4,MIN(1,MATCH($I44,QuarterList,0)/4+(5-MATCH($K44,QuarterList,0))/4)),1)))</f>
        <v/>
      </c>
      <c r="M44" s="19" t="str">
        <f aca="false">IF($L44="","",IFERROR(INDEX(LevelBasic,MATCH($E44,LevelList,0))+INDEX(LevelHousing,MATCH($E44,LevelList,0))+INDEX(LevelTransport,MATCH($E44,LevelList,0))+INDEX(LevelBasic,MATCH($E44,LevelList,0))*INDEX(LevelBonus,MATCH($E44,LevelList,0))+(INDEX(LevelBasic,MATCH($E44,LevelList,0))+INDEX(LevelHousing,MATCH($E44,LevelList,0)))*GosiSaudi,0)*(1-$L44))</f>
        <v/>
      </c>
      <c r="N44" s="19" t="n">
        <f aca="false">IF($J44="Surrender to fund new asks",IFERROR(INDEX(LevelBasic,MATCH($E44,LevelList,0))+INDEX(LevelHousing,MATCH($E44,LevelList,0))+INDEX(LevelTransport,MATCH($E44,LevelList,0))+INDEX(LevelBasic,MATCH($E44,LevelList,0))*INDEX(LevelBonus,MATCH($E44,LevelList,0))+(INDEX(LevelBasic,MATCH($E44,LevelList,0))+INDEX(LevelHousing,MATCH($E44,LevelList,0)))*GosiSaudi,0),0)</f>
        <v>0</v>
      </c>
      <c r="O44" s="23" t="str">
        <f aca="false">IF($D44="","",MID(IF($C44="",", unit","")&amp;IF($E44="",", career level","")&amp;IF($H44="",", reason","")&amp;IF($I44="",", leaving quarter","")&amp;IF($J44="",", what happens to the seat","")&amp;IF(AND($J44="Defer backfill",$K44=""),", the backfill quarter","")&amp;IF(IFERROR(AND($K44&lt;&gt;"",$I44&lt;&gt;"",MATCH($K44,QuarterList,0)&lt;=MATCH($I44,QuarterList,0)),FALSE()),", a backfill quarter later than the leaving quarter","")&amp;IF(AND($C44&lt;&gt;"",COUNTIF(UnitList,$C44)=0),", a unit that is not in your structure",""),3,300))</f>
        <v/>
      </c>
    </row>
    <row r="45" customFormat="false" ht="15" hidden="false" customHeight="false" outlineLevel="0" collapsed="false">
      <c r="A45" s="17" t="n">
        <v>40</v>
      </c>
      <c r="B45" s="21"/>
      <c r="C45" s="21"/>
      <c r="D45" s="21"/>
      <c r="E45" s="21"/>
      <c r="F45" s="21"/>
      <c r="G45" s="21"/>
      <c r="H45" s="21"/>
      <c r="I45" s="21"/>
      <c r="J45" s="21"/>
      <c r="K45" s="21"/>
      <c r="L45" s="24" t="str">
        <f aca="false">IF(OR($D45="",$I45="",$J45=""),"",IF($J45="Surrender to fund new asks",MATCH($I45,QuarterList,0)/4,IF($J45="Defer backfill",IF($K45="",MATCH($I45,QuarterList,0)/4,MIN(1,MATCH($I45,QuarterList,0)/4+(5-MATCH($K45,QuarterList,0))/4)),1)))</f>
        <v/>
      </c>
      <c r="M45" s="19" t="str">
        <f aca="false">IF($L45="","",IFERROR(INDEX(LevelBasic,MATCH($E45,LevelList,0))+INDEX(LevelHousing,MATCH($E45,LevelList,0))+INDEX(LevelTransport,MATCH($E45,LevelList,0))+INDEX(LevelBasic,MATCH($E45,LevelList,0))*INDEX(LevelBonus,MATCH($E45,LevelList,0))+(INDEX(LevelBasic,MATCH($E45,LevelList,0))+INDEX(LevelHousing,MATCH($E45,LevelList,0)))*GosiSaudi,0)*(1-$L45))</f>
        <v/>
      </c>
      <c r="N45" s="19" t="n">
        <f aca="false">IF($J45="Surrender to fund new asks",IFERROR(INDEX(LevelBasic,MATCH($E45,LevelList,0))+INDEX(LevelHousing,MATCH($E45,LevelList,0))+INDEX(LevelTransport,MATCH($E45,LevelList,0))+INDEX(LevelBasic,MATCH($E45,LevelList,0))*INDEX(LevelBonus,MATCH($E45,LevelList,0))+(INDEX(LevelBasic,MATCH($E45,LevelList,0))+INDEX(LevelHousing,MATCH($E45,LevelList,0)))*GosiSaudi,0),0)</f>
        <v>0</v>
      </c>
      <c r="O45" s="23" t="str">
        <f aca="false">IF($D45="","",MID(IF($C45="",", unit","")&amp;IF($E45="",", career level","")&amp;IF($H45="",", reason","")&amp;IF($I45="",", leaving quarter","")&amp;IF($J45="",", what happens to the seat","")&amp;IF(AND($J45="Defer backfill",$K45=""),", the backfill quarter","")&amp;IF(IFERROR(AND($K45&lt;&gt;"",$I45&lt;&gt;"",MATCH($K45,QuarterList,0)&lt;=MATCH($I45,QuarterList,0)),FALSE()),", a backfill quarter later than the leaving quarter","")&amp;IF(AND($C45&lt;&gt;"",COUNTIF(UnitList,$C45)=0),", a unit that is not in your structure",""),3,300))</f>
        <v/>
      </c>
    </row>
    <row r="46" customFormat="false" ht="15" hidden="false" customHeight="false" outlineLevel="0" collapsed="false">
      <c r="A46" s="17" t="n">
        <v>41</v>
      </c>
      <c r="B46" s="21"/>
      <c r="C46" s="21"/>
      <c r="D46" s="21"/>
      <c r="E46" s="21"/>
      <c r="F46" s="21"/>
      <c r="G46" s="21"/>
      <c r="H46" s="21"/>
      <c r="I46" s="21"/>
      <c r="J46" s="21"/>
      <c r="K46" s="21"/>
      <c r="L46" s="24" t="str">
        <f aca="false">IF(OR($D46="",$I46="",$J46=""),"",IF($J46="Surrender to fund new asks",MATCH($I46,QuarterList,0)/4,IF($J46="Defer backfill",IF($K46="",MATCH($I46,QuarterList,0)/4,MIN(1,MATCH($I46,QuarterList,0)/4+(5-MATCH($K46,QuarterList,0))/4)),1)))</f>
        <v/>
      </c>
      <c r="M46" s="19" t="str">
        <f aca="false">IF($L46="","",IFERROR(INDEX(LevelBasic,MATCH($E46,LevelList,0))+INDEX(LevelHousing,MATCH($E46,LevelList,0))+INDEX(LevelTransport,MATCH($E46,LevelList,0))+INDEX(LevelBasic,MATCH($E46,LevelList,0))*INDEX(LevelBonus,MATCH($E46,LevelList,0))+(INDEX(LevelBasic,MATCH($E46,LevelList,0))+INDEX(LevelHousing,MATCH($E46,LevelList,0)))*GosiSaudi,0)*(1-$L46))</f>
        <v/>
      </c>
      <c r="N46" s="19" t="n">
        <f aca="false">IF($J46="Surrender to fund new asks",IFERROR(INDEX(LevelBasic,MATCH($E46,LevelList,0))+INDEX(LevelHousing,MATCH($E46,LevelList,0))+INDEX(LevelTransport,MATCH($E46,LevelList,0))+INDEX(LevelBasic,MATCH($E46,LevelList,0))*INDEX(LevelBonus,MATCH($E46,LevelList,0))+(INDEX(LevelBasic,MATCH($E46,LevelList,0))+INDEX(LevelHousing,MATCH($E46,LevelList,0)))*GosiSaudi,0),0)</f>
        <v>0</v>
      </c>
      <c r="O46" s="23" t="str">
        <f aca="false">IF($D46="","",MID(IF($C46="",", unit","")&amp;IF($E46="",", career level","")&amp;IF($H46="",", reason","")&amp;IF($I46="",", leaving quarter","")&amp;IF($J46="",", what happens to the seat","")&amp;IF(AND($J46="Defer backfill",$K46=""),", the backfill quarter","")&amp;IF(IFERROR(AND($K46&lt;&gt;"",$I46&lt;&gt;"",MATCH($K46,QuarterList,0)&lt;=MATCH($I46,QuarterList,0)),FALSE()),", a backfill quarter later than the leaving quarter","")&amp;IF(AND($C46&lt;&gt;"",COUNTIF(UnitList,$C46)=0),", a unit that is not in your structure",""),3,300))</f>
        <v/>
      </c>
    </row>
    <row r="47" customFormat="false" ht="15" hidden="false" customHeight="false" outlineLevel="0" collapsed="false">
      <c r="A47" s="17" t="n">
        <v>42</v>
      </c>
      <c r="B47" s="21"/>
      <c r="C47" s="21"/>
      <c r="D47" s="21"/>
      <c r="E47" s="21"/>
      <c r="F47" s="21"/>
      <c r="G47" s="21"/>
      <c r="H47" s="21"/>
      <c r="I47" s="21"/>
      <c r="J47" s="21"/>
      <c r="K47" s="21"/>
      <c r="L47" s="24" t="str">
        <f aca="false">IF(OR($D47="",$I47="",$J47=""),"",IF($J47="Surrender to fund new asks",MATCH($I47,QuarterList,0)/4,IF($J47="Defer backfill",IF($K47="",MATCH($I47,QuarterList,0)/4,MIN(1,MATCH($I47,QuarterList,0)/4+(5-MATCH($K47,QuarterList,0))/4)),1)))</f>
        <v/>
      </c>
      <c r="M47" s="19" t="str">
        <f aca="false">IF($L47="","",IFERROR(INDEX(LevelBasic,MATCH($E47,LevelList,0))+INDEX(LevelHousing,MATCH($E47,LevelList,0))+INDEX(LevelTransport,MATCH($E47,LevelList,0))+INDEX(LevelBasic,MATCH($E47,LevelList,0))*INDEX(LevelBonus,MATCH($E47,LevelList,0))+(INDEX(LevelBasic,MATCH($E47,LevelList,0))+INDEX(LevelHousing,MATCH($E47,LevelList,0)))*GosiSaudi,0)*(1-$L47))</f>
        <v/>
      </c>
      <c r="N47" s="19" t="n">
        <f aca="false">IF($J47="Surrender to fund new asks",IFERROR(INDEX(LevelBasic,MATCH($E47,LevelList,0))+INDEX(LevelHousing,MATCH($E47,LevelList,0))+INDEX(LevelTransport,MATCH($E47,LevelList,0))+INDEX(LevelBasic,MATCH($E47,LevelList,0))*INDEX(LevelBonus,MATCH($E47,LevelList,0))+(INDEX(LevelBasic,MATCH($E47,LevelList,0))+INDEX(LevelHousing,MATCH($E47,LevelList,0)))*GosiSaudi,0),0)</f>
        <v>0</v>
      </c>
      <c r="O47" s="23" t="str">
        <f aca="false">IF($D47="","",MID(IF($C47="",", unit","")&amp;IF($E47="",", career level","")&amp;IF($H47="",", reason","")&amp;IF($I47="",", leaving quarter","")&amp;IF($J47="",", what happens to the seat","")&amp;IF(AND($J47="Defer backfill",$K47=""),", the backfill quarter","")&amp;IF(IFERROR(AND($K47&lt;&gt;"",$I47&lt;&gt;"",MATCH($K47,QuarterList,0)&lt;=MATCH($I47,QuarterList,0)),FALSE()),", a backfill quarter later than the leaving quarter","")&amp;IF(AND($C47&lt;&gt;"",COUNTIF(UnitList,$C47)=0),", a unit that is not in your structure",""),3,300))</f>
        <v/>
      </c>
    </row>
    <row r="48" customFormat="false" ht="15" hidden="false" customHeight="false" outlineLevel="0" collapsed="false">
      <c r="A48" s="17" t="n">
        <v>43</v>
      </c>
      <c r="B48" s="21"/>
      <c r="C48" s="21"/>
      <c r="D48" s="21"/>
      <c r="E48" s="21"/>
      <c r="F48" s="21"/>
      <c r="G48" s="21"/>
      <c r="H48" s="21"/>
      <c r="I48" s="21"/>
      <c r="J48" s="21"/>
      <c r="K48" s="21"/>
      <c r="L48" s="24" t="str">
        <f aca="false">IF(OR($D48="",$I48="",$J48=""),"",IF($J48="Surrender to fund new asks",MATCH($I48,QuarterList,0)/4,IF($J48="Defer backfill",IF($K48="",MATCH($I48,QuarterList,0)/4,MIN(1,MATCH($I48,QuarterList,0)/4+(5-MATCH($K48,QuarterList,0))/4)),1)))</f>
        <v/>
      </c>
      <c r="M48" s="19" t="str">
        <f aca="false">IF($L48="","",IFERROR(INDEX(LevelBasic,MATCH($E48,LevelList,0))+INDEX(LevelHousing,MATCH($E48,LevelList,0))+INDEX(LevelTransport,MATCH($E48,LevelList,0))+INDEX(LevelBasic,MATCH($E48,LevelList,0))*INDEX(LevelBonus,MATCH($E48,LevelList,0))+(INDEX(LevelBasic,MATCH($E48,LevelList,0))+INDEX(LevelHousing,MATCH($E48,LevelList,0)))*GosiSaudi,0)*(1-$L48))</f>
        <v/>
      </c>
      <c r="N48" s="19" t="n">
        <f aca="false">IF($J48="Surrender to fund new asks",IFERROR(INDEX(LevelBasic,MATCH($E48,LevelList,0))+INDEX(LevelHousing,MATCH($E48,LevelList,0))+INDEX(LevelTransport,MATCH($E48,LevelList,0))+INDEX(LevelBasic,MATCH($E48,LevelList,0))*INDEX(LevelBonus,MATCH($E48,LevelList,0))+(INDEX(LevelBasic,MATCH($E48,LevelList,0))+INDEX(LevelHousing,MATCH($E48,LevelList,0)))*GosiSaudi,0),0)</f>
        <v>0</v>
      </c>
      <c r="O48" s="23" t="str">
        <f aca="false">IF($D48="","",MID(IF($C48="",", unit","")&amp;IF($E48="",", career level","")&amp;IF($H48="",", reason","")&amp;IF($I48="",", leaving quarter","")&amp;IF($J48="",", what happens to the seat","")&amp;IF(AND($J48="Defer backfill",$K48=""),", the backfill quarter","")&amp;IF(IFERROR(AND($K48&lt;&gt;"",$I48&lt;&gt;"",MATCH($K48,QuarterList,0)&lt;=MATCH($I48,QuarterList,0)),FALSE()),", a backfill quarter later than the leaving quarter","")&amp;IF(AND($C48&lt;&gt;"",COUNTIF(UnitList,$C48)=0),", a unit that is not in your structure",""),3,300))</f>
        <v/>
      </c>
    </row>
    <row r="49" customFormat="false" ht="15" hidden="false" customHeight="false" outlineLevel="0" collapsed="false">
      <c r="A49" s="17" t="n">
        <v>44</v>
      </c>
      <c r="B49" s="21"/>
      <c r="C49" s="21"/>
      <c r="D49" s="21"/>
      <c r="E49" s="21"/>
      <c r="F49" s="21"/>
      <c r="G49" s="21"/>
      <c r="H49" s="21"/>
      <c r="I49" s="21"/>
      <c r="J49" s="21"/>
      <c r="K49" s="21"/>
      <c r="L49" s="24" t="str">
        <f aca="false">IF(OR($D49="",$I49="",$J49=""),"",IF($J49="Surrender to fund new asks",MATCH($I49,QuarterList,0)/4,IF($J49="Defer backfill",IF($K49="",MATCH($I49,QuarterList,0)/4,MIN(1,MATCH($I49,QuarterList,0)/4+(5-MATCH($K49,QuarterList,0))/4)),1)))</f>
        <v/>
      </c>
      <c r="M49" s="19" t="str">
        <f aca="false">IF($L49="","",IFERROR(INDEX(LevelBasic,MATCH($E49,LevelList,0))+INDEX(LevelHousing,MATCH($E49,LevelList,0))+INDEX(LevelTransport,MATCH($E49,LevelList,0))+INDEX(LevelBasic,MATCH($E49,LevelList,0))*INDEX(LevelBonus,MATCH($E49,LevelList,0))+(INDEX(LevelBasic,MATCH($E49,LevelList,0))+INDEX(LevelHousing,MATCH($E49,LevelList,0)))*GosiSaudi,0)*(1-$L49))</f>
        <v/>
      </c>
      <c r="N49" s="19" t="n">
        <f aca="false">IF($J49="Surrender to fund new asks",IFERROR(INDEX(LevelBasic,MATCH($E49,LevelList,0))+INDEX(LevelHousing,MATCH($E49,LevelList,0))+INDEX(LevelTransport,MATCH($E49,LevelList,0))+INDEX(LevelBasic,MATCH($E49,LevelList,0))*INDEX(LevelBonus,MATCH($E49,LevelList,0))+(INDEX(LevelBasic,MATCH($E49,LevelList,0))+INDEX(LevelHousing,MATCH($E49,LevelList,0)))*GosiSaudi,0),0)</f>
        <v>0</v>
      </c>
      <c r="O49" s="23" t="str">
        <f aca="false">IF($D49="","",MID(IF($C49="",", unit","")&amp;IF($E49="",", career level","")&amp;IF($H49="",", reason","")&amp;IF($I49="",", leaving quarter","")&amp;IF($J49="",", what happens to the seat","")&amp;IF(AND($J49="Defer backfill",$K49=""),", the backfill quarter","")&amp;IF(IFERROR(AND($K49&lt;&gt;"",$I49&lt;&gt;"",MATCH($K49,QuarterList,0)&lt;=MATCH($I49,QuarterList,0)),FALSE()),", a backfill quarter later than the leaving quarter","")&amp;IF(AND($C49&lt;&gt;"",COUNTIF(UnitList,$C49)=0),", a unit that is not in your structure",""),3,300))</f>
        <v/>
      </c>
    </row>
    <row r="50" customFormat="false" ht="15" hidden="false" customHeight="false" outlineLevel="0" collapsed="false">
      <c r="A50" s="17" t="n">
        <v>45</v>
      </c>
      <c r="B50" s="21"/>
      <c r="C50" s="21"/>
      <c r="D50" s="21"/>
      <c r="E50" s="21"/>
      <c r="F50" s="21"/>
      <c r="G50" s="21"/>
      <c r="H50" s="21"/>
      <c r="I50" s="21"/>
      <c r="J50" s="21"/>
      <c r="K50" s="21"/>
      <c r="L50" s="24" t="str">
        <f aca="false">IF(OR($D50="",$I50="",$J50=""),"",IF($J50="Surrender to fund new asks",MATCH($I50,QuarterList,0)/4,IF($J50="Defer backfill",IF($K50="",MATCH($I50,QuarterList,0)/4,MIN(1,MATCH($I50,QuarterList,0)/4+(5-MATCH($K50,QuarterList,0))/4)),1)))</f>
        <v/>
      </c>
      <c r="M50" s="19" t="str">
        <f aca="false">IF($L50="","",IFERROR(INDEX(LevelBasic,MATCH($E50,LevelList,0))+INDEX(LevelHousing,MATCH($E50,LevelList,0))+INDEX(LevelTransport,MATCH($E50,LevelList,0))+INDEX(LevelBasic,MATCH($E50,LevelList,0))*INDEX(LevelBonus,MATCH($E50,LevelList,0))+(INDEX(LevelBasic,MATCH($E50,LevelList,0))+INDEX(LevelHousing,MATCH($E50,LevelList,0)))*GosiSaudi,0)*(1-$L50))</f>
        <v/>
      </c>
      <c r="N50" s="19" t="n">
        <f aca="false">IF($J50="Surrender to fund new asks",IFERROR(INDEX(LevelBasic,MATCH($E50,LevelList,0))+INDEX(LevelHousing,MATCH($E50,LevelList,0))+INDEX(LevelTransport,MATCH($E50,LevelList,0))+INDEX(LevelBasic,MATCH($E50,LevelList,0))*INDEX(LevelBonus,MATCH($E50,LevelList,0))+(INDEX(LevelBasic,MATCH($E50,LevelList,0))+INDEX(LevelHousing,MATCH($E50,LevelList,0)))*GosiSaudi,0),0)</f>
        <v>0</v>
      </c>
      <c r="O50" s="23" t="str">
        <f aca="false">IF($D50="","",MID(IF($C50="",", unit","")&amp;IF($E50="",", career level","")&amp;IF($H50="",", reason","")&amp;IF($I50="",", leaving quarter","")&amp;IF($J50="",", what happens to the seat","")&amp;IF(AND($J50="Defer backfill",$K50=""),", the backfill quarter","")&amp;IF(IFERROR(AND($K50&lt;&gt;"",$I50&lt;&gt;"",MATCH($K50,QuarterList,0)&lt;=MATCH($I50,QuarterList,0)),FALSE()),", a backfill quarter later than the leaving quarter","")&amp;IF(AND($C50&lt;&gt;"",COUNTIF(UnitList,$C50)=0),", a unit that is not in your structure",""),3,300))</f>
        <v/>
      </c>
    </row>
    <row r="51" customFormat="false" ht="15" hidden="false" customHeight="false" outlineLevel="0" collapsed="false">
      <c r="A51" s="17" t="n">
        <v>46</v>
      </c>
      <c r="B51" s="21"/>
      <c r="C51" s="21"/>
      <c r="D51" s="21"/>
      <c r="E51" s="21"/>
      <c r="F51" s="21"/>
      <c r="G51" s="21"/>
      <c r="H51" s="21"/>
      <c r="I51" s="21"/>
      <c r="J51" s="21"/>
      <c r="K51" s="21"/>
      <c r="L51" s="24" t="str">
        <f aca="false">IF(OR($D51="",$I51="",$J51=""),"",IF($J51="Surrender to fund new asks",MATCH($I51,QuarterList,0)/4,IF($J51="Defer backfill",IF($K51="",MATCH($I51,QuarterList,0)/4,MIN(1,MATCH($I51,QuarterList,0)/4+(5-MATCH($K51,QuarterList,0))/4)),1)))</f>
        <v/>
      </c>
      <c r="M51" s="19" t="str">
        <f aca="false">IF($L51="","",IFERROR(INDEX(LevelBasic,MATCH($E51,LevelList,0))+INDEX(LevelHousing,MATCH($E51,LevelList,0))+INDEX(LevelTransport,MATCH($E51,LevelList,0))+INDEX(LevelBasic,MATCH($E51,LevelList,0))*INDEX(LevelBonus,MATCH($E51,LevelList,0))+(INDEX(LevelBasic,MATCH($E51,LevelList,0))+INDEX(LevelHousing,MATCH($E51,LevelList,0)))*GosiSaudi,0)*(1-$L51))</f>
        <v/>
      </c>
      <c r="N51" s="19" t="n">
        <f aca="false">IF($J51="Surrender to fund new asks",IFERROR(INDEX(LevelBasic,MATCH($E51,LevelList,0))+INDEX(LevelHousing,MATCH($E51,LevelList,0))+INDEX(LevelTransport,MATCH($E51,LevelList,0))+INDEX(LevelBasic,MATCH($E51,LevelList,0))*INDEX(LevelBonus,MATCH($E51,LevelList,0))+(INDEX(LevelBasic,MATCH($E51,LevelList,0))+INDEX(LevelHousing,MATCH($E51,LevelList,0)))*GosiSaudi,0),0)</f>
        <v>0</v>
      </c>
      <c r="O51" s="23" t="str">
        <f aca="false">IF($D51="","",MID(IF($C51="",", unit","")&amp;IF($E51="",", career level","")&amp;IF($H51="",", reason","")&amp;IF($I51="",", leaving quarter","")&amp;IF($J51="",", what happens to the seat","")&amp;IF(AND($J51="Defer backfill",$K51=""),", the backfill quarter","")&amp;IF(IFERROR(AND($K51&lt;&gt;"",$I51&lt;&gt;"",MATCH($K51,QuarterList,0)&lt;=MATCH($I51,QuarterList,0)),FALSE()),", a backfill quarter later than the leaving quarter","")&amp;IF(AND($C51&lt;&gt;"",COUNTIF(UnitList,$C51)=0),", a unit that is not in your structure",""),3,300))</f>
        <v/>
      </c>
    </row>
    <row r="52" customFormat="false" ht="15" hidden="false" customHeight="false" outlineLevel="0" collapsed="false">
      <c r="A52" s="17" t="n">
        <v>47</v>
      </c>
      <c r="B52" s="21"/>
      <c r="C52" s="21"/>
      <c r="D52" s="21"/>
      <c r="E52" s="21"/>
      <c r="F52" s="21"/>
      <c r="G52" s="21"/>
      <c r="H52" s="21"/>
      <c r="I52" s="21"/>
      <c r="J52" s="21"/>
      <c r="K52" s="21"/>
      <c r="L52" s="24" t="str">
        <f aca="false">IF(OR($D52="",$I52="",$J52=""),"",IF($J52="Surrender to fund new asks",MATCH($I52,QuarterList,0)/4,IF($J52="Defer backfill",IF($K52="",MATCH($I52,QuarterList,0)/4,MIN(1,MATCH($I52,QuarterList,0)/4+(5-MATCH($K52,QuarterList,0))/4)),1)))</f>
        <v/>
      </c>
      <c r="M52" s="19" t="str">
        <f aca="false">IF($L52="","",IFERROR(INDEX(LevelBasic,MATCH($E52,LevelList,0))+INDEX(LevelHousing,MATCH($E52,LevelList,0))+INDEX(LevelTransport,MATCH($E52,LevelList,0))+INDEX(LevelBasic,MATCH($E52,LevelList,0))*INDEX(LevelBonus,MATCH($E52,LevelList,0))+(INDEX(LevelBasic,MATCH($E52,LevelList,0))+INDEX(LevelHousing,MATCH($E52,LevelList,0)))*GosiSaudi,0)*(1-$L52))</f>
        <v/>
      </c>
      <c r="N52" s="19" t="n">
        <f aca="false">IF($J52="Surrender to fund new asks",IFERROR(INDEX(LevelBasic,MATCH($E52,LevelList,0))+INDEX(LevelHousing,MATCH($E52,LevelList,0))+INDEX(LevelTransport,MATCH($E52,LevelList,0))+INDEX(LevelBasic,MATCH($E52,LevelList,0))*INDEX(LevelBonus,MATCH($E52,LevelList,0))+(INDEX(LevelBasic,MATCH($E52,LevelList,0))+INDEX(LevelHousing,MATCH($E52,LevelList,0)))*GosiSaudi,0),0)</f>
        <v>0</v>
      </c>
      <c r="O52" s="23" t="str">
        <f aca="false">IF($D52="","",MID(IF($C52="",", unit","")&amp;IF($E52="",", career level","")&amp;IF($H52="",", reason","")&amp;IF($I52="",", leaving quarter","")&amp;IF($J52="",", what happens to the seat","")&amp;IF(AND($J52="Defer backfill",$K52=""),", the backfill quarter","")&amp;IF(IFERROR(AND($K52&lt;&gt;"",$I52&lt;&gt;"",MATCH($K52,QuarterList,0)&lt;=MATCH($I52,QuarterList,0)),FALSE()),", a backfill quarter later than the leaving quarter","")&amp;IF(AND($C52&lt;&gt;"",COUNTIF(UnitList,$C52)=0),", a unit that is not in your structure",""),3,300))</f>
        <v/>
      </c>
    </row>
    <row r="53" customFormat="false" ht="15" hidden="false" customHeight="false" outlineLevel="0" collapsed="false">
      <c r="A53" s="17" t="n">
        <v>48</v>
      </c>
      <c r="B53" s="21"/>
      <c r="C53" s="21"/>
      <c r="D53" s="21"/>
      <c r="E53" s="21"/>
      <c r="F53" s="21"/>
      <c r="G53" s="21"/>
      <c r="H53" s="21"/>
      <c r="I53" s="21"/>
      <c r="J53" s="21"/>
      <c r="K53" s="21"/>
      <c r="L53" s="24" t="str">
        <f aca="false">IF(OR($D53="",$I53="",$J53=""),"",IF($J53="Surrender to fund new asks",MATCH($I53,QuarterList,0)/4,IF($J53="Defer backfill",IF($K53="",MATCH($I53,QuarterList,0)/4,MIN(1,MATCH($I53,QuarterList,0)/4+(5-MATCH($K53,QuarterList,0))/4)),1)))</f>
        <v/>
      </c>
      <c r="M53" s="19" t="str">
        <f aca="false">IF($L53="","",IFERROR(INDEX(LevelBasic,MATCH($E53,LevelList,0))+INDEX(LevelHousing,MATCH($E53,LevelList,0))+INDEX(LevelTransport,MATCH($E53,LevelList,0))+INDEX(LevelBasic,MATCH($E53,LevelList,0))*INDEX(LevelBonus,MATCH($E53,LevelList,0))+(INDEX(LevelBasic,MATCH($E53,LevelList,0))+INDEX(LevelHousing,MATCH($E53,LevelList,0)))*GosiSaudi,0)*(1-$L53))</f>
        <v/>
      </c>
      <c r="N53" s="19" t="n">
        <f aca="false">IF($J53="Surrender to fund new asks",IFERROR(INDEX(LevelBasic,MATCH($E53,LevelList,0))+INDEX(LevelHousing,MATCH($E53,LevelList,0))+INDEX(LevelTransport,MATCH($E53,LevelList,0))+INDEX(LevelBasic,MATCH($E53,LevelList,0))*INDEX(LevelBonus,MATCH($E53,LevelList,0))+(INDEX(LevelBasic,MATCH($E53,LevelList,0))+INDEX(LevelHousing,MATCH($E53,LevelList,0)))*GosiSaudi,0),0)</f>
        <v>0</v>
      </c>
      <c r="O53" s="23" t="str">
        <f aca="false">IF($D53="","",MID(IF($C53="",", unit","")&amp;IF($E53="",", career level","")&amp;IF($H53="",", reason","")&amp;IF($I53="",", leaving quarter","")&amp;IF($J53="",", what happens to the seat","")&amp;IF(AND($J53="Defer backfill",$K53=""),", the backfill quarter","")&amp;IF(IFERROR(AND($K53&lt;&gt;"",$I53&lt;&gt;"",MATCH($K53,QuarterList,0)&lt;=MATCH($I53,QuarterList,0)),FALSE()),", a backfill quarter later than the leaving quarter","")&amp;IF(AND($C53&lt;&gt;"",COUNTIF(UnitList,$C53)=0),", a unit that is not in your structure",""),3,300))</f>
        <v/>
      </c>
    </row>
    <row r="54" customFormat="false" ht="15" hidden="false" customHeight="false" outlineLevel="0" collapsed="false">
      <c r="A54" s="17" t="n">
        <v>49</v>
      </c>
      <c r="B54" s="21"/>
      <c r="C54" s="21"/>
      <c r="D54" s="21"/>
      <c r="E54" s="21"/>
      <c r="F54" s="21"/>
      <c r="G54" s="21"/>
      <c r="H54" s="21"/>
      <c r="I54" s="21"/>
      <c r="J54" s="21"/>
      <c r="K54" s="21"/>
      <c r="L54" s="24" t="str">
        <f aca="false">IF(OR($D54="",$I54="",$J54=""),"",IF($J54="Surrender to fund new asks",MATCH($I54,QuarterList,0)/4,IF($J54="Defer backfill",IF($K54="",MATCH($I54,QuarterList,0)/4,MIN(1,MATCH($I54,QuarterList,0)/4+(5-MATCH($K54,QuarterList,0))/4)),1)))</f>
        <v/>
      </c>
      <c r="M54" s="19" t="str">
        <f aca="false">IF($L54="","",IFERROR(INDEX(LevelBasic,MATCH($E54,LevelList,0))+INDEX(LevelHousing,MATCH($E54,LevelList,0))+INDEX(LevelTransport,MATCH($E54,LevelList,0))+INDEX(LevelBasic,MATCH($E54,LevelList,0))*INDEX(LevelBonus,MATCH($E54,LevelList,0))+(INDEX(LevelBasic,MATCH($E54,LevelList,0))+INDEX(LevelHousing,MATCH($E54,LevelList,0)))*GosiSaudi,0)*(1-$L54))</f>
        <v/>
      </c>
      <c r="N54" s="19" t="n">
        <f aca="false">IF($J54="Surrender to fund new asks",IFERROR(INDEX(LevelBasic,MATCH($E54,LevelList,0))+INDEX(LevelHousing,MATCH($E54,LevelList,0))+INDEX(LevelTransport,MATCH($E54,LevelList,0))+INDEX(LevelBasic,MATCH($E54,LevelList,0))*INDEX(LevelBonus,MATCH($E54,LevelList,0))+(INDEX(LevelBasic,MATCH($E54,LevelList,0))+INDEX(LevelHousing,MATCH($E54,LevelList,0)))*GosiSaudi,0),0)</f>
        <v>0</v>
      </c>
      <c r="O54" s="23" t="str">
        <f aca="false">IF($D54="","",MID(IF($C54="",", unit","")&amp;IF($E54="",", career level","")&amp;IF($H54="",", reason","")&amp;IF($I54="",", leaving quarter","")&amp;IF($J54="",", what happens to the seat","")&amp;IF(AND($J54="Defer backfill",$K54=""),", the backfill quarter","")&amp;IF(IFERROR(AND($K54&lt;&gt;"",$I54&lt;&gt;"",MATCH($K54,QuarterList,0)&lt;=MATCH($I54,QuarterList,0)),FALSE()),", a backfill quarter later than the leaving quarter","")&amp;IF(AND($C54&lt;&gt;"",COUNTIF(UnitList,$C54)=0),", a unit that is not in your structure",""),3,300))</f>
        <v/>
      </c>
    </row>
    <row r="55" customFormat="false" ht="15" hidden="false" customHeight="false" outlineLevel="0" collapsed="false">
      <c r="A55" s="17" t="n">
        <v>50</v>
      </c>
      <c r="B55" s="21"/>
      <c r="C55" s="21"/>
      <c r="D55" s="21"/>
      <c r="E55" s="21"/>
      <c r="F55" s="21"/>
      <c r="G55" s="21"/>
      <c r="H55" s="21"/>
      <c r="I55" s="21"/>
      <c r="J55" s="21"/>
      <c r="K55" s="21"/>
      <c r="L55" s="24" t="str">
        <f aca="false">IF(OR($D55="",$I55="",$J55=""),"",IF($J55="Surrender to fund new asks",MATCH($I55,QuarterList,0)/4,IF($J55="Defer backfill",IF($K55="",MATCH($I55,QuarterList,0)/4,MIN(1,MATCH($I55,QuarterList,0)/4+(5-MATCH($K55,QuarterList,0))/4)),1)))</f>
        <v/>
      </c>
      <c r="M55" s="19" t="str">
        <f aca="false">IF($L55="","",IFERROR(INDEX(LevelBasic,MATCH($E55,LevelList,0))+INDEX(LevelHousing,MATCH($E55,LevelList,0))+INDEX(LevelTransport,MATCH($E55,LevelList,0))+INDEX(LevelBasic,MATCH($E55,LevelList,0))*INDEX(LevelBonus,MATCH($E55,LevelList,0))+(INDEX(LevelBasic,MATCH($E55,LevelList,0))+INDEX(LevelHousing,MATCH($E55,LevelList,0)))*GosiSaudi,0)*(1-$L55))</f>
        <v/>
      </c>
      <c r="N55" s="19" t="n">
        <f aca="false">IF($J55="Surrender to fund new asks",IFERROR(INDEX(LevelBasic,MATCH($E55,LevelList,0))+INDEX(LevelHousing,MATCH($E55,LevelList,0))+INDEX(LevelTransport,MATCH($E55,LevelList,0))+INDEX(LevelBasic,MATCH($E55,LevelList,0))*INDEX(LevelBonus,MATCH($E55,LevelList,0))+(INDEX(LevelBasic,MATCH($E55,LevelList,0))+INDEX(LevelHousing,MATCH($E55,LevelList,0)))*GosiSaudi,0),0)</f>
        <v>0</v>
      </c>
      <c r="O55" s="23" t="str">
        <f aca="false">IF($D55="","",MID(IF($C55="",", unit","")&amp;IF($E55="",", career level","")&amp;IF($H55="",", reason","")&amp;IF($I55="",", leaving quarter","")&amp;IF($J55="",", what happens to the seat","")&amp;IF(AND($J55="Defer backfill",$K55=""),", the backfill quarter","")&amp;IF(IFERROR(AND($K55&lt;&gt;"",$I55&lt;&gt;"",MATCH($K55,QuarterList,0)&lt;=MATCH($I55,QuarterList,0)),FALSE()),", a backfill quarter later than the leaving quarter","")&amp;IF(AND($C55&lt;&gt;"",COUNTIF(UnitList,$C55)=0),", a unit that is not in your structure",""),3,300))</f>
        <v/>
      </c>
    </row>
    <row r="56" customFormat="false" ht="15" hidden="false" customHeight="false" outlineLevel="0" collapsed="false">
      <c r="A56" s="17" t="n">
        <v>51</v>
      </c>
      <c r="B56" s="21"/>
      <c r="C56" s="21"/>
      <c r="D56" s="21"/>
      <c r="E56" s="21"/>
      <c r="F56" s="21"/>
      <c r="G56" s="21"/>
      <c r="H56" s="21"/>
      <c r="I56" s="21"/>
      <c r="J56" s="21"/>
      <c r="K56" s="21"/>
      <c r="L56" s="24" t="str">
        <f aca="false">IF(OR($D56="",$I56="",$J56=""),"",IF($J56="Surrender to fund new asks",MATCH($I56,QuarterList,0)/4,IF($J56="Defer backfill",IF($K56="",MATCH($I56,QuarterList,0)/4,MIN(1,MATCH($I56,QuarterList,0)/4+(5-MATCH($K56,QuarterList,0))/4)),1)))</f>
        <v/>
      </c>
      <c r="M56" s="19" t="str">
        <f aca="false">IF($L56="","",IFERROR(INDEX(LevelBasic,MATCH($E56,LevelList,0))+INDEX(LevelHousing,MATCH($E56,LevelList,0))+INDEX(LevelTransport,MATCH($E56,LevelList,0))+INDEX(LevelBasic,MATCH($E56,LevelList,0))*INDEX(LevelBonus,MATCH($E56,LevelList,0))+(INDEX(LevelBasic,MATCH($E56,LevelList,0))+INDEX(LevelHousing,MATCH($E56,LevelList,0)))*GosiSaudi,0)*(1-$L56))</f>
        <v/>
      </c>
      <c r="N56" s="19" t="n">
        <f aca="false">IF($J56="Surrender to fund new asks",IFERROR(INDEX(LevelBasic,MATCH($E56,LevelList,0))+INDEX(LevelHousing,MATCH($E56,LevelList,0))+INDEX(LevelTransport,MATCH($E56,LevelList,0))+INDEX(LevelBasic,MATCH($E56,LevelList,0))*INDEX(LevelBonus,MATCH($E56,LevelList,0))+(INDEX(LevelBasic,MATCH($E56,LevelList,0))+INDEX(LevelHousing,MATCH($E56,LevelList,0)))*GosiSaudi,0),0)</f>
        <v>0</v>
      </c>
      <c r="O56" s="23" t="str">
        <f aca="false">IF($D56="","",MID(IF($C56="",", unit","")&amp;IF($E56="",", career level","")&amp;IF($H56="",", reason","")&amp;IF($I56="",", leaving quarter","")&amp;IF($J56="",", what happens to the seat","")&amp;IF(AND($J56="Defer backfill",$K56=""),", the backfill quarter","")&amp;IF(IFERROR(AND($K56&lt;&gt;"",$I56&lt;&gt;"",MATCH($K56,QuarterList,0)&lt;=MATCH($I56,QuarterList,0)),FALSE()),", a backfill quarter later than the leaving quarter","")&amp;IF(AND($C56&lt;&gt;"",COUNTIF(UnitList,$C56)=0),", a unit that is not in your structure",""),3,300))</f>
        <v/>
      </c>
    </row>
    <row r="57" customFormat="false" ht="15" hidden="false" customHeight="false" outlineLevel="0" collapsed="false">
      <c r="A57" s="17" t="n">
        <v>52</v>
      </c>
      <c r="B57" s="21"/>
      <c r="C57" s="21"/>
      <c r="D57" s="21"/>
      <c r="E57" s="21"/>
      <c r="F57" s="21"/>
      <c r="G57" s="21"/>
      <c r="H57" s="21"/>
      <c r="I57" s="21"/>
      <c r="J57" s="21"/>
      <c r="K57" s="21"/>
      <c r="L57" s="24" t="str">
        <f aca="false">IF(OR($D57="",$I57="",$J57=""),"",IF($J57="Surrender to fund new asks",MATCH($I57,QuarterList,0)/4,IF($J57="Defer backfill",IF($K57="",MATCH($I57,QuarterList,0)/4,MIN(1,MATCH($I57,QuarterList,0)/4+(5-MATCH($K57,QuarterList,0))/4)),1)))</f>
        <v/>
      </c>
      <c r="M57" s="19" t="str">
        <f aca="false">IF($L57="","",IFERROR(INDEX(LevelBasic,MATCH($E57,LevelList,0))+INDEX(LevelHousing,MATCH($E57,LevelList,0))+INDEX(LevelTransport,MATCH($E57,LevelList,0))+INDEX(LevelBasic,MATCH($E57,LevelList,0))*INDEX(LevelBonus,MATCH($E57,LevelList,0))+(INDEX(LevelBasic,MATCH($E57,LevelList,0))+INDEX(LevelHousing,MATCH($E57,LevelList,0)))*GosiSaudi,0)*(1-$L57))</f>
        <v/>
      </c>
      <c r="N57" s="19" t="n">
        <f aca="false">IF($J57="Surrender to fund new asks",IFERROR(INDEX(LevelBasic,MATCH($E57,LevelList,0))+INDEX(LevelHousing,MATCH($E57,LevelList,0))+INDEX(LevelTransport,MATCH($E57,LevelList,0))+INDEX(LevelBasic,MATCH($E57,LevelList,0))*INDEX(LevelBonus,MATCH($E57,LevelList,0))+(INDEX(LevelBasic,MATCH($E57,LevelList,0))+INDEX(LevelHousing,MATCH($E57,LevelList,0)))*GosiSaudi,0),0)</f>
        <v>0</v>
      </c>
      <c r="O57" s="23" t="str">
        <f aca="false">IF($D57="","",MID(IF($C57="",", unit","")&amp;IF($E57="",", career level","")&amp;IF($H57="",", reason","")&amp;IF($I57="",", leaving quarter","")&amp;IF($J57="",", what happens to the seat","")&amp;IF(AND($J57="Defer backfill",$K57=""),", the backfill quarter","")&amp;IF(IFERROR(AND($K57&lt;&gt;"",$I57&lt;&gt;"",MATCH($K57,QuarterList,0)&lt;=MATCH($I57,QuarterList,0)),FALSE()),", a backfill quarter later than the leaving quarter","")&amp;IF(AND($C57&lt;&gt;"",COUNTIF(UnitList,$C57)=0),", a unit that is not in your structure",""),3,300))</f>
        <v/>
      </c>
    </row>
    <row r="58" customFormat="false" ht="15" hidden="false" customHeight="false" outlineLevel="0" collapsed="false">
      <c r="A58" s="17" t="n">
        <v>53</v>
      </c>
      <c r="B58" s="21"/>
      <c r="C58" s="21"/>
      <c r="D58" s="21"/>
      <c r="E58" s="21"/>
      <c r="F58" s="21"/>
      <c r="G58" s="21"/>
      <c r="H58" s="21"/>
      <c r="I58" s="21"/>
      <c r="J58" s="21"/>
      <c r="K58" s="21"/>
      <c r="L58" s="24" t="str">
        <f aca="false">IF(OR($D58="",$I58="",$J58=""),"",IF($J58="Surrender to fund new asks",MATCH($I58,QuarterList,0)/4,IF($J58="Defer backfill",IF($K58="",MATCH($I58,QuarterList,0)/4,MIN(1,MATCH($I58,QuarterList,0)/4+(5-MATCH($K58,QuarterList,0))/4)),1)))</f>
        <v/>
      </c>
      <c r="M58" s="19" t="str">
        <f aca="false">IF($L58="","",IFERROR(INDEX(LevelBasic,MATCH($E58,LevelList,0))+INDEX(LevelHousing,MATCH($E58,LevelList,0))+INDEX(LevelTransport,MATCH($E58,LevelList,0))+INDEX(LevelBasic,MATCH($E58,LevelList,0))*INDEX(LevelBonus,MATCH($E58,LevelList,0))+(INDEX(LevelBasic,MATCH($E58,LevelList,0))+INDEX(LevelHousing,MATCH($E58,LevelList,0)))*GosiSaudi,0)*(1-$L58))</f>
        <v/>
      </c>
      <c r="N58" s="19" t="n">
        <f aca="false">IF($J58="Surrender to fund new asks",IFERROR(INDEX(LevelBasic,MATCH($E58,LevelList,0))+INDEX(LevelHousing,MATCH($E58,LevelList,0))+INDEX(LevelTransport,MATCH($E58,LevelList,0))+INDEX(LevelBasic,MATCH($E58,LevelList,0))*INDEX(LevelBonus,MATCH($E58,LevelList,0))+(INDEX(LevelBasic,MATCH($E58,LevelList,0))+INDEX(LevelHousing,MATCH($E58,LevelList,0)))*GosiSaudi,0),0)</f>
        <v>0</v>
      </c>
      <c r="O58" s="23" t="str">
        <f aca="false">IF($D58="","",MID(IF($C58="",", unit","")&amp;IF($E58="",", career level","")&amp;IF($H58="",", reason","")&amp;IF($I58="",", leaving quarter","")&amp;IF($J58="",", what happens to the seat","")&amp;IF(AND($J58="Defer backfill",$K58=""),", the backfill quarter","")&amp;IF(IFERROR(AND($K58&lt;&gt;"",$I58&lt;&gt;"",MATCH($K58,QuarterList,0)&lt;=MATCH($I58,QuarterList,0)),FALSE()),", a backfill quarter later than the leaving quarter","")&amp;IF(AND($C58&lt;&gt;"",COUNTIF(UnitList,$C58)=0),", a unit that is not in your structure",""),3,300))</f>
        <v/>
      </c>
    </row>
    <row r="59" customFormat="false" ht="15" hidden="false" customHeight="false" outlineLevel="0" collapsed="false">
      <c r="A59" s="17" t="n">
        <v>54</v>
      </c>
      <c r="B59" s="21"/>
      <c r="C59" s="21"/>
      <c r="D59" s="21"/>
      <c r="E59" s="21"/>
      <c r="F59" s="21"/>
      <c r="G59" s="21"/>
      <c r="H59" s="21"/>
      <c r="I59" s="21"/>
      <c r="J59" s="21"/>
      <c r="K59" s="21"/>
      <c r="L59" s="24" t="str">
        <f aca="false">IF(OR($D59="",$I59="",$J59=""),"",IF($J59="Surrender to fund new asks",MATCH($I59,QuarterList,0)/4,IF($J59="Defer backfill",IF($K59="",MATCH($I59,QuarterList,0)/4,MIN(1,MATCH($I59,QuarterList,0)/4+(5-MATCH($K59,QuarterList,0))/4)),1)))</f>
        <v/>
      </c>
      <c r="M59" s="19" t="str">
        <f aca="false">IF($L59="","",IFERROR(INDEX(LevelBasic,MATCH($E59,LevelList,0))+INDEX(LevelHousing,MATCH($E59,LevelList,0))+INDEX(LevelTransport,MATCH($E59,LevelList,0))+INDEX(LevelBasic,MATCH($E59,LevelList,0))*INDEX(LevelBonus,MATCH($E59,LevelList,0))+(INDEX(LevelBasic,MATCH($E59,LevelList,0))+INDEX(LevelHousing,MATCH($E59,LevelList,0)))*GosiSaudi,0)*(1-$L59))</f>
        <v/>
      </c>
      <c r="N59" s="19" t="n">
        <f aca="false">IF($J59="Surrender to fund new asks",IFERROR(INDEX(LevelBasic,MATCH($E59,LevelList,0))+INDEX(LevelHousing,MATCH($E59,LevelList,0))+INDEX(LevelTransport,MATCH($E59,LevelList,0))+INDEX(LevelBasic,MATCH($E59,LevelList,0))*INDEX(LevelBonus,MATCH($E59,LevelList,0))+(INDEX(LevelBasic,MATCH($E59,LevelList,0))+INDEX(LevelHousing,MATCH($E59,LevelList,0)))*GosiSaudi,0),0)</f>
        <v>0</v>
      </c>
      <c r="O59" s="23" t="str">
        <f aca="false">IF($D59="","",MID(IF($C59="",", unit","")&amp;IF($E59="",", career level","")&amp;IF($H59="",", reason","")&amp;IF($I59="",", leaving quarter","")&amp;IF($J59="",", what happens to the seat","")&amp;IF(AND($J59="Defer backfill",$K59=""),", the backfill quarter","")&amp;IF(IFERROR(AND($K59&lt;&gt;"",$I59&lt;&gt;"",MATCH($K59,QuarterList,0)&lt;=MATCH($I59,QuarterList,0)),FALSE()),", a backfill quarter later than the leaving quarter","")&amp;IF(AND($C59&lt;&gt;"",COUNTIF(UnitList,$C59)=0),", a unit that is not in your structure",""),3,300))</f>
        <v/>
      </c>
    </row>
    <row r="60" customFormat="false" ht="15" hidden="false" customHeight="false" outlineLevel="0" collapsed="false">
      <c r="A60" s="17" t="n">
        <v>55</v>
      </c>
      <c r="B60" s="21"/>
      <c r="C60" s="21"/>
      <c r="D60" s="21"/>
      <c r="E60" s="21"/>
      <c r="F60" s="21"/>
      <c r="G60" s="21"/>
      <c r="H60" s="21"/>
      <c r="I60" s="21"/>
      <c r="J60" s="21"/>
      <c r="K60" s="21"/>
      <c r="L60" s="24" t="str">
        <f aca="false">IF(OR($D60="",$I60="",$J60=""),"",IF($J60="Surrender to fund new asks",MATCH($I60,QuarterList,0)/4,IF($J60="Defer backfill",IF($K60="",MATCH($I60,QuarterList,0)/4,MIN(1,MATCH($I60,QuarterList,0)/4+(5-MATCH($K60,QuarterList,0))/4)),1)))</f>
        <v/>
      </c>
      <c r="M60" s="19" t="str">
        <f aca="false">IF($L60="","",IFERROR(INDEX(LevelBasic,MATCH($E60,LevelList,0))+INDEX(LevelHousing,MATCH($E60,LevelList,0))+INDEX(LevelTransport,MATCH($E60,LevelList,0))+INDEX(LevelBasic,MATCH($E60,LevelList,0))*INDEX(LevelBonus,MATCH($E60,LevelList,0))+(INDEX(LevelBasic,MATCH($E60,LevelList,0))+INDEX(LevelHousing,MATCH($E60,LevelList,0)))*GosiSaudi,0)*(1-$L60))</f>
        <v/>
      </c>
      <c r="N60" s="19" t="n">
        <f aca="false">IF($J60="Surrender to fund new asks",IFERROR(INDEX(LevelBasic,MATCH($E60,LevelList,0))+INDEX(LevelHousing,MATCH($E60,LevelList,0))+INDEX(LevelTransport,MATCH($E60,LevelList,0))+INDEX(LevelBasic,MATCH($E60,LevelList,0))*INDEX(LevelBonus,MATCH($E60,LevelList,0))+(INDEX(LevelBasic,MATCH($E60,LevelList,0))+INDEX(LevelHousing,MATCH($E60,LevelList,0)))*GosiSaudi,0),0)</f>
        <v>0</v>
      </c>
      <c r="O60" s="23" t="str">
        <f aca="false">IF($D60="","",MID(IF($C60="",", unit","")&amp;IF($E60="",", career level","")&amp;IF($H60="",", reason","")&amp;IF($I60="",", leaving quarter","")&amp;IF($J60="",", what happens to the seat","")&amp;IF(AND($J60="Defer backfill",$K60=""),", the backfill quarter","")&amp;IF(IFERROR(AND($K60&lt;&gt;"",$I60&lt;&gt;"",MATCH($K60,QuarterList,0)&lt;=MATCH($I60,QuarterList,0)),FALSE()),", a backfill quarter later than the leaving quarter","")&amp;IF(AND($C60&lt;&gt;"",COUNTIF(UnitList,$C60)=0),", a unit that is not in your structure",""),3,300))</f>
        <v/>
      </c>
    </row>
    <row r="61" customFormat="false" ht="15" hidden="false" customHeight="false" outlineLevel="0" collapsed="false">
      <c r="A61" s="17" t="n">
        <v>56</v>
      </c>
      <c r="B61" s="21"/>
      <c r="C61" s="21"/>
      <c r="D61" s="21"/>
      <c r="E61" s="21"/>
      <c r="F61" s="21"/>
      <c r="G61" s="21"/>
      <c r="H61" s="21"/>
      <c r="I61" s="21"/>
      <c r="J61" s="21"/>
      <c r="K61" s="21"/>
      <c r="L61" s="24" t="str">
        <f aca="false">IF(OR($D61="",$I61="",$J61=""),"",IF($J61="Surrender to fund new asks",MATCH($I61,QuarterList,0)/4,IF($J61="Defer backfill",IF($K61="",MATCH($I61,QuarterList,0)/4,MIN(1,MATCH($I61,QuarterList,0)/4+(5-MATCH($K61,QuarterList,0))/4)),1)))</f>
        <v/>
      </c>
      <c r="M61" s="19" t="str">
        <f aca="false">IF($L61="","",IFERROR(INDEX(LevelBasic,MATCH($E61,LevelList,0))+INDEX(LevelHousing,MATCH($E61,LevelList,0))+INDEX(LevelTransport,MATCH($E61,LevelList,0))+INDEX(LevelBasic,MATCH($E61,LevelList,0))*INDEX(LevelBonus,MATCH($E61,LevelList,0))+(INDEX(LevelBasic,MATCH($E61,LevelList,0))+INDEX(LevelHousing,MATCH($E61,LevelList,0)))*GosiSaudi,0)*(1-$L61))</f>
        <v/>
      </c>
      <c r="N61" s="19" t="n">
        <f aca="false">IF($J61="Surrender to fund new asks",IFERROR(INDEX(LevelBasic,MATCH($E61,LevelList,0))+INDEX(LevelHousing,MATCH($E61,LevelList,0))+INDEX(LevelTransport,MATCH($E61,LevelList,0))+INDEX(LevelBasic,MATCH($E61,LevelList,0))*INDEX(LevelBonus,MATCH($E61,LevelList,0))+(INDEX(LevelBasic,MATCH($E61,LevelList,0))+INDEX(LevelHousing,MATCH($E61,LevelList,0)))*GosiSaudi,0),0)</f>
        <v>0</v>
      </c>
      <c r="O61" s="23" t="str">
        <f aca="false">IF($D61="","",MID(IF($C61="",", unit","")&amp;IF($E61="",", career level","")&amp;IF($H61="",", reason","")&amp;IF($I61="",", leaving quarter","")&amp;IF($J61="",", what happens to the seat","")&amp;IF(AND($J61="Defer backfill",$K61=""),", the backfill quarter","")&amp;IF(IFERROR(AND($K61&lt;&gt;"",$I61&lt;&gt;"",MATCH($K61,QuarterList,0)&lt;=MATCH($I61,QuarterList,0)),FALSE()),", a backfill quarter later than the leaving quarter","")&amp;IF(AND($C61&lt;&gt;"",COUNTIF(UnitList,$C61)=0),", a unit that is not in your structure",""),3,300))</f>
        <v/>
      </c>
    </row>
    <row r="62" customFormat="false" ht="15" hidden="false" customHeight="false" outlineLevel="0" collapsed="false">
      <c r="A62" s="17" t="n">
        <v>57</v>
      </c>
      <c r="B62" s="21"/>
      <c r="C62" s="21"/>
      <c r="D62" s="21"/>
      <c r="E62" s="21"/>
      <c r="F62" s="21"/>
      <c r="G62" s="21"/>
      <c r="H62" s="21"/>
      <c r="I62" s="21"/>
      <c r="J62" s="21"/>
      <c r="K62" s="21"/>
      <c r="L62" s="24" t="str">
        <f aca="false">IF(OR($D62="",$I62="",$J62=""),"",IF($J62="Surrender to fund new asks",MATCH($I62,QuarterList,0)/4,IF($J62="Defer backfill",IF($K62="",MATCH($I62,QuarterList,0)/4,MIN(1,MATCH($I62,QuarterList,0)/4+(5-MATCH($K62,QuarterList,0))/4)),1)))</f>
        <v/>
      </c>
      <c r="M62" s="19" t="str">
        <f aca="false">IF($L62="","",IFERROR(INDEX(LevelBasic,MATCH($E62,LevelList,0))+INDEX(LevelHousing,MATCH($E62,LevelList,0))+INDEX(LevelTransport,MATCH($E62,LevelList,0))+INDEX(LevelBasic,MATCH($E62,LevelList,0))*INDEX(LevelBonus,MATCH($E62,LevelList,0))+(INDEX(LevelBasic,MATCH($E62,LevelList,0))+INDEX(LevelHousing,MATCH($E62,LevelList,0)))*GosiSaudi,0)*(1-$L62))</f>
        <v/>
      </c>
      <c r="N62" s="19" t="n">
        <f aca="false">IF($J62="Surrender to fund new asks",IFERROR(INDEX(LevelBasic,MATCH($E62,LevelList,0))+INDEX(LevelHousing,MATCH($E62,LevelList,0))+INDEX(LevelTransport,MATCH($E62,LevelList,0))+INDEX(LevelBasic,MATCH($E62,LevelList,0))*INDEX(LevelBonus,MATCH($E62,LevelList,0))+(INDEX(LevelBasic,MATCH($E62,LevelList,0))+INDEX(LevelHousing,MATCH($E62,LevelList,0)))*GosiSaudi,0),0)</f>
        <v>0</v>
      </c>
      <c r="O62" s="23" t="str">
        <f aca="false">IF($D62="","",MID(IF($C62="",", unit","")&amp;IF($E62="",", career level","")&amp;IF($H62="",", reason","")&amp;IF($I62="",", leaving quarter","")&amp;IF($J62="",", what happens to the seat","")&amp;IF(AND($J62="Defer backfill",$K62=""),", the backfill quarter","")&amp;IF(IFERROR(AND($K62&lt;&gt;"",$I62&lt;&gt;"",MATCH($K62,QuarterList,0)&lt;=MATCH($I62,QuarterList,0)),FALSE()),", a backfill quarter later than the leaving quarter","")&amp;IF(AND($C62&lt;&gt;"",COUNTIF(UnitList,$C62)=0),", a unit that is not in your structure",""),3,300))</f>
        <v/>
      </c>
    </row>
    <row r="63" customFormat="false" ht="15" hidden="false" customHeight="false" outlineLevel="0" collapsed="false">
      <c r="A63" s="17" t="n">
        <v>58</v>
      </c>
      <c r="B63" s="21"/>
      <c r="C63" s="21"/>
      <c r="D63" s="21"/>
      <c r="E63" s="21"/>
      <c r="F63" s="21"/>
      <c r="G63" s="21"/>
      <c r="H63" s="21"/>
      <c r="I63" s="21"/>
      <c r="J63" s="21"/>
      <c r="K63" s="21"/>
      <c r="L63" s="24" t="str">
        <f aca="false">IF(OR($D63="",$I63="",$J63=""),"",IF($J63="Surrender to fund new asks",MATCH($I63,QuarterList,0)/4,IF($J63="Defer backfill",IF($K63="",MATCH($I63,QuarterList,0)/4,MIN(1,MATCH($I63,QuarterList,0)/4+(5-MATCH($K63,QuarterList,0))/4)),1)))</f>
        <v/>
      </c>
      <c r="M63" s="19" t="str">
        <f aca="false">IF($L63="","",IFERROR(INDEX(LevelBasic,MATCH($E63,LevelList,0))+INDEX(LevelHousing,MATCH($E63,LevelList,0))+INDEX(LevelTransport,MATCH($E63,LevelList,0))+INDEX(LevelBasic,MATCH($E63,LevelList,0))*INDEX(LevelBonus,MATCH($E63,LevelList,0))+(INDEX(LevelBasic,MATCH($E63,LevelList,0))+INDEX(LevelHousing,MATCH($E63,LevelList,0)))*GosiSaudi,0)*(1-$L63))</f>
        <v/>
      </c>
      <c r="N63" s="19" t="n">
        <f aca="false">IF($J63="Surrender to fund new asks",IFERROR(INDEX(LevelBasic,MATCH($E63,LevelList,0))+INDEX(LevelHousing,MATCH($E63,LevelList,0))+INDEX(LevelTransport,MATCH($E63,LevelList,0))+INDEX(LevelBasic,MATCH($E63,LevelList,0))*INDEX(LevelBonus,MATCH($E63,LevelList,0))+(INDEX(LevelBasic,MATCH($E63,LevelList,0))+INDEX(LevelHousing,MATCH($E63,LevelList,0)))*GosiSaudi,0),0)</f>
        <v>0</v>
      </c>
      <c r="O63" s="23" t="str">
        <f aca="false">IF($D63="","",MID(IF($C63="",", unit","")&amp;IF($E63="",", career level","")&amp;IF($H63="",", reason","")&amp;IF($I63="",", leaving quarter","")&amp;IF($J63="",", what happens to the seat","")&amp;IF(AND($J63="Defer backfill",$K63=""),", the backfill quarter","")&amp;IF(IFERROR(AND($K63&lt;&gt;"",$I63&lt;&gt;"",MATCH($K63,QuarterList,0)&lt;=MATCH($I63,QuarterList,0)),FALSE()),", a backfill quarter later than the leaving quarter","")&amp;IF(AND($C63&lt;&gt;"",COUNTIF(UnitList,$C63)=0),", a unit that is not in your structure",""),3,300))</f>
        <v/>
      </c>
    </row>
    <row r="64" customFormat="false" ht="15" hidden="false" customHeight="false" outlineLevel="0" collapsed="false">
      <c r="A64" s="17" t="n">
        <v>59</v>
      </c>
      <c r="B64" s="21"/>
      <c r="C64" s="21"/>
      <c r="D64" s="21"/>
      <c r="E64" s="21"/>
      <c r="F64" s="21"/>
      <c r="G64" s="21"/>
      <c r="H64" s="21"/>
      <c r="I64" s="21"/>
      <c r="J64" s="21"/>
      <c r="K64" s="21"/>
      <c r="L64" s="24" t="str">
        <f aca="false">IF(OR($D64="",$I64="",$J64=""),"",IF($J64="Surrender to fund new asks",MATCH($I64,QuarterList,0)/4,IF($J64="Defer backfill",IF($K64="",MATCH($I64,QuarterList,0)/4,MIN(1,MATCH($I64,QuarterList,0)/4+(5-MATCH($K64,QuarterList,0))/4)),1)))</f>
        <v/>
      </c>
      <c r="M64" s="19" t="str">
        <f aca="false">IF($L64="","",IFERROR(INDEX(LevelBasic,MATCH($E64,LevelList,0))+INDEX(LevelHousing,MATCH($E64,LevelList,0))+INDEX(LevelTransport,MATCH($E64,LevelList,0))+INDEX(LevelBasic,MATCH($E64,LevelList,0))*INDEX(LevelBonus,MATCH($E64,LevelList,0))+(INDEX(LevelBasic,MATCH($E64,LevelList,0))+INDEX(LevelHousing,MATCH($E64,LevelList,0)))*GosiSaudi,0)*(1-$L64))</f>
        <v/>
      </c>
      <c r="N64" s="19" t="n">
        <f aca="false">IF($J64="Surrender to fund new asks",IFERROR(INDEX(LevelBasic,MATCH($E64,LevelList,0))+INDEX(LevelHousing,MATCH($E64,LevelList,0))+INDEX(LevelTransport,MATCH($E64,LevelList,0))+INDEX(LevelBasic,MATCH($E64,LevelList,0))*INDEX(LevelBonus,MATCH($E64,LevelList,0))+(INDEX(LevelBasic,MATCH($E64,LevelList,0))+INDEX(LevelHousing,MATCH($E64,LevelList,0)))*GosiSaudi,0),0)</f>
        <v>0</v>
      </c>
      <c r="O64" s="23" t="str">
        <f aca="false">IF($D64="","",MID(IF($C64="",", unit","")&amp;IF($E64="",", career level","")&amp;IF($H64="",", reason","")&amp;IF($I64="",", leaving quarter","")&amp;IF($J64="",", what happens to the seat","")&amp;IF(AND($J64="Defer backfill",$K64=""),", the backfill quarter","")&amp;IF(IFERROR(AND($K64&lt;&gt;"",$I64&lt;&gt;"",MATCH($K64,QuarterList,0)&lt;=MATCH($I64,QuarterList,0)),FALSE()),", a backfill quarter later than the leaving quarter","")&amp;IF(AND($C64&lt;&gt;"",COUNTIF(UnitList,$C64)=0),", a unit that is not in your structure",""),3,300))</f>
        <v/>
      </c>
    </row>
    <row r="65" customFormat="false" ht="15" hidden="false" customHeight="false" outlineLevel="0" collapsed="false">
      <c r="A65" s="17" t="n">
        <v>60</v>
      </c>
      <c r="B65" s="21"/>
      <c r="C65" s="21"/>
      <c r="D65" s="21"/>
      <c r="E65" s="21"/>
      <c r="F65" s="21"/>
      <c r="G65" s="21"/>
      <c r="H65" s="21"/>
      <c r="I65" s="21"/>
      <c r="J65" s="21"/>
      <c r="K65" s="21"/>
      <c r="L65" s="24" t="str">
        <f aca="false">IF(OR($D65="",$I65="",$J65=""),"",IF($J65="Surrender to fund new asks",MATCH($I65,QuarterList,0)/4,IF($J65="Defer backfill",IF($K65="",MATCH($I65,QuarterList,0)/4,MIN(1,MATCH($I65,QuarterList,0)/4+(5-MATCH($K65,QuarterList,0))/4)),1)))</f>
        <v/>
      </c>
      <c r="M65" s="19" t="str">
        <f aca="false">IF($L65="","",IFERROR(INDEX(LevelBasic,MATCH($E65,LevelList,0))+INDEX(LevelHousing,MATCH($E65,LevelList,0))+INDEX(LevelTransport,MATCH($E65,LevelList,0))+INDEX(LevelBasic,MATCH($E65,LevelList,0))*INDEX(LevelBonus,MATCH($E65,LevelList,0))+(INDEX(LevelBasic,MATCH($E65,LevelList,0))+INDEX(LevelHousing,MATCH($E65,LevelList,0)))*GosiSaudi,0)*(1-$L65))</f>
        <v/>
      </c>
      <c r="N65" s="19" t="n">
        <f aca="false">IF($J65="Surrender to fund new asks",IFERROR(INDEX(LevelBasic,MATCH($E65,LevelList,0))+INDEX(LevelHousing,MATCH($E65,LevelList,0))+INDEX(LevelTransport,MATCH($E65,LevelList,0))+INDEX(LevelBasic,MATCH($E65,LevelList,0))*INDEX(LevelBonus,MATCH($E65,LevelList,0))+(INDEX(LevelBasic,MATCH($E65,LevelList,0))+INDEX(LevelHousing,MATCH($E65,LevelList,0)))*GosiSaudi,0),0)</f>
        <v>0</v>
      </c>
      <c r="O65" s="23" t="str">
        <f aca="false">IF($D65="","",MID(IF($C65="",", unit","")&amp;IF($E65="",", career level","")&amp;IF($H65="",", reason","")&amp;IF($I65="",", leaving quarter","")&amp;IF($J65="",", what happens to the seat","")&amp;IF(AND($J65="Defer backfill",$K65=""),", the backfill quarter","")&amp;IF(IFERROR(AND($K65&lt;&gt;"",$I65&lt;&gt;"",MATCH($K65,QuarterList,0)&lt;=MATCH($I65,QuarterList,0)),FALSE()),", a backfill quarter later than the leaving quarter","")&amp;IF(AND($C65&lt;&gt;"",COUNTIF(UnitList,$C65)=0),", a unit that is not in your structure",""),3,300))</f>
        <v/>
      </c>
    </row>
    <row r="66" customFormat="false" ht="15" hidden="false" customHeight="false" outlineLevel="0" collapsed="false">
      <c r="A66" s="17" t="n">
        <v>61</v>
      </c>
      <c r="B66" s="21"/>
      <c r="C66" s="21"/>
      <c r="D66" s="21"/>
      <c r="E66" s="21"/>
      <c r="F66" s="21"/>
      <c r="G66" s="21"/>
      <c r="H66" s="21"/>
      <c r="I66" s="21"/>
      <c r="J66" s="21"/>
      <c r="K66" s="21"/>
      <c r="L66" s="24" t="str">
        <f aca="false">IF(OR($D66="",$I66="",$J66=""),"",IF($J66="Surrender to fund new asks",MATCH($I66,QuarterList,0)/4,IF($J66="Defer backfill",IF($K66="",MATCH($I66,QuarterList,0)/4,MIN(1,MATCH($I66,QuarterList,0)/4+(5-MATCH($K66,QuarterList,0))/4)),1)))</f>
        <v/>
      </c>
      <c r="M66" s="19" t="str">
        <f aca="false">IF($L66="","",IFERROR(INDEX(LevelBasic,MATCH($E66,LevelList,0))+INDEX(LevelHousing,MATCH($E66,LevelList,0))+INDEX(LevelTransport,MATCH($E66,LevelList,0))+INDEX(LevelBasic,MATCH($E66,LevelList,0))*INDEX(LevelBonus,MATCH($E66,LevelList,0))+(INDEX(LevelBasic,MATCH($E66,LevelList,0))+INDEX(LevelHousing,MATCH($E66,LevelList,0)))*GosiSaudi,0)*(1-$L66))</f>
        <v/>
      </c>
      <c r="N66" s="19" t="n">
        <f aca="false">IF($J66="Surrender to fund new asks",IFERROR(INDEX(LevelBasic,MATCH($E66,LevelList,0))+INDEX(LevelHousing,MATCH($E66,LevelList,0))+INDEX(LevelTransport,MATCH($E66,LevelList,0))+INDEX(LevelBasic,MATCH($E66,LevelList,0))*INDEX(LevelBonus,MATCH($E66,LevelList,0))+(INDEX(LevelBasic,MATCH($E66,LevelList,0))+INDEX(LevelHousing,MATCH($E66,LevelList,0)))*GosiSaudi,0),0)</f>
        <v>0</v>
      </c>
      <c r="O66" s="23" t="str">
        <f aca="false">IF($D66="","",MID(IF($C66="",", unit","")&amp;IF($E66="",", career level","")&amp;IF($H66="",", reason","")&amp;IF($I66="",", leaving quarter","")&amp;IF($J66="",", what happens to the seat","")&amp;IF(AND($J66="Defer backfill",$K66=""),", the backfill quarter","")&amp;IF(IFERROR(AND($K66&lt;&gt;"",$I66&lt;&gt;"",MATCH($K66,QuarterList,0)&lt;=MATCH($I66,QuarterList,0)),FALSE()),", a backfill quarter later than the leaving quarter","")&amp;IF(AND($C66&lt;&gt;"",COUNTIF(UnitList,$C66)=0),", a unit that is not in your structure",""),3,300))</f>
        <v/>
      </c>
    </row>
    <row r="67" customFormat="false" ht="15" hidden="false" customHeight="false" outlineLevel="0" collapsed="false">
      <c r="A67" s="17" t="n">
        <v>62</v>
      </c>
      <c r="B67" s="21"/>
      <c r="C67" s="21"/>
      <c r="D67" s="21"/>
      <c r="E67" s="21"/>
      <c r="F67" s="21"/>
      <c r="G67" s="21"/>
      <c r="H67" s="21"/>
      <c r="I67" s="21"/>
      <c r="J67" s="21"/>
      <c r="K67" s="21"/>
      <c r="L67" s="24" t="str">
        <f aca="false">IF(OR($D67="",$I67="",$J67=""),"",IF($J67="Surrender to fund new asks",MATCH($I67,QuarterList,0)/4,IF($J67="Defer backfill",IF($K67="",MATCH($I67,QuarterList,0)/4,MIN(1,MATCH($I67,QuarterList,0)/4+(5-MATCH($K67,QuarterList,0))/4)),1)))</f>
        <v/>
      </c>
      <c r="M67" s="19" t="str">
        <f aca="false">IF($L67="","",IFERROR(INDEX(LevelBasic,MATCH($E67,LevelList,0))+INDEX(LevelHousing,MATCH($E67,LevelList,0))+INDEX(LevelTransport,MATCH($E67,LevelList,0))+INDEX(LevelBasic,MATCH($E67,LevelList,0))*INDEX(LevelBonus,MATCH($E67,LevelList,0))+(INDEX(LevelBasic,MATCH($E67,LevelList,0))+INDEX(LevelHousing,MATCH($E67,LevelList,0)))*GosiSaudi,0)*(1-$L67))</f>
        <v/>
      </c>
      <c r="N67" s="19" t="n">
        <f aca="false">IF($J67="Surrender to fund new asks",IFERROR(INDEX(LevelBasic,MATCH($E67,LevelList,0))+INDEX(LevelHousing,MATCH($E67,LevelList,0))+INDEX(LevelTransport,MATCH($E67,LevelList,0))+INDEX(LevelBasic,MATCH($E67,LevelList,0))*INDEX(LevelBonus,MATCH($E67,LevelList,0))+(INDEX(LevelBasic,MATCH($E67,LevelList,0))+INDEX(LevelHousing,MATCH($E67,LevelList,0)))*GosiSaudi,0),0)</f>
        <v>0</v>
      </c>
      <c r="O67" s="23" t="str">
        <f aca="false">IF($D67="","",MID(IF($C67="",", unit","")&amp;IF($E67="",", career level","")&amp;IF($H67="",", reason","")&amp;IF($I67="",", leaving quarter","")&amp;IF($J67="",", what happens to the seat","")&amp;IF(AND($J67="Defer backfill",$K67=""),", the backfill quarter","")&amp;IF(IFERROR(AND($K67&lt;&gt;"",$I67&lt;&gt;"",MATCH($K67,QuarterList,0)&lt;=MATCH($I67,QuarterList,0)),FALSE()),", a backfill quarter later than the leaving quarter","")&amp;IF(AND($C67&lt;&gt;"",COUNTIF(UnitList,$C67)=0),", a unit that is not in your structure",""),3,300))</f>
        <v/>
      </c>
    </row>
    <row r="68" customFormat="false" ht="15" hidden="false" customHeight="false" outlineLevel="0" collapsed="false">
      <c r="A68" s="17" t="n">
        <v>63</v>
      </c>
      <c r="B68" s="21"/>
      <c r="C68" s="21"/>
      <c r="D68" s="21"/>
      <c r="E68" s="21"/>
      <c r="F68" s="21"/>
      <c r="G68" s="21"/>
      <c r="H68" s="21"/>
      <c r="I68" s="21"/>
      <c r="J68" s="21"/>
      <c r="K68" s="21"/>
      <c r="L68" s="24" t="str">
        <f aca="false">IF(OR($D68="",$I68="",$J68=""),"",IF($J68="Surrender to fund new asks",MATCH($I68,QuarterList,0)/4,IF($J68="Defer backfill",IF($K68="",MATCH($I68,QuarterList,0)/4,MIN(1,MATCH($I68,QuarterList,0)/4+(5-MATCH($K68,QuarterList,0))/4)),1)))</f>
        <v/>
      </c>
      <c r="M68" s="19" t="str">
        <f aca="false">IF($L68="","",IFERROR(INDEX(LevelBasic,MATCH($E68,LevelList,0))+INDEX(LevelHousing,MATCH($E68,LevelList,0))+INDEX(LevelTransport,MATCH($E68,LevelList,0))+INDEX(LevelBasic,MATCH($E68,LevelList,0))*INDEX(LevelBonus,MATCH($E68,LevelList,0))+(INDEX(LevelBasic,MATCH($E68,LevelList,0))+INDEX(LevelHousing,MATCH($E68,LevelList,0)))*GosiSaudi,0)*(1-$L68))</f>
        <v/>
      </c>
      <c r="N68" s="19" t="n">
        <f aca="false">IF($J68="Surrender to fund new asks",IFERROR(INDEX(LevelBasic,MATCH($E68,LevelList,0))+INDEX(LevelHousing,MATCH($E68,LevelList,0))+INDEX(LevelTransport,MATCH($E68,LevelList,0))+INDEX(LevelBasic,MATCH($E68,LevelList,0))*INDEX(LevelBonus,MATCH($E68,LevelList,0))+(INDEX(LevelBasic,MATCH($E68,LevelList,0))+INDEX(LevelHousing,MATCH($E68,LevelList,0)))*GosiSaudi,0),0)</f>
        <v>0</v>
      </c>
      <c r="O68" s="23" t="str">
        <f aca="false">IF($D68="","",MID(IF($C68="",", unit","")&amp;IF($E68="",", career level","")&amp;IF($H68="",", reason","")&amp;IF($I68="",", leaving quarter","")&amp;IF($J68="",", what happens to the seat","")&amp;IF(AND($J68="Defer backfill",$K68=""),", the backfill quarter","")&amp;IF(IFERROR(AND($K68&lt;&gt;"",$I68&lt;&gt;"",MATCH($K68,QuarterList,0)&lt;=MATCH($I68,QuarterList,0)),FALSE()),", a backfill quarter later than the leaving quarter","")&amp;IF(AND($C68&lt;&gt;"",COUNTIF(UnitList,$C68)=0),", a unit that is not in your structure",""),3,300))</f>
        <v/>
      </c>
    </row>
    <row r="69" customFormat="false" ht="15" hidden="false" customHeight="false" outlineLevel="0" collapsed="false">
      <c r="A69" s="17" t="n">
        <v>64</v>
      </c>
      <c r="B69" s="21"/>
      <c r="C69" s="21"/>
      <c r="D69" s="21"/>
      <c r="E69" s="21"/>
      <c r="F69" s="21"/>
      <c r="G69" s="21"/>
      <c r="H69" s="21"/>
      <c r="I69" s="21"/>
      <c r="J69" s="21"/>
      <c r="K69" s="21"/>
      <c r="L69" s="24" t="str">
        <f aca="false">IF(OR($D69="",$I69="",$J69=""),"",IF($J69="Surrender to fund new asks",MATCH($I69,QuarterList,0)/4,IF($J69="Defer backfill",IF($K69="",MATCH($I69,QuarterList,0)/4,MIN(1,MATCH($I69,QuarterList,0)/4+(5-MATCH($K69,QuarterList,0))/4)),1)))</f>
        <v/>
      </c>
      <c r="M69" s="19" t="str">
        <f aca="false">IF($L69="","",IFERROR(INDEX(LevelBasic,MATCH($E69,LevelList,0))+INDEX(LevelHousing,MATCH($E69,LevelList,0))+INDEX(LevelTransport,MATCH($E69,LevelList,0))+INDEX(LevelBasic,MATCH($E69,LevelList,0))*INDEX(LevelBonus,MATCH($E69,LevelList,0))+(INDEX(LevelBasic,MATCH($E69,LevelList,0))+INDEX(LevelHousing,MATCH($E69,LevelList,0)))*GosiSaudi,0)*(1-$L69))</f>
        <v/>
      </c>
      <c r="N69" s="19" t="n">
        <f aca="false">IF($J69="Surrender to fund new asks",IFERROR(INDEX(LevelBasic,MATCH($E69,LevelList,0))+INDEX(LevelHousing,MATCH($E69,LevelList,0))+INDEX(LevelTransport,MATCH($E69,LevelList,0))+INDEX(LevelBasic,MATCH($E69,LevelList,0))*INDEX(LevelBonus,MATCH($E69,LevelList,0))+(INDEX(LevelBasic,MATCH($E69,LevelList,0))+INDEX(LevelHousing,MATCH($E69,LevelList,0)))*GosiSaudi,0),0)</f>
        <v>0</v>
      </c>
      <c r="O69" s="23" t="str">
        <f aca="false">IF($D69="","",MID(IF($C69="",", unit","")&amp;IF($E69="",", career level","")&amp;IF($H69="",", reason","")&amp;IF($I69="",", leaving quarter","")&amp;IF($J69="",", what happens to the seat","")&amp;IF(AND($J69="Defer backfill",$K69=""),", the backfill quarter","")&amp;IF(IFERROR(AND($K69&lt;&gt;"",$I69&lt;&gt;"",MATCH($K69,QuarterList,0)&lt;=MATCH($I69,QuarterList,0)),FALSE()),", a backfill quarter later than the leaving quarter","")&amp;IF(AND($C69&lt;&gt;"",COUNTIF(UnitList,$C69)=0),", a unit that is not in your structure",""),3,300))</f>
        <v/>
      </c>
    </row>
    <row r="70" customFormat="false" ht="15" hidden="false" customHeight="false" outlineLevel="0" collapsed="false">
      <c r="A70" s="17" t="n">
        <v>65</v>
      </c>
      <c r="B70" s="21"/>
      <c r="C70" s="21"/>
      <c r="D70" s="21"/>
      <c r="E70" s="21"/>
      <c r="F70" s="21"/>
      <c r="G70" s="21"/>
      <c r="H70" s="21"/>
      <c r="I70" s="21"/>
      <c r="J70" s="21"/>
      <c r="K70" s="21"/>
      <c r="L70" s="24" t="str">
        <f aca="false">IF(OR($D70="",$I70="",$J70=""),"",IF($J70="Surrender to fund new asks",MATCH($I70,QuarterList,0)/4,IF($J70="Defer backfill",IF($K70="",MATCH($I70,QuarterList,0)/4,MIN(1,MATCH($I70,QuarterList,0)/4+(5-MATCH($K70,QuarterList,0))/4)),1)))</f>
        <v/>
      </c>
      <c r="M70" s="19" t="str">
        <f aca="false">IF($L70="","",IFERROR(INDEX(LevelBasic,MATCH($E70,LevelList,0))+INDEX(LevelHousing,MATCH($E70,LevelList,0))+INDEX(LevelTransport,MATCH($E70,LevelList,0))+INDEX(LevelBasic,MATCH($E70,LevelList,0))*INDEX(LevelBonus,MATCH($E70,LevelList,0))+(INDEX(LevelBasic,MATCH($E70,LevelList,0))+INDEX(LevelHousing,MATCH($E70,LevelList,0)))*GosiSaudi,0)*(1-$L70))</f>
        <v/>
      </c>
      <c r="N70" s="19" t="n">
        <f aca="false">IF($J70="Surrender to fund new asks",IFERROR(INDEX(LevelBasic,MATCH($E70,LevelList,0))+INDEX(LevelHousing,MATCH($E70,LevelList,0))+INDEX(LevelTransport,MATCH($E70,LevelList,0))+INDEX(LevelBasic,MATCH($E70,LevelList,0))*INDEX(LevelBonus,MATCH($E70,LevelList,0))+(INDEX(LevelBasic,MATCH($E70,LevelList,0))+INDEX(LevelHousing,MATCH($E70,LevelList,0)))*GosiSaudi,0),0)</f>
        <v>0</v>
      </c>
      <c r="O70" s="23" t="str">
        <f aca="false">IF($D70="","",MID(IF($C70="",", unit","")&amp;IF($E70="",", career level","")&amp;IF($H70="",", reason","")&amp;IF($I70="",", leaving quarter","")&amp;IF($J70="",", what happens to the seat","")&amp;IF(AND($J70="Defer backfill",$K70=""),", the backfill quarter","")&amp;IF(IFERROR(AND($K70&lt;&gt;"",$I70&lt;&gt;"",MATCH($K70,QuarterList,0)&lt;=MATCH($I70,QuarterList,0)),FALSE()),", a backfill quarter later than the leaving quarter","")&amp;IF(AND($C70&lt;&gt;"",COUNTIF(UnitList,$C70)=0),", a unit that is not in your structure",""),3,300))</f>
        <v/>
      </c>
    </row>
    <row r="71" customFormat="false" ht="15" hidden="false" customHeight="false" outlineLevel="0" collapsed="false">
      <c r="A71" s="17" t="n">
        <v>66</v>
      </c>
      <c r="B71" s="21"/>
      <c r="C71" s="21"/>
      <c r="D71" s="21"/>
      <c r="E71" s="21"/>
      <c r="F71" s="21"/>
      <c r="G71" s="21"/>
      <c r="H71" s="21"/>
      <c r="I71" s="21"/>
      <c r="J71" s="21"/>
      <c r="K71" s="21"/>
      <c r="L71" s="24" t="str">
        <f aca="false">IF(OR($D71="",$I71="",$J71=""),"",IF($J71="Surrender to fund new asks",MATCH($I71,QuarterList,0)/4,IF($J71="Defer backfill",IF($K71="",MATCH($I71,QuarterList,0)/4,MIN(1,MATCH($I71,QuarterList,0)/4+(5-MATCH($K71,QuarterList,0))/4)),1)))</f>
        <v/>
      </c>
      <c r="M71" s="19" t="str">
        <f aca="false">IF($L71="","",IFERROR(INDEX(LevelBasic,MATCH($E71,LevelList,0))+INDEX(LevelHousing,MATCH($E71,LevelList,0))+INDEX(LevelTransport,MATCH($E71,LevelList,0))+INDEX(LevelBasic,MATCH($E71,LevelList,0))*INDEX(LevelBonus,MATCH($E71,LevelList,0))+(INDEX(LevelBasic,MATCH($E71,LevelList,0))+INDEX(LevelHousing,MATCH($E71,LevelList,0)))*GosiSaudi,0)*(1-$L71))</f>
        <v/>
      </c>
      <c r="N71" s="19" t="n">
        <f aca="false">IF($J71="Surrender to fund new asks",IFERROR(INDEX(LevelBasic,MATCH($E71,LevelList,0))+INDEX(LevelHousing,MATCH($E71,LevelList,0))+INDEX(LevelTransport,MATCH($E71,LevelList,0))+INDEX(LevelBasic,MATCH($E71,LevelList,0))*INDEX(LevelBonus,MATCH($E71,LevelList,0))+(INDEX(LevelBasic,MATCH($E71,LevelList,0))+INDEX(LevelHousing,MATCH($E71,LevelList,0)))*GosiSaudi,0),0)</f>
        <v>0</v>
      </c>
      <c r="O71" s="23" t="str">
        <f aca="false">IF($D71="","",MID(IF($C71="",", unit","")&amp;IF($E71="",", career level","")&amp;IF($H71="",", reason","")&amp;IF($I71="",", leaving quarter","")&amp;IF($J71="",", what happens to the seat","")&amp;IF(AND($J71="Defer backfill",$K71=""),", the backfill quarter","")&amp;IF(IFERROR(AND($K71&lt;&gt;"",$I71&lt;&gt;"",MATCH($K71,QuarterList,0)&lt;=MATCH($I71,QuarterList,0)),FALSE()),", a backfill quarter later than the leaving quarter","")&amp;IF(AND($C71&lt;&gt;"",COUNTIF(UnitList,$C71)=0),", a unit that is not in your structure",""),3,300))</f>
        <v/>
      </c>
    </row>
    <row r="72" customFormat="false" ht="15" hidden="false" customHeight="false" outlineLevel="0" collapsed="false">
      <c r="A72" s="17" t="n">
        <v>67</v>
      </c>
      <c r="B72" s="21"/>
      <c r="C72" s="21"/>
      <c r="D72" s="21"/>
      <c r="E72" s="21"/>
      <c r="F72" s="21"/>
      <c r="G72" s="21"/>
      <c r="H72" s="21"/>
      <c r="I72" s="21"/>
      <c r="J72" s="21"/>
      <c r="K72" s="21"/>
      <c r="L72" s="24" t="str">
        <f aca="false">IF(OR($D72="",$I72="",$J72=""),"",IF($J72="Surrender to fund new asks",MATCH($I72,QuarterList,0)/4,IF($J72="Defer backfill",IF($K72="",MATCH($I72,QuarterList,0)/4,MIN(1,MATCH($I72,QuarterList,0)/4+(5-MATCH($K72,QuarterList,0))/4)),1)))</f>
        <v/>
      </c>
      <c r="M72" s="19" t="str">
        <f aca="false">IF($L72="","",IFERROR(INDEX(LevelBasic,MATCH($E72,LevelList,0))+INDEX(LevelHousing,MATCH($E72,LevelList,0))+INDEX(LevelTransport,MATCH($E72,LevelList,0))+INDEX(LevelBasic,MATCH($E72,LevelList,0))*INDEX(LevelBonus,MATCH($E72,LevelList,0))+(INDEX(LevelBasic,MATCH($E72,LevelList,0))+INDEX(LevelHousing,MATCH($E72,LevelList,0)))*GosiSaudi,0)*(1-$L72))</f>
        <v/>
      </c>
      <c r="N72" s="19" t="n">
        <f aca="false">IF($J72="Surrender to fund new asks",IFERROR(INDEX(LevelBasic,MATCH($E72,LevelList,0))+INDEX(LevelHousing,MATCH($E72,LevelList,0))+INDEX(LevelTransport,MATCH($E72,LevelList,0))+INDEX(LevelBasic,MATCH($E72,LevelList,0))*INDEX(LevelBonus,MATCH($E72,LevelList,0))+(INDEX(LevelBasic,MATCH($E72,LevelList,0))+INDEX(LevelHousing,MATCH($E72,LevelList,0)))*GosiSaudi,0),0)</f>
        <v>0</v>
      </c>
      <c r="O72" s="23" t="str">
        <f aca="false">IF($D72="","",MID(IF($C72="",", unit","")&amp;IF($E72="",", career level","")&amp;IF($H72="",", reason","")&amp;IF($I72="",", leaving quarter","")&amp;IF($J72="",", what happens to the seat","")&amp;IF(AND($J72="Defer backfill",$K72=""),", the backfill quarter","")&amp;IF(IFERROR(AND($K72&lt;&gt;"",$I72&lt;&gt;"",MATCH($K72,QuarterList,0)&lt;=MATCH($I72,QuarterList,0)),FALSE()),", a backfill quarter later than the leaving quarter","")&amp;IF(AND($C72&lt;&gt;"",COUNTIF(UnitList,$C72)=0),", a unit that is not in your structure",""),3,300))</f>
        <v/>
      </c>
    </row>
    <row r="73" customFormat="false" ht="15" hidden="false" customHeight="false" outlineLevel="0" collapsed="false">
      <c r="A73" s="17" t="n">
        <v>68</v>
      </c>
      <c r="B73" s="21"/>
      <c r="C73" s="21"/>
      <c r="D73" s="21"/>
      <c r="E73" s="21"/>
      <c r="F73" s="21"/>
      <c r="G73" s="21"/>
      <c r="H73" s="21"/>
      <c r="I73" s="21"/>
      <c r="J73" s="21"/>
      <c r="K73" s="21"/>
      <c r="L73" s="24" t="str">
        <f aca="false">IF(OR($D73="",$I73="",$J73=""),"",IF($J73="Surrender to fund new asks",MATCH($I73,QuarterList,0)/4,IF($J73="Defer backfill",IF($K73="",MATCH($I73,QuarterList,0)/4,MIN(1,MATCH($I73,QuarterList,0)/4+(5-MATCH($K73,QuarterList,0))/4)),1)))</f>
        <v/>
      </c>
      <c r="M73" s="19" t="str">
        <f aca="false">IF($L73="","",IFERROR(INDEX(LevelBasic,MATCH($E73,LevelList,0))+INDEX(LevelHousing,MATCH($E73,LevelList,0))+INDEX(LevelTransport,MATCH($E73,LevelList,0))+INDEX(LevelBasic,MATCH($E73,LevelList,0))*INDEX(LevelBonus,MATCH($E73,LevelList,0))+(INDEX(LevelBasic,MATCH($E73,LevelList,0))+INDEX(LevelHousing,MATCH($E73,LevelList,0)))*GosiSaudi,0)*(1-$L73))</f>
        <v/>
      </c>
      <c r="N73" s="19" t="n">
        <f aca="false">IF($J73="Surrender to fund new asks",IFERROR(INDEX(LevelBasic,MATCH($E73,LevelList,0))+INDEX(LevelHousing,MATCH($E73,LevelList,0))+INDEX(LevelTransport,MATCH($E73,LevelList,0))+INDEX(LevelBasic,MATCH($E73,LevelList,0))*INDEX(LevelBonus,MATCH($E73,LevelList,0))+(INDEX(LevelBasic,MATCH($E73,LevelList,0))+INDEX(LevelHousing,MATCH($E73,LevelList,0)))*GosiSaudi,0),0)</f>
        <v>0</v>
      </c>
      <c r="O73" s="23" t="str">
        <f aca="false">IF($D73="","",MID(IF($C73="",", unit","")&amp;IF($E73="",", career level","")&amp;IF($H73="",", reason","")&amp;IF($I73="",", leaving quarter","")&amp;IF($J73="",", what happens to the seat","")&amp;IF(AND($J73="Defer backfill",$K73=""),", the backfill quarter","")&amp;IF(IFERROR(AND($K73&lt;&gt;"",$I73&lt;&gt;"",MATCH($K73,QuarterList,0)&lt;=MATCH($I73,QuarterList,0)),FALSE()),", a backfill quarter later than the leaving quarter","")&amp;IF(AND($C73&lt;&gt;"",COUNTIF(UnitList,$C73)=0),", a unit that is not in your structure",""),3,300))</f>
        <v/>
      </c>
    </row>
    <row r="74" customFormat="false" ht="15" hidden="false" customHeight="false" outlineLevel="0" collapsed="false">
      <c r="A74" s="17" t="n">
        <v>69</v>
      </c>
      <c r="B74" s="21"/>
      <c r="C74" s="21"/>
      <c r="D74" s="21"/>
      <c r="E74" s="21"/>
      <c r="F74" s="21"/>
      <c r="G74" s="21"/>
      <c r="H74" s="21"/>
      <c r="I74" s="21"/>
      <c r="J74" s="21"/>
      <c r="K74" s="21"/>
      <c r="L74" s="24" t="str">
        <f aca="false">IF(OR($D74="",$I74="",$J74=""),"",IF($J74="Surrender to fund new asks",MATCH($I74,QuarterList,0)/4,IF($J74="Defer backfill",IF($K74="",MATCH($I74,QuarterList,0)/4,MIN(1,MATCH($I74,QuarterList,0)/4+(5-MATCH($K74,QuarterList,0))/4)),1)))</f>
        <v/>
      </c>
      <c r="M74" s="19" t="str">
        <f aca="false">IF($L74="","",IFERROR(INDEX(LevelBasic,MATCH($E74,LevelList,0))+INDEX(LevelHousing,MATCH($E74,LevelList,0))+INDEX(LevelTransport,MATCH($E74,LevelList,0))+INDEX(LevelBasic,MATCH($E74,LevelList,0))*INDEX(LevelBonus,MATCH($E74,LevelList,0))+(INDEX(LevelBasic,MATCH($E74,LevelList,0))+INDEX(LevelHousing,MATCH($E74,LevelList,0)))*GosiSaudi,0)*(1-$L74))</f>
        <v/>
      </c>
      <c r="N74" s="19" t="n">
        <f aca="false">IF($J74="Surrender to fund new asks",IFERROR(INDEX(LevelBasic,MATCH($E74,LevelList,0))+INDEX(LevelHousing,MATCH($E74,LevelList,0))+INDEX(LevelTransport,MATCH($E74,LevelList,0))+INDEX(LevelBasic,MATCH($E74,LevelList,0))*INDEX(LevelBonus,MATCH($E74,LevelList,0))+(INDEX(LevelBasic,MATCH($E74,LevelList,0))+INDEX(LevelHousing,MATCH($E74,LevelList,0)))*GosiSaudi,0),0)</f>
        <v>0</v>
      </c>
      <c r="O74" s="23" t="str">
        <f aca="false">IF($D74="","",MID(IF($C74="",", unit","")&amp;IF($E74="",", career level","")&amp;IF($H74="",", reason","")&amp;IF($I74="",", leaving quarter","")&amp;IF($J74="",", what happens to the seat","")&amp;IF(AND($J74="Defer backfill",$K74=""),", the backfill quarter","")&amp;IF(IFERROR(AND($K74&lt;&gt;"",$I74&lt;&gt;"",MATCH($K74,QuarterList,0)&lt;=MATCH($I74,QuarterList,0)),FALSE()),", a backfill quarter later than the leaving quarter","")&amp;IF(AND($C74&lt;&gt;"",COUNTIF(UnitList,$C74)=0),", a unit that is not in your structure",""),3,300))</f>
        <v/>
      </c>
    </row>
    <row r="75" customFormat="false" ht="15" hidden="false" customHeight="false" outlineLevel="0" collapsed="false">
      <c r="A75" s="17" t="n">
        <v>70</v>
      </c>
      <c r="B75" s="21"/>
      <c r="C75" s="21"/>
      <c r="D75" s="21"/>
      <c r="E75" s="21"/>
      <c r="F75" s="21"/>
      <c r="G75" s="21"/>
      <c r="H75" s="21"/>
      <c r="I75" s="21"/>
      <c r="J75" s="21"/>
      <c r="K75" s="21"/>
      <c r="L75" s="24" t="str">
        <f aca="false">IF(OR($D75="",$I75="",$J75=""),"",IF($J75="Surrender to fund new asks",MATCH($I75,QuarterList,0)/4,IF($J75="Defer backfill",IF($K75="",MATCH($I75,QuarterList,0)/4,MIN(1,MATCH($I75,QuarterList,0)/4+(5-MATCH($K75,QuarterList,0))/4)),1)))</f>
        <v/>
      </c>
      <c r="M75" s="19" t="str">
        <f aca="false">IF($L75="","",IFERROR(INDEX(LevelBasic,MATCH($E75,LevelList,0))+INDEX(LevelHousing,MATCH($E75,LevelList,0))+INDEX(LevelTransport,MATCH($E75,LevelList,0))+INDEX(LevelBasic,MATCH($E75,LevelList,0))*INDEX(LevelBonus,MATCH($E75,LevelList,0))+(INDEX(LevelBasic,MATCH($E75,LevelList,0))+INDEX(LevelHousing,MATCH($E75,LevelList,0)))*GosiSaudi,0)*(1-$L75))</f>
        <v/>
      </c>
      <c r="N75" s="19" t="n">
        <f aca="false">IF($J75="Surrender to fund new asks",IFERROR(INDEX(LevelBasic,MATCH($E75,LevelList,0))+INDEX(LevelHousing,MATCH($E75,LevelList,0))+INDEX(LevelTransport,MATCH($E75,LevelList,0))+INDEX(LevelBasic,MATCH($E75,LevelList,0))*INDEX(LevelBonus,MATCH($E75,LevelList,0))+(INDEX(LevelBasic,MATCH($E75,LevelList,0))+INDEX(LevelHousing,MATCH($E75,LevelList,0)))*GosiSaudi,0),0)</f>
        <v>0</v>
      </c>
      <c r="O75" s="23" t="str">
        <f aca="false">IF($D75="","",MID(IF($C75="",", unit","")&amp;IF($E75="",", career level","")&amp;IF($H75="",", reason","")&amp;IF($I75="",", leaving quarter","")&amp;IF($J75="",", what happens to the seat","")&amp;IF(AND($J75="Defer backfill",$K75=""),", the backfill quarter","")&amp;IF(IFERROR(AND($K75&lt;&gt;"",$I75&lt;&gt;"",MATCH($K75,QuarterList,0)&lt;=MATCH($I75,QuarterList,0)),FALSE()),", a backfill quarter later than the leaving quarter","")&amp;IF(AND($C75&lt;&gt;"",COUNTIF(UnitList,$C75)=0),", a unit that is not in your structure",""),3,300))</f>
        <v/>
      </c>
    </row>
    <row r="76" customFormat="false" ht="15" hidden="false" customHeight="false" outlineLevel="0" collapsed="false">
      <c r="A76" s="17" t="n">
        <v>71</v>
      </c>
      <c r="B76" s="21"/>
      <c r="C76" s="21"/>
      <c r="D76" s="21"/>
      <c r="E76" s="21"/>
      <c r="F76" s="21"/>
      <c r="G76" s="21"/>
      <c r="H76" s="21"/>
      <c r="I76" s="21"/>
      <c r="J76" s="21"/>
      <c r="K76" s="21"/>
      <c r="L76" s="24" t="str">
        <f aca="false">IF(OR($D76="",$I76="",$J76=""),"",IF($J76="Surrender to fund new asks",MATCH($I76,QuarterList,0)/4,IF($J76="Defer backfill",IF($K76="",MATCH($I76,QuarterList,0)/4,MIN(1,MATCH($I76,QuarterList,0)/4+(5-MATCH($K76,QuarterList,0))/4)),1)))</f>
        <v/>
      </c>
      <c r="M76" s="19" t="str">
        <f aca="false">IF($L76="","",IFERROR(INDEX(LevelBasic,MATCH($E76,LevelList,0))+INDEX(LevelHousing,MATCH($E76,LevelList,0))+INDEX(LevelTransport,MATCH($E76,LevelList,0))+INDEX(LevelBasic,MATCH($E76,LevelList,0))*INDEX(LevelBonus,MATCH($E76,LevelList,0))+(INDEX(LevelBasic,MATCH($E76,LevelList,0))+INDEX(LevelHousing,MATCH($E76,LevelList,0)))*GosiSaudi,0)*(1-$L76))</f>
        <v/>
      </c>
      <c r="N76" s="19" t="n">
        <f aca="false">IF($J76="Surrender to fund new asks",IFERROR(INDEX(LevelBasic,MATCH($E76,LevelList,0))+INDEX(LevelHousing,MATCH($E76,LevelList,0))+INDEX(LevelTransport,MATCH($E76,LevelList,0))+INDEX(LevelBasic,MATCH($E76,LevelList,0))*INDEX(LevelBonus,MATCH($E76,LevelList,0))+(INDEX(LevelBasic,MATCH($E76,LevelList,0))+INDEX(LevelHousing,MATCH($E76,LevelList,0)))*GosiSaudi,0),0)</f>
        <v>0</v>
      </c>
      <c r="O76" s="23" t="str">
        <f aca="false">IF($D76="","",MID(IF($C76="",", unit","")&amp;IF($E76="",", career level","")&amp;IF($H76="",", reason","")&amp;IF($I76="",", leaving quarter","")&amp;IF($J76="",", what happens to the seat","")&amp;IF(AND($J76="Defer backfill",$K76=""),", the backfill quarter","")&amp;IF(IFERROR(AND($K76&lt;&gt;"",$I76&lt;&gt;"",MATCH($K76,QuarterList,0)&lt;=MATCH($I76,QuarterList,0)),FALSE()),", a backfill quarter later than the leaving quarter","")&amp;IF(AND($C76&lt;&gt;"",COUNTIF(UnitList,$C76)=0),", a unit that is not in your structure",""),3,300))</f>
        <v/>
      </c>
    </row>
    <row r="77" customFormat="false" ht="15" hidden="false" customHeight="false" outlineLevel="0" collapsed="false">
      <c r="A77" s="17" t="n">
        <v>72</v>
      </c>
      <c r="B77" s="21"/>
      <c r="C77" s="21"/>
      <c r="D77" s="21"/>
      <c r="E77" s="21"/>
      <c r="F77" s="21"/>
      <c r="G77" s="21"/>
      <c r="H77" s="21"/>
      <c r="I77" s="21"/>
      <c r="J77" s="21"/>
      <c r="K77" s="21"/>
      <c r="L77" s="24" t="str">
        <f aca="false">IF(OR($D77="",$I77="",$J77=""),"",IF($J77="Surrender to fund new asks",MATCH($I77,QuarterList,0)/4,IF($J77="Defer backfill",IF($K77="",MATCH($I77,QuarterList,0)/4,MIN(1,MATCH($I77,QuarterList,0)/4+(5-MATCH($K77,QuarterList,0))/4)),1)))</f>
        <v/>
      </c>
      <c r="M77" s="19" t="str">
        <f aca="false">IF($L77="","",IFERROR(INDEX(LevelBasic,MATCH($E77,LevelList,0))+INDEX(LevelHousing,MATCH($E77,LevelList,0))+INDEX(LevelTransport,MATCH($E77,LevelList,0))+INDEX(LevelBasic,MATCH($E77,LevelList,0))*INDEX(LevelBonus,MATCH($E77,LevelList,0))+(INDEX(LevelBasic,MATCH($E77,LevelList,0))+INDEX(LevelHousing,MATCH($E77,LevelList,0)))*GosiSaudi,0)*(1-$L77))</f>
        <v/>
      </c>
      <c r="N77" s="19" t="n">
        <f aca="false">IF($J77="Surrender to fund new asks",IFERROR(INDEX(LevelBasic,MATCH($E77,LevelList,0))+INDEX(LevelHousing,MATCH($E77,LevelList,0))+INDEX(LevelTransport,MATCH($E77,LevelList,0))+INDEX(LevelBasic,MATCH($E77,LevelList,0))*INDEX(LevelBonus,MATCH($E77,LevelList,0))+(INDEX(LevelBasic,MATCH($E77,LevelList,0))+INDEX(LevelHousing,MATCH($E77,LevelList,0)))*GosiSaudi,0),0)</f>
        <v>0</v>
      </c>
      <c r="O77" s="23" t="str">
        <f aca="false">IF($D77="","",MID(IF($C77="",", unit","")&amp;IF($E77="",", career level","")&amp;IF($H77="",", reason","")&amp;IF($I77="",", leaving quarter","")&amp;IF($J77="",", what happens to the seat","")&amp;IF(AND($J77="Defer backfill",$K77=""),", the backfill quarter","")&amp;IF(IFERROR(AND($K77&lt;&gt;"",$I77&lt;&gt;"",MATCH($K77,QuarterList,0)&lt;=MATCH($I77,QuarterList,0)),FALSE()),", a backfill quarter later than the leaving quarter","")&amp;IF(AND($C77&lt;&gt;"",COUNTIF(UnitList,$C77)=0),", a unit that is not in your structure",""),3,300))</f>
        <v/>
      </c>
    </row>
    <row r="78" customFormat="false" ht="15" hidden="false" customHeight="false" outlineLevel="0" collapsed="false">
      <c r="A78" s="17" t="n">
        <v>73</v>
      </c>
      <c r="B78" s="21"/>
      <c r="C78" s="21"/>
      <c r="D78" s="21"/>
      <c r="E78" s="21"/>
      <c r="F78" s="21"/>
      <c r="G78" s="21"/>
      <c r="H78" s="21"/>
      <c r="I78" s="21"/>
      <c r="J78" s="21"/>
      <c r="K78" s="21"/>
      <c r="L78" s="24" t="str">
        <f aca="false">IF(OR($D78="",$I78="",$J78=""),"",IF($J78="Surrender to fund new asks",MATCH($I78,QuarterList,0)/4,IF($J78="Defer backfill",IF($K78="",MATCH($I78,QuarterList,0)/4,MIN(1,MATCH($I78,QuarterList,0)/4+(5-MATCH($K78,QuarterList,0))/4)),1)))</f>
        <v/>
      </c>
      <c r="M78" s="19" t="str">
        <f aca="false">IF($L78="","",IFERROR(INDEX(LevelBasic,MATCH($E78,LevelList,0))+INDEX(LevelHousing,MATCH($E78,LevelList,0))+INDEX(LevelTransport,MATCH($E78,LevelList,0))+INDEX(LevelBasic,MATCH($E78,LevelList,0))*INDEX(LevelBonus,MATCH($E78,LevelList,0))+(INDEX(LevelBasic,MATCH($E78,LevelList,0))+INDEX(LevelHousing,MATCH($E78,LevelList,0)))*GosiSaudi,0)*(1-$L78))</f>
        <v/>
      </c>
      <c r="N78" s="19" t="n">
        <f aca="false">IF($J78="Surrender to fund new asks",IFERROR(INDEX(LevelBasic,MATCH($E78,LevelList,0))+INDEX(LevelHousing,MATCH($E78,LevelList,0))+INDEX(LevelTransport,MATCH($E78,LevelList,0))+INDEX(LevelBasic,MATCH($E78,LevelList,0))*INDEX(LevelBonus,MATCH($E78,LevelList,0))+(INDEX(LevelBasic,MATCH($E78,LevelList,0))+INDEX(LevelHousing,MATCH($E78,LevelList,0)))*GosiSaudi,0),0)</f>
        <v>0</v>
      </c>
      <c r="O78" s="23" t="str">
        <f aca="false">IF($D78="","",MID(IF($C78="",", unit","")&amp;IF($E78="",", career level","")&amp;IF($H78="",", reason","")&amp;IF($I78="",", leaving quarter","")&amp;IF($J78="",", what happens to the seat","")&amp;IF(AND($J78="Defer backfill",$K78=""),", the backfill quarter","")&amp;IF(IFERROR(AND($K78&lt;&gt;"",$I78&lt;&gt;"",MATCH($K78,QuarterList,0)&lt;=MATCH($I78,QuarterList,0)),FALSE()),", a backfill quarter later than the leaving quarter","")&amp;IF(AND($C78&lt;&gt;"",COUNTIF(UnitList,$C78)=0),", a unit that is not in your structure",""),3,300))</f>
        <v/>
      </c>
    </row>
    <row r="79" customFormat="false" ht="15" hidden="false" customHeight="false" outlineLevel="0" collapsed="false">
      <c r="A79" s="17" t="n">
        <v>74</v>
      </c>
      <c r="B79" s="21"/>
      <c r="C79" s="21"/>
      <c r="D79" s="21"/>
      <c r="E79" s="21"/>
      <c r="F79" s="21"/>
      <c r="G79" s="21"/>
      <c r="H79" s="21"/>
      <c r="I79" s="21"/>
      <c r="J79" s="21"/>
      <c r="K79" s="21"/>
      <c r="L79" s="24" t="str">
        <f aca="false">IF(OR($D79="",$I79="",$J79=""),"",IF($J79="Surrender to fund new asks",MATCH($I79,QuarterList,0)/4,IF($J79="Defer backfill",IF($K79="",MATCH($I79,QuarterList,0)/4,MIN(1,MATCH($I79,QuarterList,0)/4+(5-MATCH($K79,QuarterList,0))/4)),1)))</f>
        <v/>
      </c>
      <c r="M79" s="19" t="str">
        <f aca="false">IF($L79="","",IFERROR(INDEX(LevelBasic,MATCH($E79,LevelList,0))+INDEX(LevelHousing,MATCH($E79,LevelList,0))+INDEX(LevelTransport,MATCH($E79,LevelList,0))+INDEX(LevelBasic,MATCH($E79,LevelList,0))*INDEX(LevelBonus,MATCH($E79,LevelList,0))+(INDEX(LevelBasic,MATCH($E79,LevelList,0))+INDEX(LevelHousing,MATCH($E79,LevelList,0)))*GosiSaudi,0)*(1-$L79))</f>
        <v/>
      </c>
      <c r="N79" s="19" t="n">
        <f aca="false">IF($J79="Surrender to fund new asks",IFERROR(INDEX(LevelBasic,MATCH($E79,LevelList,0))+INDEX(LevelHousing,MATCH($E79,LevelList,0))+INDEX(LevelTransport,MATCH($E79,LevelList,0))+INDEX(LevelBasic,MATCH($E79,LevelList,0))*INDEX(LevelBonus,MATCH($E79,LevelList,0))+(INDEX(LevelBasic,MATCH($E79,LevelList,0))+INDEX(LevelHousing,MATCH($E79,LevelList,0)))*GosiSaudi,0),0)</f>
        <v>0</v>
      </c>
      <c r="O79" s="23" t="str">
        <f aca="false">IF($D79="","",MID(IF($C79="",", unit","")&amp;IF($E79="",", career level","")&amp;IF($H79="",", reason","")&amp;IF($I79="",", leaving quarter","")&amp;IF($J79="",", what happens to the seat","")&amp;IF(AND($J79="Defer backfill",$K79=""),", the backfill quarter","")&amp;IF(IFERROR(AND($K79&lt;&gt;"",$I79&lt;&gt;"",MATCH($K79,QuarterList,0)&lt;=MATCH($I79,QuarterList,0)),FALSE()),", a backfill quarter later than the leaving quarter","")&amp;IF(AND($C79&lt;&gt;"",COUNTIF(UnitList,$C79)=0),", a unit that is not in your structure",""),3,300))</f>
        <v/>
      </c>
    </row>
    <row r="80" customFormat="false" ht="15" hidden="false" customHeight="false" outlineLevel="0" collapsed="false">
      <c r="A80" s="17" t="n">
        <v>75</v>
      </c>
      <c r="B80" s="21"/>
      <c r="C80" s="21"/>
      <c r="D80" s="21"/>
      <c r="E80" s="21"/>
      <c r="F80" s="21"/>
      <c r="G80" s="21"/>
      <c r="H80" s="21"/>
      <c r="I80" s="21"/>
      <c r="J80" s="21"/>
      <c r="K80" s="21"/>
      <c r="L80" s="24" t="str">
        <f aca="false">IF(OR($D80="",$I80="",$J80=""),"",IF($J80="Surrender to fund new asks",MATCH($I80,QuarterList,0)/4,IF($J80="Defer backfill",IF($K80="",MATCH($I80,QuarterList,0)/4,MIN(1,MATCH($I80,QuarterList,0)/4+(5-MATCH($K80,QuarterList,0))/4)),1)))</f>
        <v/>
      </c>
      <c r="M80" s="19" t="str">
        <f aca="false">IF($L80="","",IFERROR(INDEX(LevelBasic,MATCH($E80,LevelList,0))+INDEX(LevelHousing,MATCH($E80,LevelList,0))+INDEX(LevelTransport,MATCH($E80,LevelList,0))+INDEX(LevelBasic,MATCH($E80,LevelList,0))*INDEX(LevelBonus,MATCH($E80,LevelList,0))+(INDEX(LevelBasic,MATCH($E80,LevelList,0))+INDEX(LevelHousing,MATCH($E80,LevelList,0)))*GosiSaudi,0)*(1-$L80))</f>
        <v/>
      </c>
      <c r="N80" s="19" t="n">
        <f aca="false">IF($J80="Surrender to fund new asks",IFERROR(INDEX(LevelBasic,MATCH($E80,LevelList,0))+INDEX(LevelHousing,MATCH($E80,LevelList,0))+INDEX(LevelTransport,MATCH($E80,LevelList,0))+INDEX(LevelBasic,MATCH($E80,LevelList,0))*INDEX(LevelBonus,MATCH($E80,LevelList,0))+(INDEX(LevelBasic,MATCH($E80,LevelList,0))+INDEX(LevelHousing,MATCH($E80,LevelList,0)))*GosiSaudi,0),0)</f>
        <v>0</v>
      </c>
      <c r="O80" s="23" t="str">
        <f aca="false">IF($D80="","",MID(IF($C80="",", unit","")&amp;IF($E80="",", career level","")&amp;IF($H80="",", reason","")&amp;IF($I80="",", leaving quarter","")&amp;IF($J80="",", what happens to the seat","")&amp;IF(AND($J80="Defer backfill",$K80=""),", the backfill quarter","")&amp;IF(IFERROR(AND($K80&lt;&gt;"",$I80&lt;&gt;"",MATCH($K80,QuarterList,0)&lt;=MATCH($I80,QuarterList,0)),FALSE()),", a backfill quarter later than the leaving quarter","")&amp;IF(AND($C80&lt;&gt;"",COUNTIF(UnitList,$C80)=0),", a unit that is not in your structure",""),3,300))</f>
        <v/>
      </c>
    </row>
    <row r="81" customFormat="false" ht="15" hidden="false" customHeight="false" outlineLevel="0" collapsed="false">
      <c r="A81" s="17" t="n">
        <v>76</v>
      </c>
      <c r="B81" s="21"/>
      <c r="C81" s="21"/>
      <c r="D81" s="21"/>
      <c r="E81" s="21"/>
      <c r="F81" s="21"/>
      <c r="G81" s="21"/>
      <c r="H81" s="21"/>
      <c r="I81" s="21"/>
      <c r="J81" s="21"/>
      <c r="K81" s="21"/>
      <c r="L81" s="24" t="str">
        <f aca="false">IF(OR($D81="",$I81="",$J81=""),"",IF($J81="Surrender to fund new asks",MATCH($I81,QuarterList,0)/4,IF($J81="Defer backfill",IF($K81="",MATCH($I81,QuarterList,0)/4,MIN(1,MATCH($I81,QuarterList,0)/4+(5-MATCH($K81,QuarterList,0))/4)),1)))</f>
        <v/>
      </c>
      <c r="M81" s="19" t="str">
        <f aca="false">IF($L81="","",IFERROR(INDEX(LevelBasic,MATCH($E81,LevelList,0))+INDEX(LevelHousing,MATCH($E81,LevelList,0))+INDEX(LevelTransport,MATCH($E81,LevelList,0))+INDEX(LevelBasic,MATCH($E81,LevelList,0))*INDEX(LevelBonus,MATCH($E81,LevelList,0))+(INDEX(LevelBasic,MATCH($E81,LevelList,0))+INDEX(LevelHousing,MATCH($E81,LevelList,0)))*GosiSaudi,0)*(1-$L81))</f>
        <v/>
      </c>
      <c r="N81" s="19" t="n">
        <f aca="false">IF($J81="Surrender to fund new asks",IFERROR(INDEX(LevelBasic,MATCH($E81,LevelList,0))+INDEX(LevelHousing,MATCH($E81,LevelList,0))+INDEX(LevelTransport,MATCH($E81,LevelList,0))+INDEX(LevelBasic,MATCH($E81,LevelList,0))*INDEX(LevelBonus,MATCH($E81,LevelList,0))+(INDEX(LevelBasic,MATCH($E81,LevelList,0))+INDEX(LevelHousing,MATCH($E81,LevelList,0)))*GosiSaudi,0),0)</f>
        <v>0</v>
      </c>
      <c r="O81" s="23" t="str">
        <f aca="false">IF($D81="","",MID(IF($C81="",", unit","")&amp;IF($E81="",", career level","")&amp;IF($H81="",", reason","")&amp;IF($I81="",", leaving quarter","")&amp;IF($J81="",", what happens to the seat","")&amp;IF(AND($J81="Defer backfill",$K81=""),", the backfill quarter","")&amp;IF(IFERROR(AND($K81&lt;&gt;"",$I81&lt;&gt;"",MATCH($K81,QuarterList,0)&lt;=MATCH($I81,QuarterList,0)),FALSE()),", a backfill quarter later than the leaving quarter","")&amp;IF(AND($C81&lt;&gt;"",COUNTIF(UnitList,$C81)=0),", a unit that is not in your structure",""),3,300))</f>
        <v/>
      </c>
    </row>
    <row r="82" customFormat="false" ht="15" hidden="false" customHeight="false" outlineLevel="0" collapsed="false">
      <c r="A82" s="17" t="n">
        <v>77</v>
      </c>
      <c r="B82" s="21"/>
      <c r="C82" s="21"/>
      <c r="D82" s="21"/>
      <c r="E82" s="21"/>
      <c r="F82" s="21"/>
      <c r="G82" s="21"/>
      <c r="H82" s="21"/>
      <c r="I82" s="21"/>
      <c r="J82" s="21"/>
      <c r="K82" s="21"/>
      <c r="L82" s="24" t="str">
        <f aca="false">IF(OR($D82="",$I82="",$J82=""),"",IF($J82="Surrender to fund new asks",MATCH($I82,QuarterList,0)/4,IF($J82="Defer backfill",IF($K82="",MATCH($I82,QuarterList,0)/4,MIN(1,MATCH($I82,QuarterList,0)/4+(5-MATCH($K82,QuarterList,0))/4)),1)))</f>
        <v/>
      </c>
      <c r="M82" s="19" t="str">
        <f aca="false">IF($L82="","",IFERROR(INDEX(LevelBasic,MATCH($E82,LevelList,0))+INDEX(LevelHousing,MATCH($E82,LevelList,0))+INDEX(LevelTransport,MATCH($E82,LevelList,0))+INDEX(LevelBasic,MATCH($E82,LevelList,0))*INDEX(LevelBonus,MATCH($E82,LevelList,0))+(INDEX(LevelBasic,MATCH($E82,LevelList,0))+INDEX(LevelHousing,MATCH($E82,LevelList,0)))*GosiSaudi,0)*(1-$L82))</f>
        <v/>
      </c>
      <c r="N82" s="19" t="n">
        <f aca="false">IF($J82="Surrender to fund new asks",IFERROR(INDEX(LevelBasic,MATCH($E82,LevelList,0))+INDEX(LevelHousing,MATCH($E82,LevelList,0))+INDEX(LevelTransport,MATCH($E82,LevelList,0))+INDEX(LevelBasic,MATCH($E82,LevelList,0))*INDEX(LevelBonus,MATCH($E82,LevelList,0))+(INDEX(LevelBasic,MATCH($E82,LevelList,0))+INDEX(LevelHousing,MATCH($E82,LevelList,0)))*GosiSaudi,0),0)</f>
        <v>0</v>
      </c>
      <c r="O82" s="23" t="str">
        <f aca="false">IF($D82="","",MID(IF($C82="",", unit","")&amp;IF($E82="",", career level","")&amp;IF($H82="",", reason","")&amp;IF($I82="",", leaving quarter","")&amp;IF($J82="",", what happens to the seat","")&amp;IF(AND($J82="Defer backfill",$K82=""),", the backfill quarter","")&amp;IF(IFERROR(AND($K82&lt;&gt;"",$I82&lt;&gt;"",MATCH($K82,QuarterList,0)&lt;=MATCH($I82,QuarterList,0)),FALSE()),", a backfill quarter later than the leaving quarter","")&amp;IF(AND($C82&lt;&gt;"",COUNTIF(UnitList,$C82)=0),", a unit that is not in your structure",""),3,300))</f>
        <v/>
      </c>
    </row>
    <row r="83" customFormat="false" ht="15" hidden="false" customHeight="false" outlineLevel="0" collapsed="false">
      <c r="A83" s="17" t="n">
        <v>78</v>
      </c>
      <c r="B83" s="21"/>
      <c r="C83" s="21"/>
      <c r="D83" s="21"/>
      <c r="E83" s="21"/>
      <c r="F83" s="21"/>
      <c r="G83" s="21"/>
      <c r="H83" s="21"/>
      <c r="I83" s="21"/>
      <c r="J83" s="21"/>
      <c r="K83" s="21"/>
      <c r="L83" s="24" t="str">
        <f aca="false">IF(OR($D83="",$I83="",$J83=""),"",IF($J83="Surrender to fund new asks",MATCH($I83,QuarterList,0)/4,IF($J83="Defer backfill",IF($K83="",MATCH($I83,QuarterList,0)/4,MIN(1,MATCH($I83,QuarterList,0)/4+(5-MATCH($K83,QuarterList,0))/4)),1)))</f>
        <v/>
      </c>
      <c r="M83" s="19" t="str">
        <f aca="false">IF($L83="","",IFERROR(INDEX(LevelBasic,MATCH($E83,LevelList,0))+INDEX(LevelHousing,MATCH($E83,LevelList,0))+INDEX(LevelTransport,MATCH($E83,LevelList,0))+INDEX(LevelBasic,MATCH($E83,LevelList,0))*INDEX(LevelBonus,MATCH($E83,LevelList,0))+(INDEX(LevelBasic,MATCH($E83,LevelList,0))+INDEX(LevelHousing,MATCH($E83,LevelList,0)))*GosiSaudi,0)*(1-$L83))</f>
        <v/>
      </c>
      <c r="N83" s="19" t="n">
        <f aca="false">IF($J83="Surrender to fund new asks",IFERROR(INDEX(LevelBasic,MATCH($E83,LevelList,0))+INDEX(LevelHousing,MATCH($E83,LevelList,0))+INDEX(LevelTransport,MATCH($E83,LevelList,0))+INDEX(LevelBasic,MATCH($E83,LevelList,0))*INDEX(LevelBonus,MATCH($E83,LevelList,0))+(INDEX(LevelBasic,MATCH($E83,LevelList,0))+INDEX(LevelHousing,MATCH($E83,LevelList,0)))*GosiSaudi,0),0)</f>
        <v>0</v>
      </c>
      <c r="O83" s="23" t="str">
        <f aca="false">IF($D83="","",MID(IF($C83="",", unit","")&amp;IF($E83="",", career level","")&amp;IF($H83="",", reason","")&amp;IF($I83="",", leaving quarter","")&amp;IF($J83="",", what happens to the seat","")&amp;IF(AND($J83="Defer backfill",$K83=""),", the backfill quarter","")&amp;IF(IFERROR(AND($K83&lt;&gt;"",$I83&lt;&gt;"",MATCH($K83,QuarterList,0)&lt;=MATCH($I83,QuarterList,0)),FALSE()),", a backfill quarter later than the leaving quarter","")&amp;IF(AND($C83&lt;&gt;"",COUNTIF(UnitList,$C83)=0),", a unit that is not in your structure",""),3,300))</f>
        <v/>
      </c>
    </row>
    <row r="84" customFormat="false" ht="15" hidden="false" customHeight="false" outlineLevel="0" collapsed="false">
      <c r="A84" s="17" t="n">
        <v>79</v>
      </c>
      <c r="B84" s="21"/>
      <c r="C84" s="21"/>
      <c r="D84" s="21"/>
      <c r="E84" s="21"/>
      <c r="F84" s="21"/>
      <c r="G84" s="21"/>
      <c r="H84" s="21"/>
      <c r="I84" s="21"/>
      <c r="J84" s="21"/>
      <c r="K84" s="21"/>
      <c r="L84" s="24" t="str">
        <f aca="false">IF(OR($D84="",$I84="",$J84=""),"",IF($J84="Surrender to fund new asks",MATCH($I84,QuarterList,0)/4,IF($J84="Defer backfill",IF($K84="",MATCH($I84,QuarterList,0)/4,MIN(1,MATCH($I84,QuarterList,0)/4+(5-MATCH($K84,QuarterList,0))/4)),1)))</f>
        <v/>
      </c>
      <c r="M84" s="19" t="str">
        <f aca="false">IF($L84="","",IFERROR(INDEX(LevelBasic,MATCH($E84,LevelList,0))+INDEX(LevelHousing,MATCH($E84,LevelList,0))+INDEX(LevelTransport,MATCH($E84,LevelList,0))+INDEX(LevelBasic,MATCH($E84,LevelList,0))*INDEX(LevelBonus,MATCH($E84,LevelList,0))+(INDEX(LevelBasic,MATCH($E84,LevelList,0))+INDEX(LevelHousing,MATCH($E84,LevelList,0)))*GosiSaudi,0)*(1-$L84))</f>
        <v/>
      </c>
      <c r="N84" s="19" t="n">
        <f aca="false">IF($J84="Surrender to fund new asks",IFERROR(INDEX(LevelBasic,MATCH($E84,LevelList,0))+INDEX(LevelHousing,MATCH($E84,LevelList,0))+INDEX(LevelTransport,MATCH($E84,LevelList,0))+INDEX(LevelBasic,MATCH($E84,LevelList,0))*INDEX(LevelBonus,MATCH($E84,LevelList,0))+(INDEX(LevelBasic,MATCH($E84,LevelList,0))+INDEX(LevelHousing,MATCH($E84,LevelList,0)))*GosiSaudi,0),0)</f>
        <v>0</v>
      </c>
      <c r="O84" s="23" t="str">
        <f aca="false">IF($D84="","",MID(IF($C84="",", unit","")&amp;IF($E84="",", career level","")&amp;IF($H84="",", reason","")&amp;IF($I84="",", leaving quarter","")&amp;IF($J84="",", what happens to the seat","")&amp;IF(AND($J84="Defer backfill",$K84=""),", the backfill quarter","")&amp;IF(IFERROR(AND($K84&lt;&gt;"",$I84&lt;&gt;"",MATCH($K84,QuarterList,0)&lt;=MATCH($I84,QuarterList,0)),FALSE()),", a backfill quarter later than the leaving quarter","")&amp;IF(AND($C84&lt;&gt;"",COUNTIF(UnitList,$C84)=0),", a unit that is not in your structure",""),3,300))</f>
        <v/>
      </c>
    </row>
    <row r="85" customFormat="false" ht="15" hidden="false" customHeight="false" outlineLevel="0" collapsed="false">
      <c r="A85" s="17" t="n">
        <v>80</v>
      </c>
      <c r="B85" s="21"/>
      <c r="C85" s="21"/>
      <c r="D85" s="21"/>
      <c r="E85" s="21"/>
      <c r="F85" s="21"/>
      <c r="G85" s="21"/>
      <c r="H85" s="21"/>
      <c r="I85" s="21"/>
      <c r="J85" s="21"/>
      <c r="K85" s="21"/>
      <c r="L85" s="24" t="str">
        <f aca="false">IF(OR($D85="",$I85="",$J85=""),"",IF($J85="Surrender to fund new asks",MATCH($I85,QuarterList,0)/4,IF($J85="Defer backfill",IF($K85="",MATCH($I85,QuarterList,0)/4,MIN(1,MATCH($I85,QuarterList,0)/4+(5-MATCH($K85,QuarterList,0))/4)),1)))</f>
        <v/>
      </c>
      <c r="M85" s="19" t="str">
        <f aca="false">IF($L85="","",IFERROR(INDEX(LevelBasic,MATCH($E85,LevelList,0))+INDEX(LevelHousing,MATCH($E85,LevelList,0))+INDEX(LevelTransport,MATCH($E85,LevelList,0))+INDEX(LevelBasic,MATCH($E85,LevelList,0))*INDEX(LevelBonus,MATCH($E85,LevelList,0))+(INDEX(LevelBasic,MATCH($E85,LevelList,0))+INDEX(LevelHousing,MATCH($E85,LevelList,0)))*GosiSaudi,0)*(1-$L85))</f>
        <v/>
      </c>
      <c r="N85" s="19" t="n">
        <f aca="false">IF($J85="Surrender to fund new asks",IFERROR(INDEX(LevelBasic,MATCH($E85,LevelList,0))+INDEX(LevelHousing,MATCH($E85,LevelList,0))+INDEX(LevelTransport,MATCH($E85,LevelList,0))+INDEX(LevelBasic,MATCH($E85,LevelList,0))*INDEX(LevelBonus,MATCH($E85,LevelList,0))+(INDEX(LevelBasic,MATCH($E85,LevelList,0))+INDEX(LevelHousing,MATCH($E85,LevelList,0)))*GosiSaudi,0),0)</f>
        <v>0</v>
      </c>
      <c r="O85" s="23" t="str">
        <f aca="false">IF($D85="","",MID(IF($C85="",", unit","")&amp;IF($E85="",", career level","")&amp;IF($H85="",", reason","")&amp;IF($I85="",", leaving quarter","")&amp;IF($J85="",", what happens to the seat","")&amp;IF(AND($J85="Defer backfill",$K85=""),", the backfill quarter","")&amp;IF(IFERROR(AND($K85&lt;&gt;"",$I85&lt;&gt;"",MATCH($K85,QuarterList,0)&lt;=MATCH($I85,QuarterList,0)),FALSE()),", a backfill quarter later than the leaving quarter","")&amp;IF(AND($C85&lt;&gt;"",COUNTIF(UnitList,$C85)=0),", a unit that is not in your structure",""),3,300))</f>
        <v/>
      </c>
    </row>
    <row r="86" customFormat="false" ht="15" hidden="false" customHeight="false" outlineLevel="0" collapsed="false">
      <c r="A86" s="17" t="n">
        <v>81</v>
      </c>
      <c r="B86" s="21"/>
      <c r="C86" s="21"/>
      <c r="D86" s="21"/>
      <c r="E86" s="21"/>
      <c r="F86" s="21"/>
      <c r="G86" s="21"/>
      <c r="H86" s="21"/>
      <c r="I86" s="21"/>
      <c r="J86" s="21"/>
      <c r="K86" s="21"/>
      <c r="L86" s="24" t="str">
        <f aca="false">IF(OR($D86="",$I86="",$J86=""),"",IF($J86="Surrender to fund new asks",MATCH($I86,QuarterList,0)/4,IF($J86="Defer backfill",IF($K86="",MATCH($I86,QuarterList,0)/4,MIN(1,MATCH($I86,QuarterList,0)/4+(5-MATCH($K86,QuarterList,0))/4)),1)))</f>
        <v/>
      </c>
      <c r="M86" s="19" t="str">
        <f aca="false">IF($L86="","",IFERROR(INDEX(LevelBasic,MATCH($E86,LevelList,0))+INDEX(LevelHousing,MATCH($E86,LevelList,0))+INDEX(LevelTransport,MATCH($E86,LevelList,0))+INDEX(LevelBasic,MATCH($E86,LevelList,0))*INDEX(LevelBonus,MATCH($E86,LevelList,0))+(INDEX(LevelBasic,MATCH($E86,LevelList,0))+INDEX(LevelHousing,MATCH($E86,LevelList,0)))*GosiSaudi,0)*(1-$L86))</f>
        <v/>
      </c>
      <c r="N86" s="19" t="n">
        <f aca="false">IF($J86="Surrender to fund new asks",IFERROR(INDEX(LevelBasic,MATCH($E86,LevelList,0))+INDEX(LevelHousing,MATCH($E86,LevelList,0))+INDEX(LevelTransport,MATCH($E86,LevelList,0))+INDEX(LevelBasic,MATCH($E86,LevelList,0))*INDEX(LevelBonus,MATCH($E86,LevelList,0))+(INDEX(LevelBasic,MATCH($E86,LevelList,0))+INDEX(LevelHousing,MATCH($E86,LevelList,0)))*GosiSaudi,0),0)</f>
        <v>0</v>
      </c>
      <c r="O86" s="23" t="str">
        <f aca="false">IF($D86="","",MID(IF($C86="",", unit","")&amp;IF($E86="",", career level","")&amp;IF($H86="",", reason","")&amp;IF($I86="",", leaving quarter","")&amp;IF($J86="",", what happens to the seat","")&amp;IF(AND($J86="Defer backfill",$K86=""),", the backfill quarter","")&amp;IF(IFERROR(AND($K86&lt;&gt;"",$I86&lt;&gt;"",MATCH($K86,QuarterList,0)&lt;=MATCH($I86,QuarterList,0)),FALSE()),", a backfill quarter later than the leaving quarter","")&amp;IF(AND($C86&lt;&gt;"",COUNTIF(UnitList,$C86)=0),", a unit that is not in your structure",""),3,300))</f>
        <v/>
      </c>
    </row>
    <row r="87" customFormat="false" ht="15" hidden="false" customHeight="false" outlineLevel="0" collapsed="false">
      <c r="A87" s="17" t="n">
        <v>82</v>
      </c>
      <c r="B87" s="21"/>
      <c r="C87" s="21"/>
      <c r="D87" s="21"/>
      <c r="E87" s="21"/>
      <c r="F87" s="21"/>
      <c r="G87" s="21"/>
      <c r="H87" s="21"/>
      <c r="I87" s="21"/>
      <c r="J87" s="21"/>
      <c r="K87" s="21"/>
      <c r="L87" s="24" t="str">
        <f aca="false">IF(OR($D87="",$I87="",$J87=""),"",IF($J87="Surrender to fund new asks",MATCH($I87,QuarterList,0)/4,IF($J87="Defer backfill",IF($K87="",MATCH($I87,QuarterList,0)/4,MIN(1,MATCH($I87,QuarterList,0)/4+(5-MATCH($K87,QuarterList,0))/4)),1)))</f>
        <v/>
      </c>
      <c r="M87" s="19" t="str">
        <f aca="false">IF($L87="","",IFERROR(INDEX(LevelBasic,MATCH($E87,LevelList,0))+INDEX(LevelHousing,MATCH($E87,LevelList,0))+INDEX(LevelTransport,MATCH($E87,LevelList,0))+INDEX(LevelBasic,MATCH($E87,LevelList,0))*INDEX(LevelBonus,MATCH($E87,LevelList,0))+(INDEX(LevelBasic,MATCH($E87,LevelList,0))+INDEX(LevelHousing,MATCH($E87,LevelList,0)))*GosiSaudi,0)*(1-$L87))</f>
        <v/>
      </c>
      <c r="N87" s="19" t="n">
        <f aca="false">IF($J87="Surrender to fund new asks",IFERROR(INDEX(LevelBasic,MATCH($E87,LevelList,0))+INDEX(LevelHousing,MATCH($E87,LevelList,0))+INDEX(LevelTransport,MATCH($E87,LevelList,0))+INDEX(LevelBasic,MATCH($E87,LevelList,0))*INDEX(LevelBonus,MATCH($E87,LevelList,0))+(INDEX(LevelBasic,MATCH($E87,LevelList,0))+INDEX(LevelHousing,MATCH($E87,LevelList,0)))*GosiSaudi,0),0)</f>
        <v>0</v>
      </c>
      <c r="O87" s="23" t="str">
        <f aca="false">IF($D87="","",MID(IF($C87="",", unit","")&amp;IF($E87="",", career level","")&amp;IF($H87="",", reason","")&amp;IF($I87="",", leaving quarter","")&amp;IF($J87="",", what happens to the seat","")&amp;IF(AND($J87="Defer backfill",$K87=""),", the backfill quarter","")&amp;IF(IFERROR(AND($K87&lt;&gt;"",$I87&lt;&gt;"",MATCH($K87,QuarterList,0)&lt;=MATCH($I87,QuarterList,0)),FALSE()),", a backfill quarter later than the leaving quarter","")&amp;IF(AND($C87&lt;&gt;"",COUNTIF(UnitList,$C87)=0),", a unit that is not in your structure",""),3,300))</f>
        <v/>
      </c>
    </row>
    <row r="88" customFormat="false" ht="15" hidden="false" customHeight="false" outlineLevel="0" collapsed="false">
      <c r="A88" s="17" t="n">
        <v>83</v>
      </c>
      <c r="B88" s="21"/>
      <c r="C88" s="21"/>
      <c r="D88" s="21"/>
      <c r="E88" s="21"/>
      <c r="F88" s="21"/>
      <c r="G88" s="21"/>
      <c r="H88" s="21"/>
      <c r="I88" s="21"/>
      <c r="J88" s="21"/>
      <c r="K88" s="21"/>
      <c r="L88" s="24" t="str">
        <f aca="false">IF(OR($D88="",$I88="",$J88=""),"",IF($J88="Surrender to fund new asks",MATCH($I88,QuarterList,0)/4,IF($J88="Defer backfill",IF($K88="",MATCH($I88,QuarterList,0)/4,MIN(1,MATCH($I88,QuarterList,0)/4+(5-MATCH($K88,QuarterList,0))/4)),1)))</f>
        <v/>
      </c>
      <c r="M88" s="19" t="str">
        <f aca="false">IF($L88="","",IFERROR(INDEX(LevelBasic,MATCH($E88,LevelList,0))+INDEX(LevelHousing,MATCH($E88,LevelList,0))+INDEX(LevelTransport,MATCH($E88,LevelList,0))+INDEX(LevelBasic,MATCH($E88,LevelList,0))*INDEX(LevelBonus,MATCH($E88,LevelList,0))+(INDEX(LevelBasic,MATCH($E88,LevelList,0))+INDEX(LevelHousing,MATCH($E88,LevelList,0)))*GosiSaudi,0)*(1-$L88))</f>
        <v/>
      </c>
      <c r="N88" s="19" t="n">
        <f aca="false">IF($J88="Surrender to fund new asks",IFERROR(INDEX(LevelBasic,MATCH($E88,LevelList,0))+INDEX(LevelHousing,MATCH($E88,LevelList,0))+INDEX(LevelTransport,MATCH($E88,LevelList,0))+INDEX(LevelBasic,MATCH($E88,LevelList,0))*INDEX(LevelBonus,MATCH($E88,LevelList,0))+(INDEX(LevelBasic,MATCH($E88,LevelList,0))+INDEX(LevelHousing,MATCH($E88,LevelList,0)))*GosiSaudi,0),0)</f>
        <v>0</v>
      </c>
      <c r="O88" s="23" t="str">
        <f aca="false">IF($D88="","",MID(IF($C88="",", unit","")&amp;IF($E88="",", career level","")&amp;IF($H88="",", reason","")&amp;IF($I88="",", leaving quarter","")&amp;IF($J88="",", what happens to the seat","")&amp;IF(AND($J88="Defer backfill",$K88=""),", the backfill quarter","")&amp;IF(IFERROR(AND($K88&lt;&gt;"",$I88&lt;&gt;"",MATCH($K88,QuarterList,0)&lt;=MATCH($I88,QuarterList,0)),FALSE()),", a backfill quarter later than the leaving quarter","")&amp;IF(AND($C88&lt;&gt;"",COUNTIF(UnitList,$C88)=0),", a unit that is not in your structure",""),3,300))</f>
        <v/>
      </c>
    </row>
    <row r="89" customFormat="false" ht="15" hidden="false" customHeight="false" outlineLevel="0" collapsed="false">
      <c r="A89" s="17" t="n">
        <v>84</v>
      </c>
      <c r="B89" s="21"/>
      <c r="C89" s="21"/>
      <c r="D89" s="21"/>
      <c r="E89" s="21"/>
      <c r="F89" s="21"/>
      <c r="G89" s="21"/>
      <c r="H89" s="21"/>
      <c r="I89" s="21"/>
      <c r="J89" s="21"/>
      <c r="K89" s="21"/>
      <c r="L89" s="24" t="str">
        <f aca="false">IF(OR($D89="",$I89="",$J89=""),"",IF($J89="Surrender to fund new asks",MATCH($I89,QuarterList,0)/4,IF($J89="Defer backfill",IF($K89="",MATCH($I89,QuarterList,0)/4,MIN(1,MATCH($I89,QuarterList,0)/4+(5-MATCH($K89,QuarterList,0))/4)),1)))</f>
        <v/>
      </c>
      <c r="M89" s="19" t="str">
        <f aca="false">IF($L89="","",IFERROR(INDEX(LevelBasic,MATCH($E89,LevelList,0))+INDEX(LevelHousing,MATCH($E89,LevelList,0))+INDEX(LevelTransport,MATCH($E89,LevelList,0))+INDEX(LevelBasic,MATCH($E89,LevelList,0))*INDEX(LevelBonus,MATCH($E89,LevelList,0))+(INDEX(LevelBasic,MATCH($E89,LevelList,0))+INDEX(LevelHousing,MATCH($E89,LevelList,0)))*GosiSaudi,0)*(1-$L89))</f>
        <v/>
      </c>
      <c r="N89" s="19" t="n">
        <f aca="false">IF($J89="Surrender to fund new asks",IFERROR(INDEX(LevelBasic,MATCH($E89,LevelList,0))+INDEX(LevelHousing,MATCH($E89,LevelList,0))+INDEX(LevelTransport,MATCH($E89,LevelList,0))+INDEX(LevelBasic,MATCH($E89,LevelList,0))*INDEX(LevelBonus,MATCH($E89,LevelList,0))+(INDEX(LevelBasic,MATCH($E89,LevelList,0))+INDEX(LevelHousing,MATCH($E89,LevelList,0)))*GosiSaudi,0),0)</f>
        <v>0</v>
      </c>
      <c r="O89" s="23" t="str">
        <f aca="false">IF($D89="","",MID(IF($C89="",", unit","")&amp;IF($E89="",", career level","")&amp;IF($H89="",", reason","")&amp;IF($I89="",", leaving quarter","")&amp;IF($J89="",", what happens to the seat","")&amp;IF(AND($J89="Defer backfill",$K89=""),", the backfill quarter","")&amp;IF(IFERROR(AND($K89&lt;&gt;"",$I89&lt;&gt;"",MATCH($K89,QuarterList,0)&lt;=MATCH($I89,QuarterList,0)),FALSE()),", a backfill quarter later than the leaving quarter","")&amp;IF(AND($C89&lt;&gt;"",COUNTIF(UnitList,$C89)=0),", a unit that is not in your structure",""),3,300))</f>
        <v/>
      </c>
    </row>
    <row r="90" customFormat="false" ht="15" hidden="false" customHeight="false" outlineLevel="0" collapsed="false">
      <c r="A90" s="17" t="n">
        <v>85</v>
      </c>
      <c r="B90" s="21"/>
      <c r="C90" s="21"/>
      <c r="D90" s="21"/>
      <c r="E90" s="21"/>
      <c r="F90" s="21"/>
      <c r="G90" s="21"/>
      <c r="H90" s="21"/>
      <c r="I90" s="21"/>
      <c r="J90" s="21"/>
      <c r="K90" s="21"/>
      <c r="L90" s="24" t="str">
        <f aca="false">IF(OR($D90="",$I90="",$J90=""),"",IF($J90="Surrender to fund new asks",MATCH($I90,QuarterList,0)/4,IF($J90="Defer backfill",IF($K90="",MATCH($I90,QuarterList,0)/4,MIN(1,MATCH($I90,QuarterList,0)/4+(5-MATCH($K90,QuarterList,0))/4)),1)))</f>
        <v/>
      </c>
      <c r="M90" s="19" t="str">
        <f aca="false">IF($L90="","",IFERROR(INDEX(LevelBasic,MATCH($E90,LevelList,0))+INDEX(LevelHousing,MATCH($E90,LevelList,0))+INDEX(LevelTransport,MATCH($E90,LevelList,0))+INDEX(LevelBasic,MATCH($E90,LevelList,0))*INDEX(LevelBonus,MATCH($E90,LevelList,0))+(INDEX(LevelBasic,MATCH($E90,LevelList,0))+INDEX(LevelHousing,MATCH($E90,LevelList,0)))*GosiSaudi,0)*(1-$L90))</f>
        <v/>
      </c>
      <c r="N90" s="19" t="n">
        <f aca="false">IF($J90="Surrender to fund new asks",IFERROR(INDEX(LevelBasic,MATCH($E90,LevelList,0))+INDEX(LevelHousing,MATCH($E90,LevelList,0))+INDEX(LevelTransport,MATCH($E90,LevelList,0))+INDEX(LevelBasic,MATCH($E90,LevelList,0))*INDEX(LevelBonus,MATCH($E90,LevelList,0))+(INDEX(LevelBasic,MATCH($E90,LevelList,0))+INDEX(LevelHousing,MATCH($E90,LevelList,0)))*GosiSaudi,0),0)</f>
        <v>0</v>
      </c>
      <c r="O90" s="23" t="str">
        <f aca="false">IF($D90="","",MID(IF($C90="",", unit","")&amp;IF($E90="",", career level","")&amp;IF($H90="",", reason","")&amp;IF($I90="",", leaving quarter","")&amp;IF($J90="",", what happens to the seat","")&amp;IF(AND($J90="Defer backfill",$K90=""),", the backfill quarter","")&amp;IF(IFERROR(AND($K90&lt;&gt;"",$I90&lt;&gt;"",MATCH($K90,QuarterList,0)&lt;=MATCH($I90,QuarterList,0)),FALSE()),", a backfill quarter later than the leaving quarter","")&amp;IF(AND($C90&lt;&gt;"",COUNTIF(UnitList,$C90)=0),", a unit that is not in your structure",""),3,300))</f>
        <v/>
      </c>
    </row>
    <row r="91" customFormat="false" ht="15" hidden="false" customHeight="false" outlineLevel="0" collapsed="false">
      <c r="A91" s="17" t="n">
        <v>86</v>
      </c>
      <c r="B91" s="21"/>
      <c r="C91" s="21"/>
      <c r="D91" s="21"/>
      <c r="E91" s="21"/>
      <c r="F91" s="21"/>
      <c r="G91" s="21"/>
      <c r="H91" s="21"/>
      <c r="I91" s="21"/>
      <c r="J91" s="21"/>
      <c r="K91" s="21"/>
      <c r="L91" s="24" t="str">
        <f aca="false">IF(OR($D91="",$I91="",$J91=""),"",IF($J91="Surrender to fund new asks",MATCH($I91,QuarterList,0)/4,IF($J91="Defer backfill",IF($K91="",MATCH($I91,QuarterList,0)/4,MIN(1,MATCH($I91,QuarterList,0)/4+(5-MATCH($K91,QuarterList,0))/4)),1)))</f>
        <v/>
      </c>
      <c r="M91" s="19" t="str">
        <f aca="false">IF($L91="","",IFERROR(INDEX(LevelBasic,MATCH($E91,LevelList,0))+INDEX(LevelHousing,MATCH($E91,LevelList,0))+INDEX(LevelTransport,MATCH($E91,LevelList,0))+INDEX(LevelBasic,MATCH($E91,LevelList,0))*INDEX(LevelBonus,MATCH($E91,LevelList,0))+(INDEX(LevelBasic,MATCH($E91,LevelList,0))+INDEX(LevelHousing,MATCH($E91,LevelList,0)))*GosiSaudi,0)*(1-$L91))</f>
        <v/>
      </c>
      <c r="N91" s="19" t="n">
        <f aca="false">IF($J91="Surrender to fund new asks",IFERROR(INDEX(LevelBasic,MATCH($E91,LevelList,0))+INDEX(LevelHousing,MATCH($E91,LevelList,0))+INDEX(LevelTransport,MATCH($E91,LevelList,0))+INDEX(LevelBasic,MATCH($E91,LevelList,0))*INDEX(LevelBonus,MATCH($E91,LevelList,0))+(INDEX(LevelBasic,MATCH($E91,LevelList,0))+INDEX(LevelHousing,MATCH($E91,LevelList,0)))*GosiSaudi,0),0)</f>
        <v>0</v>
      </c>
      <c r="O91" s="23" t="str">
        <f aca="false">IF($D91="","",MID(IF($C91="",", unit","")&amp;IF($E91="",", career level","")&amp;IF($H91="",", reason","")&amp;IF($I91="",", leaving quarter","")&amp;IF($J91="",", what happens to the seat","")&amp;IF(AND($J91="Defer backfill",$K91=""),", the backfill quarter","")&amp;IF(IFERROR(AND($K91&lt;&gt;"",$I91&lt;&gt;"",MATCH($K91,QuarterList,0)&lt;=MATCH($I91,QuarterList,0)),FALSE()),", a backfill quarter later than the leaving quarter","")&amp;IF(AND($C91&lt;&gt;"",COUNTIF(UnitList,$C91)=0),", a unit that is not in your structure",""),3,300))</f>
        <v/>
      </c>
    </row>
    <row r="92" customFormat="false" ht="15" hidden="false" customHeight="false" outlineLevel="0" collapsed="false">
      <c r="A92" s="17" t="n">
        <v>87</v>
      </c>
      <c r="B92" s="21"/>
      <c r="C92" s="21"/>
      <c r="D92" s="21"/>
      <c r="E92" s="21"/>
      <c r="F92" s="21"/>
      <c r="G92" s="21"/>
      <c r="H92" s="21"/>
      <c r="I92" s="21"/>
      <c r="J92" s="21"/>
      <c r="K92" s="21"/>
      <c r="L92" s="24" t="str">
        <f aca="false">IF(OR($D92="",$I92="",$J92=""),"",IF($J92="Surrender to fund new asks",MATCH($I92,QuarterList,0)/4,IF($J92="Defer backfill",IF($K92="",MATCH($I92,QuarterList,0)/4,MIN(1,MATCH($I92,QuarterList,0)/4+(5-MATCH($K92,QuarterList,0))/4)),1)))</f>
        <v/>
      </c>
      <c r="M92" s="19" t="str">
        <f aca="false">IF($L92="","",IFERROR(INDEX(LevelBasic,MATCH($E92,LevelList,0))+INDEX(LevelHousing,MATCH($E92,LevelList,0))+INDEX(LevelTransport,MATCH($E92,LevelList,0))+INDEX(LevelBasic,MATCH($E92,LevelList,0))*INDEX(LevelBonus,MATCH($E92,LevelList,0))+(INDEX(LevelBasic,MATCH($E92,LevelList,0))+INDEX(LevelHousing,MATCH($E92,LevelList,0)))*GosiSaudi,0)*(1-$L92))</f>
        <v/>
      </c>
      <c r="N92" s="19" t="n">
        <f aca="false">IF($J92="Surrender to fund new asks",IFERROR(INDEX(LevelBasic,MATCH($E92,LevelList,0))+INDEX(LevelHousing,MATCH($E92,LevelList,0))+INDEX(LevelTransport,MATCH($E92,LevelList,0))+INDEX(LevelBasic,MATCH($E92,LevelList,0))*INDEX(LevelBonus,MATCH($E92,LevelList,0))+(INDEX(LevelBasic,MATCH($E92,LevelList,0))+INDEX(LevelHousing,MATCH($E92,LevelList,0)))*GosiSaudi,0),0)</f>
        <v>0</v>
      </c>
      <c r="O92" s="23" t="str">
        <f aca="false">IF($D92="","",MID(IF($C92="",", unit","")&amp;IF($E92="",", career level","")&amp;IF($H92="",", reason","")&amp;IF($I92="",", leaving quarter","")&amp;IF($J92="",", what happens to the seat","")&amp;IF(AND($J92="Defer backfill",$K92=""),", the backfill quarter","")&amp;IF(IFERROR(AND($K92&lt;&gt;"",$I92&lt;&gt;"",MATCH($K92,QuarterList,0)&lt;=MATCH($I92,QuarterList,0)),FALSE()),", a backfill quarter later than the leaving quarter","")&amp;IF(AND($C92&lt;&gt;"",COUNTIF(UnitList,$C92)=0),", a unit that is not in your structure",""),3,300))</f>
        <v/>
      </c>
    </row>
    <row r="93" customFormat="false" ht="15" hidden="false" customHeight="false" outlineLevel="0" collapsed="false">
      <c r="A93" s="17" t="n">
        <v>88</v>
      </c>
      <c r="B93" s="21"/>
      <c r="C93" s="21"/>
      <c r="D93" s="21"/>
      <c r="E93" s="21"/>
      <c r="F93" s="21"/>
      <c r="G93" s="21"/>
      <c r="H93" s="21"/>
      <c r="I93" s="21"/>
      <c r="J93" s="21"/>
      <c r="K93" s="21"/>
      <c r="L93" s="24" t="str">
        <f aca="false">IF(OR($D93="",$I93="",$J93=""),"",IF($J93="Surrender to fund new asks",MATCH($I93,QuarterList,0)/4,IF($J93="Defer backfill",IF($K93="",MATCH($I93,QuarterList,0)/4,MIN(1,MATCH($I93,QuarterList,0)/4+(5-MATCH($K93,QuarterList,0))/4)),1)))</f>
        <v/>
      </c>
      <c r="M93" s="19" t="str">
        <f aca="false">IF($L93="","",IFERROR(INDEX(LevelBasic,MATCH($E93,LevelList,0))+INDEX(LevelHousing,MATCH($E93,LevelList,0))+INDEX(LevelTransport,MATCH($E93,LevelList,0))+INDEX(LevelBasic,MATCH($E93,LevelList,0))*INDEX(LevelBonus,MATCH($E93,LevelList,0))+(INDEX(LevelBasic,MATCH($E93,LevelList,0))+INDEX(LevelHousing,MATCH($E93,LevelList,0)))*GosiSaudi,0)*(1-$L93))</f>
        <v/>
      </c>
      <c r="N93" s="19" t="n">
        <f aca="false">IF($J93="Surrender to fund new asks",IFERROR(INDEX(LevelBasic,MATCH($E93,LevelList,0))+INDEX(LevelHousing,MATCH($E93,LevelList,0))+INDEX(LevelTransport,MATCH($E93,LevelList,0))+INDEX(LevelBasic,MATCH($E93,LevelList,0))*INDEX(LevelBonus,MATCH($E93,LevelList,0))+(INDEX(LevelBasic,MATCH($E93,LevelList,0))+INDEX(LevelHousing,MATCH($E93,LevelList,0)))*GosiSaudi,0),0)</f>
        <v>0</v>
      </c>
      <c r="O93" s="23" t="str">
        <f aca="false">IF($D93="","",MID(IF($C93="",", unit","")&amp;IF($E93="",", career level","")&amp;IF($H93="",", reason","")&amp;IF($I93="",", leaving quarter","")&amp;IF($J93="",", what happens to the seat","")&amp;IF(AND($J93="Defer backfill",$K93=""),", the backfill quarter","")&amp;IF(IFERROR(AND($K93&lt;&gt;"",$I93&lt;&gt;"",MATCH($K93,QuarterList,0)&lt;=MATCH($I93,QuarterList,0)),FALSE()),", a backfill quarter later than the leaving quarter","")&amp;IF(AND($C93&lt;&gt;"",COUNTIF(UnitList,$C93)=0),", a unit that is not in your structure",""),3,300))</f>
        <v/>
      </c>
    </row>
    <row r="94" customFormat="false" ht="15" hidden="false" customHeight="false" outlineLevel="0" collapsed="false">
      <c r="A94" s="17" t="n">
        <v>89</v>
      </c>
      <c r="B94" s="21"/>
      <c r="C94" s="21"/>
      <c r="D94" s="21"/>
      <c r="E94" s="21"/>
      <c r="F94" s="21"/>
      <c r="G94" s="21"/>
      <c r="H94" s="21"/>
      <c r="I94" s="21"/>
      <c r="J94" s="21"/>
      <c r="K94" s="21"/>
      <c r="L94" s="24" t="str">
        <f aca="false">IF(OR($D94="",$I94="",$J94=""),"",IF($J94="Surrender to fund new asks",MATCH($I94,QuarterList,0)/4,IF($J94="Defer backfill",IF($K94="",MATCH($I94,QuarterList,0)/4,MIN(1,MATCH($I94,QuarterList,0)/4+(5-MATCH($K94,QuarterList,0))/4)),1)))</f>
        <v/>
      </c>
      <c r="M94" s="19" t="str">
        <f aca="false">IF($L94="","",IFERROR(INDEX(LevelBasic,MATCH($E94,LevelList,0))+INDEX(LevelHousing,MATCH($E94,LevelList,0))+INDEX(LevelTransport,MATCH($E94,LevelList,0))+INDEX(LevelBasic,MATCH($E94,LevelList,0))*INDEX(LevelBonus,MATCH($E94,LevelList,0))+(INDEX(LevelBasic,MATCH($E94,LevelList,0))+INDEX(LevelHousing,MATCH($E94,LevelList,0)))*GosiSaudi,0)*(1-$L94))</f>
        <v/>
      </c>
      <c r="N94" s="19" t="n">
        <f aca="false">IF($J94="Surrender to fund new asks",IFERROR(INDEX(LevelBasic,MATCH($E94,LevelList,0))+INDEX(LevelHousing,MATCH($E94,LevelList,0))+INDEX(LevelTransport,MATCH($E94,LevelList,0))+INDEX(LevelBasic,MATCH($E94,LevelList,0))*INDEX(LevelBonus,MATCH($E94,LevelList,0))+(INDEX(LevelBasic,MATCH($E94,LevelList,0))+INDEX(LevelHousing,MATCH($E94,LevelList,0)))*GosiSaudi,0),0)</f>
        <v>0</v>
      </c>
      <c r="O94" s="23" t="str">
        <f aca="false">IF($D94="","",MID(IF($C94="",", unit","")&amp;IF($E94="",", career level","")&amp;IF($H94="",", reason","")&amp;IF($I94="",", leaving quarter","")&amp;IF($J94="",", what happens to the seat","")&amp;IF(AND($J94="Defer backfill",$K94=""),", the backfill quarter","")&amp;IF(IFERROR(AND($K94&lt;&gt;"",$I94&lt;&gt;"",MATCH($K94,QuarterList,0)&lt;=MATCH($I94,QuarterList,0)),FALSE()),", a backfill quarter later than the leaving quarter","")&amp;IF(AND($C94&lt;&gt;"",COUNTIF(UnitList,$C94)=0),", a unit that is not in your structure",""),3,300))</f>
        <v/>
      </c>
    </row>
    <row r="95" customFormat="false" ht="15" hidden="false" customHeight="false" outlineLevel="0" collapsed="false">
      <c r="A95" s="17" t="n">
        <v>90</v>
      </c>
      <c r="B95" s="21"/>
      <c r="C95" s="21"/>
      <c r="D95" s="21"/>
      <c r="E95" s="21"/>
      <c r="F95" s="21"/>
      <c r="G95" s="21"/>
      <c r="H95" s="21"/>
      <c r="I95" s="21"/>
      <c r="J95" s="21"/>
      <c r="K95" s="21"/>
      <c r="L95" s="24" t="str">
        <f aca="false">IF(OR($D95="",$I95="",$J95=""),"",IF($J95="Surrender to fund new asks",MATCH($I95,QuarterList,0)/4,IF($J95="Defer backfill",IF($K95="",MATCH($I95,QuarterList,0)/4,MIN(1,MATCH($I95,QuarterList,0)/4+(5-MATCH($K95,QuarterList,0))/4)),1)))</f>
        <v/>
      </c>
      <c r="M95" s="19" t="str">
        <f aca="false">IF($L95="","",IFERROR(INDEX(LevelBasic,MATCH($E95,LevelList,0))+INDEX(LevelHousing,MATCH($E95,LevelList,0))+INDEX(LevelTransport,MATCH($E95,LevelList,0))+INDEX(LevelBasic,MATCH($E95,LevelList,0))*INDEX(LevelBonus,MATCH($E95,LevelList,0))+(INDEX(LevelBasic,MATCH($E95,LevelList,0))+INDEX(LevelHousing,MATCH($E95,LevelList,0)))*GosiSaudi,0)*(1-$L95))</f>
        <v/>
      </c>
      <c r="N95" s="19" t="n">
        <f aca="false">IF($J95="Surrender to fund new asks",IFERROR(INDEX(LevelBasic,MATCH($E95,LevelList,0))+INDEX(LevelHousing,MATCH($E95,LevelList,0))+INDEX(LevelTransport,MATCH($E95,LevelList,0))+INDEX(LevelBasic,MATCH($E95,LevelList,0))*INDEX(LevelBonus,MATCH($E95,LevelList,0))+(INDEX(LevelBasic,MATCH($E95,LevelList,0))+INDEX(LevelHousing,MATCH($E95,LevelList,0)))*GosiSaudi,0),0)</f>
        <v>0</v>
      </c>
      <c r="O95" s="23" t="str">
        <f aca="false">IF($D95="","",MID(IF($C95="",", unit","")&amp;IF($E95="",", career level","")&amp;IF($H95="",", reason","")&amp;IF($I95="",", leaving quarter","")&amp;IF($J95="",", what happens to the seat","")&amp;IF(AND($J95="Defer backfill",$K95=""),", the backfill quarter","")&amp;IF(IFERROR(AND($K95&lt;&gt;"",$I95&lt;&gt;"",MATCH($K95,QuarterList,0)&lt;=MATCH($I95,QuarterList,0)),FALSE()),", a backfill quarter later than the leaving quarter","")&amp;IF(AND($C95&lt;&gt;"",COUNTIF(UnitList,$C95)=0),", a unit that is not in your structure",""),3,300))</f>
        <v/>
      </c>
    </row>
    <row r="96" customFormat="false" ht="15" hidden="false" customHeight="false" outlineLevel="0" collapsed="false">
      <c r="A96" s="17" t="n">
        <v>91</v>
      </c>
      <c r="B96" s="21"/>
      <c r="C96" s="21"/>
      <c r="D96" s="21"/>
      <c r="E96" s="21"/>
      <c r="F96" s="21"/>
      <c r="G96" s="21"/>
      <c r="H96" s="21"/>
      <c r="I96" s="21"/>
      <c r="J96" s="21"/>
      <c r="K96" s="21"/>
      <c r="L96" s="24" t="str">
        <f aca="false">IF(OR($D96="",$I96="",$J96=""),"",IF($J96="Surrender to fund new asks",MATCH($I96,QuarterList,0)/4,IF($J96="Defer backfill",IF($K96="",MATCH($I96,QuarterList,0)/4,MIN(1,MATCH($I96,QuarterList,0)/4+(5-MATCH($K96,QuarterList,0))/4)),1)))</f>
        <v/>
      </c>
      <c r="M96" s="19" t="str">
        <f aca="false">IF($L96="","",IFERROR(INDEX(LevelBasic,MATCH($E96,LevelList,0))+INDEX(LevelHousing,MATCH($E96,LevelList,0))+INDEX(LevelTransport,MATCH($E96,LevelList,0))+INDEX(LevelBasic,MATCH($E96,LevelList,0))*INDEX(LevelBonus,MATCH($E96,LevelList,0))+(INDEX(LevelBasic,MATCH($E96,LevelList,0))+INDEX(LevelHousing,MATCH($E96,LevelList,0)))*GosiSaudi,0)*(1-$L96))</f>
        <v/>
      </c>
      <c r="N96" s="19" t="n">
        <f aca="false">IF($J96="Surrender to fund new asks",IFERROR(INDEX(LevelBasic,MATCH($E96,LevelList,0))+INDEX(LevelHousing,MATCH($E96,LevelList,0))+INDEX(LevelTransport,MATCH($E96,LevelList,0))+INDEX(LevelBasic,MATCH($E96,LevelList,0))*INDEX(LevelBonus,MATCH($E96,LevelList,0))+(INDEX(LevelBasic,MATCH($E96,LevelList,0))+INDEX(LevelHousing,MATCH($E96,LevelList,0)))*GosiSaudi,0),0)</f>
        <v>0</v>
      </c>
      <c r="O96" s="23" t="str">
        <f aca="false">IF($D96="","",MID(IF($C96="",", unit","")&amp;IF($E96="",", career level","")&amp;IF($H96="",", reason","")&amp;IF($I96="",", leaving quarter","")&amp;IF($J96="",", what happens to the seat","")&amp;IF(AND($J96="Defer backfill",$K96=""),", the backfill quarter","")&amp;IF(IFERROR(AND($K96&lt;&gt;"",$I96&lt;&gt;"",MATCH($K96,QuarterList,0)&lt;=MATCH($I96,QuarterList,0)),FALSE()),", a backfill quarter later than the leaving quarter","")&amp;IF(AND($C96&lt;&gt;"",COUNTIF(UnitList,$C96)=0),", a unit that is not in your structure",""),3,300))</f>
        <v/>
      </c>
    </row>
    <row r="97" customFormat="false" ht="15" hidden="false" customHeight="false" outlineLevel="0" collapsed="false">
      <c r="A97" s="17" t="n">
        <v>92</v>
      </c>
      <c r="B97" s="21"/>
      <c r="C97" s="21"/>
      <c r="D97" s="21"/>
      <c r="E97" s="21"/>
      <c r="F97" s="21"/>
      <c r="G97" s="21"/>
      <c r="H97" s="21"/>
      <c r="I97" s="21"/>
      <c r="J97" s="21"/>
      <c r="K97" s="21"/>
      <c r="L97" s="24" t="str">
        <f aca="false">IF(OR($D97="",$I97="",$J97=""),"",IF($J97="Surrender to fund new asks",MATCH($I97,QuarterList,0)/4,IF($J97="Defer backfill",IF($K97="",MATCH($I97,QuarterList,0)/4,MIN(1,MATCH($I97,QuarterList,0)/4+(5-MATCH($K97,QuarterList,0))/4)),1)))</f>
        <v/>
      </c>
      <c r="M97" s="19" t="str">
        <f aca="false">IF($L97="","",IFERROR(INDEX(LevelBasic,MATCH($E97,LevelList,0))+INDEX(LevelHousing,MATCH($E97,LevelList,0))+INDEX(LevelTransport,MATCH($E97,LevelList,0))+INDEX(LevelBasic,MATCH($E97,LevelList,0))*INDEX(LevelBonus,MATCH($E97,LevelList,0))+(INDEX(LevelBasic,MATCH($E97,LevelList,0))+INDEX(LevelHousing,MATCH($E97,LevelList,0)))*GosiSaudi,0)*(1-$L97))</f>
        <v/>
      </c>
      <c r="N97" s="19" t="n">
        <f aca="false">IF($J97="Surrender to fund new asks",IFERROR(INDEX(LevelBasic,MATCH($E97,LevelList,0))+INDEX(LevelHousing,MATCH($E97,LevelList,0))+INDEX(LevelTransport,MATCH($E97,LevelList,0))+INDEX(LevelBasic,MATCH($E97,LevelList,0))*INDEX(LevelBonus,MATCH($E97,LevelList,0))+(INDEX(LevelBasic,MATCH($E97,LevelList,0))+INDEX(LevelHousing,MATCH($E97,LevelList,0)))*GosiSaudi,0),0)</f>
        <v>0</v>
      </c>
      <c r="O97" s="23" t="str">
        <f aca="false">IF($D97="","",MID(IF($C97="",", unit","")&amp;IF($E97="",", career level","")&amp;IF($H97="",", reason","")&amp;IF($I97="",", leaving quarter","")&amp;IF($J97="",", what happens to the seat","")&amp;IF(AND($J97="Defer backfill",$K97=""),", the backfill quarter","")&amp;IF(IFERROR(AND($K97&lt;&gt;"",$I97&lt;&gt;"",MATCH($K97,QuarterList,0)&lt;=MATCH($I97,QuarterList,0)),FALSE()),", a backfill quarter later than the leaving quarter","")&amp;IF(AND($C97&lt;&gt;"",COUNTIF(UnitList,$C97)=0),", a unit that is not in your structure",""),3,300))</f>
        <v/>
      </c>
    </row>
    <row r="98" customFormat="false" ht="15" hidden="false" customHeight="false" outlineLevel="0" collapsed="false">
      <c r="A98" s="17" t="n">
        <v>93</v>
      </c>
      <c r="B98" s="21"/>
      <c r="C98" s="21"/>
      <c r="D98" s="21"/>
      <c r="E98" s="21"/>
      <c r="F98" s="21"/>
      <c r="G98" s="21"/>
      <c r="H98" s="21"/>
      <c r="I98" s="21"/>
      <c r="J98" s="21"/>
      <c r="K98" s="21"/>
      <c r="L98" s="24" t="str">
        <f aca="false">IF(OR($D98="",$I98="",$J98=""),"",IF($J98="Surrender to fund new asks",MATCH($I98,QuarterList,0)/4,IF($J98="Defer backfill",IF($K98="",MATCH($I98,QuarterList,0)/4,MIN(1,MATCH($I98,QuarterList,0)/4+(5-MATCH($K98,QuarterList,0))/4)),1)))</f>
        <v/>
      </c>
      <c r="M98" s="19" t="str">
        <f aca="false">IF($L98="","",IFERROR(INDEX(LevelBasic,MATCH($E98,LevelList,0))+INDEX(LevelHousing,MATCH($E98,LevelList,0))+INDEX(LevelTransport,MATCH($E98,LevelList,0))+INDEX(LevelBasic,MATCH($E98,LevelList,0))*INDEX(LevelBonus,MATCH($E98,LevelList,0))+(INDEX(LevelBasic,MATCH($E98,LevelList,0))+INDEX(LevelHousing,MATCH($E98,LevelList,0)))*GosiSaudi,0)*(1-$L98))</f>
        <v/>
      </c>
      <c r="N98" s="19" t="n">
        <f aca="false">IF($J98="Surrender to fund new asks",IFERROR(INDEX(LevelBasic,MATCH($E98,LevelList,0))+INDEX(LevelHousing,MATCH($E98,LevelList,0))+INDEX(LevelTransport,MATCH($E98,LevelList,0))+INDEX(LevelBasic,MATCH($E98,LevelList,0))*INDEX(LevelBonus,MATCH($E98,LevelList,0))+(INDEX(LevelBasic,MATCH($E98,LevelList,0))+INDEX(LevelHousing,MATCH($E98,LevelList,0)))*GosiSaudi,0),0)</f>
        <v>0</v>
      </c>
      <c r="O98" s="23" t="str">
        <f aca="false">IF($D98="","",MID(IF($C98="",", unit","")&amp;IF($E98="",", career level","")&amp;IF($H98="",", reason","")&amp;IF($I98="",", leaving quarter","")&amp;IF($J98="",", what happens to the seat","")&amp;IF(AND($J98="Defer backfill",$K98=""),", the backfill quarter","")&amp;IF(IFERROR(AND($K98&lt;&gt;"",$I98&lt;&gt;"",MATCH($K98,QuarterList,0)&lt;=MATCH($I98,QuarterList,0)),FALSE()),", a backfill quarter later than the leaving quarter","")&amp;IF(AND($C98&lt;&gt;"",COUNTIF(UnitList,$C98)=0),", a unit that is not in your structure",""),3,300))</f>
        <v/>
      </c>
    </row>
    <row r="99" customFormat="false" ht="15" hidden="false" customHeight="false" outlineLevel="0" collapsed="false">
      <c r="A99" s="17" t="n">
        <v>94</v>
      </c>
      <c r="B99" s="21"/>
      <c r="C99" s="21"/>
      <c r="D99" s="21"/>
      <c r="E99" s="21"/>
      <c r="F99" s="21"/>
      <c r="G99" s="21"/>
      <c r="H99" s="21"/>
      <c r="I99" s="21"/>
      <c r="J99" s="21"/>
      <c r="K99" s="21"/>
      <c r="L99" s="24" t="str">
        <f aca="false">IF(OR($D99="",$I99="",$J99=""),"",IF($J99="Surrender to fund new asks",MATCH($I99,QuarterList,0)/4,IF($J99="Defer backfill",IF($K99="",MATCH($I99,QuarterList,0)/4,MIN(1,MATCH($I99,QuarterList,0)/4+(5-MATCH($K99,QuarterList,0))/4)),1)))</f>
        <v/>
      </c>
      <c r="M99" s="19" t="str">
        <f aca="false">IF($L99="","",IFERROR(INDEX(LevelBasic,MATCH($E99,LevelList,0))+INDEX(LevelHousing,MATCH($E99,LevelList,0))+INDEX(LevelTransport,MATCH($E99,LevelList,0))+INDEX(LevelBasic,MATCH($E99,LevelList,0))*INDEX(LevelBonus,MATCH($E99,LevelList,0))+(INDEX(LevelBasic,MATCH($E99,LevelList,0))+INDEX(LevelHousing,MATCH($E99,LevelList,0)))*GosiSaudi,0)*(1-$L99))</f>
        <v/>
      </c>
      <c r="N99" s="19" t="n">
        <f aca="false">IF($J99="Surrender to fund new asks",IFERROR(INDEX(LevelBasic,MATCH($E99,LevelList,0))+INDEX(LevelHousing,MATCH($E99,LevelList,0))+INDEX(LevelTransport,MATCH($E99,LevelList,0))+INDEX(LevelBasic,MATCH($E99,LevelList,0))*INDEX(LevelBonus,MATCH($E99,LevelList,0))+(INDEX(LevelBasic,MATCH($E99,LevelList,0))+INDEX(LevelHousing,MATCH($E99,LevelList,0)))*GosiSaudi,0),0)</f>
        <v>0</v>
      </c>
      <c r="O99" s="23" t="str">
        <f aca="false">IF($D99="","",MID(IF($C99="",", unit","")&amp;IF($E99="",", career level","")&amp;IF($H99="",", reason","")&amp;IF($I99="",", leaving quarter","")&amp;IF($J99="",", what happens to the seat","")&amp;IF(AND($J99="Defer backfill",$K99=""),", the backfill quarter","")&amp;IF(IFERROR(AND($K99&lt;&gt;"",$I99&lt;&gt;"",MATCH($K99,QuarterList,0)&lt;=MATCH($I99,QuarterList,0)),FALSE()),", a backfill quarter later than the leaving quarter","")&amp;IF(AND($C99&lt;&gt;"",COUNTIF(UnitList,$C99)=0),", a unit that is not in your structure",""),3,300))</f>
        <v/>
      </c>
    </row>
    <row r="100" customFormat="false" ht="15" hidden="false" customHeight="false" outlineLevel="0" collapsed="false">
      <c r="A100" s="17" t="n">
        <v>95</v>
      </c>
      <c r="B100" s="21"/>
      <c r="C100" s="21"/>
      <c r="D100" s="21"/>
      <c r="E100" s="21"/>
      <c r="F100" s="21"/>
      <c r="G100" s="21"/>
      <c r="H100" s="21"/>
      <c r="I100" s="21"/>
      <c r="J100" s="21"/>
      <c r="K100" s="21"/>
      <c r="L100" s="24" t="str">
        <f aca="false">IF(OR($D100="",$I100="",$J100=""),"",IF($J100="Surrender to fund new asks",MATCH($I100,QuarterList,0)/4,IF($J100="Defer backfill",IF($K100="",MATCH($I100,QuarterList,0)/4,MIN(1,MATCH($I100,QuarterList,0)/4+(5-MATCH($K100,QuarterList,0))/4)),1)))</f>
        <v/>
      </c>
      <c r="M100" s="19" t="str">
        <f aca="false">IF($L100="","",IFERROR(INDEX(LevelBasic,MATCH($E100,LevelList,0))+INDEX(LevelHousing,MATCH($E100,LevelList,0))+INDEX(LevelTransport,MATCH($E100,LevelList,0))+INDEX(LevelBasic,MATCH($E100,LevelList,0))*INDEX(LevelBonus,MATCH($E100,LevelList,0))+(INDEX(LevelBasic,MATCH($E100,LevelList,0))+INDEX(LevelHousing,MATCH($E100,LevelList,0)))*GosiSaudi,0)*(1-$L100))</f>
        <v/>
      </c>
      <c r="N100" s="19" t="n">
        <f aca="false">IF($J100="Surrender to fund new asks",IFERROR(INDEX(LevelBasic,MATCH($E100,LevelList,0))+INDEX(LevelHousing,MATCH($E100,LevelList,0))+INDEX(LevelTransport,MATCH($E100,LevelList,0))+INDEX(LevelBasic,MATCH($E100,LevelList,0))*INDEX(LevelBonus,MATCH($E100,LevelList,0))+(INDEX(LevelBasic,MATCH($E100,LevelList,0))+INDEX(LevelHousing,MATCH($E100,LevelList,0)))*GosiSaudi,0),0)</f>
        <v>0</v>
      </c>
      <c r="O100" s="23" t="str">
        <f aca="false">IF($D100="","",MID(IF($C100="",", unit","")&amp;IF($E100="",", career level","")&amp;IF($H100="",", reason","")&amp;IF($I100="",", leaving quarter","")&amp;IF($J100="",", what happens to the seat","")&amp;IF(AND($J100="Defer backfill",$K100=""),", the backfill quarter","")&amp;IF(IFERROR(AND($K100&lt;&gt;"",$I100&lt;&gt;"",MATCH($K100,QuarterList,0)&lt;=MATCH($I100,QuarterList,0)),FALSE()),", a backfill quarter later than the leaving quarter","")&amp;IF(AND($C100&lt;&gt;"",COUNTIF(UnitList,$C100)=0),", a unit that is not in your structure",""),3,300))</f>
        <v/>
      </c>
    </row>
    <row r="101" customFormat="false" ht="15" hidden="false" customHeight="false" outlineLevel="0" collapsed="false">
      <c r="A101" s="17" t="n">
        <v>96</v>
      </c>
      <c r="B101" s="21"/>
      <c r="C101" s="21"/>
      <c r="D101" s="21"/>
      <c r="E101" s="21"/>
      <c r="F101" s="21"/>
      <c r="G101" s="21"/>
      <c r="H101" s="21"/>
      <c r="I101" s="21"/>
      <c r="J101" s="21"/>
      <c r="K101" s="21"/>
      <c r="L101" s="24" t="str">
        <f aca="false">IF(OR($D101="",$I101="",$J101=""),"",IF($J101="Surrender to fund new asks",MATCH($I101,QuarterList,0)/4,IF($J101="Defer backfill",IF($K101="",MATCH($I101,QuarterList,0)/4,MIN(1,MATCH($I101,QuarterList,0)/4+(5-MATCH($K101,QuarterList,0))/4)),1)))</f>
        <v/>
      </c>
      <c r="M101" s="19" t="str">
        <f aca="false">IF($L101="","",IFERROR(INDEX(LevelBasic,MATCH($E101,LevelList,0))+INDEX(LevelHousing,MATCH($E101,LevelList,0))+INDEX(LevelTransport,MATCH($E101,LevelList,0))+INDEX(LevelBasic,MATCH($E101,LevelList,0))*INDEX(LevelBonus,MATCH($E101,LevelList,0))+(INDEX(LevelBasic,MATCH($E101,LevelList,0))+INDEX(LevelHousing,MATCH($E101,LevelList,0)))*GosiSaudi,0)*(1-$L101))</f>
        <v/>
      </c>
      <c r="N101" s="19" t="n">
        <f aca="false">IF($J101="Surrender to fund new asks",IFERROR(INDEX(LevelBasic,MATCH($E101,LevelList,0))+INDEX(LevelHousing,MATCH($E101,LevelList,0))+INDEX(LevelTransport,MATCH($E101,LevelList,0))+INDEX(LevelBasic,MATCH($E101,LevelList,0))*INDEX(LevelBonus,MATCH($E101,LevelList,0))+(INDEX(LevelBasic,MATCH($E101,LevelList,0))+INDEX(LevelHousing,MATCH($E101,LevelList,0)))*GosiSaudi,0),0)</f>
        <v>0</v>
      </c>
      <c r="O101" s="23" t="str">
        <f aca="false">IF($D101="","",MID(IF($C101="",", unit","")&amp;IF($E101="",", career level","")&amp;IF($H101="",", reason","")&amp;IF($I101="",", leaving quarter","")&amp;IF($J101="",", what happens to the seat","")&amp;IF(AND($J101="Defer backfill",$K101=""),", the backfill quarter","")&amp;IF(IFERROR(AND($K101&lt;&gt;"",$I101&lt;&gt;"",MATCH($K101,QuarterList,0)&lt;=MATCH($I101,QuarterList,0)),FALSE()),", a backfill quarter later than the leaving quarter","")&amp;IF(AND($C101&lt;&gt;"",COUNTIF(UnitList,$C101)=0),", a unit that is not in your structure",""),3,300))</f>
        <v/>
      </c>
    </row>
    <row r="102" customFormat="false" ht="15" hidden="false" customHeight="false" outlineLevel="0" collapsed="false">
      <c r="A102" s="17" t="n">
        <v>97</v>
      </c>
      <c r="B102" s="21"/>
      <c r="C102" s="21"/>
      <c r="D102" s="21"/>
      <c r="E102" s="21"/>
      <c r="F102" s="21"/>
      <c r="G102" s="21"/>
      <c r="H102" s="21"/>
      <c r="I102" s="21"/>
      <c r="J102" s="21"/>
      <c r="K102" s="21"/>
      <c r="L102" s="24" t="str">
        <f aca="false">IF(OR($D102="",$I102="",$J102=""),"",IF($J102="Surrender to fund new asks",MATCH($I102,QuarterList,0)/4,IF($J102="Defer backfill",IF($K102="",MATCH($I102,QuarterList,0)/4,MIN(1,MATCH($I102,QuarterList,0)/4+(5-MATCH($K102,QuarterList,0))/4)),1)))</f>
        <v/>
      </c>
      <c r="M102" s="19" t="str">
        <f aca="false">IF($L102="","",IFERROR(INDEX(LevelBasic,MATCH($E102,LevelList,0))+INDEX(LevelHousing,MATCH($E102,LevelList,0))+INDEX(LevelTransport,MATCH($E102,LevelList,0))+INDEX(LevelBasic,MATCH($E102,LevelList,0))*INDEX(LevelBonus,MATCH($E102,LevelList,0))+(INDEX(LevelBasic,MATCH($E102,LevelList,0))+INDEX(LevelHousing,MATCH($E102,LevelList,0)))*GosiSaudi,0)*(1-$L102))</f>
        <v/>
      </c>
      <c r="N102" s="19" t="n">
        <f aca="false">IF($J102="Surrender to fund new asks",IFERROR(INDEX(LevelBasic,MATCH($E102,LevelList,0))+INDEX(LevelHousing,MATCH($E102,LevelList,0))+INDEX(LevelTransport,MATCH($E102,LevelList,0))+INDEX(LevelBasic,MATCH($E102,LevelList,0))*INDEX(LevelBonus,MATCH($E102,LevelList,0))+(INDEX(LevelBasic,MATCH($E102,LevelList,0))+INDEX(LevelHousing,MATCH($E102,LevelList,0)))*GosiSaudi,0),0)</f>
        <v>0</v>
      </c>
      <c r="O102" s="23" t="str">
        <f aca="false">IF($D102="","",MID(IF($C102="",", unit","")&amp;IF($E102="",", career level","")&amp;IF($H102="",", reason","")&amp;IF($I102="",", leaving quarter","")&amp;IF($J102="",", what happens to the seat","")&amp;IF(AND($J102="Defer backfill",$K102=""),", the backfill quarter","")&amp;IF(IFERROR(AND($K102&lt;&gt;"",$I102&lt;&gt;"",MATCH($K102,QuarterList,0)&lt;=MATCH($I102,QuarterList,0)),FALSE()),", a backfill quarter later than the leaving quarter","")&amp;IF(AND($C102&lt;&gt;"",COUNTIF(UnitList,$C102)=0),", a unit that is not in your structure",""),3,300))</f>
        <v/>
      </c>
    </row>
    <row r="103" customFormat="false" ht="15" hidden="false" customHeight="false" outlineLevel="0" collapsed="false">
      <c r="A103" s="17" t="n">
        <v>98</v>
      </c>
      <c r="B103" s="21"/>
      <c r="C103" s="21"/>
      <c r="D103" s="21"/>
      <c r="E103" s="21"/>
      <c r="F103" s="21"/>
      <c r="G103" s="21"/>
      <c r="H103" s="21"/>
      <c r="I103" s="21"/>
      <c r="J103" s="21"/>
      <c r="K103" s="21"/>
      <c r="L103" s="24" t="str">
        <f aca="false">IF(OR($D103="",$I103="",$J103=""),"",IF($J103="Surrender to fund new asks",MATCH($I103,QuarterList,0)/4,IF($J103="Defer backfill",IF($K103="",MATCH($I103,QuarterList,0)/4,MIN(1,MATCH($I103,QuarterList,0)/4+(5-MATCH($K103,QuarterList,0))/4)),1)))</f>
        <v/>
      </c>
      <c r="M103" s="19" t="str">
        <f aca="false">IF($L103="","",IFERROR(INDEX(LevelBasic,MATCH($E103,LevelList,0))+INDEX(LevelHousing,MATCH($E103,LevelList,0))+INDEX(LevelTransport,MATCH($E103,LevelList,0))+INDEX(LevelBasic,MATCH($E103,LevelList,0))*INDEX(LevelBonus,MATCH($E103,LevelList,0))+(INDEX(LevelBasic,MATCH($E103,LevelList,0))+INDEX(LevelHousing,MATCH($E103,LevelList,0)))*GosiSaudi,0)*(1-$L103))</f>
        <v/>
      </c>
      <c r="N103" s="19" t="n">
        <f aca="false">IF($J103="Surrender to fund new asks",IFERROR(INDEX(LevelBasic,MATCH($E103,LevelList,0))+INDEX(LevelHousing,MATCH($E103,LevelList,0))+INDEX(LevelTransport,MATCH($E103,LevelList,0))+INDEX(LevelBasic,MATCH($E103,LevelList,0))*INDEX(LevelBonus,MATCH($E103,LevelList,0))+(INDEX(LevelBasic,MATCH($E103,LevelList,0))+INDEX(LevelHousing,MATCH($E103,LevelList,0)))*GosiSaudi,0),0)</f>
        <v>0</v>
      </c>
      <c r="O103" s="23" t="str">
        <f aca="false">IF($D103="","",MID(IF($C103="",", unit","")&amp;IF($E103="",", career level","")&amp;IF($H103="",", reason","")&amp;IF($I103="",", leaving quarter","")&amp;IF($J103="",", what happens to the seat","")&amp;IF(AND($J103="Defer backfill",$K103=""),", the backfill quarter","")&amp;IF(IFERROR(AND($K103&lt;&gt;"",$I103&lt;&gt;"",MATCH($K103,QuarterList,0)&lt;=MATCH($I103,QuarterList,0)),FALSE()),", a backfill quarter later than the leaving quarter","")&amp;IF(AND($C103&lt;&gt;"",COUNTIF(UnitList,$C103)=0),", a unit that is not in your structure",""),3,300))</f>
        <v/>
      </c>
    </row>
    <row r="104" customFormat="false" ht="15" hidden="false" customHeight="false" outlineLevel="0" collapsed="false">
      <c r="A104" s="17" t="n">
        <v>99</v>
      </c>
      <c r="B104" s="21"/>
      <c r="C104" s="21"/>
      <c r="D104" s="21"/>
      <c r="E104" s="21"/>
      <c r="F104" s="21"/>
      <c r="G104" s="21"/>
      <c r="H104" s="21"/>
      <c r="I104" s="21"/>
      <c r="J104" s="21"/>
      <c r="K104" s="21"/>
      <c r="L104" s="24" t="str">
        <f aca="false">IF(OR($D104="",$I104="",$J104=""),"",IF($J104="Surrender to fund new asks",MATCH($I104,QuarterList,0)/4,IF($J104="Defer backfill",IF($K104="",MATCH($I104,QuarterList,0)/4,MIN(1,MATCH($I104,QuarterList,0)/4+(5-MATCH($K104,QuarterList,0))/4)),1)))</f>
        <v/>
      </c>
      <c r="M104" s="19" t="str">
        <f aca="false">IF($L104="","",IFERROR(INDEX(LevelBasic,MATCH($E104,LevelList,0))+INDEX(LevelHousing,MATCH($E104,LevelList,0))+INDEX(LevelTransport,MATCH($E104,LevelList,0))+INDEX(LevelBasic,MATCH($E104,LevelList,0))*INDEX(LevelBonus,MATCH($E104,LevelList,0))+(INDEX(LevelBasic,MATCH($E104,LevelList,0))+INDEX(LevelHousing,MATCH($E104,LevelList,0)))*GosiSaudi,0)*(1-$L104))</f>
        <v/>
      </c>
      <c r="N104" s="19" t="n">
        <f aca="false">IF($J104="Surrender to fund new asks",IFERROR(INDEX(LevelBasic,MATCH($E104,LevelList,0))+INDEX(LevelHousing,MATCH($E104,LevelList,0))+INDEX(LevelTransport,MATCH($E104,LevelList,0))+INDEX(LevelBasic,MATCH($E104,LevelList,0))*INDEX(LevelBonus,MATCH($E104,LevelList,0))+(INDEX(LevelBasic,MATCH($E104,LevelList,0))+INDEX(LevelHousing,MATCH($E104,LevelList,0)))*GosiSaudi,0),0)</f>
        <v>0</v>
      </c>
      <c r="O104" s="23" t="str">
        <f aca="false">IF($D104="","",MID(IF($C104="",", unit","")&amp;IF($E104="",", career level","")&amp;IF($H104="",", reason","")&amp;IF($I104="",", leaving quarter","")&amp;IF($J104="",", what happens to the seat","")&amp;IF(AND($J104="Defer backfill",$K104=""),", the backfill quarter","")&amp;IF(IFERROR(AND($K104&lt;&gt;"",$I104&lt;&gt;"",MATCH($K104,QuarterList,0)&lt;=MATCH($I104,QuarterList,0)),FALSE()),", a backfill quarter later than the leaving quarter","")&amp;IF(AND($C104&lt;&gt;"",COUNTIF(UnitList,$C104)=0),", a unit that is not in your structure",""),3,300))</f>
        <v/>
      </c>
    </row>
    <row r="105" customFormat="false" ht="15" hidden="false" customHeight="false" outlineLevel="0" collapsed="false">
      <c r="A105" s="17" t="n">
        <v>100</v>
      </c>
      <c r="B105" s="21"/>
      <c r="C105" s="21"/>
      <c r="D105" s="21"/>
      <c r="E105" s="21"/>
      <c r="F105" s="21"/>
      <c r="G105" s="21"/>
      <c r="H105" s="21"/>
      <c r="I105" s="21"/>
      <c r="J105" s="21"/>
      <c r="K105" s="21"/>
      <c r="L105" s="24" t="str">
        <f aca="false">IF(OR($D105="",$I105="",$J105=""),"",IF($J105="Surrender to fund new asks",MATCH($I105,QuarterList,0)/4,IF($J105="Defer backfill",IF($K105="",MATCH($I105,QuarterList,0)/4,MIN(1,MATCH($I105,QuarterList,0)/4+(5-MATCH($K105,QuarterList,0))/4)),1)))</f>
        <v/>
      </c>
      <c r="M105" s="19" t="str">
        <f aca="false">IF($L105="","",IFERROR(INDEX(LevelBasic,MATCH($E105,LevelList,0))+INDEX(LevelHousing,MATCH($E105,LevelList,0))+INDEX(LevelTransport,MATCH($E105,LevelList,0))+INDEX(LevelBasic,MATCH($E105,LevelList,0))*INDEX(LevelBonus,MATCH($E105,LevelList,0))+(INDEX(LevelBasic,MATCH($E105,LevelList,0))+INDEX(LevelHousing,MATCH($E105,LevelList,0)))*GosiSaudi,0)*(1-$L105))</f>
        <v/>
      </c>
      <c r="N105" s="19" t="n">
        <f aca="false">IF($J105="Surrender to fund new asks",IFERROR(INDEX(LevelBasic,MATCH($E105,LevelList,0))+INDEX(LevelHousing,MATCH($E105,LevelList,0))+INDEX(LevelTransport,MATCH($E105,LevelList,0))+INDEX(LevelBasic,MATCH($E105,LevelList,0))*INDEX(LevelBonus,MATCH($E105,LevelList,0))+(INDEX(LevelBasic,MATCH($E105,LevelList,0))+INDEX(LevelHousing,MATCH($E105,LevelList,0)))*GosiSaudi,0),0)</f>
        <v>0</v>
      </c>
      <c r="O105" s="23" t="str">
        <f aca="false">IF($D105="","",MID(IF($C105="",", unit","")&amp;IF($E105="",", career level","")&amp;IF($H105="",", reason","")&amp;IF($I105="",", leaving quarter","")&amp;IF($J105="",", what happens to the seat","")&amp;IF(AND($J105="Defer backfill",$K105=""),", the backfill quarter","")&amp;IF(IFERROR(AND($K105&lt;&gt;"",$I105&lt;&gt;"",MATCH($K105,QuarterList,0)&lt;=MATCH($I105,QuarterList,0)),FALSE()),", a backfill quarter later than the leaving quarter","")&amp;IF(AND($C105&lt;&gt;"",COUNTIF(UnitList,$C105)=0),", a unit that is not in your structure",""),3,300))</f>
        <v/>
      </c>
    </row>
    <row r="106" customFormat="false" ht="15" hidden="false" customHeight="false" outlineLevel="0" collapsed="false">
      <c r="A106" s="17" t="n">
        <v>101</v>
      </c>
      <c r="B106" s="21"/>
      <c r="C106" s="21"/>
      <c r="D106" s="21"/>
      <c r="E106" s="21"/>
      <c r="F106" s="21"/>
      <c r="G106" s="21"/>
      <c r="H106" s="21"/>
      <c r="I106" s="21"/>
      <c r="J106" s="21"/>
      <c r="K106" s="21"/>
      <c r="L106" s="24" t="str">
        <f aca="false">IF(OR($D106="",$I106="",$J106=""),"",IF($J106="Surrender to fund new asks",MATCH($I106,QuarterList,0)/4,IF($J106="Defer backfill",IF($K106="",MATCH($I106,QuarterList,0)/4,MIN(1,MATCH($I106,QuarterList,0)/4+(5-MATCH($K106,QuarterList,0))/4)),1)))</f>
        <v/>
      </c>
      <c r="M106" s="19" t="str">
        <f aca="false">IF($L106="","",IFERROR(INDEX(LevelBasic,MATCH($E106,LevelList,0))+INDEX(LevelHousing,MATCH($E106,LevelList,0))+INDEX(LevelTransport,MATCH($E106,LevelList,0))+INDEX(LevelBasic,MATCH($E106,LevelList,0))*INDEX(LevelBonus,MATCH($E106,LevelList,0))+(INDEX(LevelBasic,MATCH($E106,LevelList,0))+INDEX(LevelHousing,MATCH($E106,LevelList,0)))*GosiSaudi,0)*(1-$L106))</f>
        <v/>
      </c>
      <c r="N106" s="19" t="n">
        <f aca="false">IF($J106="Surrender to fund new asks",IFERROR(INDEX(LevelBasic,MATCH($E106,LevelList,0))+INDEX(LevelHousing,MATCH($E106,LevelList,0))+INDEX(LevelTransport,MATCH($E106,LevelList,0))+INDEX(LevelBasic,MATCH($E106,LevelList,0))*INDEX(LevelBonus,MATCH($E106,LevelList,0))+(INDEX(LevelBasic,MATCH($E106,LevelList,0))+INDEX(LevelHousing,MATCH($E106,LevelList,0)))*GosiSaudi,0),0)</f>
        <v>0</v>
      </c>
      <c r="O106" s="23" t="str">
        <f aca="false">IF($D106="","",MID(IF($C106="",", unit","")&amp;IF($E106="",", career level","")&amp;IF($H106="",", reason","")&amp;IF($I106="",", leaving quarter","")&amp;IF($J106="",", what happens to the seat","")&amp;IF(AND($J106="Defer backfill",$K106=""),", the backfill quarter","")&amp;IF(IFERROR(AND($K106&lt;&gt;"",$I106&lt;&gt;"",MATCH($K106,QuarterList,0)&lt;=MATCH($I106,QuarterList,0)),FALSE()),", a backfill quarter later than the leaving quarter","")&amp;IF(AND($C106&lt;&gt;"",COUNTIF(UnitList,$C106)=0),", a unit that is not in your structure",""),3,300))</f>
        <v/>
      </c>
    </row>
    <row r="107" customFormat="false" ht="15" hidden="false" customHeight="false" outlineLevel="0" collapsed="false">
      <c r="A107" s="17" t="n">
        <v>102</v>
      </c>
      <c r="B107" s="21"/>
      <c r="C107" s="21"/>
      <c r="D107" s="21"/>
      <c r="E107" s="21"/>
      <c r="F107" s="21"/>
      <c r="G107" s="21"/>
      <c r="H107" s="21"/>
      <c r="I107" s="21"/>
      <c r="J107" s="21"/>
      <c r="K107" s="21"/>
      <c r="L107" s="24" t="str">
        <f aca="false">IF(OR($D107="",$I107="",$J107=""),"",IF($J107="Surrender to fund new asks",MATCH($I107,QuarterList,0)/4,IF($J107="Defer backfill",IF($K107="",MATCH($I107,QuarterList,0)/4,MIN(1,MATCH($I107,QuarterList,0)/4+(5-MATCH($K107,QuarterList,0))/4)),1)))</f>
        <v/>
      </c>
      <c r="M107" s="19" t="str">
        <f aca="false">IF($L107="","",IFERROR(INDEX(LevelBasic,MATCH($E107,LevelList,0))+INDEX(LevelHousing,MATCH($E107,LevelList,0))+INDEX(LevelTransport,MATCH($E107,LevelList,0))+INDEX(LevelBasic,MATCH($E107,LevelList,0))*INDEX(LevelBonus,MATCH($E107,LevelList,0))+(INDEX(LevelBasic,MATCH($E107,LevelList,0))+INDEX(LevelHousing,MATCH($E107,LevelList,0)))*GosiSaudi,0)*(1-$L107))</f>
        <v/>
      </c>
      <c r="N107" s="19" t="n">
        <f aca="false">IF($J107="Surrender to fund new asks",IFERROR(INDEX(LevelBasic,MATCH($E107,LevelList,0))+INDEX(LevelHousing,MATCH($E107,LevelList,0))+INDEX(LevelTransport,MATCH($E107,LevelList,0))+INDEX(LevelBasic,MATCH($E107,LevelList,0))*INDEX(LevelBonus,MATCH($E107,LevelList,0))+(INDEX(LevelBasic,MATCH($E107,LevelList,0))+INDEX(LevelHousing,MATCH($E107,LevelList,0)))*GosiSaudi,0),0)</f>
        <v>0</v>
      </c>
      <c r="O107" s="23" t="str">
        <f aca="false">IF($D107="","",MID(IF($C107="",", unit","")&amp;IF($E107="",", career level","")&amp;IF($H107="",", reason","")&amp;IF($I107="",", leaving quarter","")&amp;IF($J107="",", what happens to the seat","")&amp;IF(AND($J107="Defer backfill",$K107=""),", the backfill quarter","")&amp;IF(IFERROR(AND($K107&lt;&gt;"",$I107&lt;&gt;"",MATCH($K107,QuarterList,0)&lt;=MATCH($I107,QuarterList,0)),FALSE()),", a backfill quarter later than the leaving quarter","")&amp;IF(AND($C107&lt;&gt;"",COUNTIF(UnitList,$C107)=0),", a unit that is not in your structure",""),3,300))</f>
        <v/>
      </c>
    </row>
    <row r="108" customFormat="false" ht="15" hidden="false" customHeight="false" outlineLevel="0" collapsed="false">
      <c r="A108" s="17" t="n">
        <v>103</v>
      </c>
      <c r="B108" s="21"/>
      <c r="C108" s="21"/>
      <c r="D108" s="21"/>
      <c r="E108" s="21"/>
      <c r="F108" s="21"/>
      <c r="G108" s="21"/>
      <c r="H108" s="21"/>
      <c r="I108" s="21"/>
      <c r="J108" s="21"/>
      <c r="K108" s="21"/>
      <c r="L108" s="24" t="str">
        <f aca="false">IF(OR($D108="",$I108="",$J108=""),"",IF($J108="Surrender to fund new asks",MATCH($I108,QuarterList,0)/4,IF($J108="Defer backfill",IF($K108="",MATCH($I108,QuarterList,0)/4,MIN(1,MATCH($I108,QuarterList,0)/4+(5-MATCH($K108,QuarterList,0))/4)),1)))</f>
        <v/>
      </c>
      <c r="M108" s="19" t="str">
        <f aca="false">IF($L108="","",IFERROR(INDEX(LevelBasic,MATCH($E108,LevelList,0))+INDEX(LevelHousing,MATCH($E108,LevelList,0))+INDEX(LevelTransport,MATCH($E108,LevelList,0))+INDEX(LevelBasic,MATCH($E108,LevelList,0))*INDEX(LevelBonus,MATCH($E108,LevelList,0))+(INDEX(LevelBasic,MATCH($E108,LevelList,0))+INDEX(LevelHousing,MATCH($E108,LevelList,0)))*GosiSaudi,0)*(1-$L108))</f>
        <v/>
      </c>
      <c r="N108" s="19" t="n">
        <f aca="false">IF($J108="Surrender to fund new asks",IFERROR(INDEX(LevelBasic,MATCH($E108,LevelList,0))+INDEX(LevelHousing,MATCH($E108,LevelList,0))+INDEX(LevelTransport,MATCH($E108,LevelList,0))+INDEX(LevelBasic,MATCH($E108,LevelList,0))*INDEX(LevelBonus,MATCH($E108,LevelList,0))+(INDEX(LevelBasic,MATCH($E108,LevelList,0))+INDEX(LevelHousing,MATCH($E108,LevelList,0)))*GosiSaudi,0),0)</f>
        <v>0</v>
      </c>
      <c r="O108" s="23" t="str">
        <f aca="false">IF($D108="","",MID(IF($C108="",", unit","")&amp;IF($E108="",", career level","")&amp;IF($H108="",", reason","")&amp;IF($I108="",", leaving quarter","")&amp;IF($J108="",", what happens to the seat","")&amp;IF(AND($J108="Defer backfill",$K108=""),", the backfill quarter","")&amp;IF(IFERROR(AND($K108&lt;&gt;"",$I108&lt;&gt;"",MATCH($K108,QuarterList,0)&lt;=MATCH($I108,QuarterList,0)),FALSE()),", a backfill quarter later than the leaving quarter","")&amp;IF(AND($C108&lt;&gt;"",COUNTIF(UnitList,$C108)=0),", a unit that is not in your structure",""),3,300))</f>
        <v/>
      </c>
    </row>
    <row r="109" customFormat="false" ht="15" hidden="false" customHeight="false" outlineLevel="0" collapsed="false">
      <c r="A109" s="17" t="n">
        <v>104</v>
      </c>
      <c r="B109" s="21"/>
      <c r="C109" s="21"/>
      <c r="D109" s="21"/>
      <c r="E109" s="21"/>
      <c r="F109" s="21"/>
      <c r="G109" s="21"/>
      <c r="H109" s="21"/>
      <c r="I109" s="21"/>
      <c r="J109" s="21"/>
      <c r="K109" s="21"/>
      <c r="L109" s="24" t="str">
        <f aca="false">IF(OR($D109="",$I109="",$J109=""),"",IF($J109="Surrender to fund new asks",MATCH($I109,QuarterList,0)/4,IF($J109="Defer backfill",IF($K109="",MATCH($I109,QuarterList,0)/4,MIN(1,MATCH($I109,QuarterList,0)/4+(5-MATCH($K109,QuarterList,0))/4)),1)))</f>
        <v/>
      </c>
      <c r="M109" s="19" t="str">
        <f aca="false">IF($L109="","",IFERROR(INDEX(LevelBasic,MATCH($E109,LevelList,0))+INDEX(LevelHousing,MATCH($E109,LevelList,0))+INDEX(LevelTransport,MATCH($E109,LevelList,0))+INDEX(LevelBasic,MATCH($E109,LevelList,0))*INDEX(LevelBonus,MATCH($E109,LevelList,0))+(INDEX(LevelBasic,MATCH($E109,LevelList,0))+INDEX(LevelHousing,MATCH($E109,LevelList,0)))*GosiSaudi,0)*(1-$L109))</f>
        <v/>
      </c>
      <c r="N109" s="19" t="n">
        <f aca="false">IF($J109="Surrender to fund new asks",IFERROR(INDEX(LevelBasic,MATCH($E109,LevelList,0))+INDEX(LevelHousing,MATCH($E109,LevelList,0))+INDEX(LevelTransport,MATCH($E109,LevelList,0))+INDEX(LevelBasic,MATCH($E109,LevelList,0))*INDEX(LevelBonus,MATCH($E109,LevelList,0))+(INDEX(LevelBasic,MATCH($E109,LevelList,0))+INDEX(LevelHousing,MATCH($E109,LevelList,0)))*GosiSaudi,0),0)</f>
        <v>0</v>
      </c>
      <c r="O109" s="23" t="str">
        <f aca="false">IF($D109="","",MID(IF($C109="",", unit","")&amp;IF($E109="",", career level","")&amp;IF($H109="",", reason","")&amp;IF($I109="",", leaving quarter","")&amp;IF($J109="",", what happens to the seat","")&amp;IF(AND($J109="Defer backfill",$K109=""),", the backfill quarter","")&amp;IF(IFERROR(AND($K109&lt;&gt;"",$I109&lt;&gt;"",MATCH($K109,QuarterList,0)&lt;=MATCH($I109,QuarterList,0)),FALSE()),", a backfill quarter later than the leaving quarter","")&amp;IF(AND($C109&lt;&gt;"",COUNTIF(UnitList,$C109)=0),", a unit that is not in your structure",""),3,300))</f>
        <v/>
      </c>
    </row>
    <row r="110" customFormat="false" ht="15" hidden="false" customHeight="false" outlineLevel="0" collapsed="false">
      <c r="A110" s="17" t="n">
        <v>105</v>
      </c>
      <c r="B110" s="21"/>
      <c r="C110" s="21"/>
      <c r="D110" s="21"/>
      <c r="E110" s="21"/>
      <c r="F110" s="21"/>
      <c r="G110" s="21"/>
      <c r="H110" s="21"/>
      <c r="I110" s="21"/>
      <c r="J110" s="21"/>
      <c r="K110" s="21"/>
      <c r="L110" s="24" t="str">
        <f aca="false">IF(OR($D110="",$I110="",$J110=""),"",IF($J110="Surrender to fund new asks",MATCH($I110,QuarterList,0)/4,IF($J110="Defer backfill",IF($K110="",MATCH($I110,QuarterList,0)/4,MIN(1,MATCH($I110,QuarterList,0)/4+(5-MATCH($K110,QuarterList,0))/4)),1)))</f>
        <v/>
      </c>
      <c r="M110" s="19" t="str">
        <f aca="false">IF($L110="","",IFERROR(INDEX(LevelBasic,MATCH($E110,LevelList,0))+INDEX(LevelHousing,MATCH($E110,LevelList,0))+INDEX(LevelTransport,MATCH($E110,LevelList,0))+INDEX(LevelBasic,MATCH($E110,LevelList,0))*INDEX(LevelBonus,MATCH($E110,LevelList,0))+(INDEX(LevelBasic,MATCH($E110,LevelList,0))+INDEX(LevelHousing,MATCH($E110,LevelList,0)))*GosiSaudi,0)*(1-$L110))</f>
        <v/>
      </c>
      <c r="N110" s="19" t="n">
        <f aca="false">IF($J110="Surrender to fund new asks",IFERROR(INDEX(LevelBasic,MATCH($E110,LevelList,0))+INDEX(LevelHousing,MATCH($E110,LevelList,0))+INDEX(LevelTransport,MATCH($E110,LevelList,0))+INDEX(LevelBasic,MATCH($E110,LevelList,0))*INDEX(LevelBonus,MATCH($E110,LevelList,0))+(INDEX(LevelBasic,MATCH($E110,LevelList,0))+INDEX(LevelHousing,MATCH($E110,LevelList,0)))*GosiSaudi,0),0)</f>
        <v>0</v>
      </c>
      <c r="O110" s="23" t="str">
        <f aca="false">IF($D110="","",MID(IF($C110="",", unit","")&amp;IF($E110="",", career level","")&amp;IF($H110="",", reason","")&amp;IF($I110="",", leaving quarter","")&amp;IF($J110="",", what happens to the seat","")&amp;IF(AND($J110="Defer backfill",$K110=""),", the backfill quarter","")&amp;IF(IFERROR(AND($K110&lt;&gt;"",$I110&lt;&gt;"",MATCH($K110,QuarterList,0)&lt;=MATCH($I110,QuarterList,0)),FALSE()),", a backfill quarter later than the leaving quarter","")&amp;IF(AND($C110&lt;&gt;"",COUNTIF(UnitList,$C110)=0),", a unit that is not in your structure",""),3,300))</f>
        <v/>
      </c>
    </row>
    <row r="111" customFormat="false" ht="15" hidden="false" customHeight="false" outlineLevel="0" collapsed="false">
      <c r="A111" s="17" t="n">
        <v>106</v>
      </c>
      <c r="B111" s="21"/>
      <c r="C111" s="21"/>
      <c r="D111" s="21"/>
      <c r="E111" s="21"/>
      <c r="F111" s="21"/>
      <c r="G111" s="21"/>
      <c r="H111" s="21"/>
      <c r="I111" s="21"/>
      <c r="J111" s="21"/>
      <c r="K111" s="21"/>
      <c r="L111" s="24" t="str">
        <f aca="false">IF(OR($D111="",$I111="",$J111=""),"",IF($J111="Surrender to fund new asks",MATCH($I111,QuarterList,0)/4,IF($J111="Defer backfill",IF($K111="",MATCH($I111,QuarterList,0)/4,MIN(1,MATCH($I111,QuarterList,0)/4+(5-MATCH($K111,QuarterList,0))/4)),1)))</f>
        <v/>
      </c>
      <c r="M111" s="19" t="str">
        <f aca="false">IF($L111="","",IFERROR(INDEX(LevelBasic,MATCH($E111,LevelList,0))+INDEX(LevelHousing,MATCH($E111,LevelList,0))+INDEX(LevelTransport,MATCH($E111,LevelList,0))+INDEX(LevelBasic,MATCH($E111,LevelList,0))*INDEX(LevelBonus,MATCH($E111,LevelList,0))+(INDEX(LevelBasic,MATCH($E111,LevelList,0))+INDEX(LevelHousing,MATCH($E111,LevelList,0)))*GosiSaudi,0)*(1-$L111))</f>
        <v/>
      </c>
      <c r="N111" s="19" t="n">
        <f aca="false">IF($J111="Surrender to fund new asks",IFERROR(INDEX(LevelBasic,MATCH($E111,LevelList,0))+INDEX(LevelHousing,MATCH($E111,LevelList,0))+INDEX(LevelTransport,MATCH($E111,LevelList,0))+INDEX(LevelBasic,MATCH($E111,LevelList,0))*INDEX(LevelBonus,MATCH($E111,LevelList,0))+(INDEX(LevelBasic,MATCH($E111,LevelList,0))+INDEX(LevelHousing,MATCH($E111,LevelList,0)))*GosiSaudi,0),0)</f>
        <v>0</v>
      </c>
      <c r="O111" s="23" t="str">
        <f aca="false">IF($D111="","",MID(IF($C111="",", unit","")&amp;IF($E111="",", career level","")&amp;IF($H111="",", reason","")&amp;IF($I111="",", leaving quarter","")&amp;IF($J111="",", what happens to the seat","")&amp;IF(AND($J111="Defer backfill",$K111=""),", the backfill quarter","")&amp;IF(IFERROR(AND($K111&lt;&gt;"",$I111&lt;&gt;"",MATCH($K111,QuarterList,0)&lt;=MATCH($I111,QuarterList,0)),FALSE()),", a backfill quarter later than the leaving quarter","")&amp;IF(AND($C111&lt;&gt;"",COUNTIF(UnitList,$C111)=0),", a unit that is not in your structure",""),3,300))</f>
        <v/>
      </c>
    </row>
    <row r="112" customFormat="false" ht="15" hidden="false" customHeight="false" outlineLevel="0" collapsed="false">
      <c r="A112" s="17" t="n">
        <v>107</v>
      </c>
      <c r="B112" s="21"/>
      <c r="C112" s="21"/>
      <c r="D112" s="21"/>
      <c r="E112" s="21"/>
      <c r="F112" s="21"/>
      <c r="G112" s="21"/>
      <c r="H112" s="21"/>
      <c r="I112" s="21"/>
      <c r="J112" s="21"/>
      <c r="K112" s="21"/>
      <c r="L112" s="24" t="str">
        <f aca="false">IF(OR($D112="",$I112="",$J112=""),"",IF($J112="Surrender to fund new asks",MATCH($I112,QuarterList,0)/4,IF($J112="Defer backfill",IF($K112="",MATCH($I112,QuarterList,0)/4,MIN(1,MATCH($I112,QuarterList,0)/4+(5-MATCH($K112,QuarterList,0))/4)),1)))</f>
        <v/>
      </c>
      <c r="M112" s="19" t="str">
        <f aca="false">IF($L112="","",IFERROR(INDEX(LevelBasic,MATCH($E112,LevelList,0))+INDEX(LevelHousing,MATCH($E112,LevelList,0))+INDEX(LevelTransport,MATCH($E112,LevelList,0))+INDEX(LevelBasic,MATCH($E112,LevelList,0))*INDEX(LevelBonus,MATCH($E112,LevelList,0))+(INDEX(LevelBasic,MATCH($E112,LevelList,0))+INDEX(LevelHousing,MATCH($E112,LevelList,0)))*GosiSaudi,0)*(1-$L112))</f>
        <v/>
      </c>
      <c r="N112" s="19" t="n">
        <f aca="false">IF($J112="Surrender to fund new asks",IFERROR(INDEX(LevelBasic,MATCH($E112,LevelList,0))+INDEX(LevelHousing,MATCH($E112,LevelList,0))+INDEX(LevelTransport,MATCH($E112,LevelList,0))+INDEX(LevelBasic,MATCH($E112,LevelList,0))*INDEX(LevelBonus,MATCH($E112,LevelList,0))+(INDEX(LevelBasic,MATCH($E112,LevelList,0))+INDEX(LevelHousing,MATCH($E112,LevelList,0)))*GosiSaudi,0),0)</f>
        <v>0</v>
      </c>
      <c r="O112" s="23" t="str">
        <f aca="false">IF($D112="","",MID(IF($C112="",", unit","")&amp;IF($E112="",", career level","")&amp;IF($H112="",", reason","")&amp;IF($I112="",", leaving quarter","")&amp;IF($J112="",", what happens to the seat","")&amp;IF(AND($J112="Defer backfill",$K112=""),", the backfill quarter","")&amp;IF(IFERROR(AND($K112&lt;&gt;"",$I112&lt;&gt;"",MATCH($K112,QuarterList,0)&lt;=MATCH($I112,QuarterList,0)),FALSE()),", a backfill quarter later than the leaving quarter","")&amp;IF(AND($C112&lt;&gt;"",COUNTIF(UnitList,$C112)=0),", a unit that is not in your structure",""),3,300))</f>
        <v/>
      </c>
    </row>
    <row r="113" customFormat="false" ht="15" hidden="false" customHeight="false" outlineLevel="0" collapsed="false">
      <c r="A113" s="17" t="n">
        <v>108</v>
      </c>
      <c r="B113" s="21"/>
      <c r="C113" s="21"/>
      <c r="D113" s="21"/>
      <c r="E113" s="21"/>
      <c r="F113" s="21"/>
      <c r="G113" s="21"/>
      <c r="H113" s="21"/>
      <c r="I113" s="21"/>
      <c r="J113" s="21"/>
      <c r="K113" s="21"/>
      <c r="L113" s="24" t="str">
        <f aca="false">IF(OR($D113="",$I113="",$J113=""),"",IF($J113="Surrender to fund new asks",MATCH($I113,QuarterList,0)/4,IF($J113="Defer backfill",IF($K113="",MATCH($I113,QuarterList,0)/4,MIN(1,MATCH($I113,QuarterList,0)/4+(5-MATCH($K113,QuarterList,0))/4)),1)))</f>
        <v/>
      </c>
      <c r="M113" s="19" t="str">
        <f aca="false">IF($L113="","",IFERROR(INDEX(LevelBasic,MATCH($E113,LevelList,0))+INDEX(LevelHousing,MATCH($E113,LevelList,0))+INDEX(LevelTransport,MATCH($E113,LevelList,0))+INDEX(LevelBasic,MATCH($E113,LevelList,0))*INDEX(LevelBonus,MATCH($E113,LevelList,0))+(INDEX(LevelBasic,MATCH($E113,LevelList,0))+INDEX(LevelHousing,MATCH($E113,LevelList,0)))*GosiSaudi,0)*(1-$L113))</f>
        <v/>
      </c>
      <c r="N113" s="19" t="n">
        <f aca="false">IF($J113="Surrender to fund new asks",IFERROR(INDEX(LevelBasic,MATCH($E113,LevelList,0))+INDEX(LevelHousing,MATCH($E113,LevelList,0))+INDEX(LevelTransport,MATCH($E113,LevelList,0))+INDEX(LevelBasic,MATCH($E113,LevelList,0))*INDEX(LevelBonus,MATCH($E113,LevelList,0))+(INDEX(LevelBasic,MATCH($E113,LevelList,0))+INDEX(LevelHousing,MATCH($E113,LevelList,0)))*GosiSaudi,0),0)</f>
        <v>0</v>
      </c>
      <c r="O113" s="23" t="str">
        <f aca="false">IF($D113="","",MID(IF($C113="",", unit","")&amp;IF($E113="",", career level","")&amp;IF($H113="",", reason","")&amp;IF($I113="",", leaving quarter","")&amp;IF($J113="",", what happens to the seat","")&amp;IF(AND($J113="Defer backfill",$K113=""),", the backfill quarter","")&amp;IF(IFERROR(AND($K113&lt;&gt;"",$I113&lt;&gt;"",MATCH($K113,QuarterList,0)&lt;=MATCH($I113,QuarterList,0)),FALSE()),", a backfill quarter later than the leaving quarter","")&amp;IF(AND($C113&lt;&gt;"",COUNTIF(UnitList,$C113)=0),", a unit that is not in your structure",""),3,300))</f>
        <v/>
      </c>
    </row>
    <row r="114" customFormat="false" ht="15" hidden="false" customHeight="false" outlineLevel="0" collapsed="false">
      <c r="A114" s="17" t="n">
        <v>109</v>
      </c>
      <c r="B114" s="21"/>
      <c r="C114" s="21"/>
      <c r="D114" s="21"/>
      <c r="E114" s="21"/>
      <c r="F114" s="21"/>
      <c r="G114" s="21"/>
      <c r="H114" s="21"/>
      <c r="I114" s="21"/>
      <c r="J114" s="21"/>
      <c r="K114" s="21"/>
      <c r="L114" s="24" t="str">
        <f aca="false">IF(OR($D114="",$I114="",$J114=""),"",IF($J114="Surrender to fund new asks",MATCH($I114,QuarterList,0)/4,IF($J114="Defer backfill",IF($K114="",MATCH($I114,QuarterList,0)/4,MIN(1,MATCH($I114,QuarterList,0)/4+(5-MATCH($K114,QuarterList,0))/4)),1)))</f>
        <v/>
      </c>
      <c r="M114" s="19" t="str">
        <f aca="false">IF($L114="","",IFERROR(INDEX(LevelBasic,MATCH($E114,LevelList,0))+INDEX(LevelHousing,MATCH($E114,LevelList,0))+INDEX(LevelTransport,MATCH($E114,LevelList,0))+INDEX(LevelBasic,MATCH($E114,LevelList,0))*INDEX(LevelBonus,MATCH($E114,LevelList,0))+(INDEX(LevelBasic,MATCH($E114,LevelList,0))+INDEX(LevelHousing,MATCH($E114,LevelList,0)))*GosiSaudi,0)*(1-$L114))</f>
        <v/>
      </c>
      <c r="N114" s="19" t="n">
        <f aca="false">IF($J114="Surrender to fund new asks",IFERROR(INDEX(LevelBasic,MATCH($E114,LevelList,0))+INDEX(LevelHousing,MATCH($E114,LevelList,0))+INDEX(LevelTransport,MATCH($E114,LevelList,0))+INDEX(LevelBasic,MATCH($E114,LevelList,0))*INDEX(LevelBonus,MATCH($E114,LevelList,0))+(INDEX(LevelBasic,MATCH($E114,LevelList,0))+INDEX(LevelHousing,MATCH($E114,LevelList,0)))*GosiSaudi,0),0)</f>
        <v>0</v>
      </c>
      <c r="O114" s="23" t="str">
        <f aca="false">IF($D114="","",MID(IF($C114="",", unit","")&amp;IF($E114="",", career level","")&amp;IF($H114="",", reason","")&amp;IF($I114="",", leaving quarter","")&amp;IF($J114="",", what happens to the seat","")&amp;IF(AND($J114="Defer backfill",$K114=""),", the backfill quarter","")&amp;IF(IFERROR(AND($K114&lt;&gt;"",$I114&lt;&gt;"",MATCH($K114,QuarterList,0)&lt;=MATCH($I114,QuarterList,0)),FALSE()),", a backfill quarter later than the leaving quarter","")&amp;IF(AND($C114&lt;&gt;"",COUNTIF(UnitList,$C114)=0),", a unit that is not in your structure",""),3,300))</f>
        <v/>
      </c>
    </row>
    <row r="115" customFormat="false" ht="15" hidden="false" customHeight="false" outlineLevel="0" collapsed="false">
      <c r="A115" s="17" t="n">
        <v>110</v>
      </c>
      <c r="B115" s="21"/>
      <c r="C115" s="21"/>
      <c r="D115" s="21"/>
      <c r="E115" s="21"/>
      <c r="F115" s="21"/>
      <c r="G115" s="21"/>
      <c r="H115" s="21"/>
      <c r="I115" s="21"/>
      <c r="J115" s="21"/>
      <c r="K115" s="21"/>
      <c r="L115" s="24" t="str">
        <f aca="false">IF(OR($D115="",$I115="",$J115=""),"",IF($J115="Surrender to fund new asks",MATCH($I115,QuarterList,0)/4,IF($J115="Defer backfill",IF($K115="",MATCH($I115,QuarterList,0)/4,MIN(1,MATCH($I115,QuarterList,0)/4+(5-MATCH($K115,QuarterList,0))/4)),1)))</f>
        <v/>
      </c>
      <c r="M115" s="19" t="str">
        <f aca="false">IF($L115="","",IFERROR(INDEX(LevelBasic,MATCH($E115,LevelList,0))+INDEX(LevelHousing,MATCH($E115,LevelList,0))+INDEX(LevelTransport,MATCH($E115,LevelList,0))+INDEX(LevelBasic,MATCH($E115,LevelList,0))*INDEX(LevelBonus,MATCH($E115,LevelList,0))+(INDEX(LevelBasic,MATCH($E115,LevelList,0))+INDEX(LevelHousing,MATCH($E115,LevelList,0)))*GosiSaudi,0)*(1-$L115))</f>
        <v/>
      </c>
      <c r="N115" s="19" t="n">
        <f aca="false">IF($J115="Surrender to fund new asks",IFERROR(INDEX(LevelBasic,MATCH($E115,LevelList,0))+INDEX(LevelHousing,MATCH($E115,LevelList,0))+INDEX(LevelTransport,MATCH($E115,LevelList,0))+INDEX(LevelBasic,MATCH($E115,LevelList,0))*INDEX(LevelBonus,MATCH($E115,LevelList,0))+(INDEX(LevelBasic,MATCH($E115,LevelList,0))+INDEX(LevelHousing,MATCH($E115,LevelList,0)))*GosiSaudi,0),0)</f>
        <v>0</v>
      </c>
      <c r="O115" s="23" t="str">
        <f aca="false">IF($D115="","",MID(IF($C115="",", unit","")&amp;IF($E115="",", career level","")&amp;IF($H115="",", reason","")&amp;IF($I115="",", leaving quarter","")&amp;IF($J115="",", what happens to the seat","")&amp;IF(AND($J115="Defer backfill",$K115=""),", the backfill quarter","")&amp;IF(IFERROR(AND($K115&lt;&gt;"",$I115&lt;&gt;"",MATCH($K115,QuarterList,0)&lt;=MATCH($I115,QuarterList,0)),FALSE()),", a backfill quarter later than the leaving quarter","")&amp;IF(AND($C115&lt;&gt;"",COUNTIF(UnitList,$C115)=0),", a unit that is not in your structure",""),3,300))</f>
        <v/>
      </c>
    </row>
    <row r="116" customFormat="false" ht="15" hidden="false" customHeight="false" outlineLevel="0" collapsed="false">
      <c r="A116" s="17" t="n">
        <v>111</v>
      </c>
      <c r="B116" s="21"/>
      <c r="C116" s="21"/>
      <c r="D116" s="21"/>
      <c r="E116" s="21"/>
      <c r="F116" s="21"/>
      <c r="G116" s="21"/>
      <c r="H116" s="21"/>
      <c r="I116" s="21"/>
      <c r="J116" s="21"/>
      <c r="K116" s="21"/>
      <c r="L116" s="24" t="str">
        <f aca="false">IF(OR($D116="",$I116="",$J116=""),"",IF($J116="Surrender to fund new asks",MATCH($I116,QuarterList,0)/4,IF($J116="Defer backfill",IF($K116="",MATCH($I116,QuarterList,0)/4,MIN(1,MATCH($I116,QuarterList,0)/4+(5-MATCH($K116,QuarterList,0))/4)),1)))</f>
        <v/>
      </c>
      <c r="M116" s="19" t="str">
        <f aca="false">IF($L116="","",IFERROR(INDEX(LevelBasic,MATCH($E116,LevelList,0))+INDEX(LevelHousing,MATCH($E116,LevelList,0))+INDEX(LevelTransport,MATCH($E116,LevelList,0))+INDEX(LevelBasic,MATCH($E116,LevelList,0))*INDEX(LevelBonus,MATCH($E116,LevelList,0))+(INDEX(LevelBasic,MATCH($E116,LevelList,0))+INDEX(LevelHousing,MATCH($E116,LevelList,0)))*GosiSaudi,0)*(1-$L116))</f>
        <v/>
      </c>
      <c r="N116" s="19" t="n">
        <f aca="false">IF($J116="Surrender to fund new asks",IFERROR(INDEX(LevelBasic,MATCH($E116,LevelList,0))+INDEX(LevelHousing,MATCH($E116,LevelList,0))+INDEX(LevelTransport,MATCH($E116,LevelList,0))+INDEX(LevelBasic,MATCH($E116,LevelList,0))*INDEX(LevelBonus,MATCH($E116,LevelList,0))+(INDEX(LevelBasic,MATCH($E116,LevelList,0))+INDEX(LevelHousing,MATCH($E116,LevelList,0)))*GosiSaudi,0),0)</f>
        <v>0</v>
      </c>
      <c r="O116" s="23" t="str">
        <f aca="false">IF($D116="","",MID(IF($C116="",", unit","")&amp;IF($E116="",", career level","")&amp;IF($H116="",", reason","")&amp;IF($I116="",", leaving quarter","")&amp;IF($J116="",", what happens to the seat","")&amp;IF(AND($J116="Defer backfill",$K116=""),", the backfill quarter","")&amp;IF(IFERROR(AND($K116&lt;&gt;"",$I116&lt;&gt;"",MATCH($K116,QuarterList,0)&lt;=MATCH($I116,QuarterList,0)),FALSE()),", a backfill quarter later than the leaving quarter","")&amp;IF(AND($C116&lt;&gt;"",COUNTIF(UnitList,$C116)=0),", a unit that is not in your structure",""),3,300))</f>
        <v/>
      </c>
    </row>
    <row r="117" customFormat="false" ht="15" hidden="false" customHeight="false" outlineLevel="0" collapsed="false">
      <c r="A117" s="17" t="n">
        <v>112</v>
      </c>
      <c r="B117" s="21"/>
      <c r="C117" s="21"/>
      <c r="D117" s="21"/>
      <c r="E117" s="21"/>
      <c r="F117" s="21"/>
      <c r="G117" s="21"/>
      <c r="H117" s="21"/>
      <c r="I117" s="21"/>
      <c r="J117" s="21"/>
      <c r="K117" s="21"/>
      <c r="L117" s="24" t="str">
        <f aca="false">IF(OR($D117="",$I117="",$J117=""),"",IF($J117="Surrender to fund new asks",MATCH($I117,QuarterList,0)/4,IF($J117="Defer backfill",IF($K117="",MATCH($I117,QuarterList,0)/4,MIN(1,MATCH($I117,QuarterList,0)/4+(5-MATCH($K117,QuarterList,0))/4)),1)))</f>
        <v/>
      </c>
      <c r="M117" s="19" t="str">
        <f aca="false">IF($L117="","",IFERROR(INDEX(LevelBasic,MATCH($E117,LevelList,0))+INDEX(LevelHousing,MATCH($E117,LevelList,0))+INDEX(LevelTransport,MATCH($E117,LevelList,0))+INDEX(LevelBasic,MATCH($E117,LevelList,0))*INDEX(LevelBonus,MATCH($E117,LevelList,0))+(INDEX(LevelBasic,MATCH($E117,LevelList,0))+INDEX(LevelHousing,MATCH($E117,LevelList,0)))*GosiSaudi,0)*(1-$L117))</f>
        <v/>
      </c>
      <c r="N117" s="19" t="n">
        <f aca="false">IF($J117="Surrender to fund new asks",IFERROR(INDEX(LevelBasic,MATCH($E117,LevelList,0))+INDEX(LevelHousing,MATCH($E117,LevelList,0))+INDEX(LevelTransport,MATCH($E117,LevelList,0))+INDEX(LevelBasic,MATCH($E117,LevelList,0))*INDEX(LevelBonus,MATCH($E117,LevelList,0))+(INDEX(LevelBasic,MATCH($E117,LevelList,0))+INDEX(LevelHousing,MATCH($E117,LevelList,0)))*GosiSaudi,0),0)</f>
        <v>0</v>
      </c>
      <c r="O117" s="23" t="str">
        <f aca="false">IF($D117="","",MID(IF($C117="",", unit","")&amp;IF($E117="",", career level","")&amp;IF($H117="",", reason","")&amp;IF($I117="",", leaving quarter","")&amp;IF($J117="",", what happens to the seat","")&amp;IF(AND($J117="Defer backfill",$K117=""),", the backfill quarter","")&amp;IF(IFERROR(AND($K117&lt;&gt;"",$I117&lt;&gt;"",MATCH($K117,QuarterList,0)&lt;=MATCH($I117,QuarterList,0)),FALSE()),", a backfill quarter later than the leaving quarter","")&amp;IF(AND($C117&lt;&gt;"",COUNTIF(UnitList,$C117)=0),", a unit that is not in your structure",""),3,300))</f>
        <v/>
      </c>
    </row>
    <row r="118" customFormat="false" ht="15" hidden="false" customHeight="false" outlineLevel="0" collapsed="false">
      <c r="A118" s="17" t="n">
        <v>113</v>
      </c>
      <c r="B118" s="21"/>
      <c r="C118" s="21"/>
      <c r="D118" s="21"/>
      <c r="E118" s="21"/>
      <c r="F118" s="21"/>
      <c r="G118" s="21"/>
      <c r="H118" s="21"/>
      <c r="I118" s="21"/>
      <c r="J118" s="21"/>
      <c r="K118" s="21"/>
      <c r="L118" s="24" t="str">
        <f aca="false">IF(OR($D118="",$I118="",$J118=""),"",IF($J118="Surrender to fund new asks",MATCH($I118,QuarterList,0)/4,IF($J118="Defer backfill",IF($K118="",MATCH($I118,QuarterList,0)/4,MIN(1,MATCH($I118,QuarterList,0)/4+(5-MATCH($K118,QuarterList,0))/4)),1)))</f>
        <v/>
      </c>
      <c r="M118" s="19" t="str">
        <f aca="false">IF($L118="","",IFERROR(INDEX(LevelBasic,MATCH($E118,LevelList,0))+INDEX(LevelHousing,MATCH($E118,LevelList,0))+INDEX(LevelTransport,MATCH($E118,LevelList,0))+INDEX(LevelBasic,MATCH($E118,LevelList,0))*INDEX(LevelBonus,MATCH($E118,LevelList,0))+(INDEX(LevelBasic,MATCH($E118,LevelList,0))+INDEX(LevelHousing,MATCH($E118,LevelList,0)))*GosiSaudi,0)*(1-$L118))</f>
        <v/>
      </c>
      <c r="N118" s="19" t="n">
        <f aca="false">IF($J118="Surrender to fund new asks",IFERROR(INDEX(LevelBasic,MATCH($E118,LevelList,0))+INDEX(LevelHousing,MATCH($E118,LevelList,0))+INDEX(LevelTransport,MATCH($E118,LevelList,0))+INDEX(LevelBasic,MATCH($E118,LevelList,0))*INDEX(LevelBonus,MATCH($E118,LevelList,0))+(INDEX(LevelBasic,MATCH($E118,LevelList,0))+INDEX(LevelHousing,MATCH($E118,LevelList,0)))*GosiSaudi,0),0)</f>
        <v>0</v>
      </c>
      <c r="O118" s="23" t="str">
        <f aca="false">IF($D118="","",MID(IF($C118="",", unit","")&amp;IF($E118="",", career level","")&amp;IF($H118="",", reason","")&amp;IF($I118="",", leaving quarter","")&amp;IF($J118="",", what happens to the seat","")&amp;IF(AND($J118="Defer backfill",$K118=""),", the backfill quarter","")&amp;IF(IFERROR(AND($K118&lt;&gt;"",$I118&lt;&gt;"",MATCH($K118,QuarterList,0)&lt;=MATCH($I118,QuarterList,0)),FALSE()),", a backfill quarter later than the leaving quarter","")&amp;IF(AND($C118&lt;&gt;"",COUNTIF(UnitList,$C118)=0),", a unit that is not in your structure",""),3,300))</f>
        <v/>
      </c>
    </row>
    <row r="119" customFormat="false" ht="15" hidden="false" customHeight="false" outlineLevel="0" collapsed="false">
      <c r="A119" s="17" t="n">
        <v>114</v>
      </c>
      <c r="B119" s="21"/>
      <c r="C119" s="21"/>
      <c r="D119" s="21"/>
      <c r="E119" s="21"/>
      <c r="F119" s="21"/>
      <c r="G119" s="21"/>
      <c r="H119" s="21"/>
      <c r="I119" s="21"/>
      <c r="J119" s="21"/>
      <c r="K119" s="21"/>
      <c r="L119" s="24" t="str">
        <f aca="false">IF(OR($D119="",$I119="",$J119=""),"",IF($J119="Surrender to fund new asks",MATCH($I119,QuarterList,0)/4,IF($J119="Defer backfill",IF($K119="",MATCH($I119,QuarterList,0)/4,MIN(1,MATCH($I119,QuarterList,0)/4+(5-MATCH($K119,QuarterList,0))/4)),1)))</f>
        <v/>
      </c>
      <c r="M119" s="19" t="str">
        <f aca="false">IF($L119="","",IFERROR(INDEX(LevelBasic,MATCH($E119,LevelList,0))+INDEX(LevelHousing,MATCH($E119,LevelList,0))+INDEX(LevelTransport,MATCH($E119,LevelList,0))+INDEX(LevelBasic,MATCH($E119,LevelList,0))*INDEX(LevelBonus,MATCH($E119,LevelList,0))+(INDEX(LevelBasic,MATCH($E119,LevelList,0))+INDEX(LevelHousing,MATCH($E119,LevelList,0)))*GosiSaudi,0)*(1-$L119))</f>
        <v/>
      </c>
      <c r="N119" s="19" t="n">
        <f aca="false">IF($J119="Surrender to fund new asks",IFERROR(INDEX(LevelBasic,MATCH($E119,LevelList,0))+INDEX(LevelHousing,MATCH($E119,LevelList,0))+INDEX(LevelTransport,MATCH($E119,LevelList,0))+INDEX(LevelBasic,MATCH($E119,LevelList,0))*INDEX(LevelBonus,MATCH($E119,LevelList,0))+(INDEX(LevelBasic,MATCH($E119,LevelList,0))+INDEX(LevelHousing,MATCH($E119,LevelList,0)))*GosiSaudi,0),0)</f>
        <v>0</v>
      </c>
      <c r="O119" s="23" t="str">
        <f aca="false">IF($D119="","",MID(IF($C119="",", unit","")&amp;IF($E119="",", career level","")&amp;IF($H119="",", reason","")&amp;IF($I119="",", leaving quarter","")&amp;IF($J119="",", what happens to the seat","")&amp;IF(AND($J119="Defer backfill",$K119=""),", the backfill quarter","")&amp;IF(IFERROR(AND($K119&lt;&gt;"",$I119&lt;&gt;"",MATCH($K119,QuarterList,0)&lt;=MATCH($I119,QuarterList,0)),FALSE()),", a backfill quarter later than the leaving quarter","")&amp;IF(AND($C119&lt;&gt;"",COUNTIF(UnitList,$C119)=0),", a unit that is not in your structure",""),3,300))</f>
        <v/>
      </c>
    </row>
    <row r="120" customFormat="false" ht="15" hidden="false" customHeight="false" outlineLevel="0" collapsed="false">
      <c r="A120" s="17" t="n">
        <v>115</v>
      </c>
      <c r="B120" s="21"/>
      <c r="C120" s="21"/>
      <c r="D120" s="21"/>
      <c r="E120" s="21"/>
      <c r="F120" s="21"/>
      <c r="G120" s="21"/>
      <c r="H120" s="21"/>
      <c r="I120" s="21"/>
      <c r="J120" s="21"/>
      <c r="K120" s="21"/>
      <c r="L120" s="24" t="str">
        <f aca="false">IF(OR($D120="",$I120="",$J120=""),"",IF($J120="Surrender to fund new asks",MATCH($I120,QuarterList,0)/4,IF($J120="Defer backfill",IF($K120="",MATCH($I120,QuarterList,0)/4,MIN(1,MATCH($I120,QuarterList,0)/4+(5-MATCH($K120,QuarterList,0))/4)),1)))</f>
        <v/>
      </c>
      <c r="M120" s="19" t="str">
        <f aca="false">IF($L120="","",IFERROR(INDEX(LevelBasic,MATCH($E120,LevelList,0))+INDEX(LevelHousing,MATCH($E120,LevelList,0))+INDEX(LevelTransport,MATCH($E120,LevelList,0))+INDEX(LevelBasic,MATCH($E120,LevelList,0))*INDEX(LevelBonus,MATCH($E120,LevelList,0))+(INDEX(LevelBasic,MATCH($E120,LevelList,0))+INDEX(LevelHousing,MATCH($E120,LevelList,0)))*GosiSaudi,0)*(1-$L120))</f>
        <v/>
      </c>
      <c r="N120" s="19" t="n">
        <f aca="false">IF($J120="Surrender to fund new asks",IFERROR(INDEX(LevelBasic,MATCH($E120,LevelList,0))+INDEX(LevelHousing,MATCH($E120,LevelList,0))+INDEX(LevelTransport,MATCH($E120,LevelList,0))+INDEX(LevelBasic,MATCH($E120,LevelList,0))*INDEX(LevelBonus,MATCH($E120,LevelList,0))+(INDEX(LevelBasic,MATCH($E120,LevelList,0))+INDEX(LevelHousing,MATCH($E120,LevelList,0)))*GosiSaudi,0),0)</f>
        <v>0</v>
      </c>
      <c r="O120" s="23" t="str">
        <f aca="false">IF($D120="","",MID(IF($C120="",", unit","")&amp;IF($E120="",", career level","")&amp;IF($H120="",", reason","")&amp;IF($I120="",", leaving quarter","")&amp;IF($J120="",", what happens to the seat","")&amp;IF(AND($J120="Defer backfill",$K120=""),", the backfill quarter","")&amp;IF(IFERROR(AND($K120&lt;&gt;"",$I120&lt;&gt;"",MATCH($K120,QuarterList,0)&lt;=MATCH($I120,QuarterList,0)),FALSE()),", a backfill quarter later than the leaving quarter","")&amp;IF(AND($C120&lt;&gt;"",COUNTIF(UnitList,$C120)=0),", a unit that is not in your structure",""),3,300))</f>
        <v/>
      </c>
    </row>
    <row r="121" customFormat="false" ht="15" hidden="false" customHeight="false" outlineLevel="0" collapsed="false">
      <c r="A121" s="17" t="n">
        <v>116</v>
      </c>
      <c r="B121" s="21"/>
      <c r="C121" s="21"/>
      <c r="D121" s="21"/>
      <c r="E121" s="21"/>
      <c r="F121" s="21"/>
      <c r="G121" s="21"/>
      <c r="H121" s="21"/>
      <c r="I121" s="21"/>
      <c r="J121" s="21"/>
      <c r="K121" s="21"/>
      <c r="L121" s="24" t="str">
        <f aca="false">IF(OR($D121="",$I121="",$J121=""),"",IF($J121="Surrender to fund new asks",MATCH($I121,QuarterList,0)/4,IF($J121="Defer backfill",IF($K121="",MATCH($I121,QuarterList,0)/4,MIN(1,MATCH($I121,QuarterList,0)/4+(5-MATCH($K121,QuarterList,0))/4)),1)))</f>
        <v/>
      </c>
      <c r="M121" s="19" t="str">
        <f aca="false">IF($L121="","",IFERROR(INDEX(LevelBasic,MATCH($E121,LevelList,0))+INDEX(LevelHousing,MATCH($E121,LevelList,0))+INDEX(LevelTransport,MATCH($E121,LevelList,0))+INDEX(LevelBasic,MATCH($E121,LevelList,0))*INDEX(LevelBonus,MATCH($E121,LevelList,0))+(INDEX(LevelBasic,MATCH($E121,LevelList,0))+INDEX(LevelHousing,MATCH($E121,LevelList,0)))*GosiSaudi,0)*(1-$L121))</f>
        <v/>
      </c>
      <c r="N121" s="19" t="n">
        <f aca="false">IF($J121="Surrender to fund new asks",IFERROR(INDEX(LevelBasic,MATCH($E121,LevelList,0))+INDEX(LevelHousing,MATCH($E121,LevelList,0))+INDEX(LevelTransport,MATCH($E121,LevelList,0))+INDEX(LevelBasic,MATCH($E121,LevelList,0))*INDEX(LevelBonus,MATCH($E121,LevelList,0))+(INDEX(LevelBasic,MATCH($E121,LevelList,0))+INDEX(LevelHousing,MATCH($E121,LevelList,0)))*GosiSaudi,0),0)</f>
        <v>0</v>
      </c>
      <c r="O121" s="23" t="str">
        <f aca="false">IF($D121="","",MID(IF($C121="",", unit","")&amp;IF($E121="",", career level","")&amp;IF($H121="",", reason","")&amp;IF($I121="",", leaving quarter","")&amp;IF($J121="",", what happens to the seat","")&amp;IF(AND($J121="Defer backfill",$K121=""),", the backfill quarter","")&amp;IF(IFERROR(AND($K121&lt;&gt;"",$I121&lt;&gt;"",MATCH($K121,QuarterList,0)&lt;=MATCH($I121,QuarterList,0)),FALSE()),", a backfill quarter later than the leaving quarter","")&amp;IF(AND($C121&lt;&gt;"",COUNTIF(UnitList,$C121)=0),", a unit that is not in your structure",""),3,300))</f>
        <v/>
      </c>
    </row>
    <row r="122" customFormat="false" ht="15" hidden="false" customHeight="false" outlineLevel="0" collapsed="false">
      <c r="A122" s="17" t="n">
        <v>117</v>
      </c>
      <c r="B122" s="21"/>
      <c r="C122" s="21"/>
      <c r="D122" s="21"/>
      <c r="E122" s="21"/>
      <c r="F122" s="21"/>
      <c r="G122" s="21"/>
      <c r="H122" s="21"/>
      <c r="I122" s="21"/>
      <c r="J122" s="21"/>
      <c r="K122" s="21"/>
      <c r="L122" s="24" t="str">
        <f aca="false">IF(OR($D122="",$I122="",$J122=""),"",IF($J122="Surrender to fund new asks",MATCH($I122,QuarterList,0)/4,IF($J122="Defer backfill",IF($K122="",MATCH($I122,QuarterList,0)/4,MIN(1,MATCH($I122,QuarterList,0)/4+(5-MATCH($K122,QuarterList,0))/4)),1)))</f>
        <v/>
      </c>
      <c r="M122" s="19" t="str">
        <f aca="false">IF($L122="","",IFERROR(INDEX(LevelBasic,MATCH($E122,LevelList,0))+INDEX(LevelHousing,MATCH($E122,LevelList,0))+INDEX(LevelTransport,MATCH($E122,LevelList,0))+INDEX(LevelBasic,MATCH($E122,LevelList,0))*INDEX(LevelBonus,MATCH($E122,LevelList,0))+(INDEX(LevelBasic,MATCH($E122,LevelList,0))+INDEX(LevelHousing,MATCH($E122,LevelList,0)))*GosiSaudi,0)*(1-$L122))</f>
        <v/>
      </c>
      <c r="N122" s="19" t="n">
        <f aca="false">IF($J122="Surrender to fund new asks",IFERROR(INDEX(LevelBasic,MATCH($E122,LevelList,0))+INDEX(LevelHousing,MATCH($E122,LevelList,0))+INDEX(LevelTransport,MATCH($E122,LevelList,0))+INDEX(LevelBasic,MATCH($E122,LevelList,0))*INDEX(LevelBonus,MATCH($E122,LevelList,0))+(INDEX(LevelBasic,MATCH($E122,LevelList,0))+INDEX(LevelHousing,MATCH($E122,LevelList,0)))*GosiSaudi,0),0)</f>
        <v>0</v>
      </c>
      <c r="O122" s="23" t="str">
        <f aca="false">IF($D122="","",MID(IF($C122="",", unit","")&amp;IF($E122="",", career level","")&amp;IF($H122="",", reason","")&amp;IF($I122="",", leaving quarter","")&amp;IF($J122="",", what happens to the seat","")&amp;IF(AND($J122="Defer backfill",$K122=""),", the backfill quarter","")&amp;IF(IFERROR(AND($K122&lt;&gt;"",$I122&lt;&gt;"",MATCH($K122,QuarterList,0)&lt;=MATCH($I122,QuarterList,0)),FALSE()),", a backfill quarter later than the leaving quarter","")&amp;IF(AND($C122&lt;&gt;"",COUNTIF(UnitList,$C122)=0),", a unit that is not in your structure",""),3,300))</f>
        <v/>
      </c>
    </row>
    <row r="123" customFormat="false" ht="15" hidden="false" customHeight="false" outlineLevel="0" collapsed="false">
      <c r="A123" s="17" t="n">
        <v>118</v>
      </c>
      <c r="B123" s="21"/>
      <c r="C123" s="21"/>
      <c r="D123" s="21"/>
      <c r="E123" s="21"/>
      <c r="F123" s="21"/>
      <c r="G123" s="21"/>
      <c r="H123" s="21"/>
      <c r="I123" s="21"/>
      <c r="J123" s="21"/>
      <c r="K123" s="21"/>
      <c r="L123" s="24" t="str">
        <f aca="false">IF(OR($D123="",$I123="",$J123=""),"",IF($J123="Surrender to fund new asks",MATCH($I123,QuarterList,0)/4,IF($J123="Defer backfill",IF($K123="",MATCH($I123,QuarterList,0)/4,MIN(1,MATCH($I123,QuarterList,0)/4+(5-MATCH($K123,QuarterList,0))/4)),1)))</f>
        <v/>
      </c>
      <c r="M123" s="19" t="str">
        <f aca="false">IF($L123="","",IFERROR(INDEX(LevelBasic,MATCH($E123,LevelList,0))+INDEX(LevelHousing,MATCH($E123,LevelList,0))+INDEX(LevelTransport,MATCH($E123,LevelList,0))+INDEX(LevelBasic,MATCH($E123,LevelList,0))*INDEX(LevelBonus,MATCH($E123,LevelList,0))+(INDEX(LevelBasic,MATCH($E123,LevelList,0))+INDEX(LevelHousing,MATCH($E123,LevelList,0)))*GosiSaudi,0)*(1-$L123))</f>
        <v/>
      </c>
      <c r="N123" s="19" t="n">
        <f aca="false">IF($J123="Surrender to fund new asks",IFERROR(INDEX(LevelBasic,MATCH($E123,LevelList,0))+INDEX(LevelHousing,MATCH($E123,LevelList,0))+INDEX(LevelTransport,MATCH($E123,LevelList,0))+INDEX(LevelBasic,MATCH($E123,LevelList,0))*INDEX(LevelBonus,MATCH($E123,LevelList,0))+(INDEX(LevelBasic,MATCH($E123,LevelList,0))+INDEX(LevelHousing,MATCH($E123,LevelList,0)))*GosiSaudi,0),0)</f>
        <v>0</v>
      </c>
      <c r="O123" s="23" t="str">
        <f aca="false">IF($D123="","",MID(IF($C123="",", unit","")&amp;IF($E123="",", career level","")&amp;IF($H123="",", reason","")&amp;IF($I123="",", leaving quarter","")&amp;IF($J123="",", what happens to the seat","")&amp;IF(AND($J123="Defer backfill",$K123=""),", the backfill quarter","")&amp;IF(IFERROR(AND($K123&lt;&gt;"",$I123&lt;&gt;"",MATCH($K123,QuarterList,0)&lt;=MATCH($I123,QuarterList,0)),FALSE()),", a backfill quarter later than the leaving quarter","")&amp;IF(AND($C123&lt;&gt;"",COUNTIF(UnitList,$C123)=0),", a unit that is not in your structure",""),3,300))</f>
        <v/>
      </c>
    </row>
    <row r="124" customFormat="false" ht="15" hidden="false" customHeight="false" outlineLevel="0" collapsed="false">
      <c r="A124" s="17" t="n">
        <v>119</v>
      </c>
      <c r="B124" s="21"/>
      <c r="C124" s="21"/>
      <c r="D124" s="21"/>
      <c r="E124" s="21"/>
      <c r="F124" s="21"/>
      <c r="G124" s="21"/>
      <c r="H124" s="21"/>
      <c r="I124" s="21"/>
      <c r="J124" s="21"/>
      <c r="K124" s="21"/>
      <c r="L124" s="24" t="str">
        <f aca="false">IF(OR($D124="",$I124="",$J124=""),"",IF($J124="Surrender to fund new asks",MATCH($I124,QuarterList,0)/4,IF($J124="Defer backfill",IF($K124="",MATCH($I124,QuarterList,0)/4,MIN(1,MATCH($I124,QuarterList,0)/4+(5-MATCH($K124,QuarterList,0))/4)),1)))</f>
        <v/>
      </c>
      <c r="M124" s="19" t="str">
        <f aca="false">IF($L124="","",IFERROR(INDEX(LevelBasic,MATCH($E124,LevelList,0))+INDEX(LevelHousing,MATCH($E124,LevelList,0))+INDEX(LevelTransport,MATCH($E124,LevelList,0))+INDEX(LevelBasic,MATCH($E124,LevelList,0))*INDEX(LevelBonus,MATCH($E124,LevelList,0))+(INDEX(LevelBasic,MATCH($E124,LevelList,0))+INDEX(LevelHousing,MATCH($E124,LevelList,0)))*GosiSaudi,0)*(1-$L124))</f>
        <v/>
      </c>
      <c r="N124" s="19" t="n">
        <f aca="false">IF($J124="Surrender to fund new asks",IFERROR(INDEX(LevelBasic,MATCH($E124,LevelList,0))+INDEX(LevelHousing,MATCH($E124,LevelList,0))+INDEX(LevelTransport,MATCH($E124,LevelList,0))+INDEX(LevelBasic,MATCH($E124,LevelList,0))*INDEX(LevelBonus,MATCH($E124,LevelList,0))+(INDEX(LevelBasic,MATCH($E124,LevelList,0))+INDEX(LevelHousing,MATCH($E124,LevelList,0)))*GosiSaudi,0),0)</f>
        <v>0</v>
      </c>
      <c r="O124" s="23" t="str">
        <f aca="false">IF($D124="","",MID(IF($C124="",", unit","")&amp;IF($E124="",", career level","")&amp;IF($H124="",", reason","")&amp;IF($I124="",", leaving quarter","")&amp;IF($J124="",", what happens to the seat","")&amp;IF(AND($J124="Defer backfill",$K124=""),", the backfill quarter","")&amp;IF(IFERROR(AND($K124&lt;&gt;"",$I124&lt;&gt;"",MATCH($K124,QuarterList,0)&lt;=MATCH($I124,QuarterList,0)),FALSE()),", a backfill quarter later than the leaving quarter","")&amp;IF(AND($C124&lt;&gt;"",COUNTIF(UnitList,$C124)=0),", a unit that is not in your structure",""),3,300))</f>
        <v/>
      </c>
    </row>
    <row r="125" customFormat="false" ht="15" hidden="false" customHeight="false" outlineLevel="0" collapsed="false">
      <c r="A125" s="17" t="n">
        <v>120</v>
      </c>
      <c r="B125" s="21"/>
      <c r="C125" s="21"/>
      <c r="D125" s="21"/>
      <c r="E125" s="21"/>
      <c r="F125" s="21"/>
      <c r="G125" s="21"/>
      <c r="H125" s="21"/>
      <c r="I125" s="21"/>
      <c r="J125" s="21"/>
      <c r="K125" s="21"/>
      <c r="L125" s="24" t="str">
        <f aca="false">IF(OR($D125="",$I125="",$J125=""),"",IF($J125="Surrender to fund new asks",MATCH($I125,QuarterList,0)/4,IF($J125="Defer backfill",IF($K125="",MATCH($I125,QuarterList,0)/4,MIN(1,MATCH($I125,QuarterList,0)/4+(5-MATCH($K125,QuarterList,0))/4)),1)))</f>
        <v/>
      </c>
      <c r="M125" s="19" t="str">
        <f aca="false">IF($L125="","",IFERROR(INDEX(LevelBasic,MATCH($E125,LevelList,0))+INDEX(LevelHousing,MATCH($E125,LevelList,0))+INDEX(LevelTransport,MATCH($E125,LevelList,0))+INDEX(LevelBasic,MATCH($E125,LevelList,0))*INDEX(LevelBonus,MATCH($E125,LevelList,0))+(INDEX(LevelBasic,MATCH($E125,LevelList,0))+INDEX(LevelHousing,MATCH($E125,LevelList,0)))*GosiSaudi,0)*(1-$L125))</f>
        <v/>
      </c>
      <c r="N125" s="19" t="n">
        <f aca="false">IF($J125="Surrender to fund new asks",IFERROR(INDEX(LevelBasic,MATCH($E125,LevelList,0))+INDEX(LevelHousing,MATCH($E125,LevelList,0))+INDEX(LevelTransport,MATCH($E125,LevelList,0))+INDEX(LevelBasic,MATCH($E125,LevelList,0))*INDEX(LevelBonus,MATCH($E125,LevelList,0))+(INDEX(LevelBasic,MATCH($E125,LevelList,0))+INDEX(LevelHousing,MATCH($E125,LevelList,0)))*GosiSaudi,0),0)</f>
        <v>0</v>
      </c>
      <c r="O125" s="23" t="str">
        <f aca="false">IF($D125="","",MID(IF($C125="",", unit","")&amp;IF($E125="",", career level","")&amp;IF($H125="",", reason","")&amp;IF($I125="",", leaving quarter","")&amp;IF($J125="",", what happens to the seat","")&amp;IF(AND($J125="Defer backfill",$K125=""),", the backfill quarter","")&amp;IF(IFERROR(AND($K125&lt;&gt;"",$I125&lt;&gt;"",MATCH($K125,QuarterList,0)&lt;=MATCH($I125,QuarterList,0)),FALSE()),", a backfill quarter later than the leaving quarter","")&amp;IF(AND($C125&lt;&gt;"",COUNTIF(UnitList,$C125)=0),", a unit that is not in your structure",""),3,300))</f>
        <v/>
      </c>
    </row>
    <row r="127" customFormat="false" ht="25.5" hidden="false" customHeight="true" outlineLevel="0" collapsed="false">
      <c r="A127" s="11" t="s">
        <v>385</v>
      </c>
      <c r="B127" s="11"/>
      <c r="C127" s="11"/>
      <c r="D127" s="11"/>
      <c r="E127" s="11"/>
      <c r="F127" s="11"/>
      <c r="G127" s="11"/>
      <c r="H127" s="11"/>
      <c r="I127" s="11"/>
      <c r="J127" s="11"/>
      <c r="K127" s="11"/>
      <c r="L127" s="11"/>
      <c r="M127" s="11"/>
      <c r="N127" s="11"/>
      <c r="O127" s="11"/>
    </row>
  </sheetData>
  <sheetProtection sheet="true" sort="false" autoFilter="false"/>
  <autoFilter ref="A5:O125"/>
  <mergeCells count="2">
    <mergeCell ref="A2:J2"/>
    <mergeCell ref="A127:O127"/>
  </mergeCells>
  <conditionalFormatting sqref="J6:J125">
    <cfRule type="cellIs" priority="2" operator="equal" aboveAverage="0" equalAverage="0" bottom="0" percent="0" rank="0" text="" dxfId="0">
      <formula>"Surrender to fund new asks"</formula>
    </cfRule>
  </conditionalFormatting>
  <conditionalFormatting sqref="A6:O125">
    <cfRule type="expression" priority="3" aboveAverage="0" equalAverage="0" bottom="0" percent="0" rank="0" text="" dxfId="13">
      <formula>$O6&lt;&gt;""</formula>
    </cfRule>
  </conditionalFormatting>
  <dataValidations count="8">
    <dataValidation allowBlank="true" error="Pick a value from the list." errorStyle="stop" operator="between" showDropDown="false" showErrorMessage="true" showInputMessage="false" sqref="B6:B125" type="list">
      <formula1>DivisionList</formula1>
      <formula2>0</formula2>
    </dataValidation>
    <dataValidation allowBlank="true" error="Pick a value from the list." errorStyle="stop" operator="between" showDropDown="false" showErrorMessage="true" showInputMessage="false" sqref="C6:C125" type="list">
      <formula1>UnitList</formula1>
      <formula2>0</formula2>
    </dataValidation>
    <dataValidation allowBlank="true" error="Pick a value from the list." errorStyle="stop" operator="between" showDropDown="false" showErrorMessage="true" showInputMessage="false" sqref="E6:E125" type="list">
      <formula1>CareerLevels</formula1>
      <formula2>0</formula2>
    </dataValidation>
    <dataValidation allowBlank="true" error="Pick a value from the list." errorStyle="stop" operator="between" showDropDown="false" showErrorMessage="true" showInputMessage="false" sqref="F6:F125" type="list">
      <formula1>WorkerTypes</formula1>
      <formula2>0</formula2>
    </dataValidation>
    <dataValidation allowBlank="true" error="Pick a value from the list." errorStyle="stop" operator="between" showDropDown="false" showErrorMessage="true" showInputMessage="false" sqref="H6:H125" type="list">
      <formula1>LeavingReasons</formula1>
      <formula2>0</formula2>
    </dataValidation>
    <dataValidation allowBlank="true" error="Pick a value from the list." errorStyle="stop" operator="between" showDropDown="false" showErrorMessage="true" showInputMessage="false" sqref="I6:I125" type="list">
      <formula1>QuarterList</formula1>
      <formula2>0</formula2>
    </dataValidation>
    <dataValidation allowBlank="true" error="Pick a value from the list." errorStyle="stop" operator="between" showDropDown="false" showErrorMessage="true" showInputMessage="false" sqref="J6:J125" type="list">
      <formula1>DispositionList</formula1>
      <formula2>0</formula2>
    </dataValidation>
    <dataValidation allowBlank="true" error="Pick a value from the list." errorStyle="stop" operator="between" showDropDown="false" showErrorMessage="true" showInputMessage="false" sqref="K6:K125" type="list">
      <formula1>QuarterList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4"/>
    <col collapsed="false" customWidth="true" hidden="false" outlineLevel="0" max="10" min="10" style="0" width="15"/>
    <col collapsed="false" customWidth="true" hidden="false" outlineLevel="0" max="11" min="11" style="0" width="11"/>
    <col collapsed="false" customWidth="true" hidden="false" outlineLevel="0" max="15" min="12" style="0" width="7"/>
    <col collapsed="false" customWidth="true" hidden="false" outlineLevel="0" max="16" min="16" style="0" width="14"/>
    <col collapsed="false" customWidth="true" hidden="false" outlineLevel="0" max="17" min="17" style="0" width="30"/>
    <col collapsed="false" customWidth="true" hidden="false" outlineLevel="0" max="18" min="18" style="0" width="44"/>
    <col collapsed="false" customWidth="true" hidden="false" outlineLevel="0" max="19" min="19" style="0" width="38"/>
    <col collapsed="false" customWidth="true" hidden="false" outlineLevel="0" max="20" min="20" style="0" width="9"/>
  </cols>
  <sheetData>
    <row r="1" customFormat="false" ht="24" hidden="false" customHeight="true" outlineLevel="0" collapsed="false">
      <c r="A1" s="1" t="s">
        <v>386</v>
      </c>
    </row>
    <row r="2" customFormat="false" ht="15" hidden="false" customHeight="false" outlineLevel="0" collapsed="false">
      <c r="A2" s="2" t="s">
        <v>387</v>
      </c>
      <c r="B2" s="2"/>
      <c r="C2" s="2"/>
      <c r="D2" s="2"/>
      <c r="E2" s="2"/>
      <c r="F2" s="2"/>
      <c r="G2" s="2"/>
      <c r="H2" s="2"/>
      <c r="I2" s="2"/>
      <c r="J2" s="2"/>
    </row>
    <row r="4" customFormat="false" ht="15" hidden="false" customHeight="false" outlineLevel="0" collapsed="false">
      <c r="L4" s="25" t="s">
        <v>388</v>
      </c>
      <c r="M4" s="25"/>
      <c r="N4" s="25"/>
      <c r="O4" s="25"/>
    </row>
    <row r="5" customFormat="false" ht="30" hidden="false" customHeight="true" outlineLevel="0" collapsed="false">
      <c r="A5" s="12" t="s">
        <v>376</v>
      </c>
      <c r="B5" s="12" t="s">
        <v>61</v>
      </c>
      <c r="C5" s="12" t="s">
        <v>64</v>
      </c>
      <c r="D5" s="12" t="s">
        <v>50</v>
      </c>
      <c r="E5" s="12" t="s">
        <v>255</v>
      </c>
      <c r="F5" s="12" t="s">
        <v>377</v>
      </c>
      <c r="G5" s="12" t="s">
        <v>18</v>
      </c>
      <c r="H5" s="12" t="s">
        <v>257</v>
      </c>
      <c r="I5" s="12" t="s">
        <v>259</v>
      </c>
      <c r="J5" s="12" t="s">
        <v>389</v>
      </c>
      <c r="K5" s="12" t="s">
        <v>390</v>
      </c>
      <c r="L5" s="12" t="s">
        <v>391</v>
      </c>
      <c r="M5" s="12" t="s">
        <v>392</v>
      </c>
      <c r="N5" s="12" t="s">
        <v>393</v>
      </c>
      <c r="O5" s="12" t="s">
        <v>394</v>
      </c>
      <c r="P5" s="12" t="s">
        <v>395</v>
      </c>
      <c r="Q5" s="12" t="s">
        <v>30</v>
      </c>
      <c r="R5" s="12" t="s">
        <v>32</v>
      </c>
      <c r="S5" s="12" t="s">
        <v>261</v>
      </c>
      <c r="T5" s="12" t="s">
        <v>396</v>
      </c>
    </row>
    <row r="6" customFormat="false" ht="15" hidden="false" customHeight="false" outlineLevel="0" collapsed="false">
      <c r="A6" s="17" t="n">
        <v>1</v>
      </c>
      <c r="B6" s="21"/>
      <c r="C6" s="21"/>
      <c r="D6" s="21"/>
      <c r="E6" s="21"/>
      <c r="F6" s="21"/>
      <c r="G6" s="21"/>
      <c r="H6" s="21"/>
      <c r="I6" s="21"/>
      <c r="J6" s="20" t="str">
        <f aca="false">IF($F6="","",SUMIFS(SeatApproved,SeatUnit,$D6,SeatTitle,$F6))</f>
        <v/>
      </c>
      <c r="K6" s="20" t="str">
        <f aca="false">IF($F6="","",SUM($L6:$O6))</f>
        <v/>
      </c>
      <c r="L6" s="22"/>
      <c r="M6" s="22"/>
      <c r="N6" s="22"/>
      <c r="O6" s="22"/>
      <c r="P6" s="18" t="str">
        <f aca="false">IF($Q6="","",IFERROR(INDEX(DriverCategory,MATCH($Q6,DriverList,0)),"?"))</f>
        <v/>
      </c>
      <c r="Q6" s="21"/>
      <c r="R6" s="21"/>
      <c r="S6" s="23" t="str">
        <f aca="false">IF(COUNTA($B6:$H6)+COUNTA($L6:$O6)=0,"",MID(IF($B6="",", division","")&amp;IF($D6="",", unit","")&amp;IF($F6="",", job title","")&amp;IF($G6="",", career level","")&amp;IF($H6="",", job family","")&amp;IF($I6="",", worker type","")&amp;IF(N($K6)&lt;=0,", the quarter split","")&amp;IF($Q6="",", driver","")&amp;IF($R6="",", alternatives","")&amp;IF(AND($D6&lt;&gt;"",COUNTIF(UnitList,$D6)=0),", a unit that is not in your structure",""),3,300))</f>
        <v/>
      </c>
      <c r="T6" s="17" t="str">
        <f aca="false">IF($S6="","",COUNTIF($S$6:$S6,"?*"))</f>
        <v/>
      </c>
    </row>
    <row r="7" customFormat="false" ht="15" hidden="false" customHeight="false" outlineLevel="0" collapsed="false">
      <c r="A7" s="17" t="n">
        <v>2</v>
      </c>
      <c r="B7" s="21"/>
      <c r="C7" s="21"/>
      <c r="D7" s="21"/>
      <c r="E7" s="21"/>
      <c r="F7" s="21"/>
      <c r="G7" s="21"/>
      <c r="H7" s="21"/>
      <c r="I7" s="21"/>
      <c r="J7" s="20" t="str">
        <f aca="false">IF($F7="","",SUMIFS(SeatApproved,SeatUnit,$D7,SeatTitle,$F7))</f>
        <v/>
      </c>
      <c r="K7" s="20" t="str">
        <f aca="false">IF($F7="","",SUM($L7:$O7))</f>
        <v/>
      </c>
      <c r="L7" s="22"/>
      <c r="M7" s="22"/>
      <c r="N7" s="22"/>
      <c r="O7" s="22"/>
      <c r="P7" s="18" t="str">
        <f aca="false">IF($Q7="","",IFERROR(INDEX(DriverCategory,MATCH($Q7,DriverList,0)),"?"))</f>
        <v/>
      </c>
      <c r="Q7" s="21"/>
      <c r="R7" s="21"/>
      <c r="S7" s="23" t="str">
        <f aca="false">IF(COUNTA($B7:$H7)+COUNTA($L7:$O7)=0,"",MID(IF($B7="",", division","")&amp;IF($D7="",", unit","")&amp;IF($F7="",", job title","")&amp;IF($G7="",", career level","")&amp;IF($H7="",", job family","")&amp;IF($I7="",", worker type","")&amp;IF(N($K7)&lt;=0,", the quarter split","")&amp;IF($Q7="",", driver","")&amp;IF($R7="",", alternatives","")&amp;IF(AND($D7&lt;&gt;"",COUNTIF(UnitList,$D7)=0),", a unit that is not in your structure",""),3,300))</f>
        <v/>
      </c>
      <c r="T7" s="17" t="str">
        <f aca="false">IF($S7="","",COUNTIF($S$6:$S7,"?*"))</f>
        <v/>
      </c>
    </row>
    <row r="8" customFormat="false" ht="15" hidden="false" customHeight="false" outlineLevel="0" collapsed="false">
      <c r="A8" s="17" t="n">
        <v>3</v>
      </c>
      <c r="B8" s="21"/>
      <c r="C8" s="21"/>
      <c r="D8" s="21"/>
      <c r="E8" s="21"/>
      <c r="F8" s="21"/>
      <c r="G8" s="21"/>
      <c r="H8" s="21"/>
      <c r="I8" s="21"/>
      <c r="J8" s="20" t="str">
        <f aca="false">IF($F8="","",SUMIFS(SeatApproved,SeatUnit,$D8,SeatTitle,$F8))</f>
        <v/>
      </c>
      <c r="K8" s="20" t="str">
        <f aca="false">IF($F8="","",SUM($L8:$O8))</f>
        <v/>
      </c>
      <c r="L8" s="22"/>
      <c r="M8" s="22"/>
      <c r="N8" s="22"/>
      <c r="O8" s="22"/>
      <c r="P8" s="18" t="str">
        <f aca="false">IF($Q8="","",IFERROR(INDEX(DriverCategory,MATCH($Q8,DriverList,0)),"?"))</f>
        <v/>
      </c>
      <c r="Q8" s="21"/>
      <c r="R8" s="21"/>
      <c r="S8" s="23" t="str">
        <f aca="false">IF(COUNTA($B8:$H8)+COUNTA($L8:$O8)=0,"",MID(IF($B8="",", division","")&amp;IF($D8="",", unit","")&amp;IF($F8="",", job title","")&amp;IF($G8="",", career level","")&amp;IF($H8="",", job family","")&amp;IF($I8="",", worker type","")&amp;IF(N($K8)&lt;=0,", the quarter split","")&amp;IF($Q8="",", driver","")&amp;IF($R8="",", alternatives","")&amp;IF(AND($D8&lt;&gt;"",COUNTIF(UnitList,$D8)=0),", a unit that is not in your structure",""),3,300))</f>
        <v/>
      </c>
      <c r="T8" s="17" t="str">
        <f aca="false">IF($S8="","",COUNTIF($S$6:$S8,"?*"))</f>
        <v/>
      </c>
    </row>
    <row r="9" customFormat="false" ht="15" hidden="false" customHeight="false" outlineLevel="0" collapsed="false">
      <c r="A9" s="17" t="n">
        <v>4</v>
      </c>
      <c r="B9" s="21"/>
      <c r="C9" s="21"/>
      <c r="D9" s="21"/>
      <c r="E9" s="21"/>
      <c r="F9" s="21"/>
      <c r="G9" s="21"/>
      <c r="H9" s="21"/>
      <c r="I9" s="21"/>
      <c r="J9" s="20" t="str">
        <f aca="false">IF($F9="","",SUMIFS(SeatApproved,SeatUnit,$D9,SeatTitle,$F9))</f>
        <v/>
      </c>
      <c r="K9" s="20" t="str">
        <f aca="false">IF($F9="","",SUM($L9:$O9))</f>
        <v/>
      </c>
      <c r="L9" s="22"/>
      <c r="M9" s="22"/>
      <c r="N9" s="22"/>
      <c r="O9" s="22"/>
      <c r="P9" s="18" t="str">
        <f aca="false">IF($Q9="","",IFERROR(INDEX(DriverCategory,MATCH($Q9,DriverList,0)),"?"))</f>
        <v/>
      </c>
      <c r="Q9" s="21"/>
      <c r="R9" s="21"/>
      <c r="S9" s="23" t="str">
        <f aca="false">IF(COUNTA($B9:$H9)+COUNTA($L9:$O9)=0,"",MID(IF($B9="",", division","")&amp;IF($D9="",", unit","")&amp;IF($F9="",", job title","")&amp;IF($G9="",", career level","")&amp;IF($H9="",", job family","")&amp;IF($I9="",", worker type","")&amp;IF(N($K9)&lt;=0,", the quarter split","")&amp;IF($Q9="",", driver","")&amp;IF($R9="",", alternatives","")&amp;IF(AND($D9&lt;&gt;"",COUNTIF(UnitList,$D9)=0),", a unit that is not in your structure",""),3,300))</f>
        <v/>
      </c>
      <c r="T9" s="17" t="str">
        <f aca="false">IF($S9="","",COUNTIF($S$6:$S9,"?*"))</f>
        <v/>
      </c>
    </row>
    <row r="10" customFormat="false" ht="15" hidden="false" customHeight="false" outlineLevel="0" collapsed="false">
      <c r="A10" s="17" t="n">
        <v>5</v>
      </c>
      <c r="B10" s="21"/>
      <c r="C10" s="21"/>
      <c r="D10" s="21"/>
      <c r="E10" s="21"/>
      <c r="F10" s="21"/>
      <c r="G10" s="21"/>
      <c r="H10" s="21"/>
      <c r="I10" s="21"/>
      <c r="J10" s="20" t="str">
        <f aca="false">IF($F10="","",SUMIFS(SeatApproved,SeatUnit,$D10,SeatTitle,$F10))</f>
        <v/>
      </c>
      <c r="K10" s="20" t="str">
        <f aca="false">IF($F10="","",SUM($L10:$O10))</f>
        <v/>
      </c>
      <c r="L10" s="22"/>
      <c r="M10" s="22"/>
      <c r="N10" s="22"/>
      <c r="O10" s="22"/>
      <c r="P10" s="18" t="str">
        <f aca="false">IF($Q10="","",IFERROR(INDEX(DriverCategory,MATCH($Q10,DriverList,0)),"?"))</f>
        <v/>
      </c>
      <c r="Q10" s="21"/>
      <c r="R10" s="21"/>
      <c r="S10" s="23" t="str">
        <f aca="false">IF(COUNTA($B10:$H10)+COUNTA($L10:$O10)=0,"",MID(IF($B10="",", division","")&amp;IF($D10="",", unit","")&amp;IF($F10="",", job title","")&amp;IF($G10="",", career level","")&amp;IF($H10="",", job family","")&amp;IF($I10="",", worker type","")&amp;IF(N($K10)&lt;=0,", the quarter split","")&amp;IF($Q10="",", driver","")&amp;IF($R10="",", alternatives","")&amp;IF(AND($D10&lt;&gt;"",COUNTIF(UnitList,$D10)=0),", a unit that is not in your structure",""),3,300))</f>
        <v/>
      </c>
      <c r="T10" s="17" t="str">
        <f aca="false">IF($S10="","",COUNTIF($S$6:$S10,"?*"))</f>
        <v/>
      </c>
    </row>
    <row r="11" customFormat="false" ht="15" hidden="false" customHeight="false" outlineLevel="0" collapsed="false">
      <c r="A11" s="17" t="n">
        <v>6</v>
      </c>
      <c r="B11" s="21"/>
      <c r="C11" s="21"/>
      <c r="D11" s="21"/>
      <c r="E11" s="21"/>
      <c r="F11" s="21"/>
      <c r="G11" s="21"/>
      <c r="H11" s="21"/>
      <c r="I11" s="21"/>
      <c r="J11" s="20" t="str">
        <f aca="false">IF($F11="","",SUMIFS(SeatApproved,SeatUnit,$D11,SeatTitle,$F11))</f>
        <v/>
      </c>
      <c r="K11" s="20" t="str">
        <f aca="false">IF($F11="","",SUM($L11:$O11))</f>
        <v/>
      </c>
      <c r="L11" s="22"/>
      <c r="M11" s="22"/>
      <c r="N11" s="22"/>
      <c r="O11" s="22"/>
      <c r="P11" s="18" t="str">
        <f aca="false">IF($Q11="","",IFERROR(INDEX(DriverCategory,MATCH($Q11,DriverList,0)),"?"))</f>
        <v/>
      </c>
      <c r="Q11" s="21"/>
      <c r="R11" s="21"/>
      <c r="S11" s="23" t="str">
        <f aca="false">IF(COUNTA($B11:$H11)+COUNTA($L11:$O11)=0,"",MID(IF($B11="",", division","")&amp;IF($D11="",", unit","")&amp;IF($F11="",", job title","")&amp;IF($G11="",", career level","")&amp;IF($H11="",", job family","")&amp;IF($I11="",", worker type","")&amp;IF(N($K11)&lt;=0,", the quarter split","")&amp;IF($Q11="",", driver","")&amp;IF($R11="",", alternatives","")&amp;IF(AND($D11&lt;&gt;"",COUNTIF(UnitList,$D11)=0),", a unit that is not in your structure",""),3,300))</f>
        <v/>
      </c>
      <c r="T11" s="17" t="str">
        <f aca="false">IF($S11="","",COUNTIF($S$6:$S11,"?*"))</f>
        <v/>
      </c>
    </row>
    <row r="12" customFormat="false" ht="15" hidden="false" customHeight="false" outlineLevel="0" collapsed="false">
      <c r="A12" s="17" t="n">
        <v>7</v>
      </c>
      <c r="B12" s="21"/>
      <c r="C12" s="21"/>
      <c r="D12" s="21"/>
      <c r="E12" s="21"/>
      <c r="F12" s="21"/>
      <c r="G12" s="21"/>
      <c r="H12" s="21"/>
      <c r="I12" s="21"/>
      <c r="J12" s="20" t="str">
        <f aca="false">IF($F12="","",SUMIFS(SeatApproved,SeatUnit,$D12,SeatTitle,$F12))</f>
        <v/>
      </c>
      <c r="K12" s="20" t="str">
        <f aca="false">IF($F12="","",SUM($L12:$O12))</f>
        <v/>
      </c>
      <c r="L12" s="22"/>
      <c r="M12" s="22"/>
      <c r="N12" s="22"/>
      <c r="O12" s="22"/>
      <c r="P12" s="18" t="str">
        <f aca="false">IF($Q12="","",IFERROR(INDEX(DriverCategory,MATCH($Q12,DriverList,0)),"?"))</f>
        <v/>
      </c>
      <c r="Q12" s="21"/>
      <c r="R12" s="21"/>
      <c r="S12" s="23" t="str">
        <f aca="false">IF(COUNTA($B12:$H12)+COUNTA($L12:$O12)=0,"",MID(IF($B12="",", division","")&amp;IF($D12="",", unit","")&amp;IF($F12="",", job title","")&amp;IF($G12="",", career level","")&amp;IF($H12="",", job family","")&amp;IF($I12="",", worker type","")&amp;IF(N($K12)&lt;=0,", the quarter split","")&amp;IF($Q12="",", driver","")&amp;IF($R12="",", alternatives","")&amp;IF(AND($D12&lt;&gt;"",COUNTIF(UnitList,$D12)=0),", a unit that is not in your structure",""),3,300))</f>
        <v/>
      </c>
      <c r="T12" s="17" t="str">
        <f aca="false">IF($S12="","",COUNTIF($S$6:$S12,"?*"))</f>
        <v/>
      </c>
    </row>
    <row r="13" customFormat="false" ht="15" hidden="false" customHeight="false" outlineLevel="0" collapsed="false">
      <c r="A13" s="17" t="n">
        <v>8</v>
      </c>
      <c r="B13" s="21"/>
      <c r="C13" s="21"/>
      <c r="D13" s="21"/>
      <c r="E13" s="21"/>
      <c r="F13" s="21"/>
      <c r="G13" s="21"/>
      <c r="H13" s="21"/>
      <c r="I13" s="21"/>
      <c r="J13" s="20" t="str">
        <f aca="false">IF($F13="","",SUMIFS(SeatApproved,SeatUnit,$D13,SeatTitle,$F13))</f>
        <v/>
      </c>
      <c r="K13" s="20" t="str">
        <f aca="false">IF($F13="","",SUM($L13:$O13))</f>
        <v/>
      </c>
      <c r="L13" s="22"/>
      <c r="M13" s="22"/>
      <c r="N13" s="22"/>
      <c r="O13" s="22"/>
      <c r="P13" s="18" t="str">
        <f aca="false">IF($Q13="","",IFERROR(INDEX(DriverCategory,MATCH($Q13,DriverList,0)),"?"))</f>
        <v/>
      </c>
      <c r="Q13" s="21"/>
      <c r="R13" s="21"/>
      <c r="S13" s="23" t="str">
        <f aca="false">IF(COUNTA($B13:$H13)+COUNTA($L13:$O13)=0,"",MID(IF($B13="",", division","")&amp;IF($D13="",", unit","")&amp;IF($F13="",", job title","")&amp;IF($G13="",", career level","")&amp;IF($H13="",", job family","")&amp;IF($I13="",", worker type","")&amp;IF(N($K13)&lt;=0,", the quarter split","")&amp;IF($Q13="",", driver","")&amp;IF($R13="",", alternatives","")&amp;IF(AND($D13&lt;&gt;"",COUNTIF(UnitList,$D13)=0),", a unit that is not in your structure",""),3,300))</f>
        <v/>
      </c>
      <c r="T13" s="17" t="str">
        <f aca="false">IF($S13="","",COUNTIF($S$6:$S13,"?*"))</f>
        <v/>
      </c>
    </row>
    <row r="14" customFormat="false" ht="15" hidden="false" customHeight="false" outlineLevel="0" collapsed="false">
      <c r="A14" s="17" t="n">
        <v>9</v>
      </c>
      <c r="B14" s="21"/>
      <c r="C14" s="21"/>
      <c r="D14" s="21"/>
      <c r="E14" s="21"/>
      <c r="F14" s="21"/>
      <c r="G14" s="21"/>
      <c r="H14" s="21"/>
      <c r="I14" s="21"/>
      <c r="J14" s="20" t="str">
        <f aca="false">IF($F14="","",SUMIFS(SeatApproved,SeatUnit,$D14,SeatTitle,$F14))</f>
        <v/>
      </c>
      <c r="K14" s="20" t="str">
        <f aca="false">IF($F14="","",SUM($L14:$O14))</f>
        <v/>
      </c>
      <c r="L14" s="22"/>
      <c r="M14" s="22"/>
      <c r="N14" s="22"/>
      <c r="O14" s="22"/>
      <c r="P14" s="18" t="str">
        <f aca="false">IF($Q14="","",IFERROR(INDEX(DriverCategory,MATCH($Q14,DriverList,0)),"?"))</f>
        <v/>
      </c>
      <c r="Q14" s="21"/>
      <c r="R14" s="21"/>
      <c r="S14" s="23" t="str">
        <f aca="false">IF(COUNTA($B14:$H14)+COUNTA($L14:$O14)=0,"",MID(IF($B14="",", division","")&amp;IF($D14="",", unit","")&amp;IF($F14="",", job title","")&amp;IF($G14="",", career level","")&amp;IF($H14="",", job family","")&amp;IF($I14="",", worker type","")&amp;IF(N($K14)&lt;=0,", the quarter split","")&amp;IF($Q14="",", driver","")&amp;IF($R14="",", alternatives","")&amp;IF(AND($D14&lt;&gt;"",COUNTIF(UnitList,$D14)=0),", a unit that is not in your structure",""),3,300))</f>
        <v/>
      </c>
      <c r="T14" s="17" t="str">
        <f aca="false">IF($S14="","",COUNTIF($S$6:$S14,"?*"))</f>
        <v/>
      </c>
    </row>
    <row r="15" customFormat="false" ht="15" hidden="false" customHeight="false" outlineLevel="0" collapsed="false">
      <c r="A15" s="17" t="n">
        <v>10</v>
      </c>
      <c r="B15" s="21"/>
      <c r="C15" s="21"/>
      <c r="D15" s="21"/>
      <c r="E15" s="21"/>
      <c r="F15" s="21"/>
      <c r="G15" s="21"/>
      <c r="H15" s="21"/>
      <c r="I15" s="21"/>
      <c r="J15" s="20" t="str">
        <f aca="false">IF($F15="","",SUMIFS(SeatApproved,SeatUnit,$D15,SeatTitle,$F15))</f>
        <v/>
      </c>
      <c r="K15" s="20" t="str">
        <f aca="false">IF($F15="","",SUM($L15:$O15))</f>
        <v/>
      </c>
      <c r="L15" s="22"/>
      <c r="M15" s="22"/>
      <c r="N15" s="22"/>
      <c r="O15" s="22"/>
      <c r="P15" s="18" t="str">
        <f aca="false">IF($Q15="","",IFERROR(INDEX(DriverCategory,MATCH($Q15,DriverList,0)),"?"))</f>
        <v/>
      </c>
      <c r="Q15" s="21"/>
      <c r="R15" s="21"/>
      <c r="S15" s="23" t="str">
        <f aca="false">IF(COUNTA($B15:$H15)+COUNTA($L15:$O15)=0,"",MID(IF($B15="",", division","")&amp;IF($D15="",", unit","")&amp;IF($F15="",", job title","")&amp;IF($G15="",", career level","")&amp;IF($H15="",", job family","")&amp;IF($I15="",", worker type","")&amp;IF(N($K15)&lt;=0,", the quarter split","")&amp;IF($Q15="",", driver","")&amp;IF($R15="",", alternatives","")&amp;IF(AND($D15&lt;&gt;"",COUNTIF(UnitList,$D15)=0),", a unit that is not in your structure",""),3,300))</f>
        <v/>
      </c>
      <c r="T15" s="17" t="str">
        <f aca="false">IF($S15="","",COUNTIF($S$6:$S15,"?*"))</f>
        <v/>
      </c>
    </row>
    <row r="16" customFormat="false" ht="15" hidden="false" customHeight="false" outlineLevel="0" collapsed="false">
      <c r="A16" s="17" t="n">
        <v>11</v>
      </c>
      <c r="B16" s="21"/>
      <c r="C16" s="21"/>
      <c r="D16" s="21"/>
      <c r="E16" s="21"/>
      <c r="F16" s="21"/>
      <c r="G16" s="21"/>
      <c r="H16" s="21"/>
      <c r="I16" s="21"/>
      <c r="J16" s="20" t="str">
        <f aca="false">IF($F16="","",SUMIFS(SeatApproved,SeatUnit,$D16,SeatTitle,$F16))</f>
        <v/>
      </c>
      <c r="K16" s="20" t="str">
        <f aca="false">IF($F16="","",SUM($L16:$O16))</f>
        <v/>
      </c>
      <c r="L16" s="22"/>
      <c r="M16" s="22"/>
      <c r="N16" s="22"/>
      <c r="O16" s="22"/>
      <c r="P16" s="18" t="str">
        <f aca="false">IF($Q16="","",IFERROR(INDEX(DriverCategory,MATCH($Q16,DriverList,0)),"?"))</f>
        <v/>
      </c>
      <c r="Q16" s="21"/>
      <c r="R16" s="21"/>
      <c r="S16" s="23" t="str">
        <f aca="false">IF(COUNTA($B16:$H16)+COUNTA($L16:$O16)=0,"",MID(IF($B16="",", division","")&amp;IF($D16="",", unit","")&amp;IF($F16="",", job title","")&amp;IF($G16="",", career level","")&amp;IF($H16="",", job family","")&amp;IF($I16="",", worker type","")&amp;IF(N($K16)&lt;=0,", the quarter split","")&amp;IF($Q16="",", driver","")&amp;IF($R16="",", alternatives","")&amp;IF(AND($D16&lt;&gt;"",COUNTIF(UnitList,$D16)=0),", a unit that is not in your structure",""),3,300))</f>
        <v/>
      </c>
      <c r="T16" s="17" t="str">
        <f aca="false">IF($S16="","",COUNTIF($S$6:$S16,"?*"))</f>
        <v/>
      </c>
    </row>
    <row r="17" customFormat="false" ht="15" hidden="false" customHeight="false" outlineLevel="0" collapsed="false">
      <c r="A17" s="17" t="n">
        <v>12</v>
      </c>
      <c r="B17" s="21"/>
      <c r="C17" s="21"/>
      <c r="D17" s="21"/>
      <c r="E17" s="21"/>
      <c r="F17" s="21"/>
      <c r="G17" s="21"/>
      <c r="H17" s="21"/>
      <c r="I17" s="21"/>
      <c r="J17" s="20" t="str">
        <f aca="false">IF($F17="","",SUMIFS(SeatApproved,SeatUnit,$D17,SeatTitle,$F17))</f>
        <v/>
      </c>
      <c r="K17" s="20" t="str">
        <f aca="false">IF($F17="","",SUM($L17:$O17))</f>
        <v/>
      </c>
      <c r="L17" s="22"/>
      <c r="M17" s="22"/>
      <c r="N17" s="22"/>
      <c r="O17" s="22"/>
      <c r="P17" s="18" t="str">
        <f aca="false">IF($Q17="","",IFERROR(INDEX(DriverCategory,MATCH($Q17,DriverList,0)),"?"))</f>
        <v/>
      </c>
      <c r="Q17" s="21"/>
      <c r="R17" s="21"/>
      <c r="S17" s="23" t="str">
        <f aca="false">IF(COUNTA($B17:$H17)+COUNTA($L17:$O17)=0,"",MID(IF($B17="",", division","")&amp;IF($D17="",", unit","")&amp;IF($F17="",", job title","")&amp;IF($G17="",", career level","")&amp;IF($H17="",", job family","")&amp;IF($I17="",", worker type","")&amp;IF(N($K17)&lt;=0,", the quarter split","")&amp;IF($Q17="",", driver","")&amp;IF($R17="",", alternatives","")&amp;IF(AND($D17&lt;&gt;"",COUNTIF(UnitList,$D17)=0),", a unit that is not in your structure",""),3,300))</f>
        <v/>
      </c>
      <c r="T17" s="17" t="str">
        <f aca="false">IF($S17="","",COUNTIF($S$6:$S17,"?*"))</f>
        <v/>
      </c>
    </row>
    <row r="18" customFormat="false" ht="15" hidden="false" customHeight="false" outlineLevel="0" collapsed="false">
      <c r="A18" s="17" t="n">
        <v>13</v>
      </c>
      <c r="B18" s="21"/>
      <c r="C18" s="21"/>
      <c r="D18" s="21"/>
      <c r="E18" s="21"/>
      <c r="F18" s="21"/>
      <c r="G18" s="21"/>
      <c r="H18" s="21"/>
      <c r="I18" s="21"/>
      <c r="J18" s="20" t="str">
        <f aca="false">IF($F18="","",SUMIFS(SeatApproved,SeatUnit,$D18,SeatTitle,$F18))</f>
        <v/>
      </c>
      <c r="K18" s="20" t="str">
        <f aca="false">IF($F18="","",SUM($L18:$O18))</f>
        <v/>
      </c>
      <c r="L18" s="22"/>
      <c r="M18" s="22"/>
      <c r="N18" s="22"/>
      <c r="O18" s="22"/>
      <c r="P18" s="18" t="str">
        <f aca="false">IF($Q18="","",IFERROR(INDEX(DriverCategory,MATCH($Q18,DriverList,0)),"?"))</f>
        <v/>
      </c>
      <c r="Q18" s="21"/>
      <c r="R18" s="21"/>
      <c r="S18" s="23" t="str">
        <f aca="false">IF(COUNTA($B18:$H18)+COUNTA($L18:$O18)=0,"",MID(IF($B18="",", division","")&amp;IF($D18="",", unit","")&amp;IF($F18="",", job title","")&amp;IF($G18="",", career level","")&amp;IF($H18="",", job family","")&amp;IF($I18="",", worker type","")&amp;IF(N($K18)&lt;=0,", the quarter split","")&amp;IF($Q18="",", driver","")&amp;IF($R18="",", alternatives","")&amp;IF(AND($D18&lt;&gt;"",COUNTIF(UnitList,$D18)=0),", a unit that is not in your structure",""),3,300))</f>
        <v/>
      </c>
      <c r="T18" s="17" t="str">
        <f aca="false">IF($S18="","",COUNTIF($S$6:$S18,"?*"))</f>
        <v/>
      </c>
    </row>
    <row r="19" customFormat="false" ht="15" hidden="false" customHeight="false" outlineLevel="0" collapsed="false">
      <c r="A19" s="17" t="n">
        <v>14</v>
      </c>
      <c r="B19" s="21"/>
      <c r="C19" s="21"/>
      <c r="D19" s="21"/>
      <c r="E19" s="21"/>
      <c r="F19" s="21"/>
      <c r="G19" s="21"/>
      <c r="H19" s="21"/>
      <c r="I19" s="21"/>
      <c r="J19" s="20" t="str">
        <f aca="false">IF($F19="","",SUMIFS(SeatApproved,SeatUnit,$D19,SeatTitle,$F19))</f>
        <v/>
      </c>
      <c r="K19" s="20" t="str">
        <f aca="false">IF($F19="","",SUM($L19:$O19))</f>
        <v/>
      </c>
      <c r="L19" s="22"/>
      <c r="M19" s="22"/>
      <c r="N19" s="22"/>
      <c r="O19" s="22"/>
      <c r="P19" s="18" t="str">
        <f aca="false">IF($Q19="","",IFERROR(INDEX(DriverCategory,MATCH($Q19,DriverList,0)),"?"))</f>
        <v/>
      </c>
      <c r="Q19" s="21"/>
      <c r="R19" s="21"/>
      <c r="S19" s="23" t="str">
        <f aca="false">IF(COUNTA($B19:$H19)+COUNTA($L19:$O19)=0,"",MID(IF($B19="",", division","")&amp;IF($D19="",", unit","")&amp;IF($F19="",", job title","")&amp;IF($G19="",", career level","")&amp;IF($H19="",", job family","")&amp;IF($I19="",", worker type","")&amp;IF(N($K19)&lt;=0,", the quarter split","")&amp;IF($Q19="",", driver","")&amp;IF($R19="",", alternatives","")&amp;IF(AND($D19&lt;&gt;"",COUNTIF(UnitList,$D19)=0),", a unit that is not in your structure",""),3,300))</f>
        <v/>
      </c>
      <c r="T19" s="17" t="str">
        <f aca="false">IF($S19="","",COUNTIF($S$6:$S19,"?*"))</f>
        <v/>
      </c>
    </row>
    <row r="20" customFormat="false" ht="15" hidden="false" customHeight="false" outlineLevel="0" collapsed="false">
      <c r="A20" s="17" t="n">
        <v>15</v>
      </c>
      <c r="B20" s="21"/>
      <c r="C20" s="21"/>
      <c r="D20" s="21"/>
      <c r="E20" s="21"/>
      <c r="F20" s="21"/>
      <c r="G20" s="21"/>
      <c r="H20" s="21"/>
      <c r="I20" s="21"/>
      <c r="J20" s="20" t="str">
        <f aca="false">IF($F20="","",SUMIFS(SeatApproved,SeatUnit,$D20,SeatTitle,$F20))</f>
        <v/>
      </c>
      <c r="K20" s="20" t="str">
        <f aca="false">IF($F20="","",SUM($L20:$O20))</f>
        <v/>
      </c>
      <c r="L20" s="22"/>
      <c r="M20" s="22"/>
      <c r="N20" s="22"/>
      <c r="O20" s="22"/>
      <c r="P20" s="18" t="str">
        <f aca="false">IF($Q20="","",IFERROR(INDEX(DriverCategory,MATCH($Q20,DriverList,0)),"?"))</f>
        <v/>
      </c>
      <c r="Q20" s="21"/>
      <c r="R20" s="21"/>
      <c r="S20" s="23" t="str">
        <f aca="false">IF(COUNTA($B20:$H20)+COUNTA($L20:$O20)=0,"",MID(IF($B20="",", division","")&amp;IF($D20="",", unit","")&amp;IF($F20="",", job title","")&amp;IF($G20="",", career level","")&amp;IF($H20="",", job family","")&amp;IF($I20="",", worker type","")&amp;IF(N($K20)&lt;=0,", the quarter split","")&amp;IF($Q20="",", driver","")&amp;IF($R20="",", alternatives","")&amp;IF(AND($D20&lt;&gt;"",COUNTIF(UnitList,$D20)=0),", a unit that is not in your structure",""),3,300))</f>
        <v/>
      </c>
      <c r="T20" s="17" t="str">
        <f aca="false">IF($S20="","",COUNTIF($S$6:$S20,"?*"))</f>
        <v/>
      </c>
    </row>
    <row r="21" customFormat="false" ht="15" hidden="false" customHeight="false" outlineLevel="0" collapsed="false">
      <c r="A21" s="17" t="n">
        <v>16</v>
      </c>
      <c r="B21" s="21"/>
      <c r="C21" s="21"/>
      <c r="D21" s="21"/>
      <c r="E21" s="21"/>
      <c r="F21" s="21"/>
      <c r="G21" s="21"/>
      <c r="H21" s="21"/>
      <c r="I21" s="21"/>
      <c r="J21" s="20" t="str">
        <f aca="false">IF($F21="","",SUMIFS(SeatApproved,SeatUnit,$D21,SeatTitle,$F21))</f>
        <v/>
      </c>
      <c r="K21" s="20" t="str">
        <f aca="false">IF($F21="","",SUM($L21:$O21))</f>
        <v/>
      </c>
      <c r="L21" s="22"/>
      <c r="M21" s="22"/>
      <c r="N21" s="22"/>
      <c r="O21" s="22"/>
      <c r="P21" s="18" t="str">
        <f aca="false">IF($Q21="","",IFERROR(INDEX(DriverCategory,MATCH($Q21,DriverList,0)),"?"))</f>
        <v/>
      </c>
      <c r="Q21" s="21"/>
      <c r="R21" s="21"/>
      <c r="S21" s="23" t="str">
        <f aca="false">IF(COUNTA($B21:$H21)+COUNTA($L21:$O21)=0,"",MID(IF($B21="",", division","")&amp;IF($D21="",", unit","")&amp;IF($F21="",", job title","")&amp;IF($G21="",", career level","")&amp;IF($H21="",", job family","")&amp;IF($I21="",", worker type","")&amp;IF(N($K21)&lt;=0,", the quarter split","")&amp;IF($Q21="",", driver","")&amp;IF($R21="",", alternatives","")&amp;IF(AND($D21&lt;&gt;"",COUNTIF(UnitList,$D21)=0),", a unit that is not in your structure",""),3,300))</f>
        <v/>
      </c>
      <c r="T21" s="17" t="str">
        <f aca="false">IF($S21="","",COUNTIF($S$6:$S21,"?*"))</f>
        <v/>
      </c>
    </row>
    <row r="22" customFormat="false" ht="15" hidden="false" customHeight="false" outlineLevel="0" collapsed="false">
      <c r="A22" s="17" t="n">
        <v>17</v>
      </c>
      <c r="B22" s="21"/>
      <c r="C22" s="21"/>
      <c r="D22" s="21"/>
      <c r="E22" s="21"/>
      <c r="F22" s="21"/>
      <c r="G22" s="21"/>
      <c r="H22" s="21"/>
      <c r="I22" s="21"/>
      <c r="J22" s="20" t="str">
        <f aca="false">IF($F22="","",SUMIFS(SeatApproved,SeatUnit,$D22,SeatTitle,$F22))</f>
        <v/>
      </c>
      <c r="K22" s="20" t="str">
        <f aca="false">IF($F22="","",SUM($L22:$O22))</f>
        <v/>
      </c>
      <c r="L22" s="22"/>
      <c r="M22" s="22"/>
      <c r="N22" s="22"/>
      <c r="O22" s="22"/>
      <c r="P22" s="18" t="str">
        <f aca="false">IF($Q22="","",IFERROR(INDEX(DriverCategory,MATCH($Q22,DriverList,0)),"?"))</f>
        <v/>
      </c>
      <c r="Q22" s="21"/>
      <c r="R22" s="21"/>
      <c r="S22" s="23" t="str">
        <f aca="false">IF(COUNTA($B22:$H22)+COUNTA($L22:$O22)=0,"",MID(IF($B22="",", division","")&amp;IF($D22="",", unit","")&amp;IF($F22="",", job title","")&amp;IF($G22="",", career level","")&amp;IF($H22="",", job family","")&amp;IF($I22="",", worker type","")&amp;IF(N($K22)&lt;=0,", the quarter split","")&amp;IF($Q22="",", driver","")&amp;IF($R22="",", alternatives","")&amp;IF(AND($D22&lt;&gt;"",COUNTIF(UnitList,$D22)=0),", a unit that is not in your structure",""),3,300))</f>
        <v/>
      </c>
      <c r="T22" s="17" t="str">
        <f aca="false">IF($S22="","",COUNTIF($S$6:$S22,"?*"))</f>
        <v/>
      </c>
    </row>
    <row r="23" customFormat="false" ht="15" hidden="false" customHeight="false" outlineLevel="0" collapsed="false">
      <c r="A23" s="17" t="n">
        <v>18</v>
      </c>
      <c r="B23" s="21"/>
      <c r="C23" s="21"/>
      <c r="D23" s="21"/>
      <c r="E23" s="21"/>
      <c r="F23" s="21"/>
      <c r="G23" s="21"/>
      <c r="H23" s="21"/>
      <c r="I23" s="21"/>
      <c r="J23" s="20" t="str">
        <f aca="false">IF($F23="","",SUMIFS(SeatApproved,SeatUnit,$D23,SeatTitle,$F23))</f>
        <v/>
      </c>
      <c r="K23" s="20" t="str">
        <f aca="false">IF($F23="","",SUM($L23:$O23))</f>
        <v/>
      </c>
      <c r="L23" s="22"/>
      <c r="M23" s="22"/>
      <c r="N23" s="22"/>
      <c r="O23" s="22"/>
      <c r="P23" s="18" t="str">
        <f aca="false">IF($Q23="","",IFERROR(INDEX(DriverCategory,MATCH($Q23,DriverList,0)),"?"))</f>
        <v/>
      </c>
      <c r="Q23" s="21"/>
      <c r="R23" s="21"/>
      <c r="S23" s="23" t="str">
        <f aca="false">IF(COUNTA($B23:$H23)+COUNTA($L23:$O23)=0,"",MID(IF($B23="",", division","")&amp;IF($D23="",", unit","")&amp;IF($F23="",", job title","")&amp;IF($G23="",", career level","")&amp;IF($H23="",", job family","")&amp;IF($I23="",", worker type","")&amp;IF(N($K23)&lt;=0,", the quarter split","")&amp;IF($Q23="",", driver","")&amp;IF($R23="",", alternatives","")&amp;IF(AND($D23&lt;&gt;"",COUNTIF(UnitList,$D23)=0),", a unit that is not in your structure",""),3,300))</f>
        <v/>
      </c>
      <c r="T23" s="17" t="str">
        <f aca="false">IF($S23="","",COUNTIF($S$6:$S23,"?*"))</f>
        <v/>
      </c>
    </row>
    <row r="24" customFormat="false" ht="15" hidden="false" customHeight="false" outlineLevel="0" collapsed="false">
      <c r="A24" s="17" t="n">
        <v>19</v>
      </c>
      <c r="B24" s="21"/>
      <c r="C24" s="21"/>
      <c r="D24" s="21"/>
      <c r="E24" s="21"/>
      <c r="F24" s="21"/>
      <c r="G24" s="21"/>
      <c r="H24" s="21"/>
      <c r="I24" s="21"/>
      <c r="J24" s="20" t="str">
        <f aca="false">IF($F24="","",SUMIFS(SeatApproved,SeatUnit,$D24,SeatTitle,$F24))</f>
        <v/>
      </c>
      <c r="K24" s="20" t="str">
        <f aca="false">IF($F24="","",SUM($L24:$O24))</f>
        <v/>
      </c>
      <c r="L24" s="22"/>
      <c r="M24" s="22"/>
      <c r="N24" s="22"/>
      <c r="O24" s="22"/>
      <c r="P24" s="18" t="str">
        <f aca="false">IF($Q24="","",IFERROR(INDEX(DriverCategory,MATCH($Q24,DriverList,0)),"?"))</f>
        <v/>
      </c>
      <c r="Q24" s="21"/>
      <c r="R24" s="21"/>
      <c r="S24" s="23" t="str">
        <f aca="false">IF(COUNTA($B24:$H24)+COUNTA($L24:$O24)=0,"",MID(IF($B24="",", division","")&amp;IF($D24="",", unit","")&amp;IF($F24="",", job title","")&amp;IF($G24="",", career level","")&amp;IF($H24="",", job family","")&amp;IF($I24="",", worker type","")&amp;IF(N($K24)&lt;=0,", the quarter split","")&amp;IF($Q24="",", driver","")&amp;IF($R24="",", alternatives","")&amp;IF(AND($D24&lt;&gt;"",COUNTIF(UnitList,$D24)=0),", a unit that is not in your structure",""),3,300))</f>
        <v/>
      </c>
      <c r="T24" s="17" t="str">
        <f aca="false">IF($S24="","",COUNTIF($S$6:$S24,"?*"))</f>
        <v/>
      </c>
    </row>
    <row r="25" customFormat="false" ht="15" hidden="false" customHeight="false" outlineLevel="0" collapsed="false">
      <c r="A25" s="17" t="n">
        <v>20</v>
      </c>
      <c r="B25" s="21"/>
      <c r="C25" s="21"/>
      <c r="D25" s="21"/>
      <c r="E25" s="21"/>
      <c r="F25" s="21"/>
      <c r="G25" s="21"/>
      <c r="H25" s="21"/>
      <c r="I25" s="21"/>
      <c r="J25" s="20" t="str">
        <f aca="false">IF($F25="","",SUMIFS(SeatApproved,SeatUnit,$D25,SeatTitle,$F25))</f>
        <v/>
      </c>
      <c r="K25" s="20" t="str">
        <f aca="false">IF($F25="","",SUM($L25:$O25))</f>
        <v/>
      </c>
      <c r="L25" s="22"/>
      <c r="M25" s="22"/>
      <c r="N25" s="22"/>
      <c r="O25" s="22"/>
      <c r="P25" s="18" t="str">
        <f aca="false">IF($Q25="","",IFERROR(INDEX(DriverCategory,MATCH($Q25,DriverList,0)),"?"))</f>
        <v/>
      </c>
      <c r="Q25" s="21"/>
      <c r="R25" s="21"/>
      <c r="S25" s="23" t="str">
        <f aca="false">IF(COUNTA($B25:$H25)+COUNTA($L25:$O25)=0,"",MID(IF($B25="",", division","")&amp;IF($D25="",", unit","")&amp;IF($F25="",", job title","")&amp;IF($G25="",", career level","")&amp;IF($H25="",", job family","")&amp;IF($I25="",", worker type","")&amp;IF(N($K25)&lt;=0,", the quarter split","")&amp;IF($Q25="",", driver","")&amp;IF($R25="",", alternatives","")&amp;IF(AND($D25&lt;&gt;"",COUNTIF(UnitList,$D25)=0),", a unit that is not in your structure",""),3,300))</f>
        <v/>
      </c>
      <c r="T25" s="17" t="str">
        <f aca="false">IF($S25="","",COUNTIF($S$6:$S25,"?*"))</f>
        <v/>
      </c>
    </row>
    <row r="26" customFormat="false" ht="15" hidden="false" customHeight="false" outlineLevel="0" collapsed="false">
      <c r="A26" s="17" t="n">
        <v>21</v>
      </c>
      <c r="B26" s="21"/>
      <c r="C26" s="21"/>
      <c r="D26" s="21"/>
      <c r="E26" s="21"/>
      <c r="F26" s="21"/>
      <c r="G26" s="21"/>
      <c r="H26" s="21"/>
      <c r="I26" s="21"/>
      <c r="J26" s="20" t="str">
        <f aca="false">IF($F26="","",SUMIFS(SeatApproved,SeatUnit,$D26,SeatTitle,$F26))</f>
        <v/>
      </c>
      <c r="K26" s="20" t="str">
        <f aca="false">IF($F26="","",SUM($L26:$O26))</f>
        <v/>
      </c>
      <c r="L26" s="22"/>
      <c r="M26" s="22"/>
      <c r="N26" s="22"/>
      <c r="O26" s="22"/>
      <c r="P26" s="18" t="str">
        <f aca="false">IF($Q26="","",IFERROR(INDEX(DriverCategory,MATCH($Q26,DriverList,0)),"?"))</f>
        <v/>
      </c>
      <c r="Q26" s="21"/>
      <c r="R26" s="21"/>
      <c r="S26" s="23" t="str">
        <f aca="false">IF(COUNTA($B26:$H26)+COUNTA($L26:$O26)=0,"",MID(IF($B26="",", division","")&amp;IF($D26="",", unit","")&amp;IF($F26="",", job title","")&amp;IF($G26="",", career level","")&amp;IF($H26="",", job family","")&amp;IF($I26="",", worker type","")&amp;IF(N($K26)&lt;=0,", the quarter split","")&amp;IF($Q26="",", driver","")&amp;IF($R26="",", alternatives","")&amp;IF(AND($D26&lt;&gt;"",COUNTIF(UnitList,$D26)=0),", a unit that is not in your structure",""),3,300))</f>
        <v/>
      </c>
      <c r="T26" s="17" t="str">
        <f aca="false">IF($S26="","",COUNTIF($S$6:$S26,"?*"))</f>
        <v/>
      </c>
    </row>
    <row r="27" customFormat="false" ht="15" hidden="false" customHeight="false" outlineLevel="0" collapsed="false">
      <c r="A27" s="17" t="n">
        <v>22</v>
      </c>
      <c r="B27" s="21"/>
      <c r="C27" s="21"/>
      <c r="D27" s="21"/>
      <c r="E27" s="21"/>
      <c r="F27" s="21"/>
      <c r="G27" s="21"/>
      <c r="H27" s="21"/>
      <c r="I27" s="21"/>
      <c r="J27" s="20" t="str">
        <f aca="false">IF($F27="","",SUMIFS(SeatApproved,SeatUnit,$D27,SeatTitle,$F27))</f>
        <v/>
      </c>
      <c r="K27" s="20" t="str">
        <f aca="false">IF($F27="","",SUM($L27:$O27))</f>
        <v/>
      </c>
      <c r="L27" s="22"/>
      <c r="M27" s="22"/>
      <c r="N27" s="22"/>
      <c r="O27" s="22"/>
      <c r="P27" s="18" t="str">
        <f aca="false">IF($Q27="","",IFERROR(INDEX(DriverCategory,MATCH($Q27,DriverList,0)),"?"))</f>
        <v/>
      </c>
      <c r="Q27" s="21"/>
      <c r="R27" s="21"/>
      <c r="S27" s="23" t="str">
        <f aca="false">IF(COUNTA($B27:$H27)+COUNTA($L27:$O27)=0,"",MID(IF($B27="",", division","")&amp;IF($D27="",", unit","")&amp;IF($F27="",", job title","")&amp;IF($G27="",", career level","")&amp;IF($H27="",", job family","")&amp;IF($I27="",", worker type","")&amp;IF(N($K27)&lt;=0,", the quarter split","")&amp;IF($Q27="",", driver","")&amp;IF($R27="",", alternatives","")&amp;IF(AND($D27&lt;&gt;"",COUNTIF(UnitList,$D27)=0),", a unit that is not in your structure",""),3,300))</f>
        <v/>
      </c>
      <c r="T27" s="17" t="str">
        <f aca="false">IF($S27="","",COUNTIF($S$6:$S27,"?*"))</f>
        <v/>
      </c>
    </row>
    <row r="28" customFormat="false" ht="15" hidden="false" customHeight="false" outlineLevel="0" collapsed="false">
      <c r="A28" s="17" t="n">
        <v>23</v>
      </c>
      <c r="B28" s="21"/>
      <c r="C28" s="21"/>
      <c r="D28" s="21"/>
      <c r="E28" s="21"/>
      <c r="F28" s="21"/>
      <c r="G28" s="21"/>
      <c r="H28" s="21"/>
      <c r="I28" s="21"/>
      <c r="J28" s="20" t="str">
        <f aca="false">IF($F28="","",SUMIFS(SeatApproved,SeatUnit,$D28,SeatTitle,$F28))</f>
        <v/>
      </c>
      <c r="K28" s="20" t="str">
        <f aca="false">IF($F28="","",SUM($L28:$O28))</f>
        <v/>
      </c>
      <c r="L28" s="22"/>
      <c r="M28" s="22"/>
      <c r="N28" s="22"/>
      <c r="O28" s="22"/>
      <c r="P28" s="18" t="str">
        <f aca="false">IF($Q28="","",IFERROR(INDEX(DriverCategory,MATCH($Q28,DriverList,0)),"?"))</f>
        <v/>
      </c>
      <c r="Q28" s="21"/>
      <c r="R28" s="21"/>
      <c r="S28" s="23" t="str">
        <f aca="false">IF(COUNTA($B28:$H28)+COUNTA($L28:$O28)=0,"",MID(IF($B28="",", division","")&amp;IF($D28="",", unit","")&amp;IF($F28="",", job title","")&amp;IF($G28="",", career level","")&amp;IF($H28="",", job family","")&amp;IF($I28="",", worker type","")&amp;IF(N($K28)&lt;=0,", the quarter split","")&amp;IF($Q28="",", driver","")&amp;IF($R28="",", alternatives","")&amp;IF(AND($D28&lt;&gt;"",COUNTIF(UnitList,$D28)=0),", a unit that is not in your structure",""),3,300))</f>
        <v/>
      </c>
      <c r="T28" s="17" t="str">
        <f aca="false">IF($S28="","",COUNTIF($S$6:$S28,"?*"))</f>
        <v/>
      </c>
    </row>
    <row r="29" customFormat="false" ht="15" hidden="false" customHeight="false" outlineLevel="0" collapsed="false">
      <c r="A29" s="17" t="n">
        <v>24</v>
      </c>
      <c r="B29" s="21"/>
      <c r="C29" s="21"/>
      <c r="D29" s="21"/>
      <c r="E29" s="21"/>
      <c r="F29" s="21"/>
      <c r="G29" s="21"/>
      <c r="H29" s="21"/>
      <c r="I29" s="21"/>
      <c r="J29" s="20" t="str">
        <f aca="false">IF($F29="","",SUMIFS(SeatApproved,SeatUnit,$D29,SeatTitle,$F29))</f>
        <v/>
      </c>
      <c r="K29" s="20" t="str">
        <f aca="false">IF($F29="","",SUM($L29:$O29))</f>
        <v/>
      </c>
      <c r="L29" s="22"/>
      <c r="M29" s="22"/>
      <c r="N29" s="22"/>
      <c r="O29" s="22"/>
      <c r="P29" s="18" t="str">
        <f aca="false">IF($Q29="","",IFERROR(INDEX(DriverCategory,MATCH($Q29,DriverList,0)),"?"))</f>
        <v/>
      </c>
      <c r="Q29" s="21"/>
      <c r="R29" s="21"/>
      <c r="S29" s="23" t="str">
        <f aca="false">IF(COUNTA($B29:$H29)+COUNTA($L29:$O29)=0,"",MID(IF($B29="",", division","")&amp;IF($D29="",", unit","")&amp;IF($F29="",", job title","")&amp;IF($G29="",", career level","")&amp;IF($H29="",", job family","")&amp;IF($I29="",", worker type","")&amp;IF(N($K29)&lt;=0,", the quarter split","")&amp;IF($Q29="",", driver","")&amp;IF($R29="",", alternatives","")&amp;IF(AND($D29&lt;&gt;"",COUNTIF(UnitList,$D29)=0),", a unit that is not in your structure",""),3,300))</f>
        <v/>
      </c>
      <c r="T29" s="17" t="str">
        <f aca="false">IF($S29="","",COUNTIF($S$6:$S29,"?*"))</f>
        <v/>
      </c>
    </row>
    <row r="30" customFormat="false" ht="15" hidden="false" customHeight="false" outlineLevel="0" collapsed="false">
      <c r="A30" s="17" t="n">
        <v>25</v>
      </c>
      <c r="B30" s="21"/>
      <c r="C30" s="21"/>
      <c r="D30" s="21"/>
      <c r="E30" s="21"/>
      <c r="F30" s="21"/>
      <c r="G30" s="21"/>
      <c r="H30" s="21"/>
      <c r="I30" s="21"/>
      <c r="J30" s="20" t="str">
        <f aca="false">IF($F30="","",SUMIFS(SeatApproved,SeatUnit,$D30,SeatTitle,$F30))</f>
        <v/>
      </c>
      <c r="K30" s="20" t="str">
        <f aca="false">IF($F30="","",SUM($L30:$O30))</f>
        <v/>
      </c>
      <c r="L30" s="22"/>
      <c r="M30" s="22"/>
      <c r="N30" s="22"/>
      <c r="O30" s="22"/>
      <c r="P30" s="18" t="str">
        <f aca="false">IF($Q30="","",IFERROR(INDEX(DriverCategory,MATCH($Q30,DriverList,0)),"?"))</f>
        <v/>
      </c>
      <c r="Q30" s="21"/>
      <c r="R30" s="21"/>
      <c r="S30" s="23" t="str">
        <f aca="false">IF(COUNTA($B30:$H30)+COUNTA($L30:$O30)=0,"",MID(IF($B30="",", division","")&amp;IF($D30="",", unit","")&amp;IF($F30="",", job title","")&amp;IF($G30="",", career level","")&amp;IF($H30="",", job family","")&amp;IF($I30="",", worker type","")&amp;IF(N($K30)&lt;=0,", the quarter split","")&amp;IF($Q30="",", driver","")&amp;IF($R30="",", alternatives","")&amp;IF(AND($D30&lt;&gt;"",COUNTIF(UnitList,$D30)=0),", a unit that is not in your structure",""),3,300))</f>
        <v/>
      </c>
      <c r="T30" s="17" t="str">
        <f aca="false">IF($S30="","",COUNTIF($S$6:$S30,"?*"))</f>
        <v/>
      </c>
    </row>
    <row r="31" customFormat="false" ht="15" hidden="false" customHeight="false" outlineLevel="0" collapsed="false">
      <c r="A31" s="17" t="n">
        <v>26</v>
      </c>
      <c r="B31" s="21"/>
      <c r="C31" s="21"/>
      <c r="D31" s="21"/>
      <c r="E31" s="21"/>
      <c r="F31" s="21"/>
      <c r="G31" s="21"/>
      <c r="H31" s="21"/>
      <c r="I31" s="21"/>
      <c r="J31" s="20" t="str">
        <f aca="false">IF($F31="","",SUMIFS(SeatApproved,SeatUnit,$D31,SeatTitle,$F31))</f>
        <v/>
      </c>
      <c r="K31" s="20" t="str">
        <f aca="false">IF($F31="","",SUM($L31:$O31))</f>
        <v/>
      </c>
      <c r="L31" s="22"/>
      <c r="M31" s="22"/>
      <c r="N31" s="22"/>
      <c r="O31" s="22"/>
      <c r="P31" s="18" t="str">
        <f aca="false">IF($Q31="","",IFERROR(INDEX(DriverCategory,MATCH($Q31,DriverList,0)),"?"))</f>
        <v/>
      </c>
      <c r="Q31" s="21"/>
      <c r="R31" s="21"/>
      <c r="S31" s="23" t="str">
        <f aca="false">IF(COUNTA($B31:$H31)+COUNTA($L31:$O31)=0,"",MID(IF($B31="",", division","")&amp;IF($D31="",", unit","")&amp;IF($F31="",", job title","")&amp;IF($G31="",", career level","")&amp;IF($H31="",", job family","")&amp;IF($I31="",", worker type","")&amp;IF(N($K31)&lt;=0,", the quarter split","")&amp;IF($Q31="",", driver","")&amp;IF($R31="",", alternatives","")&amp;IF(AND($D31&lt;&gt;"",COUNTIF(UnitList,$D31)=0),", a unit that is not in your structure",""),3,300))</f>
        <v/>
      </c>
      <c r="T31" s="17" t="str">
        <f aca="false">IF($S31="","",COUNTIF($S$6:$S31,"?*"))</f>
        <v/>
      </c>
    </row>
    <row r="32" customFormat="false" ht="15" hidden="false" customHeight="false" outlineLevel="0" collapsed="false">
      <c r="A32" s="17" t="n">
        <v>27</v>
      </c>
      <c r="B32" s="21"/>
      <c r="C32" s="21"/>
      <c r="D32" s="21"/>
      <c r="E32" s="21"/>
      <c r="F32" s="21"/>
      <c r="G32" s="21"/>
      <c r="H32" s="21"/>
      <c r="I32" s="21"/>
      <c r="J32" s="20" t="str">
        <f aca="false">IF($F32="","",SUMIFS(SeatApproved,SeatUnit,$D32,SeatTitle,$F32))</f>
        <v/>
      </c>
      <c r="K32" s="20" t="str">
        <f aca="false">IF($F32="","",SUM($L32:$O32))</f>
        <v/>
      </c>
      <c r="L32" s="22"/>
      <c r="M32" s="22"/>
      <c r="N32" s="22"/>
      <c r="O32" s="22"/>
      <c r="P32" s="18" t="str">
        <f aca="false">IF($Q32="","",IFERROR(INDEX(DriverCategory,MATCH($Q32,DriverList,0)),"?"))</f>
        <v/>
      </c>
      <c r="Q32" s="21"/>
      <c r="R32" s="21"/>
      <c r="S32" s="23" t="str">
        <f aca="false">IF(COUNTA($B32:$H32)+COUNTA($L32:$O32)=0,"",MID(IF($B32="",", division","")&amp;IF($D32="",", unit","")&amp;IF($F32="",", job title","")&amp;IF($G32="",", career level","")&amp;IF($H32="",", job family","")&amp;IF($I32="",", worker type","")&amp;IF(N($K32)&lt;=0,", the quarter split","")&amp;IF($Q32="",", driver","")&amp;IF($R32="",", alternatives","")&amp;IF(AND($D32&lt;&gt;"",COUNTIF(UnitList,$D32)=0),", a unit that is not in your structure",""),3,300))</f>
        <v/>
      </c>
      <c r="T32" s="17" t="str">
        <f aca="false">IF($S32="","",COUNTIF($S$6:$S32,"?*"))</f>
        <v/>
      </c>
    </row>
    <row r="33" customFormat="false" ht="15" hidden="false" customHeight="false" outlineLevel="0" collapsed="false">
      <c r="A33" s="17" t="n">
        <v>28</v>
      </c>
      <c r="B33" s="21"/>
      <c r="C33" s="21"/>
      <c r="D33" s="21"/>
      <c r="E33" s="21"/>
      <c r="F33" s="21"/>
      <c r="G33" s="21"/>
      <c r="H33" s="21"/>
      <c r="I33" s="21"/>
      <c r="J33" s="20" t="str">
        <f aca="false">IF($F33="","",SUMIFS(SeatApproved,SeatUnit,$D33,SeatTitle,$F33))</f>
        <v/>
      </c>
      <c r="K33" s="20" t="str">
        <f aca="false">IF($F33="","",SUM($L33:$O33))</f>
        <v/>
      </c>
      <c r="L33" s="22"/>
      <c r="M33" s="22"/>
      <c r="N33" s="22"/>
      <c r="O33" s="22"/>
      <c r="P33" s="18" t="str">
        <f aca="false">IF($Q33="","",IFERROR(INDEX(DriverCategory,MATCH($Q33,DriverList,0)),"?"))</f>
        <v/>
      </c>
      <c r="Q33" s="21"/>
      <c r="R33" s="21"/>
      <c r="S33" s="23" t="str">
        <f aca="false">IF(COUNTA($B33:$H33)+COUNTA($L33:$O33)=0,"",MID(IF($B33="",", division","")&amp;IF($D33="",", unit","")&amp;IF($F33="",", job title","")&amp;IF($G33="",", career level","")&amp;IF($H33="",", job family","")&amp;IF($I33="",", worker type","")&amp;IF(N($K33)&lt;=0,", the quarter split","")&amp;IF($Q33="",", driver","")&amp;IF($R33="",", alternatives","")&amp;IF(AND($D33&lt;&gt;"",COUNTIF(UnitList,$D33)=0),", a unit that is not in your structure",""),3,300))</f>
        <v/>
      </c>
      <c r="T33" s="17" t="str">
        <f aca="false">IF($S33="","",COUNTIF($S$6:$S33,"?*"))</f>
        <v/>
      </c>
    </row>
    <row r="34" customFormat="false" ht="15" hidden="false" customHeight="false" outlineLevel="0" collapsed="false">
      <c r="A34" s="17" t="n">
        <v>29</v>
      </c>
      <c r="B34" s="21"/>
      <c r="C34" s="21"/>
      <c r="D34" s="21"/>
      <c r="E34" s="21"/>
      <c r="F34" s="21"/>
      <c r="G34" s="21"/>
      <c r="H34" s="21"/>
      <c r="I34" s="21"/>
      <c r="J34" s="20" t="str">
        <f aca="false">IF($F34="","",SUMIFS(SeatApproved,SeatUnit,$D34,SeatTitle,$F34))</f>
        <v/>
      </c>
      <c r="K34" s="20" t="str">
        <f aca="false">IF($F34="","",SUM($L34:$O34))</f>
        <v/>
      </c>
      <c r="L34" s="22"/>
      <c r="M34" s="22"/>
      <c r="N34" s="22"/>
      <c r="O34" s="22"/>
      <c r="P34" s="18" t="str">
        <f aca="false">IF($Q34="","",IFERROR(INDEX(DriverCategory,MATCH($Q34,DriverList,0)),"?"))</f>
        <v/>
      </c>
      <c r="Q34" s="21"/>
      <c r="R34" s="21"/>
      <c r="S34" s="23" t="str">
        <f aca="false">IF(COUNTA($B34:$H34)+COUNTA($L34:$O34)=0,"",MID(IF($B34="",", division","")&amp;IF($D34="",", unit","")&amp;IF($F34="",", job title","")&amp;IF($G34="",", career level","")&amp;IF($H34="",", job family","")&amp;IF($I34="",", worker type","")&amp;IF(N($K34)&lt;=0,", the quarter split","")&amp;IF($Q34="",", driver","")&amp;IF($R34="",", alternatives","")&amp;IF(AND($D34&lt;&gt;"",COUNTIF(UnitList,$D34)=0),", a unit that is not in your structure",""),3,300))</f>
        <v/>
      </c>
      <c r="T34" s="17" t="str">
        <f aca="false">IF($S34="","",COUNTIF($S$6:$S34,"?*"))</f>
        <v/>
      </c>
    </row>
    <row r="35" customFormat="false" ht="15" hidden="false" customHeight="false" outlineLevel="0" collapsed="false">
      <c r="A35" s="17" t="n">
        <v>30</v>
      </c>
      <c r="B35" s="21"/>
      <c r="C35" s="21"/>
      <c r="D35" s="21"/>
      <c r="E35" s="21"/>
      <c r="F35" s="21"/>
      <c r="G35" s="21"/>
      <c r="H35" s="21"/>
      <c r="I35" s="21"/>
      <c r="J35" s="20" t="str">
        <f aca="false">IF($F35="","",SUMIFS(SeatApproved,SeatUnit,$D35,SeatTitle,$F35))</f>
        <v/>
      </c>
      <c r="K35" s="20" t="str">
        <f aca="false">IF($F35="","",SUM($L35:$O35))</f>
        <v/>
      </c>
      <c r="L35" s="22"/>
      <c r="M35" s="22"/>
      <c r="N35" s="22"/>
      <c r="O35" s="22"/>
      <c r="P35" s="18" t="str">
        <f aca="false">IF($Q35="","",IFERROR(INDEX(DriverCategory,MATCH($Q35,DriverList,0)),"?"))</f>
        <v/>
      </c>
      <c r="Q35" s="21"/>
      <c r="R35" s="21"/>
      <c r="S35" s="23" t="str">
        <f aca="false">IF(COUNTA($B35:$H35)+COUNTA($L35:$O35)=0,"",MID(IF($B35="",", division","")&amp;IF($D35="",", unit","")&amp;IF($F35="",", job title","")&amp;IF($G35="",", career level","")&amp;IF($H35="",", job family","")&amp;IF($I35="",", worker type","")&amp;IF(N($K35)&lt;=0,", the quarter split","")&amp;IF($Q35="",", driver","")&amp;IF($R35="",", alternatives","")&amp;IF(AND($D35&lt;&gt;"",COUNTIF(UnitList,$D35)=0),", a unit that is not in your structure",""),3,300))</f>
        <v/>
      </c>
      <c r="T35" s="17" t="str">
        <f aca="false">IF($S35="","",COUNTIF($S$6:$S35,"?*"))</f>
        <v/>
      </c>
    </row>
    <row r="36" customFormat="false" ht="15" hidden="false" customHeight="false" outlineLevel="0" collapsed="false">
      <c r="A36" s="17" t="n">
        <v>31</v>
      </c>
      <c r="B36" s="21"/>
      <c r="C36" s="21"/>
      <c r="D36" s="21"/>
      <c r="E36" s="21"/>
      <c r="F36" s="21"/>
      <c r="G36" s="21"/>
      <c r="H36" s="21"/>
      <c r="I36" s="21"/>
      <c r="J36" s="20" t="str">
        <f aca="false">IF($F36="","",SUMIFS(SeatApproved,SeatUnit,$D36,SeatTitle,$F36))</f>
        <v/>
      </c>
      <c r="K36" s="20" t="str">
        <f aca="false">IF($F36="","",SUM($L36:$O36))</f>
        <v/>
      </c>
      <c r="L36" s="22"/>
      <c r="M36" s="22"/>
      <c r="N36" s="22"/>
      <c r="O36" s="22"/>
      <c r="P36" s="18" t="str">
        <f aca="false">IF($Q36="","",IFERROR(INDEX(DriverCategory,MATCH($Q36,DriverList,0)),"?"))</f>
        <v/>
      </c>
      <c r="Q36" s="21"/>
      <c r="R36" s="21"/>
      <c r="S36" s="23" t="str">
        <f aca="false">IF(COUNTA($B36:$H36)+COUNTA($L36:$O36)=0,"",MID(IF($B36="",", division","")&amp;IF($D36="",", unit","")&amp;IF($F36="",", job title","")&amp;IF($G36="",", career level","")&amp;IF($H36="",", job family","")&amp;IF($I36="",", worker type","")&amp;IF(N($K36)&lt;=0,", the quarter split","")&amp;IF($Q36="",", driver","")&amp;IF($R36="",", alternatives","")&amp;IF(AND($D36&lt;&gt;"",COUNTIF(UnitList,$D36)=0),", a unit that is not in your structure",""),3,300))</f>
        <v/>
      </c>
      <c r="T36" s="17" t="str">
        <f aca="false">IF($S36="","",COUNTIF($S$6:$S36,"?*"))</f>
        <v/>
      </c>
    </row>
    <row r="37" customFormat="false" ht="15" hidden="false" customHeight="false" outlineLevel="0" collapsed="false">
      <c r="A37" s="17" t="n">
        <v>32</v>
      </c>
      <c r="B37" s="21"/>
      <c r="C37" s="21"/>
      <c r="D37" s="21"/>
      <c r="E37" s="21"/>
      <c r="F37" s="21"/>
      <c r="G37" s="21"/>
      <c r="H37" s="21"/>
      <c r="I37" s="21"/>
      <c r="J37" s="20" t="str">
        <f aca="false">IF($F37="","",SUMIFS(SeatApproved,SeatUnit,$D37,SeatTitle,$F37))</f>
        <v/>
      </c>
      <c r="K37" s="20" t="str">
        <f aca="false">IF($F37="","",SUM($L37:$O37))</f>
        <v/>
      </c>
      <c r="L37" s="22"/>
      <c r="M37" s="22"/>
      <c r="N37" s="22"/>
      <c r="O37" s="22"/>
      <c r="P37" s="18" t="str">
        <f aca="false">IF($Q37="","",IFERROR(INDEX(DriverCategory,MATCH($Q37,DriverList,0)),"?"))</f>
        <v/>
      </c>
      <c r="Q37" s="21"/>
      <c r="R37" s="21"/>
      <c r="S37" s="23" t="str">
        <f aca="false">IF(COUNTA($B37:$H37)+COUNTA($L37:$O37)=0,"",MID(IF($B37="",", division","")&amp;IF($D37="",", unit","")&amp;IF($F37="",", job title","")&amp;IF($G37="",", career level","")&amp;IF($H37="",", job family","")&amp;IF($I37="",", worker type","")&amp;IF(N($K37)&lt;=0,", the quarter split","")&amp;IF($Q37="",", driver","")&amp;IF($R37="",", alternatives","")&amp;IF(AND($D37&lt;&gt;"",COUNTIF(UnitList,$D37)=0),", a unit that is not in your structure",""),3,300))</f>
        <v/>
      </c>
      <c r="T37" s="17" t="str">
        <f aca="false">IF($S37="","",COUNTIF($S$6:$S37,"?*"))</f>
        <v/>
      </c>
    </row>
    <row r="38" customFormat="false" ht="15" hidden="false" customHeight="false" outlineLevel="0" collapsed="false">
      <c r="A38" s="17" t="n">
        <v>33</v>
      </c>
      <c r="B38" s="21"/>
      <c r="C38" s="21"/>
      <c r="D38" s="21"/>
      <c r="E38" s="21"/>
      <c r="F38" s="21"/>
      <c r="G38" s="21"/>
      <c r="H38" s="21"/>
      <c r="I38" s="21"/>
      <c r="J38" s="20" t="str">
        <f aca="false">IF($F38="","",SUMIFS(SeatApproved,SeatUnit,$D38,SeatTitle,$F38))</f>
        <v/>
      </c>
      <c r="K38" s="20" t="str">
        <f aca="false">IF($F38="","",SUM($L38:$O38))</f>
        <v/>
      </c>
      <c r="L38" s="22"/>
      <c r="M38" s="22"/>
      <c r="N38" s="22"/>
      <c r="O38" s="22"/>
      <c r="P38" s="18" t="str">
        <f aca="false">IF($Q38="","",IFERROR(INDEX(DriverCategory,MATCH($Q38,DriverList,0)),"?"))</f>
        <v/>
      </c>
      <c r="Q38" s="21"/>
      <c r="R38" s="21"/>
      <c r="S38" s="23" t="str">
        <f aca="false">IF(COUNTA($B38:$H38)+COUNTA($L38:$O38)=0,"",MID(IF($B38="",", division","")&amp;IF($D38="",", unit","")&amp;IF($F38="",", job title","")&amp;IF($G38="",", career level","")&amp;IF($H38="",", job family","")&amp;IF($I38="",", worker type","")&amp;IF(N($K38)&lt;=0,", the quarter split","")&amp;IF($Q38="",", driver","")&amp;IF($R38="",", alternatives","")&amp;IF(AND($D38&lt;&gt;"",COUNTIF(UnitList,$D38)=0),", a unit that is not in your structure",""),3,300))</f>
        <v/>
      </c>
      <c r="T38" s="17" t="str">
        <f aca="false">IF($S38="","",COUNTIF($S$6:$S38,"?*"))</f>
        <v/>
      </c>
    </row>
    <row r="39" customFormat="false" ht="15" hidden="false" customHeight="false" outlineLevel="0" collapsed="false">
      <c r="A39" s="17" t="n">
        <v>34</v>
      </c>
      <c r="B39" s="21"/>
      <c r="C39" s="21"/>
      <c r="D39" s="21"/>
      <c r="E39" s="21"/>
      <c r="F39" s="21"/>
      <c r="G39" s="21"/>
      <c r="H39" s="21"/>
      <c r="I39" s="21"/>
      <c r="J39" s="20" t="str">
        <f aca="false">IF($F39="","",SUMIFS(SeatApproved,SeatUnit,$D39,SeatTitle,$F39))</f>
        <v/>
      </c>
      <c r="K39" s="20" t="str">
        <f aca="false">IF($F39="","",SUM($L39:$O39))</f>
        <v/>
      </c>
      <c r="L39" s="22"/>
      <c r="M39" s="22"/>
      <c r="N39" s="22"/>
      <c r="O39" s="22"/>
      <c r="P39" s="18" t="str">
        <f aca="false">IF($Q39="","",IFERROR(INDEX(DriverCategory,MATCH($Q39,DriverList,0)),"?"))</f>
        <v/>
      </c>
      <c r="Q39" s="21"/>
      <c r="R39" s="21"/>
      <c r="S39" s="23" t="str">
        <f aca="false">IF(COUNTA($B39:$H39)+COUNTA($L39:$O39)=0,"",MID(IF($B39="",", division","")&amp;IF($D39="",", unit","")&amp;IF($F39="",", job title","")&amp;IF($G39="",", career level","")&amp;IF($H39="",", job family","")&amp;IF($I39="",", worker type","")&amp;IF(N($K39)&lt;=0,", the quarter split","")&amp;IF($Q39="",", driver","")&amp;IF($R39="",", alternatives","")&amp;IF(AND($D39&lt;&gt;"",COUNTIF(UnitList,$D39)=0),", a unit that is not in your structure",""),3,300))</f>
        <v/>
      </c>
      <c r="T39" s="17" t="str">
        <f aca="false">IF($S39="","",COUNTIF($S$6:$S39,"?*"))</f>
        <v/>
      </c>
    </row>
    <row r="40" customFormat="false" ht="15" hidden="false" customHeight="false" outlineLevel="0" collapsed="false">
      <c r="A40" s="17" t="n">
        <v>35</v>
      </c>
      <c r="B40" s="21"/>
      <c r="C40" s="21"/>
      <c r="D40" s="21"/>
      <c r="E40" s="21"/>
      <c r="F40" s="21"/>
      <c r="G40" s="21"/>
      <c r="H40" s="21"/>
      <c r="I40" s="21"/>
      <c r="J40" s="20" t="str">
        <f aca="false">IF($F40="","",SUMIFS(SeatApproved,SeatUnit,$D40,SeatTitle,$F40))</f>
        <v/>
      </c>
      <c r="K40" s="20" t="str">
        <f aca="false">IF($F40="","",SUM($L40:$O40))</f>
        <v/>
      </c>
      <c r="L40" s="22"/>
      <c r="M40" s="22"/>
      <c r="N40" s="22"/>
      <c r="O40" s="22"/>
      <c r="P40" s="18" t="str">
        <f aca="false">IF($Q40="","",IFERROR(INDEX(DriverCategory,MATCH($Q40,DriverList,0)),"?"))</f>
        <v/>
      </c>
      <c r="Q40" s="21"/>
      <c r="R40" s="21"/>
      <c r="S40" s="23" t="str">
        <f aca="false">IF(COUNTA($B40:$H40)+COUNTA($L40:$O40)=0,"",MID(IF($B40="",", division","")&amp;IF($D40="",", unit","")&amp;IF($F40="",", job title","")&amp;IF($G40="",", career level","")&amp;IF($H40="",", job family","")&amp;IF($I40="",", worker type","")&amp;IF(N($K40)&lt;=0,", the quarter split","")&amp;IF($Q40="",", driver","")&amp;IF($R40="",", alternatives","")&amp;IF(AND($D40&lt;&gt;"",COUNTIF(UnitList,$D40)=0),", a unit that is not in your structure",""),3,300))</f>
        <v/>
      </c>
      <c r="T40" s="17" t="str">
        <f aca="false">IF($S40="","",COUNTIF($S$6:$S40,"?*"))</f>
        <v/>
      </c>
    </row>
    <row r="41" customFormat="false" ht="15" hidden="false" customHeight="false" outlineLevel="0" collapsed="false">
      <c r="A41" s="17" t="n">
        <v>36</v>
      </c>
      <c r="B41" s="21"/>
      <c r="C41" s="21"/>
      <c r="D41" s="21"/>
      <c r="E41" s="21"/>
      <c r="F41" s="21"/>
      <c r="G41" s="21"/>
      <c r="H41" s="21"/>
      <c r="I41" s="21"/>
      <c r="J41" s="20" t="str">
        <f aca="false">IF($F41="","",SUMIFS(SeatApproved,SeatUnit,$D41,SeatTitle,$F41))</f>
        <v/>
      </c>
      <c r="K41" s="20" t="str">
        <f aca="false">IF($F41="","",SUM($L41:$O41))</f>
        <v/>
      </c>
      <c r="L41" s="22"/>
      <c r="M41" s="22"/>
      <c r="N41" s="22"/>
      <c r="O41" s="22"/>
      <c r="P41" s="18" t="str">
        <f aca="false">IF($Q41="","",IFERROR(INDEX(DriverCategory,MATCH($Q41,DriverList,0)),"?"))</f>
        <v/>
      </c>
      <c r="Q41" s="21"/>
      <c r="R41" s="21"/>
      <c r="S41" s="23" t="str">
        <f aca="false">IF(COUNTA($B41:$H41)+COUNTA($L41:$O41)=0,"",MID(IF($B41="",", division","")&amp;IF($D41="",", unit","")&amp;IF($F41="",", job title","")&amp;IF($G41="",", career level","")&amp;IF($H41="",", job family","")&amp;IF($I41="",", worker type","")&amp;IF(N($K41)&lt;=0,", the quarter split","")&amp;IF($Q41="",", driver","")&amp;IF($R41="",", alternatives","")&amp;IF(AND($D41&lt;&gt;"",COUNTIF(UnitList,$D41)=0),", a unit that is not in your structure",""),3,300))</f>
        <v/>
      </c>
      <c r="T41" s="17" t="str">
        <f aca="false">IF($S41="","",COUNTIF($S$6:$S41,"?*"))</f>
        <v/>
      </c>
    </row>
    <row r="42" customFormat="false" ht="15" hidden="false" customHeight="false" outlineLevel="0" collapsed="false">
      <c r="A42" s="17" t="n">
        <v>37</v>
      </c>
      <c r="B42" s="21"/>
      <c r="C42" s="21"/>
      <c r="D42" s="21"/>
      <c r="E42" s="21"/>
      <c r="F42" s="21"/>
      <c r="G42" s="21"/>
      <c r="H42" s="21"/>
      <c r="I42" s="21"/>
      <c r="J42" s="20" t="str">
        <f aca="false">IF($F42="","",SUMIFS(SeatApproved,SeatUnit,$D42,SeatTitle,$F42))</f>
        <v/>
      </c>
      <c r="K42" s="20" t="str">
        <f aca="false">IF($F42="","",SUM($L42:$O42))</f>
        <v/>
      </c>
      <c r="L42" s="22"/>
      <c r="M42" s="22"/>
      <c r="N42" s="22"/>
      <c r="O42" s="22"/>
      <c r="P42" s="18" t="str">
        <f aca="false">IF($Q42="","",IFERROR(INDEX(DriverCategory,MATCH($Q42,DriverList,0)),"?"))</f>
        <v/>
      </c>
      <c r="Q42" s="21"/>
      <c r="R42" s="21"/>
      <c r="S42" s="23" t="str">
        <f aca="false">IF(COUNTA($B42:$H42)+COUNTA($L42:$O42)=0,"",MID(IF($B42="",", division","")&amp;IF($D42="",", unit","")&amp;IF($F42="",", job title","")&amp;IF($G42="",", career level","")&amp;IF($H42="",", job family","")&amp;IF($I42="",", worker type","")&amp;IF(N($K42)&lt;=0,", the quarter split","")&amp;IF($Q42="",", driver","")&amp;IF($R42="",", alternatives","")&amp;IF(AND($D42&lt;&gt;"",COUNTIF(UnitList,$D42)=0),", a unit that is not in your structure",""),3,300))</f>
        <v/>
      </c>
      <c r="T42" s="17" t="str">
        <f aca="false">IF($S42="","",COUNTIF($S$6:$S42,"?*"))</f>
        <v/>
      </c>
    </row>
    <row r="43" customFormat="false" ht="15" hidden="false" customHeight="false" outlineLevel="0" collapsed="false">
      <c r="A43" s="17" t="n">
        <v>38</v>
      </c>
      <c r="B43" s="21"/>
      <c r="C43" s="21"/>
      <c r="D43" s="21"/>
      <c r="E43" s="21"/>
      <c r="F43" s="21"/>
      <c r="G43" s="21"/>
      <c r="H43" s="21"/>
      <c r="I43" s="21"/>
      <c r="J43" s="20" t="str">
        <f aca="false">IF($F43="","",SUMIFS(SeatApproved,SeatUnit,$D43,SeatTitle,$F43))</f>
        <v/>
      </c>
      <c r="K43" s="20" t="str">
        <f aca="false">IF($F43="","",SUM($L43:$O43))</f>
        <v/>
      </c>
      <c r="L43" s="22"/>
      <c r="M43" s="22"/>
      <c r="N43" s="22"/>
      <c r="O43" s="22"/>
      <c r="P43" s="18" t="str">
        <f aca="false">IF($Q43="","",IFERROR(INDEX(DriverCategory,MATCH($Q43,DriverList,0)),"?"))</f>
        <v/>
      </c>
      <c r="Q43" s="21"/>
      <c r="R43" s="21"/>
      <c r="S43" s="23" t="str">
        <f aca="false">IF(COUNTA($B43:$H43)+COUNTA($L43:$O43)=0,"",MID(IF($B43="",", division","")&amp;IF($D43="",", unit","")&amp;IF($F43="",", job title","")&amp;IF($G43="",", career level","")&amp;IF($H43="",", job family","")&amp;IF($I43="",", worker type","")&amp;IF(N($K43)&lt;=0,", the quarter split","")&amp;IF($Q43="",", driver","")&amp;IF($R43="",", alternatives","")&amp;IF(AND($D43&lt;&gt;"",COUNTIF(UnitList,$D43)=0),", a unit that is not in your structure",""),3,300))</f>
        <v/>
      </c>
      <c r="T43" s="17" t="str">
        <f aca="false">IF($S43="","",COUNTIF($S$6:$S43,"?*"))</f>
        <v/>
      </c>
    </row>
    <row r="44" customFormat="false" ht="15" hidden="false" customHeight="false" outlineLevel="0" collapsed="false">
      <c r="A44" s="17" t="n">
        <v>39</v>
      </c>
      <c r="B44" s="21"/>
      <c r="C44" s="21"/>
      <c r="D44" s="21"/>
      <c r="E44" s="21"/>
      <c r="F44" s="21"/>
      <c r="G44" s="21"/>
      <c r="H44" s="21"/>
      <c r="I44" s="21"/>
      <c r="J44" s="20" t="str">
        <f aca="false">IF($F44="","",SUMIFS(SeatApproved,SeatUnit,$D44,SeatTitle,$F44))</f>
        <v/>
      </c>
      <c r="K44" s="20" t="str">
        <f aca="false">IF($F44="","",SUM($L44:$O44))</f>
        <v/>
      </c>
      <c r="L44" s="22"/>
      <c r="M44" s="22"/>
      <c r="N44" s="22"/>
      <c r="O44" s="22"/>
      <c r="P44" s="18" t="str">
        <f aca="false">IF($Q44="","",IFERROR(INDEX(DriverCategory,MATCH($Q44,DriverList,0)),"?"))</f>
        <v/>
      </c>
      <c r="Q44" s="21"/>
      <c r="R44" s="21"/>
      <c r="S44" s="23" t="str">
        <f aca="false">IF(COUNTA($B44:$H44)+COUNTA($L44:$O44)=0,"",MID(IF($B44="",", division","")&amp;IF($D44="",", unit","")&amp;IF($F44="",", job title","")&amp;IF($G44="",", career level","")&amp;IF($H44="",", job family","")&amp;IF($I44="",", worker type","")&amp;IF(N($K44)&lt;=0,", the quarter split","")&amp;IF($Q44="",", driver","")&amp;IF($R44="",", alternatives","")&amp;IF(AND($D44&lt;&gt;"",COUNTIF(UnitList,$D44)=0),", a unit that is not in your structure",""),3,300))</f>
        <v/>
      </c>
      <c r="T44" s="17" t="str">
        <f aca="false">IF($S44="","",COUNTIF($S$6:$S44,"?*"))</f>
        <v/>
      </c>
    </row>
    <row r="45" customFormat="false" ht="15" hidden="false" customHeight="false" outlineLevel="0" collapsed="false">
      <c r="A45" s="17" t="n">
        <v>40</v>
      </c>
      <c r="B45" s="21"/>
      <c r="C45" s="21"/>
      <c r="D45" s="21"/>
      <c r="E45" s="21"/>
      <c r="F45" s="21"/>
      <c r="G45" s="21"/>
      <c r="H45" s="21"/>
      <c r="I45" s="21"/>
      <c r="J45" s="20" t="str">
        <f aca="false">IF($F45="","",SUMIFS(SeatApproved,SeatUnit,$D45,SeatTitle,$F45))</f>
        <v/>
      </c>
      <c r="K45" s="20" t="str">
        <f aca="false">IF($F45="","",SUM($L45:$O45))</f>
        <v/>
      </c>
      <c r="L45" s="22"/>
      <c r="M45" s="22"/>
      <c r="N45" s="22"/>
      <c r="O45" s="22"/>
      <c r="P45" s="18" t="str">
        <f aca="false">IF($Q45="","",IFERROR(INDEX(DriverCategory,MATCH($Q45,DriverList,0)),"?"))</f>
        <v/>
      </c>
      <c r="Q45" s="21"/>
      <c r="R45" s="21"/>
      <c r="S45" s="23" t="str">
        <f aca="false">IF(COUNTA($B45:$H45)+COUNTA($L45:$O45)=0,"",MID(IF($B45="",", division","")&amp;IF($D45="",", unit","")&amp;IF($F45="",", job title","")&amp;IF($G45="",", career level","")&amp;IF($H45="",", job family","")&amp;IF($I45="",", worker type","")&amp;IF(N($K45)&lt;=0,", the quarter split","")&amp;IF($Q45="",", driver","")&amp;IF($R45="",", alternatives","")&amp;IF(AND($D45&lt;&gt;"",COUNTIF(UnitList,$D45)=0),", a unit that is not in your structure",""),3,300))</f>
        <v/>
      </c>
      <c r="T45" s="17" t="str">
        <f aca="false">IF($S45="","",COUNTIF($S$6:$S45,"?*"))</f>
        <v/>
      </c>
    </row>
    <row r="46" customFormat="false" ht="15" hidden="false" customHeight="false" outlineLevel="0" collapsed="false">
      <c r="A46" s="17" t="n">
        <v>41</v>
      </c>
      <c r="B46" s="21"/>
      <c r="C46" s="21"/>
      <c r="D46" s="21"/>
      <c r="E46" s="21"/>
      <c r="F46" s="21"/>
      <c r="G46" s="21"/>
      <c r="H46" s="21"/>
      <c r="I46" s="21"/>
      <c r="J46" s="20" t="str">
        <f aca="false">IF($F46="","",SUMIFS(SeatApproved,SeatUnit,$D46,SeatTitle,$F46))</f>
        <v/>
      </c>
      <c r="K46" s="20" t="str">
        <f aca="false">IF($F46="","",SUM($L46:$O46))</f>
        <v/>
      </c>
      <c r="L46" s="22"/>
      <c r="M46" s="22"/>
      <c r="N46" s="22"/>
      <c r="O46" s="22"/>
      <c r="P46" s="18" t="str">
        <f aca="false">IF($Q46="","",IFERROR(INDEX(DriverCategory,MATCH($Q46,DriverList,0)),"?"))</f>
        <v/>
      </c>
      <c r="Q46" s="21"/>
      <c r="R46" s="21"/>
      <c r="S46" s="23" t="str">
        <f aca="false">IF(COUNTA($B46:$H46)+COUNTA($L46:$O46)=0,"",MID(IF($B46="",", division","")&amp;IF($D46="",", unit","")&amp;IF($F46="",", job title","")&amp;IF($G46="",", career level","")&amp;IF($H46="",", job family","")&amp;IF($I46="",", worker type","")&amp;IF(N($K46)&lt;=0,", the quarter split","")&amp;IF($Q46="",", driver","")&amp;IF($R46="",", alternatives","")&amp;IF(AND($D46&lt;&gt;"",COUNTIF(UnitList,$D46)=0),", a unit that is not in your structure",""),3,300))</f>
        <v/>
      </c>
      <c r="T46" s="17" t="str">
        <f aca="false">IF($S46="","",COUNTIF($S$6:$S46,"?*"))</f>
        <v/>
      </c>
    </row>
    <row r="47" customFormat="false" ht="15" hidden="false" customHeight="false" outlineLevel="0" collapsed="false">
      <c r="A47" s="17" t="n">
        <v>42</v>
      </c>
      <c r="B47" s="21"/>
      <c r="C47" s="21"/>
      <c r="D47" s="21"/>
      <c r="E47" s="21"/>
      <c r="F47" s="21"/>
      <c r="G47" s="21"/>
      <c r="H47" s="21"/>
      <c r="I47" s="21"/>
      <c r="J47" s="20" t="str">
        <f aca="false">IF($F47="","",SUMIFS(SeatApproved,SeatUnit,$D47,SeatTitle,$F47))</f>
        <v/>
      </c>
      <c r="K47" s="20" t="str">
        <f aca="false">IF($F47="","",SUM($L47:$O47))</f>
        <v/>
      </c>
      <c r="L47" s="22"/>
      <c r="M47" s="22"/>
      <c r="N47" s="22"/>
      <c r="O47" s="22"/>
      <c r="P47" s="18" t="str">
        <f aca="false">IF($Q47="","",IFERROR(INDEX(DriverCategory,MATCH($Q47,DriverList,0)),"?"))</f>
        <v/>
      </c>
      <c r="Q47" s="21"/>
      <c r="R47" s="21"/>
      <c r="S47" s="23" t="str">
        <f aca="false">IF(COUNTA($B47:$H47)+COUNTA($L47:$O47)=0,"",MID(IF($B47="",", division","")&amp;IF($D47="",", unit","")&amp;IF($F47="",", job title","")&amp;IF($G47="",", career level","")&amp;IF($H47="",", job family","")&amp;IF($I47="",", worker type","")&amp;IF(N($K47)&lt;=0,", the quarter split","")&amp;IF($Q47="",", driver","")&amp;IF($R47="",", alternatives","")&amp;IF(AND($D47&lt;&gt;"",COUNTIF(UnitList,$D47)=0),", a unit that is not in your structure",""),3,300))</f>
        <v/>
      </c>
      <c r="T47" s="17" t="str">
        <f aca="false">IF($S47="","",COUNTIF($S$6:$S47,"?*"))</f>
        <v/>
      </c>
    </row>
    <row r="48" customFormat="false" ht="15" hidden="false" customHeight="false" outlineLevel="0" collapsed="false">
      <c r="A48" s="17" t="n">
        <v>43</v>
      </c>
      <c r="B48" s="21"/>
      <c r="C48" s="21"/>
      <c r="D48" s="21"/>
      <c r="E48" s="21"/>
      <c r="F48" s="21"/>
      <c r="G48" s="21"/>
      <c r="H48" s="21"/>
      <c r="I48" s="21"/>
      <c r="J48" s="20" t="str">
        <f aca="false">IF($F48="","",SUMIFS(SeatApproved,SeatUnit,$D48,SeatTitle,$F48))</f>
        <v/>
      </c>
      <c r="K48" s="20" t="str">
        <f aca="false">IF($F48="","",SUM($L48:$O48))</f>
        <v/>
      </c>
      <c r="L48" s="22"/>
      <c r="M48" s="22"/>
      <c r="N48" s="22"/>
      <c r="O48" s="22"/>
      <c r="P48" s="18" t="str">
        <f aca="false">IF($Q48="","",IFERROR(INDEX(DriverCategory,MATCH($Q48,DriverList,0)),"?"))</f>
        <v/>
      </c>
      <c r="Q48" s="21"/>
      <c r="R48" s="21"/>
      <c r="S48" s="23" t="str">
        <f aca="false">IF(COUNTA($B48:$H48)+COUNTA($L48:$O48)=0,"",MID(IF($B48="",", division","")&amp;IF($D48="",", unit","")&amp;IF($F48="",", job title","")&amp;IF($G48="",", career level","")&amp;IF($H48="",", job family","")&amp;IF($I48="",", worker type","")&amp;IF(N($K48)&lt;=0,", the quarter split","")&amp;IF($Q48="",", driver","")&amp;IF($R48="",", alternatives","")&amp;IF(AND($D48&lt;&gt;"",COUNTIF(UnitList,$D48)=0),", a unit that is not in your structure",""),3,300))</f>
        <v/>
      </c>
      <c r="T48" s="17" t="str">
        <f aca="false">IF($S48="","",COUNTIF($S$6:$S48,"?*"))</f>
        <v/>
      </c>
    </row>
    <row r="49" customFormat="false" ht="15" hidden="false" customHeight="false" outlineLevel="0" collapsed="false">
      <c r="A49" s="17" t="n">
        <v>44</v>
      </c>
      <c r="B49" s="21"/>
      <c r="C49" s="21"/>
      <c r="D49" s="21"/>
      <c r="E49" s="21"/>
      <c r="F49" s="21"/>
      <c r="G49" s="21"/>
      <c r="H49" s="21"/>
      <c r="I49" s="21"/>
      <c r="J49" s="20" t="str">
        <f aca="false">IF($F49="","",SUMIFS(SeatApproved,SeatUnit,$D49,SeatTitle,$F49))</f>
        <v/>
      </c>
      <c r="K49" s="20" t="str">
        <f aca="false">IF($F49="","",SUM($L49:$O49))</f>
        <v/>
      </c>
      <c r="L49" s="22"/>
      <c r="M49" s="22"/>
      <c r="N49" s="22"/>
      <c r="O49" s="22"/>
      <c r="P49" s="18" t="str">
        <f aca="false">IF($Q49="","",IFERROR(INDEX(DriverCategory,MATCH($Q49,DriverList,0)),"?"))</f>
        <v/>
      </c>
      <c r="Q49" s="21"/>
      <c r="R49" s="21"/>
      <c r="S49" s="23" t="str">
        <f aca="false">IF(COUNTA($B49:$H49)+COUNTA($L49:$O49)=0,"",MID(IF($B49="",", division","")&amp;IF($D49="",", unit","")&amp;IF($F49="",", job title","")&amp;IF($G49="",", career level","")&amp;IF($H49="",", job family","")&amp;IF($I49="",", worker type","")&amp;IF(N($K49)&lt;=0,", the quarter split","")&amp;IF($Q49="",", driver","")&amp;IF($R49="",", alternatives","")&amp;IF(AND($D49&lt;&gt;"",COUNTIF(UnitList,$D49)=0),", a unit that is not in your structure",""),3,300))</f>
        <v/>
      </c>
      <c r="T49" s="17" t="str">
        <f aca="false">IF($S49="","",COUNTIF($S$6:$S49,"?*"))</f>
        <v/>
      </c>
    </row>
    <row r="50" customFormat="false" ht="15" hidden="false" customHeight="false" outlineLevel="0" collapsed="false">
      <c r="A50" s="17" t="n">
        <v>45</v>
      </c>
      <c r="B50" s="21"/>
      <c r="C50" s="21"/>
      <c r="D50" s="21"/>
      <c r="E50" s="21"/>
      <c r="F50" s="21"/>
      <c r="G50" s="21"/>
      <c r="H50" s="21"/>
      <c r="I50" s="21"/>
      <c r="J50" s="20" t="str">
        <f aca="false">IF($F50="","",SUMIFS(SeatApproved,SeatUnit,$D50,SeatTitle,$F50))</f>
        <v/>
      </c>
      <c r="K50" s="20" t="str">
        <f aca="false">IF($F50="","",SUM($L50:$O50))</f>
        <v/>
      </c>
      <c r="L50" s="22"/>
      <c r="M50" s="22"/>
      <c r="N50" s="22"/>
      <c r="O50" s="22"/>
      <c r="P50" s="18" t="str">
        <f aca="false">IF($Q50="","",IFERROR(INDEX(DriverCategory,MATCH($Q50,DriverList,0)),"?"))</f>
        <v/>
      </c>
      <c r="Q50" s="21"/>
      <c r="R50" s="21"/>
      <c r="S50" s="23" t="str">
        <f aca="false">IF(COUNTA($B50:$H50)+COUNTA($L50:$O50)=0,"",MID(IF($B50="",", division","")&amp;IF($D50="",", unit","")&amp;IF($F50="",", job title","")&amp;IF($G50="",", career level","")&amp;IF($H50="",", job family","")&amp;IF($I50="",", worker type","")&amp;IF(N($K50)&lt;=0,", the quarter split","")&amp;IF($Q50="",", driver","")&amp;IF($R50="",", alternatives","")&amp;IF(AND($D50&lt;&gt;"",COUNTIF(UnitList,$D50)=0),", a unit that is not in your structure",""),3,300))</f>
        <v/>
      </c>
      <c r="T50" s="17" t="str">
        <f aca="false">IF($S50="","",COUNTIF($S$6:$S50,"?*"))</f>
        <v/>
      </c>
    </row>
    <row r="51" customFormat="false" ht="15" hidden="false" customHeight="false" outlineLevel="0" collapsed="false">
      <c r="A51" s="17" t="n">
        <v>46</v>
      </c>
      <c r="B51" s="21"/>
      <c r="C51" s="21"/>
      <c r="D51" s="21"/>
      <c r="E51" s="21"/>
      <c r="F51" s="21"/>
      <c r="G51" s="21"/>
      <c r="H51" s="21"/>
      <c r="I51" s="21"/>
      <c r="J51" s="20" t="str">
        <f aca="false">IF($F51="","",SUMIFS(SeatApproved,SeatUnit,$D51,SeatTitle,$F51))</f>
        <v/>
      </c>
      <c r="K51" s="20" t="str">
        <f aca="false">IF($F51="","",SUM($L51:$O51))</f>
        <v/>
      </c>
      <c r="L51" s="22"/>
      <c r="M51" s="22"/>
      <c r="N51" s="22"/>
      <c r="O51" s="22"/>
      <c r="P51" s="18" t="str">
        <f aca="false">IF($Q51="","",IFERROR(INDEX(DriverCategory,MATCH($Q51,DriverList,0)),"?"))</f>
        <v/>
      </c>
      <c r="Q51" s="21"/>
      <c r="R51" s="21"/>
      <c r="S51" s="23" t="str">
        <f aca="false">IF(COUNTA($B51:$H51)+COUNTA($L51:$O51)=0,"",MID(IF($B51="",", division","")&amp;IF($D51="",", unit","")&amp;IF($F51="",", job title","")&amp;IF($G51="",", career level","")&amp;IF($H51="",", job family","")&amp;IF($I51="",", worker type","")&amp;IF(N($K51)&lt;=0,", the quarter split","")&amp;IF($Q51="",", driver","")&amp;IF($R51="",", alternatives","")&amp;IF(AND($D51&lt;&gt;"",COUNTIF(UnitList,$D51)=0),", a unit that is not in your structure",""),3,300))</f>
        <v/>
      </c>
      <c r="T51" s="17" t="str">
        <f aca="false">IF($S51="","",COUNTIF($S$6:$S51,"?*"))</f>
        <v/>
      </c>
    </row>
    <row r="52" customFormat="false" ht="15" hidden="false" customHeight="false" outlineLevel="0" collapsed="false">
      <c r="A52" s="17" t="n">
        <v>47</v>
      </c>
      <c r="B52" s="21"/>
      <c r="C52" s="21"/>
      <c r="D52" s="21"/>
      <c r="E52" s="21"/>
      <c r="F52" s="21"/>
      <c r="G52" s="21"/>
      <c r="H52" s="21"/>
      <c r="I52" s="21"/>
      <c r="J52" s="20" t="str">
        <f aca="false">IF($F52="","",SUMIFS(SeatApproved,SeatUnit,$D52,SeatTitle,$F52))</f>
        <v/>
      </c>
      <c r="K52" s="20" t="str">
        <f aca="false">IF($F52="","",SUM($L52:$O52))</f>
        <v/>
      </c>
      <c r="L52" s="22"/>
      <c r="M52" s="22"/>
      <c r="N52" s="22"/>
      <c r="O52" s="22"/>
      <c r="P52" s="18" t="str">
        <f aca="false">IF($Q52="","",IFERROR(INDEX(DriverCategory,MATCH($Q52,DriverList,0)),"?"))</f>
        <v/>
      </c>
      <c r="Q52" s="21"/>
      <c r="R52" s="21"/>
      <c r="S52" s="23" t="str">
        <f aca="false">IF(COUNTA($B52:$H52)+COUNTA($L52:$O52)=0,"",MID(IF($B52="",", division","")&amp;IF($D52="",", unit","")&amp;IF($F52="",", job title","")&amp;IF($G52="",", career level","")&amp;IF($H52="",", job family","")&amp;IF($I52="",", worker type","")&amp;IF(N($K52)&lt;=0,", the quarter split","")&amp;IF($Q52="",", driver","")&amp;IF($R52="",", alternatives","")&amp;IF(AND($D52&lt;&gt;"",COUNTIF(UnitList,$D52)=0),", a unit that is not in your structure",""),3,300))</f>
        <v/>
      </c>
      <c r="T52" s="17" t="str">
        <f aca="false">IF($S52="","",COUNTIF($S$6:$S52,"?*"))</f>
        <v/>
      </c>
    </row>
    <row r="53" customFormat="false" ht="15" hidden="false" customHeight="false" outlineLevel="0" collapsed="false">
      <c r="A53" s="17" t="n">
        <v>48</v>
      </c>
      <c r="B53" s="21"/>
      <c r="C53" s="21"/>
      <c r="D53" s="21"/>
      <c r="E53" s="21"/>
      <c r="F53" s="21"/>
      <c r="G53" s="21"/>
      <c r="H53" s="21"/>
      <c r="I53" s="21"/>
      <c r="J53" s="20" t="str">
        <f aca="false">IF($F53="","",SUMIFS(SeatApproved,SeatUnit,$D53,SeatTitle,$F53))</f>
        <v/>
      </c>
      <c r="K53" s="20" t="str">
        <f aca="false">IF($F53="","",SUM($L53:$O53))</f>
        <v/>
      </c>
      <c r="L53" s="22"/>
      <c r="M53" s="22"/>
      <c r="N53" s="22"/>
      <c r="O53" s="22"/>
      <c r="P53" s="18" t="str">
        <f aca="false">IF($Q53="","",IFERROR(INDEX(DriverCategory,MATCH($Q53,DriverList,0)),"?"))</f>
        <v/>
      </c>
      <c r="Q53" s="21"/>
      <c r="R53" s="21"/>
      <c r="S53" s="23" t="str">
        <f aca="false">IF(COUNTA($B53:$H53)+COUNTA($L53:$O53)=0,"",MID(IF($B53="",", division","")&amp;IF($D53="",", unit","")&amp;IF($F53="",", job title","")&amp;IF($G53="",", career level","")&amp;IF($H53="",", job family","")&amp;IF($I53="",", worker type","")&amp;IF(N($K53)&lt;=0,", the quarter split","")&amp;IF($Q53="",", driver","")&amp;IF($R53="",", alternatives","")&amp;IF(AND($D53&lt;&gt;"",COUNTIF(UnitList,$D53)=0),", a unit that is not in your structure",""),3,300))</f>
        <v/>
      </c>
      <c r="T53" s="17" t="str">
        <f aca="false">IF($S53="","",COUNTIF($S$6:$S53,"?*"))</f>
        <v/>
      </c>
    </row>
    <row r="54" customFormat="false" ht="15" hidden="false" customHeight="false" outlineLevel="0" collapsed="false">
      <c r="A54" s="17" t="n">
        <v>49</v>
      </c>
      <c r="B54" s="21"/>
      <c r="C54" s="21"/>
      <c r="D54" s="21"/>
      <c r="E54" s="21"/>
      <c r="F54" s="21"/>
      <c r="G54" s="21"/>
      <c r="H54" s="21"/>
      <c r="I54" s="21"/>
      <c r="J54" s="20" t="str">
        <f aca="false">IF($F54="","",SUMIFS(SeatApproved,SeatUnit,$D54,SeatTitle,$F54))</f>
        <v/>
      </c>
      <c r="K54" s="20" t="str">
        <f aca="false">IF($F54="","",SUM($L54:$O54))</f>
        <v/>
      </c>
      <c r="L54" s="22"/>
      <c r="M54" s="22"/>
      <c r="N54" s="22"/>
      <c r="O54" s="22"/>
      <c r="P54" s="18" t="str">
        <f aca="false">IF($Q54="","",IFERROR(INDEX(DriverCategory,MATCH($Q54,DriverList,0)),"?"))</f>
        <v/>
      </c>
      <c r="Q54" s="21"/>
      <c r="R54" s="21"/>
      <c r="S54" s="23" t="str">
        <f aca="false">IF(COUNTA($B54:$H54)+COUNTA($L54:$O54)=0,"",MID(IF($B54="",", division","")&amp;IF($D54="",", unit","")&amp;IF($F54="",", job title","")&amp;IF($G54="",", career level","")&amp;IF($H54="",", job family","")&amp;IF($I54="",", worker type","")&amp;IF(N($K54)&lt;=0,", the quarter split","")&amp;IF($Q54="",", driver","")&amp;IF($R54="",", alternatives","")&amp;IF(AND($D54&lt;&gt;"",COUNTIF(UnitList,$D54)=0),", a unit that is not in your structure",""),3,300))</f>
        <v/>
      </c>
      <c r="T54" s="17" t="str">
        <f aca="false">IF($S54="","",COUNTIF($S$6:$S54,"?*"))</f>
        <v/>
      </c>
    </row>
    <row r="55" customFormat="false" ht="15" hidden="false" customHeight="false" outlineLevel="0" collapsed="false">
      <c r="A55" s="17" t="n">
        <v>50</v>
      </c>
      <c r="B55" s="21"/>
      <c r="C55" s="21"/>
      <c r="D55" s="21"/>
      <c r="E55" s="21"/>
      <c r="F55" s="21"/>
      <c r="G55" s="21"/>
      <c r="H55" s="21"/>
      <c r="I55" s="21"/>
      <c r="J55" s="20" t="str">
        <f aca="false">IF($F55="","",SUMIFS(SeatApproved,SeatUnit,$D55,SeatTitle,$F55))</f>
        <v/>
      </c>
      <c r="K55" s="20" t="str">
        <f aca="false">IF($F55="","",SUM($L55:$O55))</f>
        <v/>
      </c>
      <c r="L55" s="22"/>
      <c r="M55" s="22"/>
      <c r="N55" s="22"/>
      <c r="O55" s="22"/>
      <c r="P55" s="18" t="str">
        <f aca="false">IF($Q55="","",IFERROR(INDEX(DriverCategory,MATCH($Q55,DriverList,0)),"?"))</f>
        <v/>
      </c>
      <c r="Q55" s="21"/>
      <c r="R55" s="21"/>
      <c r="S55" s="23" t="str">
        <f aca="false">IF(COUNTA($B55:$H55)+COUNTA($L55:$O55)=0,"",MID(IF($B55="",", division","")&amp;IF($D55="",", unit","")&amp;IF($F55="",", job title","")&amp;IF($G55="",", career level","")&amp;IF($H55="",", job family","")&amp;IF($I55="",", worker type","")&amp;IF(N($K55)&lt;=0,", the quarter split","")&amp;IF($Q55="",", driver","")&amp;IF($R55="",", alternatives","")&amp;IF(AND($D55&lt;&gt;"",COUNTIF(UnitList,$D55)=0),", a unit that is not in your structure",""),3,300))</f>
        <v/>
      </c>
      <c r="T55" s="17" t="str">
        <f aca="false">IF($S55="","",COUNTIF($S$6:$S55,"?*"))</f>
        <v/>
      </c>
    </row>
    <row r="56" customFormat="false" ht="15" hidden="false" customHeight="false" outlineLevel="0" collapsed="false">
      <c r="A56" s="17" t="n">
        <v>51</v>
      </c>
      <c r="B56" s="21"/>
      <c r="C56" s="21"/>
      <c r="D56" s="21"/>
      <c r="E56" s="21"/>
      <c r="F56" s="21"/>
      <c r="G56" s="21"/>
      <c r="H56" s="21"/>
      <c r="I56" s="21"/>
      <c r="J56" s="20" t="str">
        <f aca="false">IF($F56="","",SUMIFS(SeatApproved,SeatUnit,$D56,SeatTitle,$F56))</f>
        <v/>
      </c>
      <c r="K56" s="20" t="str">
        <f aca="false">IF($F56="","",SUM($L56:$O56))</f>
        <v/>
      </c>
      <c r="L56" s="22"/>
      <c r="M56" s="22"/>
      <c r="N56" s="22"/>
      <c r="O56" s="22"/>
      <c r="P56" s="18" t="str">
        <f aca="false">IF($Q56="","",IFERROR(INDEX(DriverCategory,MATCH($Q56,DriverList,0)),"?"))</f>
        <v/>
      </c>
      <c r="Q56" s="21"/>
      <c r="R56" s="21"/>
      <c r="S56" s="23" t="str">
        <f aca="false">IF(COUNTA($B56:$H56)+COUNTA($L56:$O56)=0,"",MID(IF($B56="",", division","")&amp;IF($D56="",", unit","")&amp;IF($F56="",", job title","")&amp;IF($G56="",", career level","")&amp;IF($H56="",", job family","")&amp;IF($I56="",", worker type","")&amp;IF(N($K56)&lt;=0,", the quarter split","")&amp;IF($Q56="",", driver","")&amp;IF($R56="",", alternatives","")&amp;IF(AND($D56&lt;&gt;"",COUNTIF(UnitList,$D56)=0),", a unit that is not in your structure",""),3,300))</f>
        <v/>
      </c>
      <c r="T56" s="17" t="str">
        <f aca="false">IF($S56="","",COUNTIF($S$6:$S56,"?*"))</f>
        <v/>
      </c>
    </row>
    <row r="57" customFormat="false" ht="15" hidden="false" customHeight="false" outlineLevel="0" collapsed="false">
      <c r="A57" s="17" t="n">
        <v>52</v>
      </c>
      <c r="B57" s="21"/>
      <c r="C57" s="21"/>
      <c r="D57" s="21"/>
      <c r="E57" s="21"/>
      <c r="F57" s="21"/>
      <c r="G57" s="21"/>
      <c r="H57" s="21"/>
      <c r="I57" s="21"/>
      <c r="J57" s="20" t="str">
        <f aca="false">IF($F57="","",SUMIFS(SeatApproved,SeatUnit,$D57,SeatTitle,$F57))</f>
        <v/>
      </c>
      <c r="K57" s="20" t="str">
        <f aca="false">IF($F57="","",SUM($L57:$O57))</f>
        <v/>
      </c>
      <c r="L57" s="22"/>
      <c r="M57" s="22"/>
      <c r="N57" s="22"/>
      <c r="O57" s="22"/>
      <c r="P57" s="18" t="str">
        <f aca="false">IF($Q57="","",IFERROR(INDEX(DriverCategory,MATCH($Q57,DriverList,0)),"?"))</f>
        <v/>
      </c>
      <c r="Q57" s="21"/>
      <c r="R57" s="21"/>
      <c r="S57" s="23" t="str">
        <f aca="false">IF(COUNTA($B57:$H57)+COUNTA($L57:$O57)=0,"",MID(IF($B57="",", division","")&amp;IF($D57="",", unit","")&amp;IF($F57="",", job title","")&amp;IF($G57="",", career level","")&amp;IF($H57="",", job family","")&amp;IF($I57="",", worker type","")&amp;IF(N($K57)&lt;=0,", the quarter split","")&amp;IF($Q57="",", driver","")&amp;IF($R57="",", alternatives","")&amp;IF(AND($D57&lt;&gt;"",COUNTIF(UnitList,$D57)=0),", a unit that is not in your structure",""),3,300))</f>
        <v/>
      </c>
      <c r="T57" s="17" t="str">
        <f aca="false">IF($S57="","",COUNTIF($S$6:$S57,"?*"))</f>
        <v/>
      </c>
    </row>
    <row r="58" customFormat="false" ht="15" hidden="false" customHeight="false" outlineLevel="0" collapsed="false">
      <c r="A58" s="17" t="n">
        <v>53</v>
      </c>
      <c r="B58" s="21"/>
      <c r="C58" s="21"/>
      <c r="D58" s="21"/>
      <c r="E58" s="21"/>
      <c r="F58" s="21"/>
      <c r="G58" s="21"/>
      <c r="H58" s="21"/>
      <c r="I58" s="21"/>
      <c r="J58" s="20" t="str">
        <f aca="false">IF($F58="","",SUMIFS(SeatApproved,SeatUnit,$D58,SeatTitle,$F58))</f>
        <v/>
      </c>
      <c r="K58" s="20" t="str">
        <f aca="false">IF($F58="","",SUM($L58:$O58))</f>
        <v/>
      </c>
      <c r="L58" s="22"/>
      <c r="M58" s="22"/>
      <c r="N58" s="22"/>
      <c r="O58" s="22"/>
      <c r="P58" s="18" t="str">
        <f aca="false">IF($Q58="","",IFERROR(INDEX(DriverCategory,MATCH($Q58,DriverList,0)),"?"))</f>
        <v/>
      </c>
      <c r="Q58" s="21"/>
      <c r="R58" s="21"/>
      <c r="S58" s="23" t="str">
        <f aca="false">IF(COUNTA($B58:$H58)+COUNTA($L58:$O58)=0,"",MID(IF($B58="",", division","")&amp;IF($D58="",", unit","")&amp;IF($F58="",", job title","")&amp;IF($G58="",", career level","")&amp;IF($H58="",", job family","")&amp;IF($I58="",", worker type","")&amp;IF(N($K58)&lt;=0,", the quarter split","")&amp;IF($Q58="",", driver","")&amp;IF($R58="",", alternatives","")&amp;IF(AND($D58&lt;&gt;"",COUNTIF(UnitList,$D58)=0),", a unit that is not in your structure",""),3,300))</f>
        <v/>
      </c>
      <c r="T58" s="17" t="str">
        <f aca="false">IF($S58="","",COUNTIF($S$6:$S58,"?*"))</f>
        <v/>
      </c>
    </row>
    <row r="59" customFormat="false" ht="15" hidden="false" customHeight="false" outlineLevel="0" collapsed="false">
      <c r="A59" s="17" t="n">
        <v>54</v>
      </c>
      <c r="B59" s="21"/>
      <c r="C59" s="21"/>
      <c r="D59" s="21"/>
      <c r="E59" s="21"/>
      <c r="F59" s="21"/>
      <c r="G59" s="21"/>
      <c r="H59" s="21"/>
      <c r="I59" s="21"/>
      <c r="J59" s="20" t="str">
        <f aca="false">IF($F59="","",SUMIFS(SeatApproved,SeatUnit,$D59,SeatTitle,$F59))</f>
        <v/>
      </c>
      <c r="K59" s="20" t="str">
        <f aca="false">IF($F59="","",SUM($L59:$O59))</f>
        <v/>
      </c>
      <c r="L59" s="22"/>
      <c r="M59" s="22"/>
      <c r="N59" s="22"/>
      <c r="O59" s="22"/>
      <c r="P59" s="18" t="str">
        <f aca="false">IF($Q59="","",IFERROR(INDEX(DriverCategory,MATCH($Q59,DriverList,0)),"?"))</f>
        <v/>
      </c>
      <c r="Q59" s="21"/>
      <c r="R59" s="21"/>
      <c r="S59" s="23" t="str">
        <f aca="false">IF(COUNTA($B59:$H59)+COUNTA($L59:$O59)=0,"",MID(IF($B59="",", division","")&amp;IF($D59="",", unit","")&amp;IF($F59="",", job title","")&amp;IF($G59="",", career level","")&amp;IF($H59="",", job family","")&amp;IF($I59="",", worker type","")&amp;IF(N($K59)&lt;=0,", the quarter split","")&amp;IF($Q59="",", driver","")&amp;IF($R59="",", alternatives","")&amp;IF(AND($D59&lt;&gt;"",COUNTIF(UnitList,$D59)=0),", a unit that is not in your structure",""),3,300))</f>
        <v/>
      </c>
      <c r="T59" s="17" t="str">
        <f aca="false">IF($S59="","",COUNTIF($S$6:$S59,"?*"))</f>
        <v/>
      </c>
    </row>
    <row r="60" customFormat="false" ht="15" hidden="false" customHeight="false" outlineLevel="0" collapsed="false">
      <c r="A60" s="17" t="n">
        <v>55</v>
      </c>
      <c r="B60" s="21"/>
      <c r="C60" s="21"/>
      <c r="D60" s="21"/>
      <c r="E60" s="21"/>
      <c r="F60" s="21"/>
      <c r="G60" s="21"/>
      <c r="H60" s="21"/>
      <c r="I60" s="21"/>
      <c r="J60" s="20" t="str">
        <f aca="false">IF($F60="","",SUMIFS(SeatApproved,SeatUnit,$D60,SeatTitle,$F60))</f>
        <v/>
      </c>
      <c r="K60" s="20" t="str">
        <f aca="false">IF($F60="","",SUM($L60:$O60))</f>
        <v/>
      </c>
      <c r="L60" s="22"/>
      <c r="M60" s="22"/>
      <c r="N60" s="22"/>
      <c r="O60" s="22"/>
      <c r="P60" s="18" t="str">
        <f aca="false">IF($Q60="","",IFERROR(INDEX(DriverCategory,MATCH($Q60,DriverList,0)),"?"))</f>
        <v/>
      </c>
      <c r="Q60" s="21"/>
      <c r="R60" s="21"/>
      <c r="S60" s="23" t="str">
        <f aca="false">IF(COUNTA($B60:$H60)+COUNTA($L60:$O60)=0,"",MID(IF($B60="",", division","")&amp;IF($D60="",", unit","")&amp;IF($F60="",", job title","")&amp;IF($G60="",", career level","")&amp;IF($H60="",", job family","")&amp;IF($I60="",", worker type","")&amp;IF(N($K60)&lt;=0,", the quarter split","")&amp;IF($Q60="",", driver","")&amp;IF($R60="",", alternatives","")&amp;IF(AND($D60&lt;&gt;"",COUNTIF(UnitList,$D60)=0),", a unit that is not in your structure",""),3,300))</f>
        <v/>
      </c>
      <c r="T60" s="17" t="str">
        <f aca="false">IF($S60="","",COUNTIF($S$6:$S60,"?*"))</f>
        <v/>
      </c>
    </row>
    <row r="61" customFormat="false" ht="15" hidden="false" customHeight="false" outlineLevel="0" collapsed="false">
      <c r="A61" s="17" t="n">
        <v>56</v>
      </c>
      <c r="B61" s="21"/>
      <c r="C61" s="21"/>
      <c r="D61" s="21"/>
      <c r="E61" s="21"/>
      <c r="F61" s="21"/>
      <c r="G61" s="21"/>
      <c r="H61" s="21"/>
      <c r="I61" s="21"/>
      <c r="J61" s="20" t="str">
        <f aca="false">IF($F61="","",SUMIFS(SeatApproved,SeatUnit,$D61,SeatTitle,$F61))</f>
        <v/>
      </c>
      <c r="K61" s="20" t="str">
        <f aca="false">IF($F61="","",SUM($L61:$O61))</f>
        <v/>
      </c>
      <c r="L61" s="22"/>
      <c r="M61" s="22"/>
      <c r="N61" s="22"/>
      <c r="O61" s="22"/>
      <c r="P61" s="18" t="str">
        <f aca="false">IF($Q61="","",IFERROR(INDEX(DriverCategory,MATCH($Q61,DriverList,0)),"?"))</f>
        <v/>
      </c>
      <c r="Q61" s="21"/>
      <c r="R61" s="21"/>
      <c r="S61" s="23" t="str">
        <f aca="false">IF(COUNTA($B61:$H61)+COUNTA($L61:$O61)=0,"",MID(IF($B61="",", division","")&amp;IF($D61="",", unit","")&amp;IF($F61="",", job title","")&amp;IF($G61="",", career level","")&amp;IF($H61="",", job family","")&amp;IF($I61="",", worker type","")&amp;IF(N($K61)&lt;=0,", the quarter split","")&amp;IF($Q61="",", driver","")&amp;IF($R61="",", alternatives","")&amp;IF(AND($D61&lt;&gt;"",COUNTIF(UnitList,$D61)=0),", a unit that is not in your structure",""),3,300))</f>
        <v/>
      </c>
      <c r="T61" s="17" t="str">
        <f aca="false">IF($S61="","",COUNTIF($S$6:$S61,"?*"))</f>
        <v/>
      </c>
    </row>
    <row r="62" customFormat="false" ht="15" hidden="false" customHeight="false" outlineLevel="0" collapsed="false">
      <c r="A62" s="17" t="n">
        <v>57</v>
      </c>
      <c r="B62" s="21"/>
      <c r="C62" s="21"/>
      <c r="D62" s="21"/>
      <c r="E62" s="21"/>
      <c r="F62" s="21"/>
      <c r="G62" s="21"/>
      <c r="H62" s="21"/>
      <c r="I62" s="21"/>
      <c r="J62" s="20" t="str">
        <f aca="false">IF($F62="","",SUMIFS(SeatApproved,SeatUnit,$D62,SeatTitle,$F62))</f>
        <v/>
      </c>
      <c r="K62" s="20" t="str">
        <f aca="false">IF($F62="","",SUM($L62:$O62))</f>
        <v/>
      </c>
      <c r="L62" s="22"/>
      <c r="M62" s="22"/>
      <c r="N62" s="22"/>
      <c r="O62" s="22"/>
      <c r="P62" s="18" t="str">
        <f aca="false">IF($Q62="","",IFERROR(INDEX(DriverCategory,MATCH($Q62,DriverList,0)),"?"))</f>
        <v/>
      </c>
      <c r="Q62" s="21"/>
      <c r="R62" s="21"/>
      <c r="S62" s="23" t="str">
        <f aca="false">IF(COUNTA($B62:$H62)+COUNTA($L62:$O62)=0,"",MID(IF($B62="",", division","")&amp;IF($D62="",", unit","")&amp;IF($F62="",", job title","")&amp;IF($G62="",", career level","")&amp;IF($H62="",", job family","")&amp;IF($I62="",", worker type","")&amp;IF(N($K62)&lt;=0,", the quarter split","")&amp;IF($Q62="",", driver","")&amp;IF($R62="",", alternatives","")&amp;IF(AND($D62&lt;&gt;"",COUNTIF(UnitList,$D62)=0),", a unit that is not in your structure",""),3,300))</f>
        <v/>
      </c>
      <c r="T62" s="17" t="str">
        <f aca="false">IF($S62="","",COUNTIF($S$6:$S62,"?*"))</f>
        <v/>
      </c>
    </row>
    <row r="63" customFormat="false" ht="15" hidden="false" customHeight="false" outlineLevel="0" collapsed="false">
      <c r="A63" s="17" t="n">
        <v>58</v>
      </c>
      <c r="B63" s="21"/>
      <c r="C63" s="21"/>
      <c r="D63" s="21"/>
      <c r="E63" s="21"/>
      <c r="F63" s="21"/>
      <c r="G63" s="21"/>
      <c r="H63" s="21"/>
      <c r="I63" s="21"/>
      <c r="J63" s="20" t="str">
        <f aca="false">IF($F63="","",SUMIFS(SeatApproved,SeatUnit,$D63,SeatTitle,$F63))</f>
        <v/>
      </c>
      <c r="K63" s="20" t="str">
        <f aca="false">IF($F63="","",SUM($L63:$O63))</f>
        <v/>
      </c>
      <c r="L63" s="22"/>
      <c r="M63" s="22"/>
      <c r="N63" s="22"/>
      <c r="O63" s="22"/>
      <c r="P63" s="18" t="str">
        <f aca="false">IF($Q63="","",IFERROR(INDEX(DriverCategory,MATCH($Q63,DriverList,0)),"?"))</f>
        <v/>
      </c>
      <c r="Q63" s="21"/>
      <c r="R63" s="21"/>
      <c r="S63" s="23" t="str">
        <f aca="false">IF(COUNTA($B63:$H63)+COUNTA($L63:$O63)=0,"",MID(IF($B63="",", division","")&amp;IF($D63="",", unit","")&amp;IF($F63="",", job title","")&amp;IF($G63="",", career level","")&amp;IF($H63="",", job family","")&amp;IF($I63="",", worker type","")&amp;IF(N($K63)&lt;=0,", the quarter split","")&amp;IF($Q63="",", driver","")&amp;IF($R63="",", alternatives","")&amp;IF(AND($D63&lt;&gt;"",COUNTIF(UnitList,$D63)=0),", a unit that is not in your structure",""),3,300))</f>
        <v/>
      </c>
      <c r="T63" s="17" t="str">
        <f aca="false">IF($S63="","",COUNTIF($S$6:$S63,"?*"))</f>
        <v/>
      </c>
    </row>
    <row r="64" customFormat="false" ht="15" hidden="false" customHeight="false" outlineLevel="0" collapsed="false">
      <c r="A64" s="17" t="n">
        <v>59</v>
      </c>
      <c r="B64" s="21"/>
      <c r="C64" s="21"/>
      <c r="D64" s="21"/>
      <c r="E64" s="21"/>
      <c r="F64" s="21"/>
      <c r="G64" s="21"/>
      <c r="H64" s="21"/>
      <c r="I64" s="21"/>
      <c r="J64" s="20" t="str">
        <f aca="false">IF($F64="","",SUMIFS(SeatApproved,SeatUnit,$D64,SeatTitle,$F64))</f>
        <v/>
      </c>
      <c r="K64" s="20" t="str">
        <f aca="false">IF($F64="","",SUM($L64:$O64))</f>
        <v/>
      </c>
      <c r="L64" s="22"/>
      <c r="M64" s="22"/>
      <c r="N64" s="22"/>
      <c r="O64" s="22"/>
      <c r="P64" s="18" t="str">
        <f aca="false">IF($Q64="","",IFERROR(INDEX(DriverCategory,MATCH($Q64,DriverList,0)),"?"))</f>
        <v/>
      </c>
      <c r="Q64" s="21"/>
      <c r="R64" s="21"/>
      <c r="S64" s="23" t="str">
        <f aca="false">IF(COUNTA($B64:$H64)+COUNTA($L64:$O64)=0,"",MID(IF($B64="",", division","")&amp;IF($D64="",", unit","")&amp;IF($F64="",", job title","")&amp;IF($G64="",", career level","")&amp;IF($H64="",", job family","")&amp;IF($I64="",", worker type","")&amp;IF(N($K64)&lt;=0,", the quarter split","")&amp;IF($Q64="",", driver","")&amp;IF($R64="",", alternatives","")&amp;IF(AND($D64&lt;&gt;"",COUNTIF(UnitList,$D64)=0),", a unit that is not in your structure",""),3,300))</f>
        <v/>
      </c>
      <c r="T64" s="17" t="str">
        <f aca="false">IF($S64="","",COUNTIF($S$6:$S64,"?*"))</f>
        <v/>
      </c>
    </row>
    <row r="65" customFormat="false" ht="15" hidden="false" customHeight="false" outlineLevel="0" collapsed="false">
      <c r="A65" s="17" t="n">
        <v>60</v>
      </c>
      <c r="B65" s="21"/>
      <c r="C65" s="21"/>
      <c r="D65" s="21"/>
      <c r="E65" s="21"/>
      <c r="F65" s="21"/>
      <c r="G65" s="21"/>
      <c r="H65" s="21"/>
      <c r="I65" s="21"/>
      <c r="J65" s="20" t="str">
        <f aca="false">IF($F65="","",SUMIFS(SeatApproved,SeatUnit,$D65,SeatTitle,$F65))</f>
        <v/>
      </c>
      <c r="K65" s="20" t="str">
        <f aca="false">IF($F65="","",SUM($L65:$O65))</f>
        <v/>
      </c>
      <c r="L65" s="22"/>
      <c r="M65" s="22"/>
      <c r="N65" s="22"/>
      <c r="O65" s="22"/>
      <c r="P65" s="18" t="str">
        <f aca="false">IF($Q65="","",IFERROR(INDEX(DriverCategory,MATCH($Q65,DriverList,0)),"?"))</f>
        <v/>
      </c>
      <c r="Q65" s="21"/>
      <c r="R65" s="21"/>
      <c r="S65" s="23" t="str">
        <f aca="false">IF(COUNTA($B65:$H65)+COUNTA($L65:$O65)=0,"",MID(IF($B65="",", division","")&amp;IF($D65="",", unit","")&amp;IF($F65="",", job title","")&amp;IF($G65="",", career level","")&amp;IF($H65="",", job family","")&amp;IF($I65="",", worker type","")&amp;IF(N($K65)&lt;=0,", the quarter split","")&amp;IF($Q65="",", driver","")&amp;IF($R65="",", alternatives","")&amp;IF(AND($D65&lt;&gt;"",COUNTIF(UnitList,$D65)=0),", a unit that is not in your structure",""),3,300))</f>
        <v/>
      </c>
      <c r="T65" s="17" t="str">
        <f aca="false">IF($S65="","",COUNTIF($S$6:$S65,"?*"))</f>
        <v/>
      </c>
    </row>
    <row r="66" customFormat="false" ht="15" hidden="false" customHeight="false" outlineLevel="0" collapsed="false">
      <c r="A66" s="17" t="n">
        <v>61</v>
      </c>
      <c r="B66" s="21"/>
      <c r="C66" s="21"/>
      <c r="D66" s="21"/>
      <c r="E66" s="21"/>
      <c r="F66" s="21"/>
      <c r="G66" s="21"/>
      <c r="H66" s="21"/>
      <c r="I66" s="21"/>
      <c r="J66" s="20" t="str">
        <f aca="false">IF($F66="","",SUMIFS(SeatApproved,SeatUnit,$D66,SeatTitle,$F66))</f>
        <v/>
      </c>
      <c r="K66" s="20" t="str">
        <f aca="false">IF($F66="","",SUM($L66:$O66))</f>
        <v/>
      </c>
      <c r="L66" s="22"/>
      <c r="M66" s="22"/>
      <c r="N66" s="22"/>
      <c r="O66" s="22"/>
      <c r="P66" s="18" t="str">
        <f aca="false">IF($Q66="","",IFERROR(INDEX(DriverCategory,MATCH($Q66,DriverList,0)),"?"))</f>
        <v/>
      </c>
      <c r="Q66" s="21"/>
      <c r="R66" s="21"/>
      <c r="S66" s="23" t="str">
        <f aca="false">IF(COUNTA($B66:$H66)+COUNTA($L66:$O66)=0,"",MID(IF($B66="",", division","")&amp;IF($D66="",", unit","")&amp;IF($F66="",", job title","")&amp;IF($G66="",", career level","")&amp;IF($H66="",", job family","")&amp;IF($I66="",", worker type","")&amp;IF(N($K66)&lt;=0,", the quarter split","")&amp;IF($Q66="",", driver","")&amp;IF($R66="",", alternatives","")&amp;IF(AND($D66&lt;&gt;"",COUNTIF(UnitList,$D66)=0),", a unit that is not in your structure",""),3,300))</f>
        <v/>
      </c>
      <c r="T66" s="17" t="str">
        <f aca="false">IF($S66="","",COUNTIF($S$6:$S66,"?*"))</f>
        <v/>
      </c>
    </row>
    <row r="67" customFormat="false" ht="15" hidden="false" customHeight="false" outlineLevel="0" collapsed="false">
      <c r="A67" s="17" t="n">
        <v>62</v>
      </c>
      <c r="B67" s="21"/>
      <c r="C67" s="21"/>
      <c r="D67" s="21"/>
      <c r="E67" s="21"/>
      <c r="F67" s="21"/>
      <c r="G67" s="21"/>
      <c r="H67" s="21"/>
      <c r="I67" s="21"/>
      <c r="J67" s="20" t="str">
        <f aca="false">IF($F67="","",SUMIFS(SeatApproved,SeatUnit,$D67,SeatTitle,$F67))</f>
        <v/>
      </c>
      <c r="K67" s="20" t="str">
        <f aca="false">IF($F67="","",SUM($L67:$O67))</f>
        <v/>
      </c>
      <c r="L67" s="22"/>
      <c r="M67" s="22"/>
      <c r="N67" s="22"/>
      <c r="O67" s="22"/>
      <c r="P67" s="18" t="str">
        <f aca="false">IF($Q67="","",IFERROR(INDEX(DriverCategory,MATCH($Q67,DriverList,0)),"?"))</f>
        <v/>
      </c>
      <c r="Q67" s="21"/>
      <c r="R67" s="21"/>
      <c r="S67" s="23" t="str">
        <f aca="false">IF(COUNTA($B67:$H67)+COUNTA($L67:$O67)=0,"",MID(IF($B67="",", division","")&amp;IF($D67="",", unit","")&amp;IF($F67="",", job title","")&amp;IF($G67="",", career level","")&amp;IF($H67="",", job family","")&amp;IF($I67="",", worker type","")&amp;IF(N($K67)&lt;=0,", the quarter split","")&amp;IF($Q67="",", driver","")&amp;IF($R67="",", alternatives","")&amp;IF(AND($D67&lt;&gt;"",COUNTIF(UnitList,$D67)=0),", a unit that is not in your structure",""),3,300))</f>
        <v/>
      </c>
      <c r="T67" s="17" t="str">
        <f aca="false">IF($S67="","",COUNTIF($S$6:$S67,"?*"))</f>
        <v/>
      </c>
    </row>
    <row r="68" customFormat="false" ht="15" hidden="false" customHeight="false" outlineLevel="0" collapsed="false">
      <c r="A68" s="17" t="n">
        <v>63</v>
      </c>
      <c r="B68" s="21"/>
      <c r="C68" s="21"/>
      <c r="D68" s="21"/>
      <c r="E68" s="21"/>
      <c r="F68" s="21"/>
      <c r="G68" s="21"/>
      <c r="H68" s="21"/>
      <c r="I68" s="21"/>
      <c r="J68" s="20" t="str">
        <f aca="false">IF($F68="","",SUMIFS(SeatApproved,SeatUnit,$D68,SeatTitle,$F68))</f>
        <v/>
      </c>
      <c r="K68" s="20" t="str">
        <f aca="false">IF($F68="","",SUM($L68:$O68))</f>
        <v/>
      </c>
      <c r="L68" s="22"/>
      <c r="M68" s="22"/>
      <c r="N68" s="22"/>
      <c r="O68" s="22"/>
      <c r="P68" s="18" t="str">
        <f aca="false">IF($Q68="","",IFERROR(INDEX(DriverCategory,MATCH($Q68,DriverList,0)),"?"))</f>
        <v/>
      </c>
      <c r="Q68" s="21"/>
      <c r="R68" s="21"/>
      <c r="S68" s="23" t="str">
        <f aca="false">IF(COUNTA($B68:$H68)+COUNTA($L68:$O68)=0,"",MID(IF($B68="",", division","")&amp;IF($D68="",", unit","")&amp;IF($F68="",", job title","")&amp;IF($G68="",", career level","")&amp;IF($H68="",", job family","")&amp;IF($I68="",", worker type","")&amp;IF(N($K68)&lt;=0,", the quarter split","")&amp;IF($Q68="",", driver","")&amp;IF($R68="",", alternatives","")&amp;IF(AND($D68&lt;&gt;"",COUNTIF(UnitList,$D68)=0),", a unit that is not in your structure",""),3,300))</f>
        <v/>
      </c>
      <c r="T68" s="17" t="str">
        <f aca="false">IF($S68="","",COUNTIF($S$6:$S68,"?*"))</f>
        <v/>
      </c>
    </row>
    <row r="69" customFormat="false" ht="15" hidden="false" customHeight="false" outlineLevel="0" collapsed="false">
      <c r="A69" s="17" t="n">
        <v>64</v>
      </c>
      <c r="B69" s="21"/>
      <c r="C69" s="21"/>
      <c r="D69" s="21"/>
      <c r="E69" s="21"/>
      <c r="F69" s="21"/>
      <c r="G69" s="21"/>
      <c r="H69" s="21"/>
      <c r="I69" s="21"/>
      <c r="J69" s="20" t="str">
        <f aca="false">IF($F69="","",SUMIFS(SeatApproved,SeatUnit,$D69,SeatTitle,$F69))</f>
        <v/>
      </c>
      <c r="K69" s="20" t="str">
        <f aca="false">IF($F69="","",SUM($L69:$O69))</f>
        <v/>
      </c>
      <c r="L69" s="22"/>
      <c r="M69" s="22"/>
      <c r="N69" s="22"/>
      <c r="O69" s="22"/>
      <c r="P69" s="18" t="str">
        <f aca="false">IF($Q69="","",IFERROR(INDEX(DriverCategory,MATCH($Q69,DriverList,0)),"?"))</f>
        <v/>
      </c>
      <c r="Q69" s="21"/>
      <c r="R69" s="21"/>
      <c r="S69" s="23" t="str">
        <f aca="false">IF(COUNTA($B69:$H69)+COUNTA($L69:$O69)=0,"",MID(IF($B69="",", division","")&amp;IF($D69="",", unit","")&amp;IF($F69="",", job title","")&amp;IF($G69="",", career level","")&amp;IF($H69="",", job family","")&amp;IF($I69="",", worker type","")&amp;IF(N($K69)&lt;=0,", the quarter split","")&amp;IF($Q69="",", driver","")&amp;IF($R69="",", alternatives","")&amp;IF(AND($D69&lt;&gt;"",COUNTIF(UnitList,$D69)=0),", a unit that is not in your structure",""),3,300))</f>
        <v/>
      </c>
      <c r="T69" s="17" t="str">
        <f aca="false">IF($S69="","",COUNTIF($S$6:$S69,"?*"))</f>
        <v/>
      </c>
    </row>
    <row r="70" customFormat="false" ht="15" hidden="false" customHeight="false" outlineLevel="0" collapsed="false">
      <c r="A70" s="17" t="n">
        <v>65</v>
      </c>
      <c r="B70" s="21"/>
      <c r="C70" s="21"/>
      <c r="D70" s="21"/>
      <c r="E70" s="21"/>
      <c r="F70" s="21"/>
      <c r="G70" s="21"/>
      <c r="H70" s="21"/>
      <c r="I70" s="21"/>
      <c r="J70" s="20" t="str">
        <f aca="false">IF($F70="","",SUMIFS(SeatApproved,SeatUnit,$D70,SeatTitle,$F70))</f>
        <v/>
      </c>
      <c r="K70" s="20" t="str">
        <f aca="false">IF($F70="","",SUM($L70:$O70))</f>
        <v/>
      </c>
      <c r="L70" s="22"/>
      <c r="M70" s="22"/>
      <c r="N70" s="22"/>
      <c r="O70" s="22"/>
      <c r="P70" s="18" t="str">
        <f aca="false">IF($Q70="","",IFERROR(INDEX(DriverCategory,MATCH($Q70,DriverList,0)),"?"))</f>
        <v/>
      </c>
      <c r="Q70" s="21"/>
      <c r="R70" s="21"/>
      <c r="S70" s="23" t="str">
        <f aca="false">IF(COUNTA($B70:$H70)+COUNTA($L70:$O70)=0,"",MID(IF($B70="",", division","")&amp;IF($D70="",", unit","")&amp;IF($F70="",", job title","")&amp;IF($G70="",", career level","")&amp;IF($H70="",", job family","")&amp;IF($I70="",", worker type","")&amp;IF(N($K70)&lt;=0,", the quarter split","")&amp;IF($Q70="",", driver","")&amp;IF($R70="",", alternatives","")&amp;IF(AND($D70&lt;&gt;"",COUNTIF(UnitList,$D70)=0),", a unit that is not in your structure",""),3,300))</f>
        <v/>
      </c>
      <c r="T70" s="17" t="str">
        <f aca="false">IF($S70="","",COUNTIF($S$6:$S70,"?*"))</f>
        <v/>
      </c>
    </row>
    <row r="71" customFormat="false" ht="15" hidden="false" customHeight="false" outlineLevel="0" collapsed="false">
      <c r="A71" s="17" t="n">
        <v>66</v>
      </c>
      <c r="B71" s="21"/>
      <c r="C71" s="21"/>
      <c r="D71" s="21"/>
      <c r="E71" s="21"/>
      <c r="F71" s="21"/>
      <c r="G71" s="21"/>
      <c r="H71" s="21"/>
      <c r="I71" s="21"/>
      <c r="J71" s="20" t="str">
        <f aca="false">IF($F71="","",SUMIFS(SeatApproved,SeatUnit,$D71,SeatTitle,$F71))</f>
        <v/>
      </c>
      <c r="K71" s="20" t="str">
        <f aca="false">IF($F71="","",SUM($L71:$O71))</f>
        <v/>
      </c>
      <c r="L71" s="22"/>
      <c r="M71" s="22"/>
      <c r="N71" s="22"/>
      <c r="O71" s="22"/>
      <c r="P71" s="18" t="str">
        <f aca="false">IF($Q71="","",IFERROR(INDEX(DriverCategory,MATCH($Q71,DriverList,0)),"?"))</f>
        <v/>
      </c>
      <c r="Q71" s="21"/>
      <c r="R71" s="21"/>
      <c r="S71" s="23" t="str">
        <f aca="false">IF(COUNTA($B71:$H71)+COUNTA($L71:$O71)=0,"",MID(IF($B71="",", division","")&amp;IF($D71="",", unit","")&amp;IF($F71="",", job title","")&amp;IF($G71="",", career level","")&amp;IF($H71="",", job family","")&amp;IF($I71="",", worker type","")&amp;IF(N($K71)&lt;=0,", the quarter split","")&amp;IF($Q71="",", driver","")&amp;IF($R71="",", alternatives","")&amp;IF(AND($D71&lt;&gt;"",COUNTIF(UnitList,$D71)=0),", a unit that is not in your structure",""),3,300))</f>
        <v/>
      </c>
      <c r="T71" s="17" t="str">
        <f aca="false">IF($S71="","",COUNTIF($S$6:$S71,"?*"))</f>
        <v/>
      </c>
    </row>
    <row r="72" customFormat="false" ht="15" hidden="false" customHeight="false" outlineLevel="0" collapsed="false">
      <c r="A72" s="17" t="n">
        <v>67</v>
      </c>
      <c r="B72" s="21"/>
      <c r="C72" s="21"/>
      <c r="D72" s="21"/>
      <c r="E72" s="21"/>
      <c r="F72" s="21"/>
      <c r="G72" s="21"/>
      <c r="H72" s="21"/>
      <c r="I72" s="21"/>
      <c r="J72" s="20" t="str">
        <f aca="false">IF($F72="","",SUMIFS(SeatApproved,SeatUnit,$D72,SeatTitle,$F72))</f>
        <v/>
      </c>
      <c r="K72" s="20" t="str">
        <f aca="false">IF($F72="","",SUM($L72:$O72))</f>
        <v/>
      </c>
      <c r="L72" s="22"/>
      <c r="M72" s="22"/>
      <c r="N72" s="22"/>
      <c r="O72" s="22"/>
      <c r="P72" s="18" t="str">
        <f aca="false">IF($Q72="","",IFERROR(INDEX(DriverCategory,MATCH($Q72,DriverList,0)),"?"))</f>
        <v/>
      </c>
      <c r="Q72" s="21"/>
      <c r="R72" s="21"/>
      <c r="S72" s="23" t="str">
        <f aca="false">IF(COUNTA($B72:$H72)+COUNTA($L72:$O72)=0,"",MID(IF($B72="",", division","")&amp;IF($D72="",", unit","")&amp;IF($F72="",", job title","")&amp;IF($G72="",", career level","")&amp;IF($H72="",", job family","")&amp;IF($I72="",", worker type","")&amp;IF(N($K72)&lt;=0,", the quarter split","")&amp;IF($Q72="",", driver","")&amp;IF($R72="",", alternatives","")&amp;IF(AND($D72&lt;&gt;"",COUNTIF(UnitList,$D72)=0),", a unit that is not in your structure",""),3,300))</f>
        <v/>
      </c>
      <c r="T72" s="17" t="str">
        <f aca="false">IF($S72="","",COUNTIF($S$6:$S72,"?*"))</f>
        <v/>
      </c>
    </row>
    <row r="73" customFormat="false" ht="15" hidden="false" customHeight="false" outlineLevel="0" collapsed="false">
      <c r="A73" s="17" t="n">
        <v>68</v>
      </c>
      <c r="B73" s="21"/>
      <c r="C73" s="21"/>
      <c r="D73" s="21"/>
      <c r="E73" s="21"/>
      <c r="F73" s="21"/>
      <c r="G73" s="21"/>
      <c r="H73" s="21"/>
      <c r="I73" s="21"/>
      <c r="J73" s="20" t="str">
        <f aca="false">IF($F73="","",SUMIFS(SeatApproved,SeatUnit,$D73,SeatTitle,$F73))</f>
        <v/>
      </c>
      <c r="K73" s="20" t="str">
        <f aca="false">IF($F73="","",SUM($L73:$O73))</f>
        <v/>
      </c>
      <c r="L73" s="22"/>
      <c r="M73" s="22"/>
      <c r="N73" s="22"/>
      <c r="O73" s="22"/>
      <c r="P73" s="18" t="str">
        <f aca="false">IF($Q73="","",IFERROR(INDEX(DriverCategory,MATCH($Q73,DriverList,0)),"?"))</f>
        <v/>
      </c>
      <c r="Q73" s="21"/>
      <c r="R73" s="21"/>
      <c r="S73" s="23" t="str">
        <f aca="false">IF(COUNTA($B73:$H73)+COUNTA($L73:$O73)=0,"",MID(IF($B73="",", division","")&amp;IF($D73="",", unit","")&amp;IF($F73="",", job title","")&amp;IF($G73="",", career level","")&amp;IF($H73="",", job family","")&amp;IF($I73="",", worker type","")&amp;IF(N($K73)&lt;=0,", the quarter split","")&amp;IF($Q73="",", driver","")&amp;IF($R73="",", alternatives","")&amp;IF(AND($D73&lt;&gt;"",COUNTIF(UnitList,$D73)=0),", a unit that is not in your structure",""),3,300))</f>
        <v/>
      </c>
      <c r="T73" s="17" t="str">
        <f aca="false">IF($S73="","",COUNTIF($S$6:$S73,"?*"))</f>
        <v/>
      </c>
    </row>
    <row r="74" customFormat="false" ht="15" hidden="false" customHeight="false" outlineLevel="0" collapsed="false">
      <c r="A74" s="17" t="n">
        <v>69</v>
      </c>
      <c r="B74" s="21"/>
      <c r="C74" s="21"/>
      <c r="D74" s="21"/>
      <c r="E74" s="21"/>
      <c r="F74" s="21"/>
      <c r="G74" s="21"/>
      <c r="H74" s="21"/>
      <c r="I74" s="21"/>
      <c r="J74" s="20" t="str">
        <f aca="false">IF($F74="","",SUMIFS(SeatApproved,SeatUnit,$D74,SeatTitle,$F74))</f>
        <v/>
      </c>
      <c r="K74" s="20" t="str">
        <f aca="false">IF($F74="","",SUM($L74:$O74))</f>
        <v/>
      </c>
      <c r="L74" s="22"/>
      <c r="M74" s="22"/>
      <c r="N74" s="22"/>
      <c r="O74" s="22"/>
      <c r="P74" s="18" t="str">
        <f aca="false">IF($Q74="","",IFERROR(INDEX(DriverCategory,MATCH($Q74,DriverList,0)),"?"))</f>
        <v/>
      </c>
      <c r="Q74" s="21"/>
      <c r="R74" s="21"/>
      <c r="S74" s="23" t="str">
        <f aca="false">IF(COUNTA($B74:$H74)+COUNTA($L74:$O74)=0,"",MID(IF($B74="",", division","")&amp;IF($D74="",", unit","")&amp;IF($F74="",", job title","")&amp;IF($G74="",", career level","")&amp;IF($H74="",", job family","")&amp;IF($I74="",", worker type","")&amp;IF(N($K74)&lt;=0,", the quarter split","")&amp;IF($Q74="",", driver","")&amp;IF($R74="",", alternatives","")&amp;IF(AND($D74&lt;&gt;"",COUNTIF(UnitList,$D74)=0),", a unit that is not in your structure",""),3,300))</f>
        <v/>
      </c>
      <c r="T74" s="17" t="str">
        <f aca="false">IF($S74="","",COUNTIF($S$6:$S74,"?*"))</f>
        <v/>
      </c>
    </row>
    <row r="75" customFormat="false" ht="15" hidden="false" customHeight="false" outlineLevel="0" collapsed="false">
      <c r="A75" s="17" t="n">
        <v>70</v>
      </c>
      <c r="B75" s="21"/>
      <c r="C75" s="21"/>
      <c r="D75" s="21"/>
      <c r="E75" s="21"/>
      <c r="F75" s="21"/>
      <c r="G75" s="21"/>
      <c r="H75" s="21"/>
      <c r="I75" s="21"/>
      <c r="J75" s="20" t="str">
        <f aca="false">IF($F75="","",SUMIFS(SeatApproved,SeatUnit,$D75,SeatTitle,$F75))</f>
        <v/>
      </c>
      <c r="K75" s="20" t="str">
        <f aca="false">IF($F75="","",SUM($L75:$O75))</f>
        <v/>
      </c>
      <c r="L75" s="22"/>
      <c r="M75" s="22"/>
      <c r="N75" s="22"/>
      <c r="O75" s="22"/>
      <c r="P75" s="18" t="str">
        <f aca="false">IF($Q75="","",IFERROR(INDEX(DriverCategory,MATCH($Q75,DriverList,0)),"?"))</f>
        <v/>
      </c>
      <c r="Q75" s="21"/>
      <c r="R75" s="21"/>
      <c r="S75" s="23" t="str">
        <f aca="false">IF(COUNTA($B75:$H75)+COUNTA($L75:$O75)=0,"",MID(IF($B75="",", division","")&amp;IF($D75="",", unit","")&amp;IF($F75="",", job title","")&amp;IF($G75="",", career level","")&amp;IF($H75="",", job family","")&amp;IF($I75="",", worker type","")&amp;IF(N($K75)&lt;=0,", the quarter split","")&amp;IF($Q75="",", driver","")&amp;IF($R75="",", alternatives","")&amp;IF(AND($D75&lt;&gt;"",COUNTIF(UnitList,$D75)=0),", a unit that is not in your structure",""),3,300))</f>
        <v/>
      </c>
      <c r="T75" s="17" t="str">
        <f aca="false">IF($S75="","",COUNTIF($S$6:$S75,"?*"))</f>
        <v/>
      </c>
    </row>
    <row r="76" customFormat="false" ht="15" hidden="false" customHeight="false" outlineLevel="0" collapsed="false">
      <c r="A76" s="17" t="n">
        <v>71</v>
      </c>
      <c r="B76" s="21"/>
      <c r="C76" s="21"/>
      <c r="D76" s="21"/>
      <c r="E76" s="21"/>
      <c r="F76" s="21"/>
      <c r="G76" s="21"/>
      <c r="H76" s="21"/>
      <c r="I76" s="21"/>
      <c r="J76" s="20" t="str">
        <f aca="false">IF($F76="","",SUMIFS(SeatApproved,SeatUnit,$D76,SeatTitle,$F76))</f>
        <v/>
      </c>
      <c r="K76" s="20" t="str">
        <f aca="false">IF($F76="","",SUM($L76:$O76))</f>
        <v/>
      </c>
      <c r="L76" s="22"/>
      <c r="M76" s="22"/>
      <c r="N76" s="22"/>
      <c r="O76" s="22"/>
      <c r="P76" s="18" t="str">
        <f aca="false">IF($Q76="","",IFERROR(INDEX(DriverCategory,MATCH($Q76,DriverList,0)),"?"))</f>
        <v/>
      </c>
      <c r="Q76" s="21"/>
      <c r="R76" s="21"/>
      <c r="S76" s="23" t="str">
        <f aca="false">IF(COUNTA($B76:$H76)+COUNTA($L76:$O76)=0,"",MID(IF($B76="",", division","")&amp;IF($D76="",", unit","")&amp;IF($F76="",", job title","")&amp;IF($G76="",", career level","")&amp;IF($H76="",", job family","")&amp;IF($I76="",", worker type","")&amp;IF(N($K76)&lt;=0,", the quarter split","")&amp;IF($Q76="",", driver","")&amp;IF($R76="",", alternatives","")&amp;IF(AND($D76&lt;&gt;"",COUNTIF(UnitList,$D76)=0),", a unit that is not in your structure",""),3,300))</f>
        <v/>
      </c>
      <c r="T76" s="17" t="str">
        <f aca="false">IF($S76="","",COUNTIF($S$6:$S76,"?*"))</f>
        <v/>
      </c>
    </row>
    <row r="77" customFormat="false" ht="15" hidden="false" customHeight="false" outlineLevel="0" collapsed="false">
      <c r="A77" s="17" t="n">
        <v>72</v>
      </c>
      <c r="B77" s="21"/>
      <c r="C77" s="21"/>
      <c r="D77" s="21"/>
      <c r="E77" s="21"/>
      <c r="F77" s="21"/>
      <c r="G77" s="21"/>
      <c r="H77" s="21"/>
      <c r="I77" s="21"/>
      <c r="J77" s="20" t="str">
        <f aca="false">IF($F77="","",SUMIFS(SeatApproved,SeatUnit,$D77,SeatTitle,$F77))</f>
        <v/>
      </c>
      <c r="K77" s="20" t="str">
        <f aca="false">IF($F77="","",SUM($L77:$O77))</f>
        <v/>
      </c>
      <c r="L77" s="22"/>
      <c r="M77" s="22"/>
      <c r="N77" s="22"/>
      <c r="O77" s="22"/>
      <c r="P77" s="18" t="str">
        <f aca="false">IF($Q77="","",IFERROR(INDEX(DriverCategory,MATCH($Q77,DriverList,0)),"?"))</f>
        <v/>
      </c>
      <c r="Q77" s="21"/>
      <c r="R77" s="21"/>
      <c r="S77" s="23" t="str">
        <f aca="false">IF(COUNTA($B77:$H77)+COUNTA($L77:$O77)=0,"",MID(IF($B77="",", division","")&amp;IF($D77="",", unit","")&amp;IF($F77="",", job title","")&amp;IF($G77="",", career level","")&amp;IF($H77="",", job family","")&amp;IF($I77="",", worker type","")&amp;IF(N($K77)&lt;=0,", the quarter split","")&amp;IF($Q77="",", driver","")&amp;IF($R77="",", alternatives","")&amp;IF(AND($D77&lt;&gt;"",COUNTIF(UnitList,$D77)=0),", a unit that is not in your structure",""),3,300))</f>
        <v/>
      </c>
      <c r="T77" s="17" t="str">
        <f aca="false">IF($S77="","",COUNTIF($S$6:$S77,"?*"))</f>
        <v/>
      </c>
    </row>
    <row r="78" customFormat="false" ht="15" hidden="false" customHeight="false" outlineLevel="0" collapsed="false">
      <c r="A78" s="17" t="n">
        <v>73</v>
      </c>
      <c r="B78" s="21"/>
      <c r="C78" s="21"/>
      <c r="D78" s="21"/>
      <c r="E78" s="21"/>
      <c r="F78" s="21"/>
      <c r="G78" s="21"/>
      <c r="H78" s="21"/>
      <c r="I78" s="21"/>
      <c r="J78" s="20" t="str">
        <f aca="false">IF($F78="","",SUMIFS(SeatApproved,SeatUnit,$D78,SeatTitle,$F78))</f>
        <v/>
      </c>
      <c r="K78" s="20" t="str">
        <f aca="false">IF($F78="","",SUM($L78:$O78))</f>
        <v/>
      </c>
      <c r="L78" s="22"/>
      <c r="M78" s="22"/>
      <c r="N78" s="22"/>
      <c r="O78" s="22"/>
      <c r="P78" s="18" t="str">
        <f aca="false">IF($Q78="","",IFERROR(INDEX(DriverCategory,MATCH($Q78,DriverList,0)),"?"))</f>
        <v/>
      </c>
      <c r="Q78" s="21"/>
      <c r="R78" s="21"/>
      <c r="S78" s="23" t="str">
        <f aca="false">IF(COUNTA($B78:$H78)+COUNTA($L78:$O78)=0,"",MID(IF($B78="",", division","")&amp;IF($D78="",", unit","")&amp;IF($F78="",", job title","")&amp;IF($G78="",", career level","")&amp;IF($H78="",", job family","")&amp;IF($I78="",", worker type","")&amp;IF(N($K78)&lt;=0,", the quarter split","")&amp;IF($Q78="",", driver","")&amp;IF($R78="",", alternatives","")&amp;IF(AND($D78&lt;&gt;"",COUNTIF(UnitList,$D78)=0),", a unit that is not in your structure",""),3,300))</f>
        <v/>
      </c>
      <c r="T78" s="17" t="str">
        <f aca="false">IF($S78="","",COUNTIF($S$6:$S78,"?*"))</f>
        <v/>
      </c>
    </row>
    <row r="79" customFormat="false" ht="15" hidden="false" customHeight="false" outlineLevel="0" collapsed="false">
      <c r="A79" s="17" t="n">
        <v>74</v>
      </c>
      <c r="B79" s="21"/>
      <c r="C79" s="21"/>
      <c r="D79" s="21"/>
      <c r="E79" s="21"/>
      <c r="F79" s="21"/>
      <c r="G79" s="21"/>
      <c r="H79" s="21"/>
      <c r="I79" s="21"/>
      <c r="J79" s="20" t="str">
        <f aca="false">IF($F79="","",SUMIFS(SeatApproved,SeatUnit,$D79,SeatTitle,$F79))</f>
        <v/>
      </c>
      <c r="K79" s="20" t="str">
        <f aca="false">IF($F79="","",SUM($L79:$O79))</f>
        <v/>
      </c>
      <c r="L79" s="22"/>
      <c r="M79" s="22"/>
      <c r="N79" s="22"/>
      <c r="O79" s="22"/>
      <c r="P79" s="18" t="str">
        <f aca="false">IF($Q79="","",IFERROR(INDEX(DriverCategory,MATCH($Q79,DriverList,0)),"?"))</f>
        <v/>
      </c>
      <c r="Q79" s="21"/>
      <c r="R79" s="21"/>
      <c r="S79" s="23" t="str">
        <f aca="false">IF(COUNTA($B79:$H79)+COUNTA($L79:$O79)=0,"",MID(IF($B79="",", division","")&amp;IF($D79="",", unit","")&amp;IF($F79="",", job title","")&amp;IF($G79="",", career level","")&amp;IF($H79="",", job family","")&amp;IF($I79="",", worker type","")&amp;IF(N($K79)&lt;=0,", the quarter split","")&amp;IF($Q79="",", driver","")&amp;IF($R79="",", alternatives","")&amp;IF(AND($D79&lt;&gt;"",COUNTIF(UnitList,$D79)=0),", a unit that is not in your structure",""),3,300))</f>
        <v/>
      </c>
      <c r="T79" s="17" t="str">
        <f aca="false">IF($S79="","",COUNTIF($S$6:$S79,"?*"))</f>
        <v/>
      </c>
    </row>
    <row r="80" customFormat="false" ht="15" hidden="false" customHeight="false" outlineLevel="0" collapsed="false">
      <c r="A80" s="17" t="n">
        <v>75</v>
      </c>
      <c r="B80" s="21"/>
      <c r="C80" s="21"/>
      <c r="D80" s="21"/>
      <c r="E80" s="21"/>
      <c r="F80" s="21"/>
      <c r="G80" s="21"/>
      <c r="H80" s="21"/>
      <c r="I80" s="21"/>
      <c r="J80" s="20" t="str">
        <f aca="false">IF($F80="","",SUMIFS(SeatApproved,SeatUnit,$D80,SeatTitle,$F80))</f>
        <v/>
      </c>
      <c r="K80" s="20" t="str">
        <f aca="false">IF($F80="","",SUM($L80:$O80))</f>
        <v/>
      </c>
      <c r="L80" s="22"/>
      <c r="M80" s="22"/>
      <c r="N80" s="22"/>
      <c r="O80" s="22"/>
      <c r="P80" s="18" t="str">
        <f aca="false">IF($Q80="","",IFERROR(INDEX(DriverCategory,MATCH($Q80,DriverList,0)),"?"))</f>
        <v/>
      </c>
      <c r="Q80" s="21"/>
      <c r="R80" s="21"/>
      <c r="S80" s="23" t="str">
        <f aca="false">IF(COUNTA($B80:$H80)+COUNTA($L80:$O80)=0,"",MID(IF($B80="",", division","")&amp;IF($D80="",", unit","")&amp;IF($F80="",", job title","")&amp;IF($G80="",", career level","")&amp;IF($H80="",", job family","")&amp;IF($I80="",", worker type","")&amp;IF(N($K80)&lt;=0,", the quarter split","")&amp;IF($Q80="",", driver","")&amp;IF($R80="",", alternatives","")&amp;IF(AND($D80&lt;&gt;"",COUNTIF(UnitList,$D80)=0),", a unit that is not in your structure",""),3,300))</f>
        <v/>
      </c>
      <c r="T80" s="17" t="str">
        <f aca="false">IF($S80="","",COUNTIF($S$6:$S80,"?*"))</f>
        <v/>
      </c>
    </row>
    <row r="81" customFormat="false" ht="15" hidden="false" customHeight="false" outlineLevel="0" collapsed="false">
      <c r="A81" s="17" t="n">
        <v>76</v>
      </c>
      <c r="B81" s="21"/>
      <c r="C81" s="21"/>
      <c r="D81" s="21"/>
      <c r="E81" s="21"/>
      <c r="F81" s="21"/>
      <c r="G81" s="21"/>
      <c r="H81" s="21"/>
      <c r="I81" s="21"/>
      <c r="J81" s="20" t="str">
        <f aca="false">IF($F81="","",SUMIFS(SeatApproved,SeatUnit,$D81,SeatTitle,$F81))</f>
        <v/>
      </c>
      <c r="K81" s="20" t="str">
        <f aca="false">IF($F81="","",SUM($L81:$O81))</f>
        <v/>
      </c>
      <c r="L81" s="22"/>
      <c r="M81" s="22"/>
      <c r="N81" s="22"/>
      <c r="O81" s="22"/>
      <c r="P81" s="18" t="str">
        <f aca="false">IF($Q81="","",IFERROR(INDEX(DriverCategory,MATCH($Q81,DriverList,0)),"?"))</f>
        <v/>
      </c>
      <c r="Q81" s="21"/>
      <c r="R81" s="21"/>
      <c r="S81" s="23" t="str">
        <f aca="false">IF(COUNTA($B81:$H81)+COUNTA($L81:$O81)=0,"",MID(IF($B81="",", division","")&amp;IF($D81="",", unit","")&amp;IF($F81="",", job title","")&amp;IF($G81="",", career level","")&amp;IF($H81="",", job family","")&amp;IF($I81="",", worker type","")&amp;IF(N($K81)&lt;=0,", the quarter split","")&amp;IF($Q81="",", driver","")&amp;IF($R81="",", alternatives","")&amp;IF(AND($D81&lt;&gt;"",COUNTIF(UnitList,$D81)=0),", a unit that is not in your structure",""),3,300))</f>
        <v/>
      </c>
      <c r="T81" s="17" t="str">
        <f aca="false">IF($S81="","",COUNTIF($S$6:$S81,"?*"))</f>
        <v/>
      </c>
    </row>
    <row r="82" customFormat="false" ht="15" hidden="false" customHeight="false" outlineLevel="0" collapsed="false">
      <c r="A82" s="17" t="n">
        <v>77</v>
      </c>
      <c r="B82" s="21"/>
      <c r="C82" s="21"/>
      <c r="D82" s="21"/>
      <c r="E82" s="21"/>
      <c r="F82" s="21"/>
      <c r="G82" s="21"/>
      <c r="H82" s="21"/>
      <c r="I82" s="21"/>
      <c r="J82" s="20" t="str">
        <f aca="false">IF($F82="","",SUMIFS(SeatApproved,SeatUnit,$D82,SeatTitle,$F82))</f>
        <v/>
      </c>
      <c r="K82" s="20" t="str">
        <f aca="false">IF($F82="","",SUM($L82:$O82))</f>
        <v/>
      </c>
      <c r="L82" s="22"/>
      <c r="M82" s="22"/>
      <c r="N82" s="22"/>
      <c r="O82" s="22"/>
      <c r="P82" s="18" t="str">
        <f aca="false">IF($Q82="","",IFERROR(INDEX(DriverCategory,MATCH($Q82,DriverList,0)),"?"))</f>
        <v/>
      </c>
      <c r="Q82" s="21"/>
      <c r="R82" s="21"/>
      <c r="S82" s="23" t="str">
        <f aca="false">IF(COUNTA($B82:$H82)+COUNTA($L82:$O82)=0,"",MID(IF($B82="",", division","")&amp;IF($D82="",", unit","")&amp;IF($F82="",", job title","")&amp;IF($G82="",", career level","")&amp;IF($H82="",", job family","")&amp;IF($I82="",", worker type","")&amp;IF(N($K82)&lt;=0,", the quarter split","")&amp;IF($Q82="",", driver","")&amp;IF($R82="",", alternatives","")&amp;IF(AND($D82&lt;&gt;"",COUNTIF(UnitList,$D82)=0),", a unit that is not in your structure",""),3,300))</f>
        <v/>
      </c>
      <c r="T82" s="17" t="str">
        <f aca="false">IF($S82="","",COUNTIF($S$6:$S82,"?*"))</f>
        <v/>
      </c>
    </row>
    <row r="83" customFormat="false" ht="15" hidden="false" customHeight="false" outlineLevel="0" collapsed="false">
      <c r="A83" s="17" t="n">
        <v>78</v>
      </c>
      <c r="B83" s="21"/>
      <c r="C83" s="21"/>
      <c r="D83" s="21"/>
      <c r="E83" s="21"/>
      <c r="F83" s="21"/>
      <c r="G83" s="21"/>
      <c r="H83" s="21"/>
      <c r="I83" s="21"/>
      <c r="J83" s="20" t="str">
        <f aca="false">IF($F83="","",SUMIFS(SeatApproved,SeatUnit,$D83,SeatTitle,$F83))</f>
        <v/>
      </c>
      <c r="K83" s="20" t="str">
        <f aca="false">IF($F83="","",SUM($L83:$O83))</f>
        <v/>
      </c>
      <c r="L83" s="22"/>
      <c r="M83" s="22"/>
      <c r="N83" s="22"/>
      <c r="O83" s="22"/>
      <c r="P83" s="18" t="str">
        <f aca="false">IF($Q83="","",IFERROR(INDEX(DriverCategory,MATCH($Q83,DriverList,0)),"?"))</f>
        <v/>
      </c>
      <c r="Q83" s="21"/>
      <c r="R83" s="21"/>
      <c r="S83" s="23" t="str">
        <f aca="false">IF(COUNTA($B83:$H83)+COUNTA($L83:$O83)=0,"",MID(IF($B83="",", division","")&amp;IF($D83="",", unit","")&amp;IF($F83="",", job title","")&amp;IF($G83="",", career level","")&amp;IF($H83="",", job family","")&amp;IF($I83="",", worker type","")&amp;IF(N($K83)&lt;=0,", the quarter split","")&amp;IF($Q83="",", driver","")&amp;IF($R83="",", alternatives","")&amp;IF(AND($D83&lt;&gt;"",COUNTIF(UnitList,$D83)=0),", a unit that is not in your structure",""),3,300))</f>
        <v/>
      </c>
      <c r="T83" s="17" t="str">
        <f aca="false">IF($S83="","",COUNTIF($S$6:$S83,"?*"))</f>
        <v/>
      </c>
    </row>
    <row r="84" customFormat="false" ht="15" hidden="false" customHeight="false" outlineLevel="0" collapsed="false">
      <c r="A84" s="17" t="n">
        <v>79</v>
      </c>
      <c r="B84" s="21"/>
      <c r="C84" s="21"/>
      <c r="D84" s="21"/>
      <c r="E84" s="21"/>
      <c r="F84" s="21"/>
      <c r="G84" s="21"/>
      <c r="H84" s="21"/>
      <c r="I84" s="21"/>
      <c r="J84" s="20" t="str">
        <f aca="false">IF($F84="","",SUMIFS(SeatApproved,SeatUnit,$D84,SeatTitle,$F84))</f>
        <v/>
      </c>
      <c r="K84" s="20" t="str">
        <f aca="false">IF($F84="","",SUM($L84:$O84))</f>
        <v/>
      </c>
      <c r="L84" s="22"/>
      <c r="M84" s="22"/>
      <c r="N84" s="22"/>
      <c r="O84" s="22"/>
      <c r="P84" s="18" t="str">
        <f aca="false">IF($Q84="","",IFERROR(INDEX(DriverCategory,MATCH($Q84,DriverList,0)),"?"))</f>
        <v/>
      </c>
      <c r="Q84" s="21"/>
      <c r="R84" s="21"/>
      <c r="S84" s="23" t="str">
        <f aca="false">IF(COUNTA($B84:$H84)+COUNTA($L84:$O84)=0,"",MID(IF($B84="",", division","")&amp;IF($D84="",", unit","")&amp;IF($F84="",", job title","")&amp;IF($G84="",", career level","")&amp;IF($H84="",", job family","")&amp;IF($I84="",", worker type","")&amp;IF(N($K84)&lt;=0,", the quarter split","")&amp;IF($Q84="",", driver","")&amp;IF($R84="",", alternatives","")&amp;IF(AND($D84&lt;&gt;"",COUNTIF(UnitList,$D84)=0),", a unit that is not in your structure",""),3,300))</f>
        <v/>
      </c>
      <c r="T84" s="17" t="str">
        <f aca="false">IF($S84="","",COUNTIF($S$6:$S84,"?*"))</f>
        <v/>
      </c>
    </row>
    <row r="85" customFormat="false" ht="15" hidden="false" customHeight="false" outlineLevel="0" collapsed="false">
      <c r="A85" s="17" t="n">
        <v>80</v>
      </c>
      <c r="B85" s="21"/>
      <c r="C85" s="21"/>
      <c r="D85" s="21"/>
      <c r="E85" s="21"/>
      <c r="F85" s="21"/>
      <c r="G85" s="21"/>
      <c r="H85" s="21"/>
      <c r="I85" s="21"/>
      <c r="J85" s="20" t="str">
        <f aca="false">IF($F85="","",SUMIFS(SeatApproved,SeatUnit,$D85,SeatTitle,$F85))</f>
        <v/>
      </c>
      <c r="K85" s="20" t="str">
        <f aca="false">IF($F85="","",SUM($L85:$O85))</f>
        <v/>
      </c>
      <c r="L85" s="22"/>
      <c r="M85" s="22"/>
      <c r="N85" s="22"/>
      <c r="O85" s="22"/>
      <c r="P85" s="18" t="str">
        <f aca="false">IF($Q85="","",IFERROR(INDEX(DriverCategory,MATCH($Q85,DriverList,0)),"?"))</f>
        <v/>
      </c>
      <c r="Q85" s="21"/>
      <c r="R85" s="21"/>
      <c r="S85" s="23" t="str">
        <f aca="false">IF(COUNTA($B85:$H85)+COUNTA($L85:$O85)=0,"",MID(IF($B85="",", division","")&amp;IF($D85="",", unit","")&amp;IF($F85="",", job title","")&amp;IF($G85="",", career level","")&amp;IF($H85="",", job family","")&amp;IF($I85="",", worker type","")&amp;IF(N($K85)&lt;=0,", the quarter split","")&amp;IF($Q85="",", driver","")&amp;IF($R85="",", alternatives","")&amp;IF(AND($D85&lt;&gt;"",COUNTIF(UnitList,$D85)=0),", a unit that is not in your structure",""),3,300))</f>
        <v/>
      </c>
      <c r="T85" s="17" t="str">
        <f aca="false">IF($S85="","",COUNTIF($S$6:$S85,"?*"))</f>
        <v/>
      </c>
    </row>
    <row r="86" customFormat="false" ht="15" hidden="false" customHeight="false" outlineLevel="0" collapsed="false">
      <c r="A86" s="17" t="n">
        <v>81</v>
      </c>
      <c r="B86" s="21"/>
      <c r="C86" s="21"/>
      <c r="D86" s="21"/>
      <c r="E86" s="21"/>
      <c r="F86" s="21"/>
      <c r="G86" s="21"/>
      <c r="H86" s="21"/>
      <c r="I86" s="21"/>
      <c r="J86" s="20" t="str">
        <f aca="false">IF($F86="","",SUMIFS(SeatApproved,SeatUnit,$D86,SeatTitle,$F86))</f>
        <v/>
      </c>
      <c r="K86" s="20" t="str">
        <f aca="false">IF($F86="","",SUM($L86:$O86))</f>
        <v/>
      </c>
      <c r="L86" s="22"/>
      <c r="M86" s="22"/>
      <c r="N86" s="22"/>
      <c r="O86" s="22"/>
      <c r="P86" s="18" t="str">
        <f aca="false">IF($Q86="","",IFERROR(INDEX(DriverCategory,MATCH($Q86,DriverList,0)),"?"))</f>
        <v/>
      </c>
      <c r="Q86" s="21"/>
      <c r="R86" s="21"/>
      <c r="S86" s="23" t="str">
        <f aca="false">IF(COUNTA($B86:$H86)+COUNTA($L86:$O86)=0,"",MID(IF($B86="",", division","")&amp;IF($D86="",", unit","")&amp;IF($F86="",", job title","")&amp;IF($G86="",", career level","")&amp;IF($H86="",", job family","")&amp;IF($I86="",", worker type","")&amp;IF(N($K86)&lt;=0,", the quarter split","")&amp;IF($Q86="",", driver","")&amp;IF($R86="",", alternatives","")&amp;IF(AND($D86&lt;&gt;"",COUNTIF(UnitList,$D86)=0),", a unit that is not in your structure",""),3,300))</f>
        <v/>
      </c>
      <c r="T86" s="17" t="str">
        <f aca="false">IF($S86="","",COUNTIF($S$6:$S86,"?*"))</f>
        <v/>
      </c>
    </row>
    <row r="87" customFormat="false" ht="15" hidden="false" customHeight="false" outlineLevel="0" collapsed="false">
      <c r="A87" s="17" t="n">
        <v>82</v>
      </c>
      <c r="B87" s="21"/>
      <c r="C87" s="21"/>
      <c r="D87" s="21"/>
      <c r="E87" s="21"/>
      <c r="F87" s="21"/>
      <c r="G87" s="21"/>
      <c r="H87" s="21"/>
      <c r="I87" s="21"/>
      <c r="J87" s="20" t="str">
        <f aca="false">IF($F87="","",SUMIFS(SeatApproved,SeatUnit,$D87,SeatTitle,$F87))</f>
        <v/>
      </c>
      <c r="K87" s="20" t="str">
        <f aca="false">IF($F87="","",SUM($L87:$O87))</f>
        <v/>
      </c>
      <c r="L87" s="22"/>
      <c r="M87" s="22"/>
      <c r="N87" s="22"/>
      <c r="O87" s="22"/>
      <c r="P87" s="18" t="str">
        <f aca="false">IF($Q87="","",IFERROR(INDEX(DriverCategory,MATCH($Q87,DriverList,0)),"?"))</f>
        <v/>
      </c>
      <c r="Q87" s="21"/>
      <c r="R87" s="21"/>
      <c r="S87" s="23" t="str">
        <f aca="false">IF(COUNTA($B87:$H87)+COUNTA($L87:$O87)=0,"",MID(IF($B87="",", division","")&amp;IF($D87="",", unit","")&amp;IF($F87="",", job title","")&amp;IF($G87="",", career level","")&amp;IF($H87="",", job family","")&amp;IF($I87="",", worker type","")&amp;IF(N($K87)&lt;=0,", the quarter split","")&amp;IF($Q87="",", driver","")&amp;IF($R87="",", alternatives","")&amp;IF(AND($D87&lt;&gt;"",COUNTIF(UnitList,$D87)=0),", a unit that is not in your structure",""),3,300))</f>
        <v/>
      </c>
      <c r="T87" s="17" t="str">
        <f aca="false">IF($S87="","",COUNTIF($S$6:$S87,"?*"))</f>
        <v/>
      </c>
    </row>
    <row r="88" customFormat="false" ht="15" hidden="false" customHeight="false" outlineLevel="0" collapsed="false">
      <c r="A88" s="17" t="n">
        <v>83</v>
      </c>
      <c r="B88" s="21"/>
      <c r="C88" s="21"/>
      <c r="D88" s="21"/>
      <c r="E88" s="21"/>
      <c r="F88" s="21"/>
      <c r="G88" s="21"/>
      <c r="H88" s="21"/>
      <c r="I88" s="21"/>
      <c r="J88" s="20" t="str">
        <f aca="false">IF($F88="","",SUMIFS(SeatApproved,SeatUnit,$D88,SeatTitle,$F88))</f>
        <v/>
      </c>
      <c r="K88" s="20" t="str">
        <f aca="false">IF($F88="","",SUM($L88:$O88))</f>
        <v/>
      </c>
      <c r="L88" s="22"/>
      <c r="M88" s="22"/>
      <c r="N88" s="22"/>
      <c r="O88" s="22"/>
      <c r="P88" s="18" t="str">
        <f aca="false">IF($Q88="","",IFERROR(INDEX(DriverCategory,MATCH($Q88,DriverList,0)),"?"))</f>
        <v/>
      </c>
      <c r="Q88" s="21"/>
      <c r="R88" s="21"/>
      <c r="S88" s="23" t="str">
        <f aca="false">IF(COUNTA($B88:$H88)+COUNTA($L88:$O88)=0,"",MID(IF($B88="",", division","")&amp;IF($D88="",", unit","")&amp;IF($F88="",", job title","")&amp;IF($G88="",", career level","")&amp;IF($H88="",", job family","")&amp;IF($I88="",", worker type","")&amp;IF(N($K88)&lt;=0,", the quarter split","")&amp;IF($Q88="",", driver","")&amp;IF($R88="",", alternatives","")&amp;IF(AND($D88&lt;&gt;"",COUNTIF(UnitList,$D88)=0),", a unit that is not in your structure",""),3,300))</f>
        <v/>
      </c>
      <c r="T88" s="17" t="str">
        <f aca="false">IF($S88="","",COUNTIF($S$6:$S88,"?*"))</f>
        <v/>
      </c>
    </row>
    <row r="89" customFormat="false" ht="15" hidden="false" customHeight="false" outlineLevel="0" collapsed="false">
      <c r="A89" s="17" t="n">
        <v>84</v>
      </c>
      <c r="B89" s="21"/>
      <c r="C89" s="21"/>
      <c r="D89" s="21"/>
      <c r="E89" s="21"/>
      <c r="F89" s="21"/>
      <c r="G89" s="21"/>
      <c r="H89" s="21"/>
      <c r="I89" s="21"/>
      <c r="J89" s="20" t="str">
        <f aca="false">IF($F89="","",SUMIFS(SeatApproved,SeatUnit,$D89,SeatTitle,$F89))</f>
        <v/>
      </c>
      <c r="K89" s="20" t="str">
        <f aca="false">IF($F89="","",SUM($L89:$O89))</f>
        <v/>
      </c>
      <c r="L89" s="22"/>
      <c r="M89" s="22"/>
      <c r="N89" s="22"/>
      <c r="O89" s="22"/>
      <c r="P89" s="18" t="str">
        <f aca="false">IF($Q89="","",IFERROR(INDEX(DriverCategory,MATCH($Q89,DriverList,0)),"?"))</f>
        <v/>
      </c>
      <c r="Q89" s="21"/>
      <c r="R89" s="21"/>
      <c r="S89" s="23" t="str">
        <f aca="false">IF(COUNTA($B89:$H89)+COUNTA($L89:$O89)=0,"",MID(IF($B89="",", division","")&amp;IF($D89="",", unit","")&amp;IF($F89="",", job title","")&amp;IF($G89="",", career level","")&amp;IF($H89="",", job family","")&amp;IF($I89="",", worker type","")&amp;IF(N($K89)&lt;=0,", the quarter split","")&amp;IF($Q89="",", driver","")&amp;IF($R89="",", alternatives","")&amp;IF(AND($D89&lt;&gt;"",COUNTIF(UnitList,$D89)=0),", a unit that is not in your structure",""),3,300))</f>
        <v/>
      </c>
      <c r="T89" s="17" t="str">
        <f aca="false">IF($S89="","",COUNTIF($S$6:$S89,"?*"))</f>
        <v/>
      </c>
    </row>
    <row r="90" customFormat="false" ht="15" hidden="false" customHeight="false" outlineLevel="0" collapsed="false">
      <c r="A90" s="17" t="n">
        <v>85</v>
      </c>
      <c r="B90" s="21"/>
      <c r="C90" s="21"/>
      <c r="D90" s="21"/>
      <c r="E90" s="21"/>
      <c r="F90" s="21"/>
      <c r="G90" s="21"/>
      <c r="H90" s="21"/>
      <c r="I90" s="21"/>
      <c r="J90" s="20" t="str">
        <f aca="false">IF($F90="","",SUMIFS(SeatApproved,SeatUnit,$D90,SeatTitle,$F90))</f>
        <v/>
      </c>
      <c r="K90" s="20" t="str">
        <f aca="false">IF($F90="","",SUM($L90:$O90))</f>
        <v/>
      </c>
      <c r="L90" s="22"/>
      <c r="M90" s="22"/>
      <c r="N90" s="22"/>
      <c r="O90" s="22"/>
      <c r="P90" s="18" t="str">
        <f aca="false">IF($Q90="","",IFERROR(INDEX(DriverCategory,MATCH($Q90,DriverList,0)),"?"))</f>
        <v/>
      </c>
      <c r="Q90" s="21"/>
      <c r="R90" s="21"/>
      <c r="S90" s="23" t="str">
        <f aca="false">IF(COUNTA($B90:$H90)+COUNTA($L90:$O90)=0,"",MID(IF($B90="",", division","")&amp;IF($D90="",", unit","")&amp;IF($F90="",", job title","")&amp;IF($G90="",", career level","")&amp;IF($H90="",", job family","")&amp;IF($I90="",", worker type","")&amp;IF(N($K90)&lt;=0,", the quarter split","")&amp;IF($Q90="",", driver","")&amp;IF($R90="",", alternatives","")&amp;IF(AND($D90&lt;&gt;"",COUNTIF(UnitList,$D90)=0),", a unit that is not in your structure",""),3,300))</f>
        <v/>
      </c>
      <c r="T90" s="17" t="str">
        <f aca="false">IF($S90="","",COUNTIF($S$6:$S90,"?*"))</f>
        <v/>
      </c>
    </row>
    <row r="91" customFormat="false" ht="15" hidden="false" customHeight="false" outlineLevel="0" collapsed="false">
      <c r="A91" s="17" t="n">
        <v>86</v>
      </c>
      <c r="B91" s="21"/>
      <c r="C91" s="21"/>
      <c r="D91" s="21"/>
      <c r="E91" s="21"/>
      <c r="F91" s="21"/>
      <c r="G91" s="21"/>
      <c r="H91" s="21"/>
      <c r="I91" s="21"/>
      <c r="J91" s="20" t="str">
        <f aca="false">IF($F91="","",SUMIFS(SeatApproved,SeatUnit,$D91,SeatTitle,$F91))</f>
        <v/>
      </c>
      <c r="K91" s="20" t="str">
        <f aca="false">IF($F91="","",SUM($L91:$O91))</f>
        <v/>
      </c>
      <c r="L91" s="22"/>
      <c r="M91" s="22"/>
      <c r="N91" s="22"/>
      <c r="O91" s="22"/>
      <c r="P91" s="18" t="str">
        <f aca="false">IF($Q91="","",IFERROR(INDEX(DriverCategory,MATCH($Q91,DriverList,0)),"?"))</f>
        <v/>
      </c>
      <c r="Q91" s="21"/>
      <c r="R91" s="21"/>
      <c r="S91" s="23" t="str">
        <f aca="false">IF(COUNTA($B91:$H91)+COUNTA($L91:$O91)=0,"",MID(IF($B91="",", division","")&amp;IF($D91="",", unit","")&amp;IF($F91="",", job title","")&amp;IF($G91="",", career level","")&amp;IF($H91="",", job family","")&amp;IF($I91="",", worker type","")&amp;IF(N($K91)&lt;=0,", the quarter split","")&amp;IF($Q91="",", driver","")&amp;IF($R91="",", alternatives","")&amp;IF(AND($D91&lt;&gt;"",COUNTIF(UnitList,$D91)=0),", a unit that is not in your structure",""),3,300))</f>
        <v/>
      </c>
      <c r="T91" s="17" t="str">
        <f aca="false">IF($S91="","",COUNTIF($S$6:$S91,"?*"))</f>
        <v/>
      </c>
    </row>
    <row r="92" customFormat="false" ht="15" hidden="false" customHeight="false" outlineLevel="0" collapsed="false">
      <c r="A92" s="17" t="n">
        <v>87</v>
      </c>
      <c r="B92" s="21"/>
      <c r="C92" s="21"/>
      <c r="D92" s="21"/>
      <c r="E92" s="21"/>
      <c r="F92" s="21"/>
      <c r="G92" s="21"/>
      <c r="H92" s="21"/>
      <c r="I92" s="21"/>
      <c r="J92" s="20" t="str">
        <f aca="false">IF($F92="","",SUMIFS(SeatApproved,SeatUnit,$D92,SeatTitle,$F92))</f>
        <v/>
      </c>
      <c r="K92" s="20" t="str">
        <f aca="false">IF($F92="","",SUM($L92:$O92))</f>
        <v/>
      </c>
      <c r="L92" s="22"/>
      <c r="M92" s="22"/>
      <c r="N92" s="22"/>
      <c r="O92" s="22"/>
      <c r="P92" s="18" t="str">
        <f aca="false">IF($Q92="","",IFERROR(INDEX(DriverCategory,MATCH($Q92,DriverList,0)),"?"))</f>
        <v/>
      </c>
      <c r="Q92" s="21"/>
      <c r="R92" s="21"/>
      <c r="S92" s="23" t="str">
        <f aca="false">IF(COUNTA($B92:$H92)+COUNTA($L92:$O92)=0,"",MID(IF($B92="",", division","")&amp;IF($D92="",", unit","")&amp;IF($F92="",", job title","")&amp;IF($G92="",", career level","")&amp;IF($H92="",", job family","")&amp;IF($I92="",", worker type","")&amp;IF(N($K92)&lt;=0,", the quarter split","")&amp;IF($Q92="",", driver","")&amp;IF($R92="",", alternatives","")&amp;IF(AND($D92&lt;&gt;"",COUNTIF(UnitList,$D92)=0),", a unit that is not in your structure",""),3,300))</f>
        <v/>
      </c>
      <c r="T92" s="17" t="str">
        <f aca="false">IF($S92="","",COUNTIF($S$6:$S92,"?*"))</f>
        <v/>
      </c>
    </row>
    <row r="93" customFormat="false" ht="15" hidden="false" customHeight="false" outlineLevel="0" collapsed="false">
      <c r="A93" s="17" t="n">
        <v>88</v>
      </c>
      <c r="B93" s="21"/>
      <c r="C93" s="21"/>
      <c r="D93" s="21"/>
      <c r="E93" s="21"/>
      <c r="F93" s="21"/>
      <c r="G93" s="21"/>
      <c r="H93" s="21"/>
      <c r="I93" s="21"/>
      <c r="J93" s="20" t="str">
        <f aca="false">IF($F93="","",SUMIFS(SeatApproved,SeatUnit,$D93,SeatTitle,$F93))</f>
        <v/>
      </c>
      <c r="K93" s="20" t="str">
        <f aca="false">IF($F93="","",SUM($L93:$O93))</f>
        <v/>
      </c>
      <c r="L93" s="22"/>
      <c r="M93" s="22"/>
      <c r="N93" s="22"/>
      <c r="O93" s="22"/>
      <c r="P93" s="18" t="str">
        <f aca="false">IF($Q93="","",IFERROR(INDEX(DriverCategory,MATCH($Q93,DriverList,0)),"?"))</f>
        <v/>
      </c>
      <c r="Q93" s="21"/>
      <c r="R93" s="21"/>
      <c r="S93" s="23" t="str">
        <f aca="false">IF(COUNTA($B93:$H93)+COUNTA($L93:$O93)=0,"",MID(IF($B93="",", division","")&amp;IF($D93="",", unit","")&amp;IF($F93="",", job title","")&amp;IF($G93="",", career level","")&amp;IF($H93="",", job family","")&amp;IF($I93="",", worker type","")&amp;IF(N($K93)&lt;=0,", the quarter split","")&amp;IF($Q93="",", driver","")&amp;IF($R93="",", alternatives","")&amp;IF(AND($D93&lt;&gt;"",COUNTIF(UnitList,$D93)=0),", a unit that is not in your structure",""),3,300))</f>
        <v/>
      </c>
      <c r="T93" s="17" t="str">
        <f aca="false">IF($S93="","",COUNTIF($S$6:$S93,"?*"))</f>
        <v/>
      </c>
    </row>
    <row r="94" customFormat="false" ht="15" hidden="false" customHeight="false" outlineLevel="0" collapsed="false">
      <c r="A94" s="17" t="n">
        <v>89</v>
      </c>
      <c r="B94" s="21"/>
      <c r="C94" s="21"/>
      <c r="D94" s="21"/>
      <c r="E94" s="21"/>
      <c r="F94" s="21"/>
      <c r="G94" s="21"/>
      <c r="H94" s="21"/>
      <c r="I94" s="21"/>
      <c r="J94" s="20" t="str">
        <f aca="false">IF($F94="","",SUMIFS(SeatApproved,SeatUnit,$D94,SeatTitle,$F94))</f>
        <v/>
      </c>
      <c r="K94" s="20" t="str">
        <f aca="false">IF($F94="","",SUM($L94:$O94))</f>
        <v/>
      </c>
      <c r="L94" s="22"/>
      <c r="M94" s="22"/>
      <c r="N94" s="22"/>
      <c r="O94" s="22"/>
      <c r="P94" s="18" t="str">
        <f aca="false">IF($Q94="","",IFERROR(INDEX(DriverCategory,MATCH($Q94,DriverList,0)),"?"))</f>
        <v/>
      </c>
      <c r="Q94" s="21"/>
      <c r="R94" s="21"/>
      <c r="S94" s="23" t="str">
        <f aca="false">IF(COUNTA($B94:$H94)+COUNTA($L94:$O94)=0,"",MID(IF($B94="",", division","")&amp;IF($D94="",", unit","")&amp;IF($F94="",", job title","")&amp;IF($G94="",", career level","")&amp;IF($H94="",", job family","")&amp;IF($I94="",", worker type","")&amp;IF(N($K94)&lt;=0,", the quarter split","")&amp;IF($Q94="",", driver","")&amp;IF($R94="",", alternatives","")&amp;IF(AND($D94&lt;&gt;"",COUNTIF(UnitList,$D94)=0),", a unit that is not in your structure",""),3,300))</f>
        <v/>
      </c>
      <c r="T94" s="17" t="str">
        <f aca="false">IF($S94="","",COUNTIF($S$6:$S94,"?*"))</f>
        <v/>
      </c>
    </row>
    <row r="95" customFormat="false" ht="15" hidden="false" customHeight="false" outlineLevel="0" collapsed="false">
      <c r="A95" s="17" t="n">
        <v>90</v>
      </c>
      <c r="B95" s="21"/>
      <c r="C95" s="21"/>
      <c r="D95" s="21"/>
      <c r="E95" s="21"/>
      <c r="F95" s="21"/>
      <c r="G95" s="21"/>
      <c r="H95" s="21"/>
      <c r="I95" s="21"/>
      <c r="J95" s="20" t="str">
        <f aca="false">IF($F95="","",SUMIFS(SeatApproved,SeatUnit,$D95,SeatTitle,$F95))</f>
        <v/>
      </c>
      <c r="K95" s="20" t="str">
        <f aca="false">IF($F95="","",SUM($L95:$O95))</f>
        <v/>
      </c>
      <c r="L95" s="22"/>
      <c r="M95" s="22"/>
      <c r="N95" s="22"/>
      <c r="O95" s="22"/>
      <c r="P95" s="18" t="str">
        <f aca="false">IF($Q95="","",IFERROR(INDEX(DriverCategory,MATCH($Q95,DriverList,0)),"?"))</f>
        <v/>
      </c>
      <c r="Q95" s="21"/>
      <c r="R95" s="21"/>
      <c r="S95" s="23" t="str">
        <f aca="false">IF(COUNTA($B95:$H95)+COUNTA($L95:$O95)=0,"",MID(IF($B95="",", division","")&amp;IF($D95="",", unit","")&amp;IF($F95="",", job title","")&amp;IF($G95="",", career level","")&amp;IF($H95="",", job family","")&amp;IF($I95="",", worker type","")&amp;IF(N($K95)&lt;=0,", the quarter split","")&amp;IF($Q95="",", driver","")&amp;IF($R95="",", alternatives","")&amp;IF(AND($D95&lt;&gt;"",COUNTIF(UnitList,$D95)=0),", a unit that is not in your structure",""),3,300))</f>
        <v/>
      </c>
      <c r="T95" s="17" t="str">
        <f aca="false">IF($S95="","",COUNTIF($S$6:$S95,"?*"))</f>
        <v/>
      </c>
    </row>
    <row r="96" customFormat="false" ht="15" hidden="false" customHeight="false" outlineLevel="0" collapsed="false">
      <c r="A96" s="17" t="n">
        <v>91</v>
      </c>
      <c r="B96" s="21"/>
      <c r="C96" s="21"/>
      <c r="D96" s="21"/>
      <c r="E96" s="21"/>
      <c r="F96" s="21"/>
      <c r="G96" s="21"/>
      <c r="H96" s="21"/>
      <c r="I96" s="21"/>
      <c r="J96" s="20" t="str">
        <f aca="false">IF($F96="","",SUMIFS(SeatApproved,SeatUnit,$D96,SeatTitle,$F96))</f>
        <v/>
      </c>
      <c r="K96" s="20" t="str">
        <f aca="false">IF($F96="","",SUM($L96:$O96))</f>
        <v/>
      </c>
      <c r="L96" s="22"/>
      <c r="M96" s="22"/>
      <c r="N96" s="22"/>
      <c r="O96" s="22"/>
      <c r="P96" s="18" t="str">
        <f aca="false">IF($Q96="","",IFERROR(INDEX(DriverCategory,MATCH($Q96,DriverList,0)),"?"))</f>
        <v/>
      </c>
      <c r="Q96" s="21"/>
      <c r="R96" s="21"/>
      <c r="S96" s="23" t="str">
        <f aca="false">IF(COUNTA($B96:$H96)+COUNTA($L96:$O96)=0,"",MID(IF($B96="",", division","")&amp;IF($D96="",", unit","")&amp;IF($F96="",", job title","")&amp;IF($G96="",", career level","")&amp;IF($H96="",", job family","")&amp;IF($I96="",", worker type","")&amp;IF(N($K96)&lt;=0,", the quarter split","")&amp;IF($Q96="",", driver","")&amp;IF($R96="",", alternatives","")&amp;IF(AND($D96&lt;&gt;"",COUNTIF(UnitList,$D96)=0),", a unit that is not in your structure",""),3,300))</f>
        <v/>
      </c>
      <c r="T96" s="17" t="str">
        <f aca="false">IF($S96="","",COUNTIF($S$6:$S96,"?*"))</f>
        <v/>
      </c>
    </row>
    <row r="97" customFormat="false" ht="15" hidden="false" customHeight="false" outlineLevel="0" collapsed="false">
      <c r="A97" s="17" t="n">
        <v>92</v>
      </c>
      <c r="B97" s="21"/>
      <c r="C97" s="21"/>
      <c r="D97" s="21"/>
      <c r="E97" s="21"/>
      <c r="F97" s="21"/>
      <c r="G97" s="21"/>
      <c r="H97" s="21"/>
      <c r="I97" s="21"/>
      <c r="J97" s="20" t="str">
        <f aca="false">IF($F97="","",SUMIFS(SeatApproved,SeatUnit,$D97,SeatTitle,$F97))</f>
        <v/>
      </c>
      <c r="K97" s="20" t="str">
        <f aca="false">IF($F97="","",SUM($L97:$O97))</f>
        <v/>
      </c>
      <c r="L97" s="22"/>
      <c r="M97" s="22"/>
      <c r="N97" s="22"/>
      <c r="O97" s="22"/>
      <c r="P97" s="18" t="str">
        <f aca="false">IF($Q97="","",IFERROR(INDEX(DriverCategory,MATCH($Q97,DriverList,0)),"?"))</f>
        <v/>
      </c>
      <c r="Q97" s="21"/>
      <c r="R97" s="21"/>
      <c r="S97" s="23" t="str">
        <f aca="false">IF(COUNTA($B97:$H97)+COUNTA($L97:$O97)=0,"",MID(IF($B97="",", division","")&amp;IF($D97="",", unit","")&amp;IF($F97="",", job title","")&amp;IF($G97="",", career level","")&amp;IF($H97="",", job family","")&amp;IF($I97="",", worker type","")&amp;IF(N($K97)&lt;=0,", the quarter split","")&amp;IF($Q97="",", driver","")&amp;IF($R97="",", alternatives","")&amp;IF(AND($D97&lt;&gt;"",COUNTIF(UnitList,$D97)=0),", a unit that is not in your structure",""),3,300))</f>
        <v/>
      </c>
      <c r="T97" s="17" t="str">
        <f aca="false">IF($S97="","",COUNTIF($S$6:$S97,"?*"))</f>
        <v/>
      </c>
    </row>
    <row r="98" customFormat="false" ht="15" hidden="false" customHeight="false" outlineLevel="0" collapsed="false">
      <c r="A98" s="17" t="n">
        <v>93</v>
      </c>
      <c r="B98" s="21"/>
      <c r="C98" s="21"/>
      <c r="D98" s="21"/>
      <c r="E98" s="21"/>
      <c r="F98" s="21"/>
      <c r="G98" s="21"/>
      <c r="H98" s="21"/>
      <c r="I98" s="21"/>
      <c r="J98" s="20" t="str">
        <f aca="false">IF($F98="","",SUMIFS(SeatApproved,SeatUnit,$D98,SeatTitle,$F98))</f>
        <v/>
      </c>
      <c r="K98" s="20" t="str">
        <f aca="false">IF($F98="","",SUM($L98:$O98))</f>
        <v/>
      </c>
      <c r="L98" s="22"/>
      <c r="M98" s="22"/>
      <c r="N98" s="22"/>
      <c r="O98" s="22"/>
      <c r="P98" s="18" t="str">
        <f aca="false">IF($Q98="","",IFERROR(INDEX(DriverCategory,MATCH($Q98,DriverList,0)),"?"))</f>
        <v/>
      </c>
      <c r="Q98" s="21"/>
      <c r="R98" s="21"/>
      <c r="S98" s="23" t="str">
        <f aca="false">IF(COUNTA($B98:$H98)+COUNTA($L98:$O98)=0,"",MID(IF($B98="",", division","")&amp;IF($D98="",", unit","")&amp;IF($F98="",", job title","")&amp;IF($G98="",", career level","")&amp;IF($H98="",", job family","")&amp;IF($I98="",", worker type","")&amp;IF(N($K98)&lt;=0,", the quarter split","")&amp;IF($Q98="",", driver","")&amp;IF($R98="",", alternatives","")&amp;IF(AND($D98&lt;&gt;"",COUNTIF(UnitList,$D98)=0),", a unit that is not in your structure",""),3,300))</f>
        <v/>
      </c>
      <c r="T98" s="17" t="str">
        <f aca="false">IF($S98="","",COUNTIF($S$6:$S98,"?*"))</f>
        <v/>
      </c>
    </row>
    <row r="99" customFormat="false" ht="15" hidden="false" customHeight="false" outlineLevel="0" collapsed="false">
      <c r="A99" s="17" t="n">
        <v>94</v>
      </c>
      <c r="B99" s="21"/>
      <c r="C99" s="21"/>
      <c r="D99" s="21"/>
      <c r="E99" s="21"/>
      <c r="F99" s="21"/>
      <c r="G99" s="21"/>
      <c r="H99" s="21"/>
      <c r="I99" s="21"/>
      <c r="J99" s="20" t="str">
        <f aca="false">IF($F99="","",SUMIFS(SeatApproved,SeatUnit,$D99,SeatTitle,$F99))</f>
        <v/>
      </c>
      <c r="K99" s="20" t="str">
        <f aca="false">IF($F99="","",SUM($L99:$O99))</f>
        <v/>
      </c>
      <c r="L99" s="22"/>
      <c r="M99" s="22"/>
      <c r="N99" s="22"/>
      <c r="O99" s="22"/>
      <c r="P99" s="18" t="str">
        <f aca="false">IF($Q99="","",IFERROR(INDEX(DriverCategory,MATCH($Q99,DriverList,0)),"?"))</f>
        <v/>
      </c>
      <c r="Q99" s="21"/>
      <c r="R99" s="21"/>
      <c r="S99" s="23" t="str">
        <f aca="false">IF(COUNTA($B99:$H99)+COUNTA($L99:$O99)=0,"",MID(IF($B99="",", division","")&amp;IF($D99="",", unit","")&amp;IF($F99="",", job title","")&amp;IF($G99="",", career level","")&amp;IF($H99="",", job family","")&amp;IF($I99="",", worker type","")&amp;IF(N($K99)&lt;=0,", the quarter split","")&amp;IF($Q99="",", driver","")&amp;IF($R99="",", alternatives","")&amp;IF(AND($D99&lt;&gt;"",COUNTIF(UnitList,$D99)=0),", a unit that is not in your structure",""),3,300))</f>
        <v/>
      </c>
      <c r="T99" s="17" t="str">
        <f aca="false">IF($S99="","",COUNTIF($S$6:$S99,"?*"))</f>
        <v/>
      </c>
    </row>
    <row r="100" customFormat="false" ht="15" hidden="false" customHeight="false" outlineLevel="0" collapsed="false">
      <c r="A100" s="17" t="n">
        <v>95</v>
      </c>
      <c r="B100" s="21"/>
      <c r="C100" s="21"/>
      <c r="D100" s="21"/>
      <c r="E100" s="21"/>
      <c r="F100" s="21"/>
      <c r="G100" s="21"/>
      <c r="H100" s="21"/>
      <c r="I100" s="21"/>
      <c r="J100" s="20" t="str">
        <f aca="false">IF($F100="","",SUMIFS(SeatApproved,SeatUnit,$D100,SeatTitle,$F100))</f>
        <v/>
      </c>
      <c r="K100" s="20" t="str">
        <f aca="false">IF($F100="","",SUM($L100:$O100))</f>
        <v/>
      </c>
      <c r="L100" s="22"/>
      <c r="M100" s="22"/>
      <c r="N100" s="22"/>
      <c r="O100" s="22"/>
      <c r="P100" s="18" t="str">
        <f aca="false">IF($Q100="","",IFERROR(INDEX(DriverCategory,MATCH($Q100,DriverList,0)),"?"))</f>
        <v/>
      </c>
      <c r="Q100" s="21"/>
      <c r="R100" s="21"/>
      <c r="S100" s="23" t="str">
        <f aca="false">IF(COUNTA($B100:$H100)+COUNTA($L100:$O100)=0,"",MID(IF($B100="",", division","")&amp;IF($D100="",", unit","")&amp;IF($F100="",", job title","")&amp;IF($G100="",", career level","")&amp;IF($H100="",", job family","")&amp;IF($I100="",", worker type","")&amp;IF(N($K100)&lt;=0,", the quarter split","")&amp;IF($Q100="",", driver","")&amp;IF($R100="",", alternatives","")&amp;IF(AND($D100&lt;&gt;"",COUNTIF(UnitList,$D100)=0),", a unit that is not in your structure",""),3,300))</f>
        <v/>
      </c>
      <c r="T100" s="17" t="str">
        <f aca="false">IF($S100="","",COUNTIF($S$6:$S100,"?*"))</f>
        <v/>
      </c>
    </row>
    <row r="101" customFormat="false" ht="15" hidden="false" customHeight="false" outlineLevel="0" collapsed="false">
      <c r="A101" s="17" t="n">
        <v>96</v>
      </c>
      <c r="B101" s="21"/>
      <c r="C101" s="21"/>
      <c r="D101" s="21"/>
      <c r="E101" s="21"/>
      <c r="F101" s="21"/>
      <c r="G101" s="21"/>
      <c r="H101" s="21"/>
      <c r="I101" s="21"/>
      <c r="J101" s="20" t="str">
        <f aca="false">IF($F101="","",SUMIFS(SeatApproved,SeatUnit,$D101,SeatTitle,$F101))</f>
        <v/>
      </c>
      <c r="K101" s="20" t="str">
        <f aca="false">IF($F101="","",SUM($L101:$O101))</f>
        <v/>
      </c>
      <c r="L101" s="22"/>
      <c r="M101" s="22"/>
      <c r="N101" s="22"/>
      <c r="O101" s="22"/>
      <c r="P101" s="18" t="str">
        <f aca="false">IF($Q101="","",IFERROR(INDEX(DriverCategory,MATCH($Q101,DriverList,0)),"?"))</f>
        <v/>
      </c>
      <c r="Q101" s="21"/>
      <c r="R101" s="21"/>
      <c r="S101" s="23" t="str">
        <f aca="false">IF(COUNTA($B101:$H101)+COUNTA($L101:$O101)=0,"",MID(IF($B101="",", division","")&amp;IF($D101="",", unit","")&amp;IF($F101="",", job title","")&amp;IF($G101="",", career level","")&amp;IF($H101="",", job family","")&amp;IF($I101="",", worker type","")&amp;IF(N($K101)&lt;=0,", the quarter split","")&amp;IF($Q101="",", driver","")&amp;IF($R101="",", alternatives","")&amp;IF(AND($D101&lt;&gt;"",COUNTIF(UnitList,$D101)=0),", a unit that is not in your structure",""),3,300))</f>
        <v/>
      </c>
      <c r="T101" s="17" t="str">
        <f aca="false">IF($S101="","",COUNTIF($S$6:$S101,"?*"))</f>
        <v/>
      </c>
    </row>
    <row r="102" customFormat="false" ht="15" hidden="false" customHeight="false" outlineLevel="0" collapsed="false">
      <c r="A102" s="17" t="n">
        <v>97</v>
      </c>
      <c r="B102" s="21"/>
      <c r="C102" s="21"/>
      <c r="D102" s="21"/>
      <c r="E102" s="21"/>
      <c r="F102" s="21"/>
      <c r="G102" s="21"/>
      <c r="H102" s="21"/>
      <c r="I102" s="21"/>
      <c r="J102" s="20" t="str">
        <f aca="false">IF($F102="","",SUMIFS(SeatApproved,SeatUnit,$D102,SeatTitle,$F102))</f>
        <v/>
      </c>
      <c r="K102" s="20" t="str">
        <f aca="false">IF($F102="","",SUM($L102:$O102))</f>
        <v/>
      </c>
      <c r="L102" s="22"/>
      <c r="M102" s="22"/>
      <c r="N102" s="22"/>
      <c r="O102" s="22"/>
      <c r="P102" s="18" t="str">
        <f aca="false">IF($Q102="","",IFERROR(INDEX(DriverCategory,MATCH($Q102,DriverList,0)),"?"))</f>
        <v/>
      </c>
      <c r="Q102" s="21"/>
      <c r="R102" s="21"/>
      <c r="S102" s="23" t="str">
        <f aca="false">IF(COUNTA($B102:$H102)+COUNTA($L102:$O102)=0,"",MID(IF($B102="",", division","")&amp;IF($D102="",", unit","")&amp;IF($F102="",", job title","")&amp;IF($G102="",", career level","")&amp;IF($H102="",", job family","")&amp;IF($I102="",", worker type","")&amp;IF(N($K102)&lt;=0,", the quarter split","")&amp;IF($Q102="",", driver","")&amp;IF($R102="",", alternatives","")&amp;IF(AND($D102&lt;&gt;"",COUNTIF(UnitList,$D102)=0),", a unit that is not in your structure",""),3,300))</f>
        <v/>
      </c>
      <c r="T102" s="17" t="str">
        <f aca="false">IF($S102="","",COUNTIF($S$6:$S102,"?*"))</f>
        <v/>
      </c>
    </row>
    <row r="103" customFormat="false" ht="15" hidden="false" customHeight="false" outlineLevel="0" collapsed="false">
      <c r="A103" s="17" t="n">
        <v>98</v>
      </c>
      <c r="B103" s="21"/>
      <c r="C103" s="21"/>
      <c r="D103" s="21"/>
      <c r="E103" s="21"/>
      <c r="F103" s="21"/>
      <c r="G103" s="21"/>
      <c r="H103" s="21"/>
      <c r="I103" s="21"/>
      <c r="J103" s="20" t="str">
        <f aca="false">IF($F103="","",SUMIFS(SeatApproved,SeatUnit,$D103,SeatTitle,$F103))</f>
        <v/>
      </c>
      <c r="K103" s="20" t="str">
        <f aca="false">IF($F103="","",SUM($L103:$O103))</f>
        <v/>
      </c>
      <c r="L103" s="22"/>
      <c r="M103" s="22"/>
      <c r="N103" s="22"/>
      <c r="O103" s="22"/>
      <c r="P103" s="18" t="str">
        <f aca="false">IF($Q103="","",IFERROR(INDEX(DriverCategory,MATCH($Q103,DriverList,0)),"?"))</f>
        <v/>
      </c>
      <c r="Q103" s="21"/>
      <c r="R103" s="21"/>
      <c r="S103" s="23" t="str">
        <f aca="false">IF(COUNTA($B103:$H103)+COUNTA($L103:$O103)=0,"",MID(IF($B103="",", division","")&amp;IF($D103="",", unit","")&amp;IF($F103="",", job title","")&amp;IF($G103="",", career level","")&amp;IF($H103="",", job family","")&amp;IF($I103="",", worker type","")&amp;IF(N($K103)&lt;=0,", the quarter split","")&amp;IF($Q103="",", driver","")&amp;IF($R103="",", alternatives","")&amp;IF(AND($D103&lt;&gt;"",COUNTIF(UnitList,$D103)=0),", a unit that is not in your structure",""),3,300))</f>
        <v/>
      </c>
      <c r="T103" s="17" t="str">
        <f aca="false">IF($S103="","",COUNTIF($S$6:$S103,"?*"))</f>
        <v/>
      </c>
    </row>
    <row r="104" customFormat="false" ht="15" hidden="false" customHeight="false" outlineLevel="0" collapsed="false">
      <c r="A104" s="17" t="n">
        <v>99</v>
      </c>
      <c r="B104" s="21"/>
      <c r="C104" s="21"/>
      <c r="D104" s="21"/>
      <c r="E104" s="21"/>
      <c r="F104" s="21"/>
      <c r="G104" s="21"/>
      <c r="H104" s="21"/>
      <c r="I104" s="21"/>
      <c r="J104" s="20" t="str">
        <f aca="false">IF($F104="","",SUMIFS(SeatApproved,SeatUnit,$D104,SeatTitle,$F104))</f>
        <v/>
      </c>
      <c r="K104" s="20" t="str">
        <f aca="false">IF($F104="","",SUM($L104:$O104))</f>
        <v/>
      </c>
      <c r="L104" s="22"/>
      <c r="M104" s="22"/>
      <c r="N104" s="22"/>
      <c r="O104" s="22"/>
      <c r="P104" s="18" t="str">
        <f aca="false">IF($Q104="","",IFERROR(INDEX(DriverCategory,MATCH($Q104,DriverList,0)),"?"))</f>
        <v/>
      </c>
      <c r="Q104" s="21"/>
      <c r="R104" s="21"/>
      <c r="S104" s="23" t="str">
        <f aca="false">IF(COUNTA($B104:$H104)+COUNTA($L104:$O104)=0,"",MID(IF($B104="",", division","")&amp;IF($D104="",", unit","")&amp;IF($F104="",", job title","")&amp;IF($G104="",", career level","")&amp;IF($H104="",", job family","")&amp;IF($I104="",", worker type","")&amp;IF(N($K104)&lt;=0,", the quarter split","")&amp;IF($Q104="",", driver","")&amp;IF($R104="",", alternatives","")&amp;IF(AND($D104&lt;&gt;"",COUNTIF(UnitList,$D104)=0),", a unit that is not in your structure",""),3,300))</f>
        <v/>
      </c>
      <c r="T104" s="17" t="str">
        <f aca="false">IF($S104="","",COUNTIF($S$6:$S104,"?*"))</f>
        <v/>
      </c>
    </row>
    <row r="105" customFormat="false" ht="15" hidden="false" customHeight="false" outlineLevel="0" collapsed="false">
      <c r="A105" s="17" t="n">
        <v>100</v>
      </c>
      <c r="B105" s="21"/>
      <c r="C105" s="21"/>
      <c r="D105" s="21"/>
      <c r="E105" s="21"/>
      <c r="F105" s="21"/>
      <c r="G105" s="21"/>
      <c r="H105" s="21"/>
      <c r="I105" s="21"/>
      <c r="J105" s="20" t="str">
        <f aca="false">IF($F105="","",SUMIFS(SeatApproved,SeatUnit,$D105,SeatTitle,$F105))</f>
        <v/>
      </c>
      <c r="K105" s="20" t="str">
        <f aca="false">IF($F105="","",SUM($L105:$O105))</f>
        <v/>
      </c>
      <c r="L105" s="22"/>
      <c r="M105" s="22"/>
      <c r="N105" s="22"/>
      <c r="O105" s="22"/>
      <c r="P105" s="18" t="str">
        <f aca="false">IF($Q105="","",IFERROR(INDEX(DriverCategory,MATCH($Q105,DriverList,0)),"?"))</f>
        <v/>
      </c>
      <c r="Q105" s="21"/>
      <c r="R105" s="21"/>
      <c r="S105" s="23" t="str">
        <f aca="false">IF(COUNTA($B105:$H105)+COUNTA($L105:$O105)=0,"",MID(IF($B105="",", division","")&amp;IF($D105="",", unit","")&amp;IF($F105="",", job title","")&amp;IF($G105="",", career level","")&amp;IF($H105="",", job family","")&amp;IF($I105="",", worker type","")&amp;IF(N($K105)&lt;=0,", the quarter split","")&amp;IF($Q105="",", driver","")&amp;IF($R105="",", alternatives","")&amp;IF(AND($D105&lt;&gt;"",COUNTIF(UnitList,$D105)=0),", a unit that is not in your structure",""),3,300))</f>
        <v/>
      </c>
      <c r="T105" s="17" t="str">
        <f aca="false">IF($S105="","",COUNTIF($S$6:$S105,"?*"))</f>
        <v/>
      </c>
    </row>
    <row r="106" customFormat="false" ht="15" hidden="false" customHeight="false" outlineLevel="0" collapsed="false">
      <c r="A106" s="17" t="n">
        <v>101</v>
      </c>
      <c r="B106" s="21"/>
      <c r="C106" s="21"/>
      <c r="D106" s="21"/>
      <c r="E106" s="21"/>
      <c r="F106" s="21"/>
      <c r="G106" s="21"/>
      <c r="H106" s="21"/>
      <c r="I106" s="21"/>
      <c r="J106" s="20" t="str">
        <f aca="false">IF($F106="","",SUMIFS(SeatApproved,SeatUnit,$D106,SeatTitle,$F106))</f>
        <v/>
      </c>
      <c r="K106" s="20" t="str">
        <f aca="false">IF($F106="","",SUM($L106:$O106))</f>
        <v/>
      </c>
      <c r="L106" s="22"/>
      <c r="M106" s="22"/>
      <c r="N106" s="22"/>
      <c r="O106" s="22"/>
      <c r="P106" s="18" t="str">
        <f aca="false">IF($Q106="","",IFERROR(INDEX(DriverCategory,MATCH($Q106,DriverList,0)),"?"))</f>
        <v/>
      </c>
      <c r="Q106" s="21"/>
      <c r="R106" s="21"/>
      <c r="S106" s="23" t="str">
        <f aca="false">IF(COUNTA($B106:$H106)+COUNTA($L106:$O106)=0,"",MID(IF($B106="",", division","")&amp;IF($D106="",", unit","")&amp;IF($F106="",", job title","")&amp;IF($G106="",", career level","")&amp;IF($H106="",", job family","")&amp;IF($I106="",", worker type","")&amp;IF(N($K106)&lt;=0,", the quarter split","")&amp;IF($Q106="",", driver","")&amp;IF($R106="",", alternatives","")&amp;IF(AND($D106&lt;&gt;"",COUNTIF(UnitList,$D106)=0),", a unit that is not in your structure",""),3,300))</f>
        <v/>
      </c>
      <c r="T106" s="17" t="str">
        <f aca="false">IF($S106="","",COUNTIF($S$6:$S106,"?*"))</f>
        <v/>
      </c>
    </row>
    <row r="107" customFormat="false" ht="15" hidden="false" customHeight="false" outlineLevel="0" collapsed="false">
      <c r="A107" s="17" t="n">
        <v>102</v>
      </c>
      <c r="B107" s="21"/>
      <c r="C107" s="21"/>
      <c r="D107" s="21"/>
      <c r="E107" s="21"/>
      <c r="F107" s="21"/>
      <c r="G107" s="21"/>
      <c r="H107" s="21"/>
      <c r="I107" s="21"/>
      <c r="J107" s="20" t="str">
        <f aca="false">IF($F107="","",SUMIFS(SeatApproved,SeatUnit,$D107,SeatTitle,$F107))</f>
        <v/>
      </c>
      <c r="K107" s="20" t="str">
        <f aca="false">IF($F107="","",SUM($L107:$O107))</f>
        <v/>
      </c>
      <c r="L107" s="22"/>
      <c r="M107" s="22"/>
      <c r="N107" s="22"/>
      <c r="O107" s="22"/>
      <c r="P107" s="18" t="str">
        <f aca="false">IF($Q107="","",IFERROR(INDEX(DriverCategory,MATCH($Q107,DriverList,0)),"?"))</f>
        <v/>
      </c>
      <c r="Q107" s="21"/>
      <c r="R107" s="21"/>
      <c r="S107" s="23" t="str">
        <f aca="false">IF(COUNTA($B107:$H107)+COUNTA($L107:$O107)=0,"",MID(IF($B107="",", division","")&amp;IF($D107="",", unit","")&amp;IF($F107="",", job title","")&amp;IF($G107="",", career level","")&amp;IF($H107="",", job family","")&amp;IF($I107="",", worker type","")&amp;IF(N($K107)&lt;=0,", the quarter split","")&amp;IF($Q107="",", driver","")&amp;IF($R107="",", alternatives","")&amp;IF(AND($D107&lt;&gt;"",COUNTIF(UnitList,$D107)=0),", a unit that is not in your structure",""),3,300))</f>
        <v/>
      </c>
      <c r="T107" s="17" t="str">
        <f aca="false">IF($S107="","",COUNTIF($S$6:$S107,"?*"))</f>
        <v/>
      </c>
    </row>
    <row r="108" customFormat="false" ht="15" hidden="false" customHeight="false" outlineLevel="0" collapsed="false">
      <c r="A108" s="17" t="n">
        <v>103</v>
      </c>
      <c r="B108" s="21"/>
      <c r="C108" s="21"/>
      <c r="D108" s="21"/>
      <c r="E108" s="21"/>
      <c r="F108" s="21"/>
      <c r="G108" s="21"/>
      <c r="H108" s="21"/>
      <c r="I108" s="21"/>
      <c r="J108" s="20" t="str">
        <f aca="false">IF($F108="","",SUMIFS(SeatApproved,SeatUnit,$D108,SeatTitle,$F108))</f>
        <v/>
      </c>
      <c r="K108" s="20" t="str">
        <f aca="false">IF($F108="","",SUM($L108:$O108))</f>
        <v/>
      </c>
      <c r="L108" s="22"/>
      <c r="M108" s="22"/>
      <c r="N108" s="22"/>
      <c r="O108" s="22"/>
      <c r="P108" s="18" t="str">
        <f aca="false">IF($Q108="","",IFERROR(INDEX(DriverCategory,MATCH($Q108,DriverList,0)),"?"))</f>
        <v/>
      </c>
      <c r="Q108" s="21"/>
      <c r="R108" s="21"/>
      <c r="S108" s="23" t="str">
        <f aca="false">IF(COUNTA($B108:$H108)+COUNTA($L108:$O108)=0,"",MID(IF($B108="",", division","")&amp;IF($D108="",", unit","")&amp;IF($F108="",", job title","")&amp;IF($G108="",", career level","")&amp;IF($H108="",", job family","")&amp;IF($I108="",", worker type","")&amp;IF(N($K108)&lt;=0,", the quarter split","")&amp;IF($Q108="",", driver","")&amp;IF($R108="",", alternatives","")&amp;IF(AND($D108&lt;&gt;"",COUNTIF(UnitList,$D108)=0),", a unit that is not in your structure",""),3,300))</f>
        <v/>
      </c>
      <c r="T108" s="17" t="str">
        <f aca="false">IF($S108="","",COUNTIF($S$6:$S108,"?*"))</f>
        <v/>
      </c>
    </row>
    <row r="109" customFormat="false" ht="15" hidden="false" customHeight="false" outlineLevel="0" collapsed="false">
      <c r="A109" s="17" t="n">
        <v>104</v>
      </c>
      <c r="B109" s="21"/>
      <c r="C109" s="21"/>
      <c r="D109" s="21"/>
      <c r="E109" s="21"/>
      <c r="F109" s="21"/>
      <c r="G109" s="21"/>
      <c r="H109" s="21"/>
      <c r="I109" s="21"/>
      <c r="J109" s="20" t="str">
        <f aca="false">IF($F109="","",SUMIFS(SeatApproved,SeatUnit,$D109,SeatTitle,$F109))</f>
        <v/>
      </c>
      <c r="K109" s="20" t="str">
        <f aca="false">IF($F109="","",SUM($L109:$O109))</f>
        <v/>
      </c>
      <c r="L109" s="22"/>
      <c r="M109" s="22"/>
      <c r="N109" s="22"/>
      <c r="O109" s="22"/>
      <c r="P109" s="18" t="str">
        <f aca="false">IF($Q109="","",IFERROR(INDEX(DriverCategory,MATCH($Q109,DriverList,0)),"?"))</f>
        <v/>
      </c>
      <c r="Q109" s="21"/>
      <c r="R109" s="21"/>
      <c r="S109" s="23" t="str">
        <f aca="false">IF(COUNTA($B109:$H109)+COUNTA($L109:$O109)=0,"",MID(IF($B109="",", division","")&amp;IF($D109="",", unit","")&amp;IF($F109="",", job title","")&amp;IF($G109="",", career level","")&amp;IF($H109="",", job family","")&amp;IF($I109="",", worker type","")&amp;IF(N($K109)&lt;=0,", the quarter split","")&amp;IF($Q109="",", driver","")&amp;IF($R109="",", alternatives","")&amp;IF(AND($D109&lt;&gt;"",COUNTIF(UnitList,$D109)=0),", a unit that is not in your structure",""),3,300))</f>
        <v/>
      </c>
      <c r="T109" s="17" t="str">
        <f aca="false">IF($S109="","",COUNTIF($S$6:$S109,"?*"))</f>
        <v/>
      </c>
    </row>
    <row r="110" customFormat="false" ht="15" hidden="false" customHeight="false" outlineLevel="0" collapsed="false">
      <c r="A110" s="17" t="n">
        <v>105</v>
      </c>
      <c r="B110" s="21"/>
      <c r="C110" s="21"/>
      <c r="D110" s="21"/>
      <c r="E110" s="21"/>
      <c r="F110" s="21"/>
      <c r="G110" s="21"/>
      <c r="H110" s="21"/>
      <c r="I110" s="21"/>
      <c r="J110" s="20" t="str">
        <f aca="false">IF($F110="","",SUMIFS(SeatApproved,SeatUnit,$D110,SeatTitle,$F110))</f>
        <v/>
      </c>
      <c r="K110" s="20" t="str">
        <f aca="false">IF($F110="","",SUM($L110:$O110))</f>
        <v/>
      </c>
      <c r="L110" s="22"/>
      <c r="M110" s="22"/>
      <c r="N110" s="22"/>
      <c r="O110" s="22"/>
      <c r="P110" s="18" t="str">
        <f aca="false">IF($Q110="","",IFERROR(INDEX(DriverCategory,MATCH($Q110,DriverList,0)),"?"))</f>
        <v/>
      </c>
      <c r="Q110" s="21"/>
      <c r="R110" s="21"/>
      <c r="S110" s="23" t="str">
        <f aca="false">IF(COUNTA($B110:$H110)+COUNTA($L110:$O110)=0,"",MID(IF($B110="",", division","")&amp;IF($D110="",", unit","")&amp;IF($F110="",", job title","")&amp;IF($G110="",", career level","")&amp;IF($H110="",", job family","")&amp;IF($I110="",", worker type","")&amp;IF(N($K110)&lt;=0,", the quarter split","")&amp;IF($Q110="",", driver","")&amp;IF($R110="",", alternatives","")&amp;IF(AND($D110&lt;&gt;"",COUNTIF(UnitList,$D110)=0),", a unit that is not in your structure",""),3,300))</f>
        <v/>
      </c>
      <c r="T110" s="17" t="str">
        <f aca="false">IF($S110="","",COUNTIF($S$6:$S110,"?*"))</f>
        <v/>
      </c>
    </row>
    <row r="111" customFormat="false" ht="15" hidden="false" customHeight="false" outlineLevel="0" collapsed="false">
      <c r="A111" s="17" t="n">
        <v>106</v>
      </c>
      <c r="B111" s="21"/>
      <c r="C111" s="21"/>
      <c r="D111" s="21"/>
      <c r="E111" s="21"/>
      <c r="F111" s="21"/>
      <c r="G111" s="21"/>
      <c r="H111" s="21"/>
      <c r="I111" s="21"/>
      <c r="J111" s="20" t="str">
        <f aca="false">IF($F111="","",SUMIFS(SeatApproved,SeatUnit,$D111,SeatTitle,$F111))</f>
        <v/>
      </c>
      <c r="K111" s="20" t="str">
        <f aca="false">IF($F111="","",SUM($L111:$O111))</f>
        <v/>
      </c>
      <c r="L111" s="22"/>
      <c r="M111" s="22"/>
      <c r="N111" s="22"/>
      <c r="O111" s="22"/>
      <c r="P111" s="18" t="str">
        <f aca="false">IF($Q111="","",IFERROR(INDEX(DriverCategory,MATCH($Q111,DriverList,0)),"?"))</f>
        <v/>
      </c>
      <c r="Q111" s="21"/>
      <c r="R111" s="21"/>
      <c r="S111" s="23" t="str">
        <f aca="false">IF(COUNTA($B111:$H111)+COUNTA($L111:$O111)=0,"",MID(IF($B111="",", division","")&amp;IF($D111="",", unit","")&amp;IF($F111="",", job title","")&amp;IF($G111="",", career level","")&amp;IF($H111="",", job family","")&amp;IF($I111="",", worker type","")&amp;IF(N($K111)&lt;=0,", the quarter split","")&amp;IF($Q111="",", driver","")&amp;IF($R111="",", alternatives","")&amp;IF(AND($D111&lt;&gt;"",COUNTIF(UnitList,$D111)=0),", a unit that is not in your structure",""),3,300))</f>
        <v/>
      </c>
      <c r="T111" s="17" t="str">
        <f aca="false">IF($S111="","",COUNTIF($S$6:$S111,"?*"))</f>
        <v/>
      </c>
    </row>
    <row r="112" customFormat="false" ht="15" hidden="false" customHeight="false" outlineLevel="0" collapsed="false">
      <c r="A112" s="17" t="n">
        <v>107</v>
      </c>
      <c r="B112" s="21"/>
      <c r="C112" s="21"/>
      <c r="D112" s="21"/>
      <c r="E112" s="21"/>
      <c r="F112" s="21"/>
      <c r="G112" s="21"/>
      <c r="H112" s="21"/>
      <c r="I112" s="21"/>
      <c r="J112" s="20" t="str">
        <f aca="false">IF($F112="","",SUMIFS(SeatApproved,SeatUnit,$D112,SeatTitle,$F112))</f>
        <v/>
      </c>
      <c r="K112" s="20" t="str">
        <f aca="false">IF($F112="","",SUM($L112:$O112))</f>
        <v/>
      </c>
      <c r="L112" s="22"/>
      <c r="M112" s="22"/>
      <c r="N112" s="22"/>
      <c r="O112" s="22"/>
      <c r="P112" s="18" t="str">
        <f aca="false">IF($Q112="","",IFERROR(INDEX(DriverCategory,MATCH($Q112,DriverList,0)),"?"))</f>
        <v/>
      </c>
      <c r="Q112" s="21"/>
      <c r="R112" s="21"/>
      <c r="S112" s="23" t="str">
        <f aca="false">IF(COUNTA($B112:$H112)+COUNTA($L112:$O112)=0,"",MID(IF($B112="",", division","")&amp;IF($D112="",", unit","")&amp;IF($F112="",", job title","")&amp;IF($G112="",", career level","")&amp;IF($H112="",", job family","")&amp;IF($I112="",", worker type","")&amp;IF(N($K112)&lt;=0,", the quarter split","")&amp;IF($Q112="",", driver","")&amp;IF($R112="",", alternatives","")&amp;IF(AND($D112&lt;&gt;"",COUNTIF(UnitList,$D112)=0),", a unit that is not in your structure",""),3,300))</f>
        <v/>
      </c>
      <c r="T112" s="17" t="str">
        <f aca="false">IF($S112="","",COUNTIF($S$6:$S112,"?*"))</f>
        <v/>
      </c>
    </row>
    <row r="113" customFormat="false" ht="15" hidden="false" customHeight="false" outlineLevel="0" collapsed="false">
      <c r="A113" s="17" t="n">
        <v>108</v>
      </c>
      <c r="B113" s="21"/>
      <c r="C113" s="21"/>
      <c r="D113" s="21"/>
      <c r="E113" s="21"/>
      <c r="F113" s="21"/>
      <c r="G113" s="21"/>
      <c r="H113" s="21"/>
      <c r="I113" s="21"/>
      <c r="J113" s="20" t="str">
        <f aca="false">IF($F113="","",SUMIFS(SeatApproved,SeatUnit,$D113,SeatTitle,$F113))</f>
        <v/>
      </c>
      <c r="K113" s="20" t="str">
        <f aca="false">IF($F113="","",SUM($L113:$O113))</f>
        <v/>
      </c>
      <c r="L113" s="22"/>
      <c r="M113" s="22"/>
      <c r="N113" s="22"/>
      <c r="O113" s="22"/>
      <c r="P113" s="18" t="str">
        <f aca="false">IF($Q113="","",IFERROR(INDEX(DriverCategory,MATCH($Q113,DriverList,0)),"?"))</f>
        <v/>
      </c>
      <c r="Q113" s="21"/>
      <c r="R113" s="21"/>
      <c r="S113" s="23" t="str">
        <f aca="false">IF(COUNTA($B113:$H113)+COUNTA($L113:$O113)=0,"",MID(IF($B113="",", division","")&amp;IF($D113="",", unit","")&amp;IF($F113="",", job title","")&amp;IF($G113="",", career level","")&amp;IF($H113="",", job family","")&amp;IF($I113="",", worker type","")&amp;IF(N($K113)&lt;=0,", the quarter split","")&amp;IF($Q113="",", driver","")&amp;IF($R113="",", alternatives","")&amp;IF(AND($D113&lt;&gt;"",COUNTIF(UnitList,$D113)=0),", a unit that is not in your structure",""),3,300))</f>
        <v/>
      </c>
      <c r="T113" s="17" t="str">
        <f aca="false">IF($S113="","",COUNTIF($S$6:$S113,"?*"))</f>
        <v/>
      </c>
    </row>
    <row r="114" customFormat="false" ht="15" hidden="false" customHeight="false" outlineLevel="0" collapsed="false">
      <c r="A114" s="17" t="n">
        <v>109</v>
      </c>
      <c r="B114" s="21"/>
      <c r="C114" s="21"/>
      <c r="D114" s="21"/>
      <c r="E114" s="21"/>
      <c r="F114" s="21"/>
      <c r="G114" s="21"/>
      <c r="H114" s="21"/>
      <c r="I114" s="21"/>
      <c r="J114" s="20" t="str">
        <f aca="false">IF($F114="","",SUMIFS(SeatApproved,SeatUnit,$D114,SeatTitle,$F114))</f>
        <v/>
      </c>
      <c r="K114" s="20" t="str">
        <f aca="false">IF($F114="","",SUM($L114:$O114))</f>
        <v/>
      </c>
      <c r="L114" s="22"/>
      <c r="M114" s="22"/>
      <c r="N114" s="22"/>
      <c r="O114" s="22"/>
      <c r="P114" s="18" t="str">
        <f aca="false">IF($Q114="","",IFERROR(INDEX(DriverCategory,MATCH($Q114,DriverList,0)),"?"))</f>
        <v/>
      </c>
      <c r="Q114" s="21"/>
      <c r="R114" s="21"/>
      <c r="S114" s="23" t="str">
        <f aca="false">IF(COUNTA($B114:$H114)+COUNTA($L114:$O114)=0,"",MID(IF($B114="",", division","")&amp;IF($D114="",", unit","")&amp;IF($F114="",", job title","")&amp;IF($G114="",", career level","")&amp;IF($H114="",", job family","")&amp;IF($I114="",", worker type","")&amp;IF(N($K114)&lt;=0,", the quarter split","")&amp;IF($Q114="",", driver","")&amp;IF($R114="",", alternatives","")&amp;IF(AND($D114&lt;&gt;"",COUNTIF(UnitList,$D114)=0),", a unit that is not in your structure",""),3,300))</f>
        <v/>
      </c>
      <c r="T114" s="17" t="str">
        <f aca="false">IF($S114="","",COUNTIF($S$6:$S114,"?*"))</f>
        <v/>
      </c>
    </row>
    <row r="115" customFormat="false" ht="15" hidden="false" customHeight="false" outlineLevel="0" collapsed="false">
      <c r="A115" s="17" t="n">
        <v>110</v>
      </c>
      <c r="B115" s="21"/>
      <c r="C115" s="21"/>
      <c r="D115" s="21"/>
      <c r="E115" s="21"/>
      <c r="F115" s="21"/>
      <c r="G115" s="21"/>
      <c r="H115" s="21"/>
      <c r="I115" s="21"/>
      <c r="J115" s="20" t="str">
        <f aca="false">IF($F115="","",SUMIFS(SeatApproved,SeatUnit,$D115,SeatTitle,$F115))</f>
        <v/>
      </c>
      <c r="K115" s="20" t="str">
        <f aca="false">IF($F115="","",SUM($L115:$O115))</f>
        <v/>
      </c>
      <c r="L115" s="22"/>
      <c r="M115" s="22"/>
      <c r="N115" s="22"/>
      <c r="O115" s="22"/>
      <c r="P115" s="18" t="str">
        <f aca="false">IF($Q115="","",IFERROR(INDEX(DriverCategory,MATCH($Q115,DriverList,0)),"?"))</f>
        <v/>
      </c>
      <c r="Q115" s="21"/>
      <c r="R115" s="21"/>
      <c r="S115" s="23" t="str">
        <f aca="false">IF(COUNTA($B115:$H115)+COUNTA($L115:$O115)=0,"",MID(IF($B115="",", division","")&amp;IF($D115="",", unit","")&amp;IF($F115="",", job title","")&amp;IF($G115="",", career level","")&amp;IF($H115="",", job family","")&amp;IF($I115="",", worker type","")&amp;IF(N($K115)&lt;=0,", the quarter split","")&amp;IF($Q115="",", driver","")&amp;IF($R115="",", alternatives","")&amp;IF(AND($D115&lt;&gt;"",COUNTIF(UnitList,$D115)=0),", a unit that is not in your structure",""),3,300))</f>
        <v/>
      </c>
      <c r="T115" s="17" t="str">
        <f aca="false">IF($S115="","",COUNTIF($S$6:$S115,"?*"))</f>
        <v/>
      </c>
    </row>
    <row r="116" customFormat="false" ht="15" hidden="false" customHeight="false" outlineLevel="0" collapsed="false">
      <c r="A116" s="17" t="n">
        <v>111</v>
      </c>
      <c r="B116" s="21"/>
      <c r="C116" s="21"/>
      <c r="D116" s="21"/>
      <c r="E116" s="21"/>
      <c r="F116" s="21"/>
      <c r="G116" s="21"/>
      <c r="H116" s="21"/>
      <c r="I116" s="21"/>
      <c r="J116" s="20" t="str">
        <f aca="false">IF($F116="","",SUMIFS(SeatApproved,SeatUnit,$D116,SeatTitle,$F116))</f>
        <v/>
      </c>
      <c r="K116" s="20" t="str">
        <f aca="false">IF($F116="","",SUM($L116:$O116))</f>
        <v/>
      </c>
      <c r="L116" s="22"/>
      <c r="M116" s="22"/>
      <c r="N116" s="22"/>
      <c r="O116" s="22"/>
      <c r="P116" s="18" t="str">
        <f aca="false">IF($Q116="","",IFERROR(INDEX(DriverCategory,MATCH($Q116,DriverList,0)),"?"))</f>
        <v/>
      </c>
      <c r="Q116" s="21"/>
      <c r="R116" s="21"/>
      <c r="S116" s="23" t="str">
        <f aca="false">IF(COUNTA($B116:$H116)+COUNTA($L116:$O116)=0,"",MID(IF($B116="",", division","")&amp;IF($D116="",", unit","")&amp;IF($F116="",", job title","")&amp;IF($G116="",", career level","")&amp;IF($H116="",", job family","")&amp;IF($I116="",", worker type","")&amp;IF(N($K116)&lt;=0,", the quarter split","")&amp;IF($Q116="",", driver","")&amp;IF($R116="",", alternatives","")&amp;IF(AND($D116&lt;&gt;"",COUNTIF(UnitList,$D116)=0),", a unit that is not in your structure",""),3,300))</f>
        <v/>
      </c>
      <c r="T116" s="17" t="str">
        <f aca="false">IF($S116="","",COUNTIF($S$6:$S116,"?*"))</f>
        <v/>
      </c>
    </row>
    <row r="117" customFormat="false" ht="15" hidden="false" customHeight="false" outlineLevel="0" collapsed="false">
      <c r="A117" s="17" t="n">
        <v>112</v>
      </c>
      <c r="B117" s="21"/>
      <c r="C117" s="21"/>
      <c r="D117" s="21"/>
      <c r="E117" s="21"/>
      <c r="F117" s="21"/>
      <c r="G117" s="21"/>
      <c r="H117" s="21"/>
      <c r="I117" s="21"/>
      <c r="J117" s="20" t="str">
        <f aca="false">IF($F117="","",SUMIFS(SeatApproved,SeatUnit,$D117,SeatTitle,$F117))</f>
        <v/>
      </c>
      <c r="K117" s="20" t="str">
        <f aca="false">IF($F117="","",SUM($L117:$O117))</f>
        <v/>
      </c>
      <c r="L117" s="22"/>
      <c r="M117" s="22"/>
      <c r="N117" s="22"/>
      <c r="O117" s="22"/>
      <c r="P117" s="18" t="str">
        <f aca="false">IF($Q117="","",IFERROR(INDEX(DriverCategory,MATCH($Q117,DriverList,0)),"?"))</f>
        <v/>
      </c>
      <c r="Q117" s="21"/>
      <c r="R117" s="21"/>
      <c r="S117" s="23" t="str">
        <f aca="false">IF(COUNTA($B117:$H117)+COUNTA($L117:$O117)=0,"",MID(IF($B117="",", division","")&amp;IF($D117="",", unit","")&amp;IF($F117="",", job title","")&amp;IF($G117="",", career level","")&amp;IF($H117="",", job family","")&amp;IF($I117="",", worker type","")&amp;IF(N($K117)&lt;=0,", the quarter split","")&amp;IF($Q117="",", driver","")&amp;IF($R117="",", alternatives","")&amp;IF(AND($D117&lt;&gt;"",COUNTIF(UnitList,$D117)=0),", a unit that is not in your structure",""),3,300))</f>
        <v/>
      </c>
      <c r="T117" s="17" t="str">
        <f aca="false">IF($S117="","",COUNTIF($S$6:$S117,"?*"))</f>
        <v/>
      </c>
    </row>
    <row r="118" customFormat="false" ht="15" hidden="false" customHeight="false" outlineLevel="0" collapsed="false">
      <c r="A118" s="17" t="n">
        <v>113</v>
      </c>
      <c r="B118" s="21"/>
      <c r="C118" s="21"/>
      <c r="D118" s="21"/>
      <c r="E118" s="21"/>
      <c r="F118" s="21"/>
      <c r="G118" s="21"/>
      <c r="H118" s="21"/>
      <c r="I118" s="21"/>
      <c r="J118" s="20" t="str">
        <f aca="false">IF($F118="","",SUMIFS(SeatApproved,SeatUnit,$D118,SeatTitle,$F118))</f>
        <v/>
      </c>
      <c r="K118" s="20" t="str">
        <f aca="false">IF($F118="","",SUM($L118:$O118))</f>
        <v/>
      </c>
      <c r="L118" s="22"/>
      <c r="M118" s="22"/>
      <c r="N118" s="22"/>
      <c r="O118" s="22"/>
      <c r="P118" s="18" t="str">
        <f aca="false">IF($Q118="","",IFERROR(INDEX(DriverCategory,MATCH($Q118,DriverList,0)),"?"))</f>
        <v/>
      </c>
      <c r="Q118" s="21"/>
      <c r="R118" s="21"/>
      <c r="S118" s="23" t="str">
        <f aca="false">IF(COUNTA($B118:$H118)+COUNTA($L118:$O118)=0,"",MID(IF($B118="",", division","")&amp;IF($D118="",", unit","")&amp;IF($F118="",", job title","")&amp;IF($G118="",", career level","")&amp;IF($H118="",", job family","")&amp;IF($I118="",", worker type","")&amp;IF(N($K118)&lt;=0,", the quarter split","")&amp;IF($Q118="",", driver","")&amp;IF($R118="",", alternatives","")&amp;IF(AND($D118&lt;&gt;"",COUNTIF(UnitList,$D118)=0),", a unit that is not in your structure",""),3,300))</f>
        <v/>
      </c>
      <c r="T118" s="17" t="str">
        <f aca="false">IF($S118="","",COUNTIF($S$6:$S118,"?*"))</f>
        <v/>
      </c>
    </row>
    <row r="119" customFormat="false" ht="15" hidden="false" customHeight="false" outlineLevel="0" collapsed="false">
      <c r="A119" s="17" t="n">
        <v>114</v>
      </c>
      <c r="B119" s="21"/>
      <c r="C119" s="21"/>
      <c r="D119" s="21"/>
      <c r="E119" s="21"/>
      <c r="F119" s="21"/>
      <c r="G119" s="21"/>
      <c r="H119" s="21"/>
      <c r="I119" s="21"/>
      <c r="J119" s="20" t="str">
        <f aca="false">IF($F119="","",SUMIFS(SeatApproved,SeatUnit,$D119,SeatTitle,$F119))</f>
        <v/>
      </c>
      <c r="K119" s="20" t="str">
        <f aca="false">IF($F119="","",SUM($L119:$O119))</f>
        <v/>
      </c>
      <c r="L119" s="22"/>
      <c r="M119" s="22"/>
      <c r="N119" s="22"/>
      <c r="O119" s="22"/>
      <c r="P119" s="18" t="str">
        <f aca="false">IF($Q119="","",IFERROR(INDEX(DriverCategory,MATCH($Q119,DriverList,0)),"?"))</f>
        <v/>
      </c>
      <c r="Q119" s="21"/>
      <c r="R119" s="21"/>
      <c r="S119" s="23" t="str">
        <f aca="false">IF(COUNTA($B119:$H119)+COUNTA($L119:$O119)=0,"",MID(IF($B119="",", division","")&amp;IF($D119="",", unit","")&amp;IF($F119="",", job title","")&amp;IF($G119="",", career level","")&amp;IF($H119="",", job family","")&amp;IF($I119="",", worker type","")&amp;IF(N($K119)&lt;=0,", the quarter split","")&amp;IF($Q119="",", driver","")&amp;IF($R119="",", alternatives","")&amp;IF(AND($D119&lt;&gt;"",COUNTIF(UnitList,$D119)=0),", a unit that is not in your structure",""),3,300))</f>
        <v/>
      </c>
      <c r="T119" s="17" t="str">
        <f aca="false">IF($S119="","",COUNTIF($S$6:$S119,"?*"))</f>
        <v/>
      </c>
    </row>
    <row r="120" customFormat="false" ht="15" hidden="false" customHeight="false" outlineLevel="0" collapsed="false">
      <c r="A120" s="17" t="n">
        <v>115</v>
      </c>
      <c r="B120" s="21"/>
      <c r="C120" s="21"/>
      <c r="D120" s="21"/>
      <c r="E120" s="21"/>
      <c r="F120" s="21"/>
      <c r="G120" s="21"/>
      <c r="H120" s="21"/>
      <c r="I120" s="21"/>
      <c r="J120" s="20" t="str">
        <f aca="false">IF($F120="","",SUMIFS(SeatApproved,SeatUnit,$D120,SeatTitle,$F120))</f>
        <v/>
      </c>
      <c r="K120" s="20" t="str">
        <f aca="false">IF($F120="","",SUM($L120:$O120))</f>
        <v/>
      </c>
      <c r="L120" s="22"/>
      <c r="M120" s="22"/>
      <c r="N120" s="22"/>
      <c r="O120" s="22"/>
      <c r="P120" s="18" t="str">
        <f aca="false">IF($Q120="","",IFERROR(INDEX(DriverCategory,MATCH($Q120,DriverList,0)),"?"))</f>
        <v/>
      </c>
      <c r="Q120" s="21"/>
      <c r="R120" s="21"/>
      <c r="S120" s="23" t="str">
        <f aca="false">IF(COUNTA($B120:$H120)+COUNTA($L120:$O120)=0,"",MID(IF($B120="",", division","")&amp;IF($D120="",", unit","")&amp;IF($F120="",", job title","")&amp;IF($G120="",", career level","")&amp;IF($H120="",", job family","")&amp;IF($I120="",", worker type","")&amp;IF(N($K120)&lt;=0,", the quarter split","")&amp;IF($Q120="",", driver","")&amp;IF($R120="",", alternatives","")&amp;IF(AND($D120&lt;&gt;"",COUNTIF(UnitList,$D120)=0),", a unit that is not in your structure",""),3,300))</f>
        <v/>
      </c>
      <c r="T120" s="17" t="str">
        <f aca="false">IF($S120="","",COUNTIF($S$6:$S120,"?*"))</f>
        <v/>
      </c>
    </row>
    <row r="121" customFormat="false" ht="15" hidden="false" customHeight="false" outlineLevel="0" collapsed="false">
      <c r="A121" s="17" t="n">
        <v>116</v>
      </c>
      <c r="B121" s="21"/>
      <c r="C121" s="21"/>
      <c r="D121" s="21"/>
      <c r="E121" s="21"/>
      <c r="F121" s="21"/>
      <c r="G121" s="21"/>
      <c r="H121" s="21"/>
      <c r="I121" s="21"/>
      <c r="J121" s="20" t="str">
        <f aca="false">IF($F121="","",SUMIFS(SeatApproved,SeatUnit,$D121,SeatTitle,$F121))</f>
        <v/>
      </c>
      <c r="K121" s="20" t="str">
        <f aca="false">IF($F121="","",SUM($L121:$O121))</f>
        <v/>
      </c>
      <c r="L121" s="22"/>
      <c r="M121" s="22"/>
      <c r="N121" s="22"/>
      <c r="O121" s="22"/>
      <c r="P121" s="18" t="str">
        <f aca="false">IF($Q121="","",IFERROR(INDEX(DriverCategory,MATCH($Q121,DriverList,0)),"?"))</f>
        <v/>
      </c>
      <c r="Q121" s="21"/>
      <c r="R121" s="21"/>
      <c r="S121" s="23" t="str">
        <f aca="false">IF(COUNTA($B121:$H121)+COUNTA($L121:$O121)=0,"",MID(IF($B121="",", division","")&amp;IF($D121="",", unit","")&amp;IF($F121="",", job title","")&amp;IF($G121="",", career level","")&amp;IF($H121="",", job family","")&amp;IF($I121="",", worker type","")&amp;IF(N($K121)&lt;=0,", the quarter split","")&amp;IF($Q121="",", driver","")&amp;IF($R121="",", alternatives","")&amp;IF(AND($D121&lt;&gt;"",COUNTIF(UnitList,$D121)=0),", a unit that is not in your structure",""),3,300))</f>
        <v/>
      </c>
      <c r="T121" s="17" t="str">
        <f aca="false">IF($S121="","",COUNTIF($S$6:$S121,"?*"))</f>
        <v/>
      </c>
    </row>
    <row r="122" customFormat="false" ht="15" hidden="false" customHeight="false" outlineLevel="0" collapsed="false">
      <c r="A122" s="17" t="n">
        <v>117</v>
      </c>
      <c r="B122" s="21"/>
      <c r="C122" s="21"/>
      <c r="D122" s="21"/>
      <c r="E122" s="21"/>
      <c r="F122" s="21"/>
      <c r="G122" s="21"/>
      <c r="H122" s="21"/>
      <c r="I122" s="21"/>
      <c r="J122" s="20" t="str">
        <f aca="false">IF($F122="","",SUMIFS(SeatApproved,SeatUnit,$D122,SeatTitle,$F122))</f>
        <v/>
      </c>
      <c r="K122" s="20" t="str">
        <f aca="false">IF($F122="","",SUM($L122:$O122))</f>
        <v/>
      </c>
      <c r="L122" s="22"/>
      <c r="M122" s="22"/>
      <c r="N122" s="22"/>
      <c r="O122" s="22"/>
      <c r="P122" s="18" t="str">
        <f aca="false">IF($Q122="","",IFERROR(INDEX(DriverCategory,MATCH($Q122,DriverList,0)),"?"))</f>
        <v/>
      </c>
      <c r="Q122" s="21"/>
      <c r="R122" s="21"/>
      <c r="S122" s="23" t="str">
        <f aca="false">IF(COUNTA($B122:$H122)+COUNTA($L122:$O122)=0,"",MID(IF($B122="",", division","")&amp;IF($D122="",", unit","")&amp;IF($F122="",", job title","")&amp;IF($G122="",", career level","")&amp;IF($H122="",", job family","")&amp;IF($I122="",", worker type","")&amp;IF(N($K122)&lt;=0,", the quarter split","")&amp;IF($Q122="",", driver","")&amp;IF($R122="",", alternatives","")&amp;IF(AND($D122&lt;&gt;"",COUNTIF(UnitList,$D122)=0),", a unit that is not in your structure",""),3,300))</f>
        <v/>
      </c>
      <c r="T122" s="17" t="str">
        <f aca="false">IF($S122="","",COUNTIF($S$6:$S122,"?*"))</f>
        <v/>
      </c>
    </row>
    <row r="123" customFormat="false" ht="15" hidden="false" customHeight="false" outlineLevel="0" collapsed="false">
      <c r="A123" s="17" t="n">
        <v>118</v>
      </c>
      <c r="B123" s="21"/>
      <c r="C123" s="21"/>
      <c r="D123" s="21"/>
      <c r="E123" s="21"/>
      <c r="F123" s="21"/>
      <c r="G123" s="21"/>
      <c r="H123" s="21"/>
      <c r="I123" s="21"/>
      <c r="J123" s="20" t="str">
        <f aca="false">IF($F123="","",SUMIFS(SeatApproved,SeatUnit,$D123,SeatTitle,$F123))</f>
        <v/>
      </c>
      <c r="K123" s="20" t="str">
        <f aca="false">IF($F123="","",SUM($L123:$O123))</f>
        <v/>
      </c>
      <c r="L123" s="22"/>
      <c r="M123" s="22"/>
      <c r="N123" s="22"/>
      <c r="O123" s="22"/>
      <c r="P123" s="18" t="str">
        <f aca="false">IF($Q123="","",IFERROR(INDEX(DriverCategory,MATCH($Q123,DriverList,0)),"?"))</f>
        <v/>
      </c>
      <c r="Q123" s="21"/>
      <c r="R123" s="21"/>
      <c r="S123" s="23" t="str">
        <f aca="false">IF(COUNTA($B123:$H123)+COUNTA($L123:$O123)=0,"",MID(IF($B123="",", division","")&amp;IF($D123="",", unit","")&amp;IF($F123="",", job title","")&amp;IF($G123="",", career level","")&amp;IF($H123="",", job family","")&amp;IF($I123="",", worker type","")&amp;IF(N($K123)&lt;=0,", the quarter split","")&amp;IF($Q123="",", driver","")&amp;IF($R123="",", alternatives","")&amp;IF(AND($D123&lt;&gt;"",COUNTIF(UnitList,$D123)=0),", a unit that is not in your structure",""),3,300))</f>
        <v/>
      </c>
      <c r="T123" s="17" t="str">
        <f aca="false">IF($S123="","",COUNTIF($S$6:$S123,"?*"))</f>
        <v/>
      </c>
    </row>
    <row r="124" customFormat="false" ht="15" hidden="false" customHeight="false" outlineLevel="0" collapsed="false">
      <c r="A124" s="17" t="n">
        <v>119</v>
      </c>
      <c r="B124" s="21"/>
      <c r="C124" s="21"/>
      <c r="D124" s="21"/>
      <c r="E124" s="21"/>
      <c r="F124" s="21"/>
      <c r="G124" s="21"/>
      <c r="H124" s="21"/>
      <c r="I124" s="21"/>
      <c r="J124" s="20" t="str">
        <f aca="false">IF($F124="","",SUMIFS(SeatApproved,SeatUnit,$D124,SeatTitle,$F124))</f>
        <v/>
      </c>
      <c r="K124" s="20" t="str">
        <f aca="false">IF($F124="","",SUM($L124:$O124))</f>
        <v/>
      </c>
      <c r="L124" s="22"/>
      <c r="M124" s="22"/>
      <c r="N124" s="22"/>
      <c r="O124" s="22"/>
      <c r="P124" s="18" t="str">
        <f aca="false">IF($Q124="","",IFERROR(INDEX(DriverCategory,MATCH($Q124,DriverList,0)),"?"))</f>
        <v/>
      </c>
      <c r="Q124" s="21"/>
      <c r="R124" s="21"/>
      <c r="S124" s="23" t="str">
        <f aca="false">IF(COUNTA($B124:$H124)+COUNTA($L124:$O124)=0,"",MID(IF($B124="",", division","")&amp;IF($D124="",", unit","")&amp;IF($F124="",", job title","")&amp;IF($G124="",", career level","")&amp;IF($H124="",", job family","")&amp;IF($I124="",", worker type","")&amp;IF(N($K124)&lt;=0,", the quarter split","")&amp;IF($Q124="",", driver","")&amp;IF($R124="",", alternatives","")&amp;IF(AND($D124&lt;&gt;"",COUNTIF(UnitList,$D124)=0),", a unit that is not in your structure",""),3,300))</f>
        <v/>
      </c>
      <c r="T124" s="17" t="str">
        <f aca="false">IF($S124="","",COUNTIF($S$6:$S124,"?*"))</f>
        <v/>
      </c>
    </row>
    <row r="125" customFormat="false" ht="15" hidden="false" customHeight="false" outlineLevel="0" collapsed="false">
      <c r="A125" s="17" t="n">
        <v>120</v>
      </c>
      <c r="B125" s="21"/>
      <c r="C125" s="21"/>
      <c r="D125" s="21"/>
      <c r="E125" s="21"/>
      <c r="F125" s="21"/>
      <c r="G125" s="21"/>
      <c r="H125" s="21"/>
      <c r="I125" s="21"/>
      <c r="J125" s="20" t="str">
        <f aca="false">IF($F125="","",SUMIFS(SeatApproved,SeatUnit,$D125,SeatTitle,$F125))</f>
        <v/>
      </c>
      <c r="K125" s="20" t="str">
        <f aca="false">IF($F125="","",SUM($L125:$O125))</f>
        <v/>
      </c>
      <c r="L125" s="22"/>
      <c r="M125" s="22"/>
      <c r="N125" s="22"/>
      <c r="O125" s="22"/>
      <c r="P125" s="18" t="str">
        <f aca="false">IF($Q125="","",IFERROR(INDEX(DriverCategory,MATCH($Q125,DriverList,0)),"?"))</f>
        <v/>
      </c>
      <c r="Q125" s="21"/>
      <c r="R125" s="21"/>
      <c r="S125" s="23" t="str">
        <f aca="false">IF(COUNTA($B125:$H125)+COUNTA($L125:$O125)=0,"",MID(IF($B125="",", division","")&amp;IF($D125="",", unit","")&amp;IF($F125="",", job title","")&amp;IF($G125="",", career level","")&amp;IF($H125="",", job family","")&amp;IF($I125="",", worker type","")&amp;IF(N($K125)&lt;=0,", the quarter split","")&amp;IF($Q125="",", driver","")&amp;IF($R125="",", alternatives","")&amp;IF(AND($D125&lt;&gt;"",COUNTIF(UnitList,$D125)=0),", a unit that is not in your structure",""),3,300))</f>
        <v/>
      </c>
      <c r="T125" s="17" t="str">
        <f aca="false">IF($S125="","",COUNTIF($S$6:$S125,"?*"))</f>
        <v/>
      </c>
    </row>
    <row r="126" customFormat="false" ht="15" hidden="false" customHeight="false" outlineLevel="0" collapsed="false">
      <c r="A126" s="17" t="n">
        <v>121</v>
      </c>
      <c r="B126" s="21"/>
      <c r="C126" s="21"/>
      <c r="D126" s="21"/>
      <c r="E126" s="21"/>
      <c r="F126" s="21"/>
      <c r="G126" s="21"/>
      <c r="H126" s="21"/>
      <c r="I126" s="21"/>
      <c r="J126" s="20" t="str">
        <f aca="false">IF($F126="","",SUMIFS(SeatApproved,SeatUnit,$D126,SeatTitle,$F126))</f>
        <v/>
      </c>
      <c r="K126" s="20" t="str">
        <f aca="false">IF($F126="","",SUM($L126:$O126))</f>
        <v/>
      </c>
      <c r="L126" s="22"/>
      <c r="M126" s="22"/>
      <c r="N126" s="22"/>
      <c r="O126" s="22"/>
      <c r="P126" s="18" t="str">
        <f aca="false">IF($Q126="","",IFERROR(INDEX(DriverCategory,MATCH($Q126,DriverList,0)),"?"))</f>
        <v/>
      </c>
      <c r="Q126" s="21"/>
      <c r="R126" s="21"/>
      <c r="S126" s="23" t="str">
        <f aca="false">IF(COUNTA($B126:$H126)+COUNTA($L126:$O126)=0,"",MID(IF($B126="",", division","")&amp;IF($D126="",", unit","")&amp;IF($F126="",", job title","")&amp;IF($G126="",", career level","")&amp;IF($H126="",", job family","")&amp;IF($I126="",", worker type","")&amp;IF(N($K126)&lt;=0,", the quarter split","")&amp;IF($Q126="",", driver","")&amp;IF($R126="",", alternatives","")&amp;IF(AND($D126&lt;&gt;"",COUNTIF(UnitList,$D126)=0),", a unit that is not in your structure",""),3,300))</f>
        <v/>
      </c>
      <c r="T126" s="17" t="str">
        <f aca="false">IF($S126="","",COUNTIF($S$6:$S126,"?*"))</f>
        <v/>
      </c>
    </row>
    <row r="127" customFormat="false" ht="15" hidden="false" customHeight="false" outlineLevel="0" collapsed="false">
      <c r="A127" s="17" t="n">
        <v>122</v>
      </c>
      <c r="B127" s="21"/>
      <c r="C127" s="21"/>
      <c r="D127" s="21"/>
      <c r="E127" s="21"/>
      <c r="F127" s="21"/>
      <c r="G127" s="21"/>
      <c r="H127" s="21"/>
      <c r="I127" s="21"/>
      <c r="J127" s="20" t="str">
        <f aca="false">IF($F127="","",SUMIFS(SeatApproved,SeatUnit,$D127,SeatTitle,$F127))</f>
        <v/>
      </c>
      <c r="K127" s="20" t="str">
        <f aca="false">IF($F127="","",SUM($L127:$O127))</f>
        <v/>
      </c>
      <c r="L127" s="22"/>
      <c r="M127" s="22"/>
      <c r="N127" s="22"/>
      <c r="O127" s="22"/>
      <c r="P127" s="18" t="str">
        <f aca="false">IF($Q127="","",IFERROR(INDEX(DriverCategory,MATCH($Q127,DriverList,0)),"?"))</f>
        <v/>
      </c>
      <c r="Q127" s="21"/>
      <c r="R127" s="21"/>
      <c r="S127" s="23" t="str">
        <f aca="false">IF(COUNTA($B127:$H127)+COUNTA($L127:$O127)=0,"",MID(IF($B127="",", division","")&amp;IF($D127="",", unit","")&amp;IF($F127="",", job title","")&amp;IF($G127="",", career level","")&amp;IF($H127="",", job family","")&amp;IF($I127="",", worker type","")&amp;IF(N($K127)&lt;=0,", the quarter split","")&amp;IF($Q127="",", driver","")&amp;IF($R127="",", alternatives","")&amp;IF(AND($D127&lt;&gt;"",COUNTIF(UnitList,$D127)=0),", a unit that is not in your structure",""),3,300))</f>
        <v/>
      </c>
      <c r="T127" s="17" t="str">
        <f aca="false">IF($S127="","",COUNTIF($S$6:$S127,"?*"))</f>
        <v/>
      </c>
    </row>
    <row r="128" customFormat="false" ht="15" hidden="false" customHeight="false" outlineLevel="0" collapsed="false">
      <c r="A128" s="17" t="n">
        <v>123</v>
      </c>
      <c r="B128" s="21"/>
      <c r="C128" s="21"/>
      <c r="D128" s="21"/>
      <c r="E128" s="21"/>
      <c r="F128" s="21"/>
      <c r="G128" s="21"/>
      <c r="H128" s="21"/>
      <c r="I128" s="21"/>
      <c r="J128" s="20" t="str">
        <f aca="false">IF($F128="","",SUMIFS(SeatApproved,SeatUnit,$D128,SeatTitle,$F128))</f>
        <v/>
      </c>
      <c r="K128" s="20" t="str">
        <f aca="false">IF($F128="","",SUM($L128:$O128))</f>
        <v/>
      </c>
      <c r="L128" s="22"/>
      <c r="M128" s="22"/>
      <c r="N128" s="22"/>
      <c r="O128" s="22"/>
      <c r="P128" s="18" t="str">
        <f aca="false">IF($Q128="","",IFERROR(INDEX(DriverCategory,MATCH($Q128,DriverList,0)),"?"))</f>
        <v/>
      </c>
      <c r="Q128" s="21"/>
      <c r="R128" s="21"/>
      <c r="S128" s="23" t="str">
        <f aca="false">IF(COUNTA($B128:$H128)+COUNTA($L128:$O128)=0,"",MID(IF($B128="",", division","")&amp;IF($D128="",", unit","")&amp;IF($F128="",", job title","")&amp;IF($G128="",", career level","")&amp;IF($H128="",", job family","")&amp;IF($I128="",", worker type","")&amp;IF(N($K128)&lt;=0,", the quarter split","")&amp;IF($Q128="",", driver","")&amp;IF($R128="",", alternatives","")&amp;IF(AND($D128&lt;&gt;"",COUNTIF(UnitList,$D128)=0),", a unit that is not in your structure",""),3,300))</f>
        <v/>
      </c>
      <c r="T128" s="17" t="str">
        <f aca="false">IF($S128="","",COUNTIF($S$6:$S128,"?*"))</f>
        <v/>
      </c>
    </row>
    <row r="129" customFormat="false" ht="15" hidden="false" customHeight="false" outlineLevel="0" collapsed="false">
      <c r="A129" s="17" t="n">
        <v>124</v>
      </c>
      <c r="B129" s="21"/>
      <c r="C129" s="21"/>
      <c r="D129" s="21"/>
      <c r="E129" s="21"/>
      <c r="F129" s="21"/>
      <c r="G129" s="21"/>
      <c r="H129" s="21"/>
      <c r="I129" s="21"/>
      <c r="J129" s="20" t="str">
        <f aca="false">IF($F129="","",SUMIFS(SeatApproved,SeatUnit,$D129,SeatTitle,$F129))</f>
        <v/>
      </c>
      <c r="K129" s="20" t="str">
        <f aca="false">IF($F129="","",SUM($L129:$O129))</f>
        <v/>
      </c>
      <c r="L129" s="22"/>
      <c r="M129" s="22"/>
      <c r="N129" s="22"/>
      <c r="O129" s="22"/>
      <c r="P129" s="18" t="str">
        <f aca="false">IF($Q129="","",IFERROR(INDEX(DriverCategory,MATCH($Q129,DriverList,0)),"?"))</f>
        <v/>
      </c>
      <c r="Q129" s="21"/>
      <c r="R129" s="21"/>
      <c r="S129" s="23" t="str">
        <f aca="false">IF(COUNTA($B129:$H129)+COUNTA($L129:$O129)=0,"",MID(IF($B129="",", division","")&amp;IF($D129="",", unit","")&amp;IF($F129="",", job title","")&amp;IF($G129="",", career level","")&amp;IF($H129="",", job family","")&amp;IF($I129="",", worker type","")&amp;IF(N($K129)&lt;=0,", the quarter split","")&amp;IF($Q129="",", driver","")&amp;IF($R129="",", alternatives","")&amp;IF(AND($D129&lt;&gt;"",COUNTIF(UnitList,$D129)=0),", a unit that is not in your structure",""),3,300))</f>
        <v/>
      </c>
      <c r="T129" s="17" t="str">
        <f aca="false">IF($S129="","",COUNTIF($S$6:$S129,"?*"))</f>
        <v/>
      </c>
    </row>
    <row r="130" customFormat="false" ht="15" hidden="false" customHeight="false" outlineLevel="0" collapsed="false">
      <c r="A130" s="17" t="n">
        <v>125</v>
      </c>
      <c r="B130" s="21"/>
      <c r="C130" s="21"/>
      <c r="D130" s="21"/>
      <c r="E130" s="21"/>
      <c r="F130" s="21"/>
      <c r="G130" s="21"/>
      <c r="H130" s="21"/>
      <c r="I130" s="21"/>
      <c r="J130" s="20" t="str">
        <f aca="false">IF($F130="","",SUMIFS(SeatApproved,SeatUnit,$D130,SeatTitle,$F130))</f>
        <v/>
      </c>
      <c r="K130" s="20" t="str">
        <f aca="false">IF($F130="","",SUM($L130:$O130))</f>
        <v/>
      </c>
      <c r="L130" s="22"/>
      <c r="M130" s="22"/>
      <c r="N130" s="22"/>
      <c r="O130" s="22"/>
      <c r="P130" s="18" t="str">
        <f aca="false">IF($Q130="","",IFERROR(INDEX(DriverCategory,MATCH($Q130,DriverList,0)),"?"))</f>
        <v/>
      </c>
      <c r="Q130" s="21"/>
      <c r="R130" s="21"/>
      <c r="S130" s="23" t="str">
        <f aca="false">IF(COUNTA($B130:$H130)+COUNTA($L130:$O130)=0,"",MID(IF($B130="",", division","")&amp;IF($D130="",", unit","")&amp;IF($F130="",", job title","")&amp;IF($G130="",", career level","")&amp;IF($H130="",", job family","")&amp;IF($I130="",", worker type","")&amp;IF(N($K130)&lt;=0,", the quarter split","")&amp;IF($Q130="",", driver","")&amp;IF($R130="",", alternatives","")&amp;IF(AND($D130&lt;&gt;"",COUNTIF(UnitList,$D130)=0),", a unit that is not in your structure",""),3,300))</f>
        <v/>
      </c>
      <c r="T130" s="17" t="str">
        <f aca="false">IF($S130="","",COUNTIF($S$6:$S130,"?*"))</f>
        <v/>
      </c>
    </row>
    <row r="131" customFormat="false" ht="15" hidden="false" customHeight="false" outlineLevel="0" collapsed="false">
      <c r="A131" s="17" t="n">
        <v>126</v>
      </c>
      <c r="B131" s="21"/>
      <c r="C131" s="21"/>
      <c r="D131" s="21"/>
      <c r="E131" s="21"/>
      <c r="F131" s="21"/>
      <c r="G131" s="21"/>
      <c r="H131" s="21"/>
      <c r="I131" s="21"/>
      <c r="J131" s="20" t="str">
        <f aca="false">IF($F131="","",SUMIFS(SeatApproved,SeatUnit,$D131,SeatTitle,$F131))</f>
        <v/>
      </c>
      <c r="K131" s="20" t="str">
        <f aca="false">IF($F131="","",SUM($L131:$O131))</f>
        <v/>
      </c>
      <c r="L131" s="22"/>
      <c r="M131" s="22"/>
      <c r="N131" s="22"/>
      <c r="O131" s="22"/>
      <c r="P131" s="18" t="str">
        <f aca="false">IF($Q131="","",IFERROR(INDEX(DriverCategory,MATCH($Q131,DriverList,0)),"?"))</f>
        <v/>
      </c>
      <c r="Q131" s="21"/>
      <c r="R131" s="21"/>
      <c r="S131" s="23" t="str">
        <f aca="false">IF(COUNTA($B131:$H131)+COUNTA($L131:$O131)=0,"",MID(IF($B131="",", division","")&amp;IF($D131="",", unit","")&amp;IF($F131="",", job title","")&amp;IF($G131="",", career level","")&amp;IF($H131="",", job family","")&amp;IF($I131="",", worker type","")&amp;IF(N($K131)&lt;=0,", the quarter split","")&amp;IF($Q131="",", driver","")&amp;IF($R131="",", alternatives","")&amp;IF(AND($D131&lt;&gt;"",COUNTIF(UnitList,$D131)=0),", a unit that is not in your structure",""),3,300))</f>
        <v/>
      </c>
      <c r="T131" s="17" t="str">
        <f aca="false">IF($S131="","",COUNTIF($S$6:$S131,"?*"))</f>
        <v/>
      </c>
    </row>
    <row r="132" customFormat="false" ht="15" hidden="false" customHeight="false" outlineLevel="0" collapsed="false">
      <c r="A132" s="17" t="n">
        <v>127</v>
      </c>
      <c r="B132" s="21"/>
      <c r="C132" s="21"/>
      <c r="D132" s="21"/>
      <c r="E132" s="21"/>
      <c r="F132" s="21"/>
      <c r="G132" s="21"/>
      <c r="H132" s="21"/>
      <c r="I132" s="21"/>
      <c r="J132" s="20" t="str">
        <f aca="false">IF($F132="","",SUMIFS(SeatApproved,SeatUnit,$D132,SeatTitle,$F132))</f>
        <v/>
      </c>
      <c r="K132" s="20" t="str">
        <f aca="false">IF($F132="","",SUM($L132:$O132))</f>
        <v/>
      </c>
      <c r="L132" s="22"/>
      <c r="M132" s="22"/>
      <c r="N132" s="22"/>
      <c r="O132" s="22"/>
      <c r="P132" s="18" t="str">
        <f aca="false">IF($Q132="","",IFERROR(INDEX(DriverCategory,MATCH($Q132,DriverList,0)),"?"))</f>
        <v/>
      </c>
      <c r="Q132" s="21"/>
      <c r="R132" s="21"/>
      <c r="S132" s="23" t="str">
        <f aca="false">IF(COUNTA($B132:$H132)+COUNTA($L132:$O132)=0,"",MID(IF($B132="",", division","")&amp;IF($D132="",", unit","")&amp;IF($F132="",", job title","")&amp;IF($G132="",", career level","")&amp;IF($H132="",", job family","")&amp;IF($I132="",", worker type","")&amp;IF(N($K132)&lt;=0,", the quarter split","")&amp;IF($Q132="",", driver","")&amp;IF($R132="",", alternatives","")&amp;IF(AND($D132&lt;&gt;"",COUNTIF(UnitList,$D132)=0),", a unit that is not in your structure",""),3,300))</f>
        <v/>
      </c>
      <c r="T132" s="17" t="str">
        <f aca="false">IF($S132="","",COUNTIF($S$6:$S132,"?*"))</f>
        <v/>
      </c>
    </row>
    <row r="133" customFormat="false" ht="15" hidden="false" customHeight="false" outlineLevel="0" collapsed="false">
      <c r="A133" s="17" t="n">
        <v>128</v>
      </c>
      <c r="B133" s="21"/>
      <c r="C133" s="21"/>
      <c r="D133" s="21"/>
      <c r="E133" s="21"/>
      <c r="F133" s="21"/>
      <c r="G133" s="21"/>
      <c r="H133" s="21"/>
      <c r="I133" s="21"/>
      <c r="J133" s="20" t="str">
        <f aca="false">IF($F133="","",SUMIFS(SeatApproved,SeatUnit,$D133,SeatTitle,$F133))</f>
        <v/>
      </c>
      <c r="K133" s="20" t="str">
        <f aca="false">IF($F133="","",SUM($L133:$O133))</f>
        <v/>
      </c>
      <c r="L133" s="22"/>
      <c r="M133" s="22"/>
      <c r="N133" s="22"/>
      <c r="O133" s="22"/>
      <c r="P133" s="18" t="str">
        <f aca="false">IF($Q133="","",IFERROR(INDEX(DriverCategory,MATCH($Q133,DriverList,0)),"?"))</f>
        <v/>
      </c>
      <c r="Q133" s="21"/>
      <c r="R133" s="21"/>
      <c r="S133" s="23" t="str">
        <f aca="false">IF(COUNTA($B133:$H133)+COUNTA($L133:$O133)=0,"",MID(IF($B133="",", division","")&amp;IF($D133="",", unit","")&amp;IF($F133="",", job title","")&amp;IF($G133="",", career level","")&amp;IF($H133="",", job family","")&amp;IF($I133="",", worker type","")&amp;IF(N($K133)&lt;=0,", the quarter split","")&amp;IF($Q133="",", driver","")&amp;IF($R133="",", alternatives","")&amp;IF(AND($D133&lt;&gt;"",COUNTIF(UnitList,$D133)=0),", a unit that is not in your structure",""),3,300))</f>
        <v/>
      </c>
      <c r="T133" s="17" t="str">
        <f aca="false">IF($S133="","",COUNTIF($S$6:$S133,"?*"))</f>
        <v/>
      </c>
    </row>
    <row r="134" customFormat="false" ht="15" hidden="false" customHeight="false" outlineLevel="0" collapsed="false">
      <c r="A134" s="17" t="n">
        <v>129</v>
      </c>
      <c r="B134" s="21"/>
      <c r="C134" s="21"/>
      <c r="D134" s="21"/>
      <c r="E134" s="21"/>
      <c r="F134" s="21"/>
      <c r="G134" s="21"/>
      <c r="H134" s="21"/>
      <c r="I134" s="21"/>
      <c r="J134" s="20" t="str">
        <f aca="false">IF($F134="","",SUMIFS(SeatApproved,SeatUnit,$D134,SeatTitle,$F134))</f>
        <v/>
      </c>
      <c r="K134" s="20" t="str">
        <f aca="false">IF($F134="","",SUM($L134:$O134))</f>
        <v/>
      </c>
      <c r="L134" s="22"/>
      <c r="M134" s="22"/>
      <c r="N134" s="22"/>
      <c r="O134" s="22"/>
      <c r="P134" s="18" t="str">
        <f aca="false">IF($Q134="","",IFERROR(INDEX(DriverCategory,MATCH($Q134,DriverList,0)),"?"))</f>
        <v/>
      </c>
      <c r="Q134" s="21"/>
      <c r="R134" s="21"/>
      <c r="S134" s="23" t="str">
        <f aca="false">IF(COUNTA($B134:$H134)+COUNTA($L134:$O134)=0,"",MID(IF($B134="",", division","")&amp;IF($D134="",", unit","")&amp;IF($F134="",", job title","")&amp;IF($G134="",", career level","")&amp;IF($H134="",", job family","")&amp;IF($I134="",", worker type","")&amp;IF(N($K134)&lt;=0,", the quarter split","")&amp;IF($Q134="",", driver","")&amp;IF($R134="",", alternatives","")&amp;IF(AND($D134&lt;&gt;"",COUNTIF(UnitList,$D134)=0),", a unit that is not in your structure",""),3,300))</f>
        <v/>
      </c>
      <c r="T134" s="17" t="str">
        <f aca="false">IF($S134="","",COUNTIF($S$6:$S134,"?*"))</f>
        <v/>
      </c>
    </row>
    <row r="135" customFormat="false" ht="15" hidden="false" customHeight="false" outlineLevel="0" collapsed="false">
      <c r="A135" s="17" t="n">
        <v>130</v>
      </c>
      <c r="B135" s="21"/>
      <c r="C135" s="21"/>
      <c r="D135" s="21"/>
      <c r="E135" s="21"/>
      <c r="F135" s="21"/>
      <c r="G135" s="21"/>
      <c r="H135" s="21"/>
      <c r="I135" s="21"/>
      <c r="J135" s="20" t="str">
        <f aca="false">IF($F135="","",SUMIFS(SeatApproved,SeatUnit,$D135,SeatTitle,$F135))</f>
        <v/>
      </c>
      <c r="K135" s="20" t="str">
        <f aca="false">IF($F135="","",SUM($L135:$O135))</f>
        <v/>
      </c>
      <c r="L135" s="22"/>
      <c r="M135" s="22"/>
      <c r="N135" s="22"/>
      <c r="O135" s="22"/>
      <c r="P135" s="18" t="str">
        <f aca="false">IF($Q135="","",IFERROR(INDEX(DriverCategory,MATCH($Q135,DriverList,0)),"?"))</f>
        <v/>
      </c>
      <c r="Q135" s="21"/>
      <c r="R135" s="21"/>
      <c r="S135" s="23" t="str">
        <f aca="false">IF(COUNTA($B135:$H135)+COUNTA($L135:$O135)=0,"",MID(IF($B135="",", division","")&amp;IF($D135="",", unit","")&amp;IF($F135="",", job title","")&amp;IF($G135="",", career level","")&amp;IF($H135="",", job family","")&amp;IF($I135="",", worker type","")&amp;IF(N($K135)&lt;=0,", the quarter split","")&amp;IF($Q135="",", driver","")&amp;IF($R135="",", alternatives","")&amp;IF(AND($D135&lt;&gt;"",COUNTIF(UnitList,$D135)=0),", a unit that is not in your structure",""),3,300))</f>
        <v/>
      </c>
      <c r="T135" s="17" t="str">
        <f aca="false">IF($S135="","",COUNTIF($S$6:$S135,"?*"))</f>
        <v/>
      </c>
    </row>
    <row r="136" customFormat="false" ht="15" hidden="false" customHeight="false" outlineLevel="0" collapsed="false">
      <c r="A136" s="17" t="n">
        <v>131</v>
      </c>
      <c r="B136" s="21"/>
      <c r="C136" s="21"/>
      <c r="D136" s="21"/>
      <c r="E136" s="21"/>
      <c r="F136" s="21"/>
      <c r="G136" s="21"/>
      <c r="H136" s="21"/>
      <c r="I136" s="21"/>
      <c r="J136" s="20" t="str">
        <f aca="false">IF($F136="","",SUMIFS(SeatApproved,SeatUnit,$D136,SeatTitle,$F136))</f>
        <v/>
      </c>
      <c r="K136" s="20" t="str">
        <f aca="false">IF($F136="","",SUM($L136:$O136))</f>
        <v/>
      </c>
      <c r="L136" s="22"/>
      <c r="M136" s="22"/>
      <c r="N136" s="22"/>
      <c r="O136" s="22"/>
      <c r="P136" s="18" t="str">
        <f aca="false">IF($Q136="","",IFERROR(INDEX(DriverCategory,MATCH($Q136,DriverList,0)),"?"))</f>
        <v/>
      </c>
      <c r="Q136" s="21"/>
      <c r="R136" s="21"/>
      <c r="S136" s="23" t="str">
        <f aca="false">IF(COUNTA($B136:$H136)+COUNTA($L136:$O136)=0,"",MID(IF($B136="",", division","")&amp;IF($D136="",", unit","")&amp;IF($F136="",", job title","")&amp;IF($G136="",", career level","")&amp;IF($H136="",", job family","")&amp;IF($I136="",", worker type","")&amp;IF(N($K136)&lt;=0,", the quarter split","")&amp;IF($Q136="",", driver","")&amp;IF($R136="",", alternatives","")&amp;IF(AND($D136&lt;&gt;"",COUNTIF(UnitList,$D136)=0),", a unit that is not in your structure",""),3,300))</f>
        <v/>
      </c>
      <c r="T136" s="17" t="str">
        <f aca="false">IF($S136="","",COUNTIF($S$6:$S136,"?*"))</f>
        <v/>
      </c>
    </row>
    <row r="137" customFormat="false" ht="15" hidden="false" customHeight="false" outlineLevel="0" collapsed="false">
      <c r="A137" s="17" t="n">
        <v>132</v>
      </c>
      <c r="B137" s="21"/>
      <c r="C137" s="21"/>
      <c r="D137" s="21"/>
      <c r="E137" s="21"/>
      <c r="F137" s="21"/>
      <c r="G137" s="21"/>
      <c r="H137" s="21"/>
      <c r="I137" s="21"/>
      <c r="J137" s="20" t="str">
        <f aca="false">IF($F137="","",SUMIFS(SeatApproved,SeatUnit,$D137,SeatTitle,$F137))</f>
        <v/>
      </c>
      <c r="K137" s="20" t="str">
        <f aca="false">IF($F137="","",SUM($L137:$O137))</f>
        <v/>
      </c>
      <c r="L137" s="22"/>
      <c r="M137" s="22"/>
      <c r="N137" s="22"/>
      <c r="O137" s="22"/>
      <c r="P137" s="18" t="str">
        <f aca="false">IF($Q137="","",IFERROR(INDEX(DriverCategory,MATCH($Q137,DriverList,0)),"?"))</f>
        <v/>
      </c>
      <c r="Q137" s="21"/>
      <c r="R137" s="21"/>
      <c r="S137" s="23" t="str">
        <f aca="false">IF(COUNTA($B137:$H137)+COUNTA($L137:$O137)=0,"",MID(IF($B137="",", division","")&amp;IF($D137="",", unit","")&amp;IF($F137="",", job title","")&amp;IF($G137="",", career level","")&amp;IF($H137="",", job family","")&amp;IF($I137="",", worker type","")&amp;IF(N($K137)&lt;=0,", the quarter split","")&amp;IF($Q137="",", driver","")&amp;IF($R137="",", alternatives","")&amp;IF(AND($D137&lt;&gt;"",COUNTIF(UnitList,$D137)=0),", a unit that is not in your structure",""),3,300))</f>
        <v/>
      </c>
      <c r="T137" s="17" t="str">
        <f aca="false">IF($S137="","",COUNTIF($S$6:$S137,"?*"))</f>
        <v/>
      </c>
    </row>
    <row r="138" customFormat="false" ht="15" hidden="false" customHeight="false" outlineLevel="0" collapsed="false">
      <c r="A138" s="17" t="n">
        <v>133</v>
      </c>
      <c r="B138" s="21"/>
      <c r="C138" s="21"/>
      <c r="D138" s="21"/>
      <c r="E138" s="21"/>
      <c r="F138" s="21"/>
      <c r="G138" s="21"/>
      <c r="H138" s="21"/>
      <c r="I138" s="21"/>
      <c r="J138" s="20" t="str">
        <f aca="false">IF($F138="","",SUMIFS(SeatApproved,SeatUnit,$D138,SeatTitle,$F138))</f>
        <v/>
      </c>
      <c r="K138" s="20" t="str">
        <f aca="false">IF($F138="","",SUM($L138:$O138))</f>
        <v/>
      </c>
      <c r="L138" s="22"/>
      <c r="M138" s="22"/>
      <c r="N138" s="22"/>
      <c r="O138" s="22"/>
      <c r="P138" s="18" t="str">
        <f aca="false">IF($Q138="","",IFERROR(INDEX(DriverCategory,MATCH($Q138,DriverList,0)),"?"))</f>
        <v/>
      </c>
      <c r="Q138" s="21"/>
      <c r="R138" s="21"/>
      <c r="S138" s="23" t="str">
        <f aca="false">IF(COUNTA($B138:$H138)+COUNTA($L138:$O138)=0,"",MID(IF($B138="",", division","")&amp;IF($D138="",", unit","")&amp;IF($F138="",", job title","")&amp;IF($G138="",", career level","")&amp;IF($H138="",", job family","")&amp;IF($I138="",", worker type","")&amp;IF(N($K138)&lt;=0,", the quarter split","")&amp;IF($Q138="",", driver","")&amp;IF($R138="",", alternatives","")&amp;IF(AND($D138&lt;&gt;"",COUNTIF(UnitList,$D138)=0),", a unit that is not in your structure",""),3,300))</f>
        <v/>
      </c>
      <c r="T138" s="17" t="str">
        <f aca="false">IF($S138="","",COUNTIF($S$6:$S138,"?*"))</f>
        <v/>
      </c>
    </row>
    <row r="139" customFormat="false" ht="15" hidden="false" customHeight="false" outlineLevel="0" collapsed="false">
      <c r="A139" s="17" t="n">
        <v>134</v>
      </c>
      <c r="B139" s="21"/>
      <c r="C139" s="21"/>
      <c r="D139" s="21"/>
      <c r="E139" s="21"/>
      <c r="F139" s="21"/>
      <c r="G139" s="21"/>
      <c r="H139" s="21"/>
      <c r="I139" s="21"/>
      <c r="J139" s="20" t="str">
        <f aca="false">IF($F139="","",SUMIFS(SeatApproved,SeatUnit,$D139,SeatTitle,$F139))</f>
        <v/>
      </c>
      <c r="K139" s="20" t="str">
        <f aca="false">IF($F139="","",SUM($L139:$O139))</f>
        <v/>
      </c>
      <c r="L139" s="22"/>
      <c r="M139" s="22"/>
      <c r="N139" s="22"/>
      <c r="O139" s="22"/>
      <c r="P139" s="18" t="str">
        <f aca="false">IF($Q139="","",IFERROR(INDEX(DriverCategory,MATCH($Q139,DriverList,0)),"?"))</f>
        <v/>
      </c>
      <c r="Q139" s="21"/>
      <c r="R139" s="21"/>
      <c r="S139" s="23" t="str">
        <f aca="false">IF(COUNTA($B139:$H139)+COUNTA($L139:$O139)=0,"",MID(IF($B139="",", division","")&amp;IF($D139="",", unit","")&amp;IF($F139="",", job title","")&amp;IF($G139="",", career level","")&amp;IF($H139="",", job family","")&amp;IF($I139="",", worker type","")&amp;IF(N($K139)&lt;=0,", the quarter split","")&amp;IF($Q139="",", driver","")&amp;IF($R139="",", alternatives","")&amp;IF(AND($D139&lt;&gt;"",COUNTIF(UnitList,$D139)=0),", a unit that is not in your structure",""),3,300))</f>
        <v/>
      </c>
      <c r="T139" s="17" t="str">
        <f aca="false">IF($S139="","",COUNTIF($S$6:$S139,"?*"))</f>
        <v/>
      </c>
    </row>
    <row r="140" customFormat="false" ht="15" hidden="false" customHeight="false" outlineLevel="0" collapsed="false">
      <c r="A140" s="17" t="n">
        <v>135</v>
      </c>
      <c r="B140" s="21"/>
      <c r="C140" s="21"/>
      <c r="D140" s="21"/>
      <c r="E140" s="21"/>
      <c r="F140" s="21"/>
      <c r="G140" s="21"/>
      <c r="H140" s="21"/>
      <c r="I140" s="21"/>
      <c r="J140" s="20" t="str">
        <f aca="false">IF($F140="","",SUMIFS(SeatApproved,SeatUnit,$D140,SeatTitle,$F140))</f>
        <v/>
      </c>
      <c r="K140" s="20" t="str">
        <f aca="false">IF($F140="","",SUM($L140:$O140))</f>
        <v/>
      </c>
      <c r="L140" s="22"/>
      <c r="M140" s="22"/>
      <c r="N140" s="22"/>
      <c r="O140" s="22"/>
      <c r="P140" s="18" t="str">
        <f aca="false">IF($Q140="","",IFERROR(INDEX(DriverCategory,MATCH($Q140,DriverList,0)),"?"))</f>
        <v/>
      </c>
      <c r="Q140" s="21"/>
      <c r="R140" s="21"/>
      <c r="S140" s="23" t="str">
        <f aca="false">IF(COUNTA($B140:$H140)+COUNTA($L140:$O140)=0,"",MID(IF($B140="",", division","")&amp;IF($D140="",", unit","")&amp;IF($F140="",", job title","")&amp;IF($G140="",", career level","")&amp;IF($H140="",", job family","")&amp;IF($I140="",", worker type","")&amp;IF(N($K140)&lt;=0,", the quarter split","")&amp;IF($Q140="",", driver","")&amp;IF($R140="",", alternatives","")&amp;IF(AND($D140&lt;&gt;"",COUNTIF(UnitList,$D140)=0),", a unit that is not in your structure",""),3,300))</f>
        <v/>
      </c>
      <c r="T140" s="17" t="str">
        <f aca="false">IF($S140="","",COUNTIF($S$6:$S140,"?*"))</f>
        <v/>
      </c>
    </row>
    <row r="141" customFormat="false" ht="15" hidden="false" customHeight="false" outlineLevel="0" collapsed="false">
      <c r="A141" s="17" t="n">
        <v>136</v>
      </c>
      <c r="B141" s="21"/>
      <c r="C141" s="21"/>
      <c r="D141" s="21"/>
      <c r="E141" s="21"/>
      <c r="F141" s="21"/>
      <c r="G141" s="21"/>
      <c r="H141" s="21"/>
      <c r="I141" s="21"/>
      <c r="J141" s="20" t="str">
        <f aca="false">IF($F141="","",SUMIFS(SeatApproved,SeatUnit,$D141,SeatTitle,$F141))</f>
        <v/>
      </c>
      <c r="K141" s="20" t="str">
        <f aca="false">IF($F141="","",SUM($L141:$O141))</f>
        <v/>
      </c>
      <c r="L141" s="22"/>
      <c r="M141" s="22"/>
      <c r="N141" s="22"/>
      <c r="O141" s="22"/>
      <c r="P141" s="18" t="str">
        <f aca="false">IF($Q141="","",IFERROR(INDEX(DriverCategory,MATCH($Q141,DriverList,0)),"?"))</f>
        <v/>
      </c>
      <c r="Q141" s="21"/>
      <c r="R141" s="21"/>
      <c r="S141" s="23" t="str">
        <f aca="false">IF(COUNTA($B141:$H141)+COUNTA($L141:$O141)=0,"",MID(IF($B141="",", division","")&amp;IF($D141="",", unit","")&amp;IF($F141="",", job title","")&amp;IF($G141="",", career level","")&amp;IF($H141="",", job family","")&amp;IF($I141="",", worker type","")&amp;IF(N($K141)&lt;=0,", the quarter split","")&amp;IF($Q141="",", driver","")&amp;IF($R141="",", alternatives","")&amp;IF(AND($D141&lt;&gt;"",COUNTIF(UnitList,$D141)=0),", a unit that is not in your structure",""),3,300))</f>
        <v/>
      </c>
      <c r="T141" s="17" t="str">
        <f aca="false">IF($S141="","",COUNTIF($S$6:$S141,"?*"))</f>
        <v/>
      </c>
    </row>
    <row r="142" customFormat="false" ht="15" hidden="false" customHeight="false" outlineLevel="0" collapsed="false">
      <c r="A142" s="17" t="n">
        <v>137</v>
      </c>
      <c r="B142" s="21"/>
      <c r="C142" s="21"/>
      <c r="D142" s="21"/>
      <c r="E142" s="21"/>
      <c r="F142" s="21"/>
      <c r="G142" s="21"/>
      <c r="H142" s="21"/>
      <c r="I142" s="21"/>
      <c r="J142" s="20" t="str">
        <f aca="false">IF($F142="","",SUMIFS(SeatApproved,SeatUnit,$D142,SeatTitle,$F142))</f>
        <v/>
      </c>
      <c r="K142" s="20" t="str">
        <f aca="false">IF($F142="","",SUM($L142:$O142))</f>
        <v/>
      </c>
      <c r="L142" s="22"/>
      <c r="M142" s="22"/>
      <c r="N142" s="22"/>
      <c r="O142" s="22"/>
      <c r="P142" s="18" t="str">
        <f aca="false">IF($Q142="","",IFERROR(INDEX(DriverCategory,MATCH($Q142,DriverList,0)),"?"))</f>
        <v/>
      </c>
      <c r="Q142" s="21"/>
      <c r="R142" s="21"/>
      <c r="S142" s="23" t="str">
        <f aca="false">IF(COUNTA($B142:$H142)+COUNTA($L142:$O142)=0,"",MID(IF($B142="",", division","")&amp;IF($D142="",", unit","")&amp;IF($F142="",", job title","")&amp;IF($G142="",", career level","")&amp;IF($H142="",", job family","")&amp;IF($I142="",", worker type","")&amp;IF(N($K142)&lt;=0,", the quarter split","")&amp;IF($Q142="",", driver","")&amp;IF($R142="",", alternatives","")&amp;IF(AND($D142&lt;&gt;"",COUNTIF(UnitList,$D142)=0),", a unit that is not in your structure",""),3,300))</f>
        <v/>
      </c>
      <c r="T142" s="17" t="str">
        <f aca="false">IF($S142="","",COUNTIF($S$6:$S142,"?*"))</f>
        <v/>
      </c>
    </row>
    <row r="143" customFormat="false" ht="15" hidden="false" customHeight="false" outlineLevel="0" collapsed="false">
      <c r="A143" s="17" t="n">
        <v>138</v>
      </c>
      <c r="B143" s="21"/>
      <c r="C143" s="21"/>
      <c r="D143" s="21"/>
      <c r="E143" s="21"/>
      <c r="F143" s="21"/>
      <c r="G143" s="21"/>
      <c r="H143" s="21"/>
      <c r="I143" s="21"/>
      <c r="J143" s="20" t="str">
        <f aca="false">IF($F143="","",SUMIFS(SeatApproved,SeatUnit,$D143,SeatTitle,$F143))</f>
        <v/>
      </c>
      <c r="K143" s="20" t="str">
        <f aca="false">IF($F143="","",SUM($L143:$O143))</f>
        <v/>
      </c>
      <c r="L143" s="22"/>
      <c r="M143" s="22"/>
      <c r="N143" s="22"/>
      <c r="O143" s="22"/>
      <c r="P143" s="18" t="str">
        <f aca="false">IF($Q143="","",IFERROR(INDEX(DriverCategory,MATCH($Q143,DriverList,0)),"?"))</f>
        <v/>
      </c>
      <c r="Q143" s="21"/>
      <c r="R143" s="21"/>
      <c r="S143" s="23" t="str">
        <f aca="false">IF(COUNTA($B143:$H143)+COUNTA($L143:$O143)=0,"",MID(IF($B143="",", division","")&amp;IF($D143="",", unit","")&amp;IF($F143="",", job title","")&amp;IF($G143="",", career level","")&amp;IF($H143="",", job family","")&amp;IF($I143="",", worker type","")&amp;IF(N($K143)&lt;=0,", the quarter split","")&amp;IF($Q143="",", driver","")&amp;IF($R143="",", alternatives","")&amp;IF(AND($D143&lt;&gt;"",COUNTIF(UnitList,$D143)=0),", a unit that is not in your structure",""),3,300))</f>
        <v/>
      </c>
      <c r="T143" s="17" t="str">
        <f aca="false">IF($S143="","",COUNTIF($S$6:$S143,"?*"))</f>
        <v/>
      </c>
    </row>
    <row r="144" customFormat="false" ht="15" hidden="false" customHeight="false" outlineLevel="0" collapsed="false">
      <c r="A144" s="17" t="n">
        <v>139</v>
      </c>
      <c r="B144" s="21"/>
      <c r="C144" s="21"/>
      <c r="D144" s="21"/>
      <c r="E144" s="21"/>
      <c r="F144" s="21"/>
      <c r="G144" s="21"/>
      <c r="H144" s="21"/>
      <c r="I144" s="21"/>
      <c r="J144" s="20" t="str">
        <f aca="false">IF($F144="","",SUMIFS(SeatApproved,SeatUnit,$D144,SeatTitle,$F144))</f>
        <v/>
      </c>
      <c r="K144" s="20" t="str">
        <f aca="false">IF($F144="","",SUM($L144:$O144))</f>
        <v/>
      </c>
      <c r="L144" s="22"/>
      <c r="M144" s="22"/>
      <c r="N144" s="22"/>
      <c r="O144" s="22"/>
      <c r="P144" s="18" t="str">
        <f aca="false">IF($Q144="","",IFERROR(INDEX(DriverCategory,MATCH($Q144,DriverList,0)),"?"))</f>
        <v/>
      </c>
      <c r="Q144" s="21"/>
      <c r="R144" s="21"/>
      <c r="S144" s="23" t="str">
        <f aca="false">IF(COUNTA($B144:$H144)+COUNTA($L144:$O144)=0,"",MID(IF($B144="",", division","")&amp;IF($D144="",", unit","")&amp;IF($F144="",", job title","")&amp;IF($G144="",", career level","")&amp;IF($H144="",", job family","")&amp;IF($I144="",", worker type","")&amp;IF(N($K144)&lt;=0,", the quarter split","")&amp;IF($Q144="",", driver","")&amp;IF($R144="",", alternatives","")&amp;IF(AND($D144&lt;&gt;"",COUNTIF(UnitList,$D144)=0),", a unit that is not in your structure",""),3,300))</f>
        <v/>
      </c>
      <c r="T144" s="17" t="str">
        <f aca="false">IF($S144="","",COUNTIF($S$6:$S144,"?*"))</f>
        <v/>
      </c>
    </row>
    <row r="145" customFormat="false" ht="15" hidden="false" customHeight="false" outlineLevel="0" collapsed="false">
      <c r="A145" s="17" t="n">
        <v>140</v>
      </c>
      <c r="B145" s="21"/>
      <c r="C145" s="21"/>
      <c r="D145" s="21"/>
      <c r="E145" s="21"/>
      <c r="F145" s="21"/>
      <c r="G145" s="21"/>
      <c r="H145" s="21"/>
      <c r="I145" s="21"/>
      <c r="J145" s="20" t="str">
        <f aca="false">IF($F145="","",SUMIFS(SeatApproved,SeatUnit,$D145,SeatTitle,$F145))</f>
        <v/>
      </c>
      <c r="K145" s="20" t="str">
        <f aca="false">IF($F145="","",SUM($L145:$O145))</f>
        <v/>
      </c>
      <c r="L145" s="22"/>
      <c r="M145" s="22"/>
      <c r="N145" s="22"/>
      <c r="O145" s="22"/>
      <c r="P145" s="18" t="str">
        <f aca="false">IF($Q145="","",IFERROR(INDEX(DriverCategory,MATCH($Q145,DriverList,0)),"?"))</f>
        <v/>
      </c>
      <c r="Q145" s="21"/>
      <c r="R145" s="21"/>
      <c r="S145" s="23" t="str">
        <f aca="false">IF(COUNTA($B145:$H145)+COUNTA($L145:$O145)=0,"",MID(IF($B145="",", division","")&amp;IF($D145="",", unit","")&amp;IF($F145="",", job title","")&amp;IF($G145="",", career level","")&amp;IF($H145="",", job family","")&amp;IF($I145="",", worker type","")&amp;IF(N($K145)&lt;=0,", the quarter split","")&amp;IF($Q145="",", driver","")&amp;IF($R145="",", alternatives","")&amp;IF(AND($D145&lt;&gt;"",COUNTIF(UnitList,$D145)=0),", a unit that is not in your structure",""),3,300))</f>
        <v/>
      </c>
      <c r="T145" s="17" t="str">
        <f aca="false">IF($S145="","",COUNTIF($S$6:$S145,"?*"))</f>
        <v/>
      </c>
    </row>
    <row r="146" customFormat="false" ht="15" hidden="false" customHeight="false" outlineLevel="0" collapsed="false">
      <c r="A146" s="17" t="n">
        <v>141</v>
      </c>
      <c r="B146" s="21"/>
      <c r="C146" s="21"/>
      <c r="D146" s="21"/>
      <c r="E146" s="21"/>
      <c r="F146" s="21"/>
      <c r="G146" s="21"/>
      <c r="H146" s="21"/>
      <c r="I146" s="21"/>
      <c r="J146" s="20" t="str">
        <f aca="false">IF($F146="","",SUMIFS(SeatApproved,SeatUnit,$D146,SeatTitle,$F146))</f>
        <v/>
      </c>
      <c r="K146" s="20" t="str">
        <f aca="false">IF($F146="","",SUM($L146:$O146))</f>
        <v/>
      </c>
      <c r="L146" s="22"/>
      <c r="M146" s="22"/>
      <c r="N146" s="22"/>
      <c r="O146" s="22"/>
      <c r="P146" s="18" t="str">
        <f aca="false">IF($Q146="","",IFERROR(INDEX(DriverCategory,MATCH($Q146,DriverList,0)),"?"))</f>
        <v/>
      </c>
      <c r="Q146" s="21"/>
      <c r="R146" s="21"/>
      <c r="S146" s="23" t="str">
        <f aca="false">IF(COUNTA($B146:$H146)+COUNTA($L146:$O146)=0,"",MID(IF($B146="",", division","")&amp;IF($D146="",", unit","")&amp;IF($F146="",", job title","")&amp;IF($G146="",", career level","")&amp;IF($H146="",", job family","")&amp;IF($I146="",", worker type","")&amp;IF(N($K146)&lt;=0,", the quarter split","")&amp;IF($Q146="",", driver","")&amp;IF($R146="",", alternatives","")&amp;IF(AND($D146&lt;&gt;"",COUNTIF(UnitList,$D146)=0),", a unit that is not in your structure",""),3,300))</f>
        <v/>
      </c>
      <c r="T146" s="17" t="str">
        <f aca="false">IF($S146="","",COUNTIF($S$6:$S146,"?*"))</f>
        <v/>
      </c>
    </row>
    <row r="147" customFormat="false" ht="15" hidden="false" customHeight="false" outlineLevel="0" collapsed="false">
      <c r="A147" s="17" t="n">
        <v>142</v>
      </c>
      <c r="B147" s="21"/>
      <c r="C147" s="21"/>
      <c r="D147" s="21"/>
      <c r="E147" s="21"/>
      <c r="F147" s="21"/>
      <c r="G147" s="21"/>
      <c r="H147" s="21"/>
      <c r="I147" s="21"/>
      <c r="J147" s="20" t="str">
        <f aca="false">IF($F147="","",SUMIFS(SeatApproved,SeatUnit,$D147,SeatTitle,$F147))</f>
        <v/>
      </c>
      <c r="K147" s="20" t="str">
        <f aca="false">IF($F147="","",SUM($L147:$O147))</f>
        <v/>
      </c>
      <c r="L147" s="22"/>
      <c r="M147" s="22"/>
      <c r="N147" s="22"/>
      <c r="O147" s="22"/>
      <c r="P147" s="18" t="str">
        <f aca="false">IF($Q147="","",IFERROR(INDEX(DriverCategory,MATCH($Q147,DriverList,0)),"?"))</f>
        <v/>
      </c>
      <c r="Q147" s="21"/>
      <c r="R147" s="21"/>
      <c r="S147" s="23" t="str">
        <f aca="false">IF(COUNTA($B147:$H147)+COUNTA($L147:$O147)=0,"",MID(IF($B147="",", division","")&amp;IF($D147="",", unit","")&amp;IF($F147="",", job title","")&amp;IF($G147="",", career level","")&amp;IF($H147="",", job family","")&amp;IF($I147="",", worker type","")&amp;IF(N($K147)&lt;=0,", the quarter split","")&amp;IF($Q147="",", driver","")&amp;IF($R147="",", alternatives","")&amp;IF(AND($D147&lt;&gt;"",COUNTIF(UnitList,$D147)=0),", a unit that is not in your structure",""),3,300))</f>
        <v/>
      </c>
      <c r="T147" s="17" t="str">
        <f aca="false">IF($S147="","",COUNTIF($S$6:$S147,"?*"))</f>
        <v/>
      </c>
    </row>
    <row r="148" customFormat="false" ht="15" hidden="false" customHeight="false" outlineLevel="0" collapsed="false">
      <c r="A148" s="17" t="n">
        <v>143</v>
      </c>
      <c r="B148" s="21"/>
      <c r="C148" s="21"/>
      <c r="D148" s="21"/>
      <c r="E148" s="21"/>
      <c r="F148" s="21"/>
      <c r="G148" s="21"/>
      <c r="H148" s="21"/>
      <c r="I148" s="21"/>
      <c r="J148" s="20" t="str">
        <f aca="false">IF($F148="","",SUMIFS(SeatApproved,SeatUnit,$D148,SeatTitle,$F148))</f>
        <v/>
      </c>
      <c r="K148" s="20" t="str">
        <f aca="false">IF($F148="","",SUM($L148:$O148))</f>
        <v/>
      </c>
      <c r="L148" s="22"/>
      <c r="M148" s="22"/>
      <c r="N148" s="22"/>
      <c r="O148" s="22"/>
      <c r="P148" s="18" t="str">
        <f aca="false">IF($Q148="","",IFERROR(INDEX(DriverCategory,MATCH($Q148,DriverList,0)),"?"))</f>
        <v/>
      </c>
      <c r="Q148" s="21"/>
      <c r="R148" s="21"/>
      <c r="S148" s="23" t="str">
        <f aca="false">IF(COUNTA($B148:$H148)+COUNTA($L148:$O148)=0,"",MID(IF($B148="",", division","")&amp;IF($D148="",", unit","")&amp;IF($F148="",", job title","")&amp;IF($G148="",", career level","")&amp;IF($H148="",", job family","")&amp;IF($I148="",", worker type","")&amp;IF(N($K148)&lt;=0,", the quarter split","")&amp;IF($Q148="",", driver","")&amp;IF($R148="",", alternatives","")&amp;IF(AND($D148&lt;&gt;"",COUNTIF(UnitList,$D148)=0),", a unit that is not in your structure",""),3,300))</f>
        <v/>
      </c>
      <c r="T148" s="17" t="str">
        <f aca="false">IF($S148="","",COUNTIF($S$6:$S148,"?*"))</f>
        <v/>
      </c>
    </row>
    <row r="149" customFormat="false" ht="15" hidden="false" customHeight="false" outlineLevel="0" collapsed="false">
      <c r="A149" s="17" t="n">
        <v>144</v>
      </c>
      <c r="B149" s="21"/>
      <c r="C149" s="21"/>
      <c r="D149" s="21"/>
      <c r="E149" s="21"/>
      <c r="F149" s="21"/>
      <c r="G149" s="21"/>
      <c r="H149" s="21"/>
      <c r="I149" s="21"/>
      <c r="J149" s="20" t="str">
        <f aca="false">IF($F149="","",SUMIFS(SeatApproved,SeatUnit,$D149,SeatTitle,$F149))</f>
        <v/>
      </c>
      <c r="K149" s="20" t="str">
        <f aca="false">IF($F149="","",SUM($L149:$O149))</f>
        <v/>
      </c>
      <c r="L149" s="22"/>
      <c r="M149" s="22"/>
      <c r="N149" s="22"/>
      <c r="O149" s="22"/>
      <c r="P149" s="18" t="str">
        <f aca="false">IF($Q149="","",IFERROR(INDEX(DriverCategory,MATCH($Q149,DriverList,0)),"?"))</f>
        <v/>
      </c>
      <c r="Q149" s="21"/>
      <c r="R149" s="21"/>
      <c r="S149" s="23" t="str">
        <f aca="false">IF(COUNTA($B149:$H149)+COUNTA($L149:$O149)=0,"",MID(IF($B149="",", division","")&amp;IF($D149="",", unit","")&amp;IF($F149="",", job title","")&amp;IF($G149="",", career level","")&amp;IF($H149="",", job family","")&amp;IF($I149="",", worker type","")&amp;IF(N($K149)&lt;=0,", the quarter split","")&amp;IF($Q149="",", driver","")&amp;IF($R149="",", alternatives","")&amp;IF(AND($D149&lt;&gt;"",COUNTIF(UnitList,$D149)=0),", a unit that is not in your structure",""),3,300))</f>
        <v/>
      </c>
      <c r="T149" s="17" t="str">
        <f aca="false">IF($S149="","",COUNTIF($S$6:$S149,"?*"))</f>
        <v/>
      </c>
    </row>
    <row r="150" customFormat="false" ht="15" hidden="false" customHeight="false" outlineLevel="0" collapsed="false">
      <c r="A150" s="17" t="n">
        <v>145</v>
      </c>
      <c r="B150" s="21"/>
      <c r="C150" s="21"/>
      <c r="D150" s="21"/>
      <c r="E150" s="21"/>
      <c r="F150" s="21"/>
      <c r="G150" s="21"/>
      <c r="H150" s="21"/>
      <c r="I150" s="21"/>
      <c r="J150" s="20" t="str">
        <f aca="false">IF($F150="","",SUMIFS(SeatApproved,SeatUnit,$D150,SeatTitle,$F150))</f>
        <v/>
      </c>
      <c r="K150" s="20" t="str">
        <f aca="false">IF($F150="","",SUM($L150:$O150))</f>
        <v/>
      </c>
      <c r="L150" s="22"/>
      <c r="M150" s="22"/>
      <c r="N150" s="22"/>
      <c r="O150" s="22"/>
      <c r="P150" s="18" t="str">
        <f aca="false">IF($Q150="","",IFERROR(INDEX(DriverCategory,MATCH($Q150,DriverList,0)),"?"))</f>
        <v/>
      </c>
      <c r="Q150" s="21"/>
      <c r="R150" s="21"/>
      <c r="S150" s="23" t="str">
        <f aca="false">IF(COUNTA($B150:$H150)+COUNTA($L150:$O150)=0,"",MID(IF($B150="",", division","")&amp;IF($D150="",", unit","")&amp;IF($F150="",", job title","")&amp;IF($G150="",", career level","")&amp;IF($H150="",", job family","")&amp;IF($I150="",", worker type","")&amp;IF(N($K150)&lt;=0,", the quarter split","")&amp;IF($Q150="",", driver","")&amp;IF($R150="",", alternatives","")&amp;IF(AND($D150&lt;&gt;"",COUNTIF(UnitList,$D150)=0),", a unit that is not in your structure",""),3,300))</f>
        <v/>
      </c>
      <c r="T150" s="17" t="str">
        <f aca="false">IF($S150="","",COUNTIF($S$6:$S150,"?*"))</f>
        <v/>
      </c>
    </row>
    <row r="151" customFormat="false" ht="15" hidden="false" customHeight="false" outlineLevel="0" collapsed="false">
      <c r="A151" s="17" t="n">
        <v>146</v>
      </c>
      <c r="B151" s="21"/>
      <c r="C151" s="21"/>
      <c r="D151" s="21"/>
      <c r="E151" s="21"/>
      <c r="F151" s="21"/>
      <c r="G151" s="21"/>
      <c r="H151" s="21"/>
      <c r="I151" s="21"/>
      <c r="J151" s="20" t="str">
        <f aca="false">IF($F151="","",SUMIFS(SeatApproved,SeatUnit,$D151,SeatTitle,$F151))</f>
        <v/>
      </c>
      <c r="K151" s="20" t="str">
        <f aca="false">IF($F151="","",SUM($L151:$O151))</f>
        <v/>
      </c>
      <c r="L151" s="22"/>
      <c r="M151" s="22"/>
      <c r="N151" s="22"/>
      <c r="O151" s="22"/>
      <c r="P151" s="18" t="str">
        <f aca="false">IF($Q151="","",IFERROR(INDEX(DriverCategory,MATCH($Q151,DriverList,0)),"?"))</f>
        <v/>
      </c>
      <c r="Q151" s="21"/>
      <c r="R151" s="21"/>
      <c r="S151" s="23" t="str">
        <f aca="false">IF(COUNTA($B151:$H151)+COUNTA($L151:$O151)=0,"",MID(IF($B151="",", division","")&amp;IF($D151="",", unit","")&amp;IF($F151="",", job title","")&amp;IF($G151="",", career level","")&amp;IF($H151="",", job family","")&amp;IF($I151="",", worker type","")&amp;IF(N($K151)&lt;=0,", the quarter split","")&amp;IF($Q151="",", driver","")&amp;IF($R151="",", alternatives","")&amp;IF(AND($D151&lt;&gt;"",COUNTIF(UnitList,$D151)=0),", a unit that is not in your structure",""),3,300))</f>
        <v/>
      </c>
      <c r="T151" s="17" t="str">
        <f aca="false">IF($S151="","",COUNTIF($S$6:$S151,"?*"))</f>
        <v/>
      </c>
    </row>
    <row r="152" customFormat="false" ht="15" hidden="false" customHeight="false" outlineLevel="0" collapsed="false">
      <c r="A152" s="17" t="n">
        <v>147</v>
      </c>
      <c r="B152" s="21"/>
      <c r="C152" s="21"/>
      <c r="D152" s="21"/>
      <c r="E152" s="21"/>
      <c r="F152" s="21"/>
      <c r="G152" s="21"/>
      <c r="H152" s="21"/>
      <c r="I152" s="21"/>
      <c r="J152" s="20" t="str">
        <f aca="false">IF($F152="","",SUMIFS(SeatApproved,SeatUnit,$D152,SeatTitle,$F152))</f>
        <v/>
      </c>
      <c r="K152" s="20" t="str">
        <f aca="false">IF($F152="","",SUM($L152:$O152))</f>
        <v/>
      </c>
      <c r="L152" s="22"/>
      <c r="M152" s="22"/>
      <c r="N152" s="22"/>
      <c r="O152" s="22"/>
      <c r="P152" s="18" t="str">
        <f aca="false">IF($Q152="","",IFERROR(INDEX(DriverCategory,MATCH($Q152,DriverList,0)),"?"))</f>
        <v/>
      </c>
      <c r="Q152" s="21"/>
      <c r="R152" s="21"/>
      <c r="S152" s="23" t="str">
        <f aca="false">IF(COUNTA($B152:$H152)+COUNTA($L152:$O152)=0,"",MID(IF($B152="",", division","")&amp;IF($D152="",", unit","")&amp;IF($F152="",", job title","")&amp;IF($G152="",", career level","")&amp;IF($H152="",", job family","")&amp;IF($I152="",", worker type","")&amp;IF(N($K152)&lt;=0,", the quarter split","")&amp;IF($Q152="",", driver","")&amp;IF($R152="",", alternatives","")&amp;IF(AND($D152&lt;&gt;"",COUNTIF(UnitList,$D152)=0),", a unit that is not in your structure",""),3,300))</f>
        <v/>
      </c>
      <c r="T152" s="17" t="str">
        <f aca="false">IF($S152="","",COUNTIF($S$6:$S152,"?*"))</f>
        <v/>
      </c>
    </row>
    <row r="153" customFormat="false" ht="15" hidden="false" customHeight="false" outlineLevel="0" collapsed="false">
      <c r="A153" s="17" t="n">
        <v>148</v>
      </c>
      <c r="B153" s="21"/>
      <c r="C153" s="21"/>
      <c r="D153" s="21"/>
      <c r="E153" s="21"/>
      <c r="F153" s="21"/>
      <c r="G153" s="21"/>
      <c r="H153" s="21"/>
      <c r="I153" s="21"/>
      <c r="J153" s="20" t="str">
        <f aca="false">IF($F153="","",SUMIFS(SeatApproved,SeatUnit,$D153,SeatTitle,$F153))</f>
        <v/>
      </c>
      <c r="K153" s="20" t="str">
        <f aca="false">IF($F153="","",SUM($L153:$O153))</f>
        <v/>
      </c>
      <c r="L153" s="22"/>
      <c r="M153" s="22"/>
      <c r="N153" s="22"/>
      <c r="O153" s="22"/>
      <c r="P153" s="18" t="str">
        <f aca="false">IF($Q153="","",IFERROR(INDEX(DriverCategory,MATCH($Q153,DriverList,0)),"?"))</f>
        <v/>
      </c>
      <c r="Q153" s="21"/>
      <c r="R153" s="21"/>
      <c r="S153" s="23" t="str">
        <f aca="false">IF(COUNTA($B153:$H153)+COUNTA($L153:$O153)=0,"",MID(IF($B153="",", division","")&amp;IF($D153="",", unit","")&amp;IF($F153="",", job title","")&amp;IF($G153="",", career level","")&amp;IF($H153="",", job family","")&amp;IF($I153="",", worker type","")&amp;IF(N($K153)&lt;=0,", the quarter split","")&amp;IF($Q153="",", driver","")&amp;IF($R153="",", alternatives","")&amp;IF(AND($D153&lt;&gt;"",COUNTIF(UnitList,$D153)=0),", a unit that is not in your structure",""),3,300))</f>
        <v/>
      </c>
      <c r="T153" s="17" t="str">
        <f aca="false">IF($S153="","",COUNTIF($S$6:$S153,"?*"))</f>
        <v/>
      </c>
    </row>
    <row r="154" customFormat="false" ht="15" hidden="false" customHeight="false" outlineLevel="0" collapsed="false">
      <c r="A154" s="17" t="n">
        <v>149</v>
      </c>
      <c r="B154" s="21"/>
      <c r="C154" s="21"/>
      <c r="D154" s="21"/>
      <c r="E154" s="21"/>
      <c r="F154" s="21"/>
      <c r="G154" s="21"/>
      <c r="H154" s="21"/>
      <c r="I154" s="21"/>
      <c r="J154" s="20" t="str">
        <f aca="false">IF($F154="","",SUMIFS(SeatApproved,SeatUnit,$D154,SeatTitle,$F154))</f>
        <v/>
      </c>
      <c r="K154" s="20" t="str">
        <f aca="false">IF($F154="","",SUM($L154:$O154))</f>
        <v/>
      </c>
      <c r="L154" s="22"/>
      <c r="M154" s="22"/>
      <c r="N154" s="22"/>
      <c r="O154" s="22"/>
      <c r="P154" s="18" t="str">
        <f aca="false">IF($Q154="","",IFERROR(INDEX(DriverCategory,MATCH($Q154,DriverList,0)),"?"))</f>
        <v/>
      </c>
      <c r="Q154" s="21"/>
      <c r="R154" s="21"/>
      <c r="S154" s="23" t="str">
        <f aca="false">IF(COUNTA($B154:$H154)+COUNTA($L154:$O154)=0,"",MID(IF($B154="",", division","")&amp;IF($D154="",", unit","")&amp;IF($F154="",", job title","")&amp;IF($G154="",", career level","")&amp;IF($H154="",", job family","")&amp;IF($I154="",", worker type","")&amp;IF(N($K154)&lt;=0,", the quarter split","")&amp;IF($Q154="",", driver","")&amp;IF($R154="",", alternatives","")&amp;IF(AND($D154&lt;&gt;"",COUNTIF(UnitList,$D154)=0),", a unit that is not in your structure",""),3,300))</f>
        <v/>
      </c>
      <c r="T154" s="17" t="str">
        <f aca="false">IF($S154="","",COUNTIF($S$6:$S154,"?*"))</f>
        <v/>
      </c>
    </row>
    <row r="155" customFormat="false" ht="15" hidden="false" customHeight="false" outlineLevel="0" collapsed="false">
      <c r="A155" s="17" t="n">
        <v>150</v>
      </c>
      <c r="B155" s="21"/>
      <c r="C155" s="21"/>
      <c r="D155" s="21"/>
      <c r="E155" s="21"/>
      <c r="F155" s="21"/>
      <c r="G155" s="21"/>
      <c r="H155" s="21"/>
      <c r="I155" s="21"/>
      <c r="J155" s="20" t="str">
        <f aca="false">IF($F155="","",SUMIFS(SeatApproved,SeatUnit,$D155,SeatTitle,$F155))</f>
        <v/>
      </c>
      <c r="K155" s="20" t="str">
        <f aca="false">IF($F155="","",SUM($L155:$O155))</f>
        <v/>
      </c>
      <c r="L155" s="22"/>
      <c r="M155" s="22"/>
      <c r="N155" s="22"/>
      <c r="O155" s="22"/>
      <c r="P155" s="18" t="str">
        <f aca="false">IF($Q155="","",IFERROR(INDEX(DriverCategory,MATCH($Q155,DriverList,0)),"?"))</f>
        <v/>
      </c>
      <c r="Q155" s="21"/>
      <c r="R155" s="21"/>
      <c r="S155" s="23" t="str">
        <f aca="false">IF(COUNTA($B155:$H155)+COUNTA($L155:$O155)=0,"",MID(IF($B155="",", division","")&amp;IF($D155="",", unit","")&amp;IF($F155="",", job title","")&amp;IF($G155="",", career level","")&amp;IF($H155="",", job family","")&amp;IF($I155="",", worker type","")&amp;IF(N($K155)&lt;=0,", the quarter split","")&amp;IF($Q155="",", driver","")&amp;IF($R155="",", alternatives","")&amp;IF(AND($D155&lt;&gt;"",COUNTIF(UnitList,$D155)=0),", a unit that is not in your structure",""),3,300))</f>
        <v/>
      </c>
      <c r="T155" s="17" t="str">
        <f aca="false">IF($S155="","",COUNTIF($S$6:$S155,"?*"))</f>
        <v/>
      </c>
    </row>
    <row r="156" customFormat="false" ht="15" hidden="false" customHeight="false" outlineLevel="0" collapsed="false">
      <c r="A156" s="17" t="n">
        <v>151</v>
      </c>
      <c r="B156" s="21"/>
      <c r="C156" s="21"/>
      <c r="D156" s="21"/>
      <c r="E156" s="21"/>
      <c r="F156" s="21"/>
      <c r="G156" s="21"/>
      <c r="H156" s="21"/>
      <c r="I156" s="21"/>
      <c r="J156" s="20" t="str">
        <f aca="false">IF($F156="","",SUMIFS(SeatApproved,SeatUnit,$D156,SeatTitle,$F156))</f>
        <v/>
      </c>
      <c r="K156" s="20" t="str">
        <f aca="false">IF($F156="","",SUM($L156:$O156))</f>
        <v/>
      </c>
      <c r="L156" s="22"/>
      <c r="M156" s="22"/>
      <c r="N156" s="22"/>
      <c r="O156" s="22"/>
      <c r="P156" s="18" t="str">
        <f aca="false">IF($Q156="","",IFERROR(INDEX(DriverCategory,MATCH($Q156,DriverList,0)),"?"))</f>
        <v/>
      </c>
      <c r="Q156" s="21"/>
      <c r="R156" s="21"/>
      <c r="S156" s="23" t="str">
        <f aca="false">IF(COUNTA($B156:$H156)+COUNTA($L156:$O156)=0,"",MID(IF($B156="",", division","")&amp;IF($D156="",", unit","")&amp;IF($F156="",", job title","")&amp;IF($G156="",", career level","")&amp;IF($H156="",", job family","")&amp;IF($I156="",", worker type","")&amp;IF(N($K156)&lt;=0,", the quarter split","")&amp;IF($Q156="",", driver","")&amp;IF($R156="",", alternatives","")&amp;IF(AND($D156&lt;&gt;"",COUNTIF(UnitList,$D156)=0),", a unit that is not in your structure",""),3,300))</f>
        <v/>
      </c>
      <c r="T156" s="17" t="str">
        <f aca="false">IF($S156="","",COUNTIF($S$6:$S156,"?*"))</f>
        <v/>
      </c>
    </row>
    <row r="157" customFormat="false" ht="15" hidden="false" customHeight="false" outlineLevel="0" collapsed="false">
      <c r="A157" s="17" t="n">
        <v>152</v>
      </c>
      <c r="B157" s="21"/>
      <c r="C157" s="21"/>
      <c r="D157" s="21"/>
      <c r="E157" s="21"/>
      <c r="F157" s="21"/>
      <c r="G157" s="21"/>
      <c r="H157" s="21"/>
      <c r="I157" s="21"/>
      <c r="J157" s="20" t="str">
        <f aca="false">IF($F157="","",SUMIFS(SeatApproved,SeatUnit,$D157,SeatTitle,$F157))</f>
        <v/>
      </c>
      <c r="K157" s="20" t="str">
        <f aca="false">IF($F157="","",SUM($L157:$O157))</f>
        <v/>
      </c>
      <c r="L157" s="22"/>
      <c r="M157" s="22"/>
      <c r="N157" s="22"/>
      <c r="O157" s="22"/>
      <c r="P157" s="18" t="str">
        <f aca="false">IF($Q157="","",IFERROR(INDEX(DriverCategory,MATCH($Q157,DriverList,0)),"?"))</f>
        <v/>
      </c>
      <c r="Q157" s="21"/>
      <c r="R157" s="21"/>
      <c r="S157" s="23" t="str">
        <f aca="false">IF(COUNTA($B157:$H157)+COUNTA($L157:$O157)=0,"",MID(IF($B157="",", division","")&amp;IF($D157="",", unit","")&amp;IF($F157="",", job title","")&amp;IF($G157="",", career level","")&amp;IF($H157="",", job family","")&amp;IF($I157="",", worker type","")&amp;IF(N($K157)&lt;=0,", the quarter split","")&amp;IF($Q157="",", driver","")&amp;IF($R157="",", alternatives","")&amp;IF(AND($D157&lt;&gt;"",COUNTIF(UnitList,$D157)=0),", a unit that is not in your structure",""),3,300))</f>
        <v/>
      </c>
      <c r="T157" s="17" t="str">
        <f aca="false">IF($S157="","",COUNTIF($S$6:$S157,"?*"))</f>
        <v/>
      </c>
    </row>
    <row r="158" customFormat="false" ht="15" hidden="false" customHeight="false" outlineLevel="0" collapsed="false">
      <c r="A158" s="17" t="n">
        <v>153</v>
      </c>
      <c r="B158" s="21"/>
      <c r="C158" s="21"/>
      <c r="D158" s="21"/>
      <c r="E158" s="21"/>
      <c r="F158" s="21"/>
      <c r="G158" s="21"/>
      <c r="H158" s="21"/>
      <c r="I158" s="21"/>
      <c r="J158" s="20" t="str">
        <f aca="false">IF($F158="","",SUMIFS(SeatApproved,SeatUnit,$D158,SeatTitle,$F158))</f>
        <v/>
      </c>
      <c r="K158" s="20" t="str">
        <f aca="false">IF($F158="","",SUM($L158:$O158))</f>
        <v/>
      </c>
      <c r="L158" s="22"/>
      <c r="M158" s="22"/>
      <c r="N158" s="22"/>
      <c r="O158" s="22"/>
      <c r="P158" s="18" t="str">
        <f aca="false">IF($Q158="","",IFERROR(INDEX(DriverCategory,MATCH($Q158,DriverList,0)),"?"))</f>
        <v/>
      </c>
      <c r="Q158" s="21"/>
      <c r="R158" s="21"/>
      <c r="S158" s="23" t="str">
        <f aca="false">IF(COUNTA($B158:$H158)+COUNTA($L158:$O158)=0,"",MID(IF($B158="",", division","")&amp;IF($D158="",", unit","")&amp;IF($F158="",", job title","")&amp;IF($G158="",", career level","")&amp;IF($H158="",", job family","")&amp;IF($I158="",", worker type","")&amp;IF(N($K158)&lt;=0,", the quarter split","")&amp;IF($Q158="",", driver","")&amp;IF($R158="",", alternatives","")&amp;IF(AND($D158&lt;&gt;"",COUNTIF(UnitList,$D158)=0),", a unit that is not in your structure",""),3,300))</f>
        <v/>
      </c>
      <c r="T158" s="17" t="str">
        <f aca="false">IF($S158="","",COUNTIF($S$6:$S158,"?*"))</f>
        <v/>
      </c>
    </row>
    <row r="159" customFormat="false" ht="15" hidden="false" customHeight="false" outlineLevel="0" collapsed="false">
      <c r="A159" s="17" t="n">
        <v>154</v>
      </c>
      <c r="B159" s="21"/>
      <c r="C159" s="21"/>
      <c r="D159" s="21"/>
      <c r="E159" s="21"/>
      <c r="F159" s="21"/>
      <c r="G159" s="21"/>
      <c r="H159" s="21"/>
      <c r="I159" s="21"/>
      <c r="J159" s="20" t="str">
        <f aca="false">IF($F159="","",SUMIFS(SeatApproved,SeatUnit,$D159,SeatTitle,$F159))</f>
        <v/>
      </c>
      <c r="K159" s="20" t="str">
        <f aca="false">IF($F159="","",SUM($L159:$O159))</f>
        <v/>
      </c>
      <c r="L159" s="22"/>
      <c r="M159" s="22"/>
      <c r="N159" s="22"/>
      <c r="O159" s="22"/>
      <c r="P159" s="18" t="str">
        <f aca="false">IF($Q159="","",IFERROR(INDEX(DriverCategory,MATCH($Q159,DriverList,0)),"?"))</f>
        <v/>
      </c>
      <c r="Q159" s="21"/>
      <c r="R159" s="21"/>
      <c r="S159" s="23" t="str">
        <f aca="false">IF(COUNTA($B159:$H159)+COUNTA($L159:$O159)=0,"",MID(IF($B159="",", division","")&amp;IF($D159="",", unit","")&amp;IF($F159="",", job title","")&amp;IF($G159="",", career level","")&amp;IF($H159="",", job family","")&amp;IF($I159="",", worker type","")&amp;IF(N($K159)&lt;=0,", the quarter split","")&amp;IF($Q159="",", driver","")&amp;IF($R159="",", alternatives","")&amp;IF(AND($D159&lt;&gt;"",COUNTIF(UnitList,$D159)=0),", a unit that is not in your structure",""),3,300))</f>
        <v/>
      </c>
      <c r="T159" s="17" t="str">
        <f aca="false">IF($S159="","",COUNTIF($S$6:$S159,"?*"))</f>
        <v/>
      </c>
    </row>
    <row r="160" customFormat="false" ht="15" hidden="false" customHeight="false" outlineLevel="0" collapsed="false">
      <c r="A160" s="17" t="n">
        <v>155</v>
      </c>
      <c r="B160" s="21"/>
      <c r="C160" s="21"/>
      <c r="D160" s="21"/>
      <c r="E160" s="21"/>
      <c r="F160" s="21"/>
      <c r="G160" s="21"/>
      <c r="H160" s="21"/>
      <c r="I160" s="21"/>
      <c r="J160" s="20" t="str">
        <f aca="false">IF($F160="","",SUMIFS(SeatApproved,SeatUnit,$D160,SeatTitle,$F160))</f>
        <v/>
      </c>
      <c r="K160" s="20" t="str">
        <f aca="false">IF($F160="","",SUM($L160:$O160))</f>
        <v/>
      </c>
      <c r="L160" s="22"/>
      <c r="M160" s="22"/>
      <c r="N160" s="22"/>
      <c r="O160" s="22"/>
      <c r="P160" s="18" t="str">
        <f aca="false">IF($Q160="","",IFERROR(INDEX(DriverCategory,MATCH($Q160,DriverList,0)),"?"))</f>
        <v/>
      </c>
      <c r="Q160" s="21"/>
      <c r="R160" s="21"/>
      <c r="S160" s="23" t="str">
        <f aca="false">IF(COUNTA($B160:$H160)+COUNTA($L160:$O160)=0,"",MID(IF($B160="",", division","")&amp;IF($D160="",", unit","")&amp;IF($F160="",", job title","")&amp;IF($G160="",", career level","")&amp;IF($H160="",", job family","")&amp;IF($I160="",", worker type","")&amp;IF(N($K160)&lt;=0,", the quarter split","")&amp;IF($Q160="",", driver","")&amp;IF($R160="",", alternatives","")&amp;IF(AND($D160&lt;&gt;"",COUNTIF(UnitList,$D160)=0),", a unit that is not in your structure",""),3,300))</f>
        <v/>
      </c>
      <c r="T160" s="17" t="str">
        <f aca="false">IF($S160="","",COUNTIF($S$6:$S160,"?*"))</f>
        <v/>
      </c>
    </row>
    <row r="161" customFormat="false" ht="15" hidden="false" customHeight="false" outlineLevel="0" collapsed="false">
      <c r="A161" s="17" t="n">
        <v>156</v>
      </c>
      <c r="B161" s="21"/>
      <c r="C161" s="21"/>
      <c r="D161" s="21"/>
      <c r="E161" s="21"/>
      <c r="F161" s="21"/>
      <c r="G161" s="21"/>
      <c r="H161" s="21"/>
      <c r="I161" s="21"/>
      <c r="J161" s="20" t="str">
        <f aca="false">IF($F161="","",SUMIFS(SeatApproved,SeatUnit,$D161,SeatTitle,$F161))</f>
        <v/>
      </c>
      <c r="K161" s="20" t="str">
        <f aca="false">IF($F161="","",SUM($L161:$O161))</f>
        <v/>
      </c>
      <c r="L161" s="22"/>
      <c r="M161" s="22"/>
      <c r="N161" s="22"/>
      <c r="O161" s="22"/>
      <c r="P161" s="18" t="str">
        <f aca="false">IF($Q161="","",IFERROR(INDEX(DriverCategory,MATCH($Q161,DriverList,0)),"?"))</f>
        <v/>
      </c>
      <c r="Q161" s="21"/>
      <c r="R161" s="21"/>
      <c r="S161" s="23" t="str">
        <f aca="false">IF(COUNTA($B161:$H161)+COUNTA($L161:$O161)=0,"",MID(IF($B161="",", division","")&amp;IF($D161="",", unit","")&amp;IF($F161="",", job title","")&amp;IF($G161="",", career level","")&amp;IF($H161="",", job family","")&amp;IF($I161="",", worker type","")&amp;IF(N($K161)&lt;=0,", the quarter split","")&amp;IF($Q161="",", driver","")&amp;IF($R161="",", alternatives","")&amp;IF(AND($D161&lt;&gt;"",COUNTIF(UnitList,$D161)=0),", a unit that is not in your structure",""),3,300))</f>
        <v/>
      </c>
      <c r="T161" s="17" t="str">
        <f aca="false">IF($S161="","",COUNTIF($S$6:$S161,"?*"))</f>
        <v/>
      </c>
    </row>
    <row r="162" customFormat="false" ht="15" hidden="false" customHeight="false" outlineLevel="0" collapsed="false">
      <c r="A162" s="17" t="n">
        <v>157</v>
      </c>
      <c r="B162" s="21"/>
      <c r="C162" s="21"/>
      <c r="D162" s="21"/>
      <c r="E162" s="21"/>
      <c r="F162" s="21"/>
      <c r="G162" s="21"/>
      <c r="H162" s="21"/>
      <c r="I162" s="21"/>
      <c r="J162" s="20" t="str">
        <f aca="false">IF($F162="","",SUMIFS(SeatApproved,SeatUnit,$D162,SeatTitle,$F162))</f>
        <v/>
      </c>
      <c r="K162" s="20" t="str">
        <f aca="false">IF($F162="","",SUM($L162:$O162))</f>
        <v/>
      </c>
      <c r="L162" s="22"/>
      <c r="M162" s="22"/>
      <c r="N162" s="22"/>
      <c r="O162" s="22"/>
      <c r="P162" s="18" t="str">
        <f aca="false">IF($Q162="","",IFERROR(INDEX(DriverCategory,MATCH($Q162,DriverList,0)),"?"))</f>
        <v/>
      </c>
      <c r="Q162" s="21"/>
      <c r="R162" s="21"/>
      <c r="S162" s="23" t="str">
        <f aca="false">IF(COUNTA($B162:$H162)+COUNTA($L162:$O162)=0,"",MID(IF($B162="",", division","")&amp;IF($D162="",", unit","")&amp;IF($F162="",", job title","")&amp;IF($G162="",", career level","")&amp;IF($H162="",", job family","")&amp;IF($I162="",", worker type","")&amp;IF(N($K162)&lt;=0,", the quarter split","")&amp;IF($Q162="",", driver","")&amp;IF($R162="",", alternatives","")&amp;IF(AND($D162&lt;&gt;"",COUNTIF(UnitList,$D162)=0),", a unit that is not in your structure",""),3,300))</f>
        <v/>
      </c>
      <c r="T162" s="17" t="str">
        <f aca="false">IF($S162="","",COUNTIF($S$6:$S162,"?*"))</f>
        <v/>
      </c>
    </row>
    <row r="163" customFormat="false" ht="15" hidden="false" customHeight="false" outlineLevel="0" collapsed="false">
      <c r="A163" s="17" t="n">
        <v>158</v>
      </c>
      <c r="B163" s="21"/>
      <c r="C163" s="21"/>
      <c r="D163" s="21"/>
      <c r="E163" s="21"/>
      <c r="F163" s="21"/>
      <c r="G163" s="21"/>
      <c r="H163" s="21"/>
      <c r="I163" s="21"/>
      <c r="J163" s="20" t="str">
        <f aca="false">IF($F163="","",SUMIFS(SeatApproved,SeatUnit,$D163,SeatTitle,$F163))</f>
        <v/>
      </c>
      <c r="K163" s="20" t="str">
        <f aca="false">IF($F163="","",SUM($L163:$O163))</f>
        <v/>
      </c>
      <c r="L163" s="22"/>
      <c r="M163" s="22"/>
      <c r="N163" s="22"/>
      <c r="O163" s="22"/>
      <c r="P163" s="18" t="str">
        <f aca="false">IF($Q163="","",IFERROR(INDEX(DriverCategory,MATCH($Q163,DriverList,0)),"?"))</f>
        <v/>
      </c>
      <c r="Q163" s="21"/>
      <c r="R163" s="21"/>
      <c r="S163" s="23" t="str">
        <f aca="false">IF(COUNTA($B163:$H163)+COUNTA($L163:$O163)=0,"",MID(IF($B163="",", division","")&amp;IF($D163="",", unit","")&amp;IF($F163="",", job title","")&amp;IF($G163="",", career level","")&amp;IF($H163="",", job family","")&amp;IF($I163="",", worker type","")&amp;IF(N($K163)&lt;=0,", the quarter split","")&amp;IF($Q163="",", driver","")&amp;IF($R163="",", alternatives","")&amp;IF(AND($D163&lt;&gt;"",COUNTIF(UnitList,$D163)=0),", a unit that is not in your structure",""),3,300))</f>
        <v/>
      </c>
      <c r="T163" s="17" t="str">
        <f aca="false">IF($S163="","",COUNTIF($S$6:$S163,"?*"))</f>
        <v/>
      </c>
    </row>
    <row r="164" customFormat="false" ht="15" hidden="false" customHeight="false" outlineLevel="0" collapsed="false">
      <c r="A164" s="17" t="n">
        <v>159</v>
      </c>
      <c r="B164" s="21"/>
      <c r="C164" s="21"/>
      <c r="D164" s="21"/>
      <c r="E164" s="21"/>
      <c r="F164" s="21"/>
      <c r="G164" s="21"/>
      <c r="H164" s="21"/>
      <c r="I164" s="21"/>
      <c r="J164" s="20" t="str">
        <f aca="false">IF($F164="","",SUMIFS(SeatApproved,SeatUnit,$D164,SeatTitle,$F164))</f>
        <v/>
      </c>
      <c r="K164" s="20" t="str">
        <f aca="false">IF($F164="","",SUM($L164:$O164))</f>
        <v/>
      </c>
      <c r="L164" s="22"/>
      <c r="M164" s="22"/>
      <c r="N164" s="22"/>
      <c r="O164" s="22"/>
      <c r="P164" s="18" t="str">
        <f aca="false">IF($Q164="","",IFERROR(INDEX(DriverCategory,MATCH($Q164,DriverList,0)),"?"))</f>
        <v/>
      </c>
      <c r="Q164" s="21"/>
      <c r="R164" s="21"/>
      <c r="S164" s="23" t="str">
        <f aca="false">IF(COUNTA($B164:$H164)+COUNTA($L164:$O164)=0,"",MID(IF($B164="",", division","")&amp;IF($D164="",", unit","")&amp;IF($F164="",", job title","")&amp;IF($G164="",", career level","")&amp;IF($H164="",", job family","")&amp;IF($I164="",", worker type","")&amp;IF(N($K164)&lt;=0,", the quarter split","")&amp;IF($Q164="",", driver","")&amp;IF($R164="",", alternatives","")&amp;IF(AND($D164&lt;&gt;"",COUNTIF(UnitList,$D164)=0),", a unit that is not in your structure",""),3,300))</f>
        <v/>
      </c>
      <c r="T164" s="17" t="str">
        <f aca="false">IF($S164="","",COUNTIF($S$6:$S164,"?*"))</f>
        <v/>
      </c>
    </row>
    <row r="165" customFormat="false" ht="15" hidden="false" customHeight="false" outlineLevel="0" collapsed="false">
      <c r="A165" s="17" t="n">
        <v>160</v>
      </c>
      <c r="B165" s="21"/>
      <c r="C165" s="21"/>
      <c r="D165" s="21"/>
      <c r="E165" s="21"/>
      <c r="F165" s="21"/>
      <c r="G165" s="21"/>
      <c r="H165" s="21"/>
      <c r="I165" s="21"/>
      <c r="J165" s="20" t="str">
        <f aca="false">IF($F165="","",SUMIFS(SeatApproved,SeatUnit,$D165,SeatTitle,$F165))</f>
        <v/>
      </c>
      <c r="K165" s="20" t="str">
        <f aca="false">IF($F165="","",SUM($L165:$O165))</f>
        <v/>
      </c>
      <c r="L165" s="22"/>
      <c r="M165" s="22"/>
      <c r="N165" s="22"/>
      <c r="O165" s="22"/>
      <c r="P165" s="18" t="str">
        <f aca="false">IF($Q165="","",IFERROR(INDEX(DriverCategory,MATCH($Q165,DriverList,0)),"?"))</f>
        <v/>
      </c>
      <c r="Q165" s="21"/>
      <c r="R165" s="21"/>
      <c r="S165" s="23" t="str">
        <f aca="false">IF(COUNTA($B165:$H165)+COUNTA($L165:$O165)=0,"",MID(IF($B165="",", division","")&amp;IF($D165="",", unit","")&amp;IF($F165="",", job title","")&amp;IF($G165="",", career level","")&amp;IF($H165="",", job family","")&amp;IF($I165="",", worker type","")&amp;IF(N($K165)&lt;=0,", the quarter split","")&amp;IF($Q165="",", driver","")&amp;IF($R165="",", alternatives","")&amp;IF(AND($D165&lt;&gt;"",COUNTIF(UnitList,$D165)=0),", a unit that is not in your structure",""),3,300))</f>
        <v/>
      </c>
      <c r="T165" s="17" t="str">
        <f aca="false">IF($S165="","",COUNTIF($S$6:$S165,"?*"))</f>
        <v/>
      </c>
    </row>
    <row r="166" customFormat="false" ht="15" hidden="false" customHeight="false" outlineLevel="0" collapsed="false">
      <c r="A166" s="17" t="n">
        <v>161</v>
      </c>
      <c r="B166" s="21"/>
      <c r="C166" s="21"/>
      <c r="D166" s="21"/>
      <c r="E166" s="21"/>
      <c r="F166" s="21"/>
      <c r="G166" s="21"/>
      <c r="H166" s="21"/>
      <c r="I166" s="21"/>
      <c r="J166" s="20" t="str">
        <f aca="false">IF($F166="","",SUMIFS(SeatApproved,SeatUnit,$D166,SeatTitle,$F166))</f>
        <v/>
      </c>
      <c r="K166" s="20" t="str">
        <f aca="false">IF($F166="","",SUM($L166:$O166))</f>
        <v/>
      </c>
      <c r="L166" s="22"/>
      <c r="M166" s="22"/>
      <c r="N166" s="22"/>
      <c r="O166" s="22"/>
      <c r="P166" s="18" t="str">
        <f aca="false">IF($Q166="","",IFERROR(INDEX(DriverCategory,MATCH($Q166,DriverList,0)),"?"))</f>
        <v/>
      </c>
      <c r="Q166" s="21"/>
      <c r="R166" s="21"/>
      <c r="S166" s="23" t="str">
        <f aca="false">IF(COUNTA($B166:$H166)+COUNTA($L166:$O166)=0,"",MID(IF($B166="",", division","")&amp;IF($D166="",", unit","")&amp;IF($F166="",", job title","")&amp;IF($G166="",", career level","")&amp;IF($H166="",", job family","")&amp;IF($I166="",", worker type","")&amp;IF(N($K166)&lt;=0,", the quarter split","")&amp;IF($Q166="",", driver","")&amp;IF($R166="",", alternatives","")&amp;IF(AND($D166&lt;&gt;"",COUNTIF(UnitList,$D166)=0),", a unit that is not in your structure",""),3,300))</f>
        <v/>
      </c>
      <c r="T166" s="17" t="str">
        <f aca="false">IF($S166="","",COUNTIF($S$6:$S166,"?*"))</f>
        <v/>
      </c>
    </row>
    <row r="167" customFormat="false" ht="15" hidden="false" customHeight="false" outlineLevel="0" collapsed="false">
      <c r="A167" s="17" t="n">
        <v>162</v>
      </c>
      <c r="B167" s="21"/>
      <c r="C167" s="21"/>
      <c r="D167" s="21"/>
      <c r="E167" s="21"/>
      <c r="F167" s="21"/>
      <c r="G167" s="21"/>
      <c r="H167" s="21"/>
      <c r="I167" s="21"/>
      <c r="J167" s="20" t="str">
        <f aca="false">IF($F167="","",SUMIFS(SeatApproved,SeatUnit,$D167,SeatTitle,$F167))</f>
        <v/>
      </c>
      <c r="K167" s="20" t="str">
        <f aca="false">IF($F167="","",SUM($L167:$O167))</f>
        <v/>
      </c>
      <c r="L167" s="22"/>
      <c r="M167" s="22"/>
      <c r="N167" s="22"/>
      <c r="O167" s="22"/>
      <c r="P167" s="18" t="str">
        <f aca="false">IF($Q167="","",IFERROR(INDEX(DriverCategory,MATCH($Q167,DriverList,0)),"?"))</f>
        <v/>
      </c>
      <c r="Q167" s="21"/>
      <c r="R167" s="21"/>
      <c r="S167" s="23" t="str">
        <f aca="false">IF(COUNTA($B167:$H167)+COUNTA($L167:$O167)=0,"",MID(IF($B167="",", division","")&amp;IF($D167="",", unit","")&amp;IF($F167="",", job title","")&amp;IF($G167="",", career level","")&amp;IF($H167="",", job family","")&amp;IF($I167="",", worker type","")&amp;IF(N($K167)&lt;=0,", the quarter split","")&amp;IF($Q167="",", driver","")&amp;IF($R167="",", alternatives","")&amp;IF(AND($D167&lt;&gt;"",COUNTIF(UnitList,$D167)=0),", a unit that is not in your structure",""),3,300))</f>
        <v/>
      </c>
      <c r="T167" s="17" t="str">
        <f aca="false">IF($S167="","",COUNTIF($S$6:$S167,"?*"))</f>
        <v/>
      </c>
    </row>
    <row r="168" customFormat="false" ht="15" hidden="false" customHeight="false" outlineLevel="0" collapsed="false">
      <c r="A168" s="17" t="n">
        <v>163</v>
      </c>
      <c r="B168" s="21"/>
      <c r="C168" s="21"/>
      <c r="D168" s="21"/>
      <c r="E168" s="21"/>
      <c r="F168" s="21"/>
      <c r="G168" s="21"/>
      <c r="H168" s="21"/>
      <c r="I168" s="21"/>
      <c r="J168" s="20" t="str">
        <f aca="false">IF($F168="","",SUMIFS(SeatApproved,SeatUnit,$D168,SeatTitle,$F168))</f>
        <v/>
      </c>
      <c r="K168" s="20" t="str">
        <f aca="false">IF($F168="","",SUM($L168:$O168))</f>
        <v/>
      </c>
      <c r="L168" s="22"/>
      <c r="M168" s="22"/>
      <c r="N168" s="22"/>
      <c r="O168" s="22"/>
      <c r="P168" s="18" t="str">
        <f aca="false">IF($Q168="","",IFERROR(INDEX(DriverCategory,MATCH($Q168,DriverList,0)),"?"))</f>
        <v/>
      </c>
      <c r="Q168" s="21"/>
      <c r="R168" s="21"/>
      <c r="S168" s="23" t="str">
        <f aca="false">IF(COUNTA($B168:$H168)+COUNTA($L168:$O168)=0,"",MID(IF($B168="",", division","")&amp;IF($D168="",", unit","")&amp;IF($F168="",", job title","")&amp;IF($G168="",", career level","")&amp;IF($H168="",", job family","")&amp;IF($I168="",", worker type","")&amp;IF(N($K168)&lt;=0,", the quarter split","")&amp;IF($Q168="",", driver","")&amp;IF($R168="",", alternatives","")&amp;IF(AND($D168&lt;&gt;"",COUNTIF(UnitList,$D168)=0),", a unit that is not in your structure",""),3,300))</f>
        <v/>
      </c>
      <c r="T168" s="17" t="str">
        <f aca="false">IF($S168="","",COUNTIF($S$6:$S168,"?*"))</f>
        <v/>
      </c>
    </row>
    <row r="169" customFormat="false" ht="15" hidden="false" customHeight="false" outlineLevel="0" collapsed="false">
      <c r="A169" s="17" t="n">
        <v>164</v>
      </c>
      <c r="B169" s="21"/>
      <c r="C169" s="21"/>
      <c r="D169" s="21"/>
      <c r="E169" s="21"/>
      <c r="F169" s="21"/>
      <c r="G169" s="21"/>
      <c r="H169" s="21"/>
      <c r="I169" s="21"/>
      <c r="J169" s="20" t="str">
        <f aca="false">IF($F169="","",SUMIFS(SeatApproved,SeatUnit,$D169,SeatTitle,$F169))</f>
        <v/>
      </c>
      <c r="K169" s="20" t="str">
        <f aca="false">IF($F169="","",SUM($L169:$O169))</f>
        <v/>
      </c>
      <c r="L169" s="22"/>
      <c r="M169" s="22"/>
      <c r="N169" s="22"/>
      <c r="O169" s="22"/>
      <c r="P169" s="18" t="str">
        <f aca="false">IF($Q169="","",IFERROR(INDEX(DriverCategory,MATCH($Q169,DriverList,0)),"?"))</f>
        <v/>
      </c>
      <c r="Q169" s="21"/>
      <c r="R169" s="21"/>
      <c r="S169" s="23" t="str">
        <f aca="false">IF(COUNTA($B169:$H169)+COUNTA($L169:$O169)=0,"",MID(IF($B169="",", division","")&amp;IF($D169="",", unit","")&amp;IF($F169="",", job title","")&amp;IF($G169="",", career level","")&amp;IF($H169="",", job family","")&amp;IF($I169="",", worker type","")&amp;IF(N($K169)&lt;=0,", the quarter split","")&amp;IF($Q169="",", driver","")&amp;IF($R169="",", alternatives","")&amp;IF(AND($D169&lt;&gt;"",COUNTIF(UnitList,$D169)=0),", a unit that is not in your structure",""),3,300))</f>
        <v/>
      </c>
      <c r="T169" s="17" t="str">
        <f aca="false">IF($S169="","",COUNTIF($S$6:$S169,"?*"))</f>
        <v/>
      </c>
    </row>
    <row r="170" customFormat="false" ht="15" hidden="false" customHeight="false" outlineLevel="0" collapsed="false">
      <c r="A170" s="17" t="n">
        <v>165</v>
      </c>
      <c r="B170" s="21"/>
      <c r="C170" s="21"/>
      <c r="D170" s="21"/>
      <c r="E170" s="21"/>
      <c r="F170" s="21"/>
      <c r="G170" s="21"/>
      <c r="H170" s="21"/>
      <c r="I170" s="21"/>
      <c r="J170" s="20" t="str">
        <f aca="false">IF($F170="","",SUMIFS(SeatApproved,SeatUnit,$D170,SeatTitle,$F170))</f>
        <v/>
      </c>
      <c r="K170" s="20" t="str">
        <f aca="false">IF($F170="","",SUM($L170:$O170))</f>
        <v/>
      </c>
      <c r="L170" s="22"/>
      <c r="M170" s="22"/>
      <c r="N170" s="22"/>
      <c r="O170" s="22"/>
      <c r="P170" s="18" t="str">
        <f aca="false">IF($Q170="","",IFERROR(INDEX(DriverCategory,MATCH($Q170,DriverList,0)),"?"))</f>
        <v/>
      </c>
      <c r="Q170" s="21"/>
      <c r="R170" s="21"/>
      <c r="S170" s="23" t="str">
        <f aca="false">IF(COUNTA($B170:$H170)+COUNTA($L170:$O170)=0,"",MID(IF($B170="",", division","")&amp;IF($D170="",", unit","")&amp;IF($F170="",", job title","")&amp;IF($G170="",", career level","")&amp;IF($H170="",", job family","")&amp;IF($I170="",", worker type","")&amp;IF(N($K170)&lt;=0,", the quarter split","")&amp;IF($Q170="",", driver","")&amp;IF($R170="",", alternatives","")&amp;IF(AND($D170&lt;&gt;"",COUNTIF(UnitList,$D170)=0),", a unit that is not in your structure",""),3,300))</f>
        <v/>
      </c>
      <c r="T170" s="17" t="str">
        <f aca="false">IF($S170="","",COUNTIF($S$6:$S170,"?*"))</f>
        <v/>
      </c>
    </row>
    <row r="171" customFormat="false" ht="15" hidden="false" customHeight="false" outlineLevel="0" collapsed="false">
      <c r="A171" s="17" t="n">
        <v>166</v>
      </c>
      <c r="B171" s="21"/>
      <c r="C171" s="21"/>
      <c r="D171" s="21"/>
      <c r="E171" s="21"/>
      <c r="F171" s="21"/>
      <c r="G171" s="21"/>
      <c r="H171" s="21"/>
      <c r="I171" s="21"/>
      <c r="J171" s="20" t="str">
        <f aca="false">IF($F171="","",SUMIFS(SeatApproved,SeatUnit,$D171,SeatTitle,$F171))</f>
        <v/>
      </c>
      <c r="K171" s="20" t="str">
        <f aca="false">IF($F171="","",SUM($L171:$O171))</f>
        <v/>
      </c>
      <c r="L171" s="22"/>
      <c r="M171" s="22"/>
      <c r="N171" s="22"/>
      <c r="O171" s="22"/>
      <c r="P171" s="18" t="str">
        <f aca="false">IF($Q171="","",IFERROR(INDEX(DriverCategory,MATCH($Q171,DriverList,0)),"?"))</f>
        <v/>
      </c>
      <c r="Q171" s="21"/>
      <c r="R171" s="21"/>
      <c r="S171" s="23" t="str">
        <f aca="false">IF(COUNTA($B171:$H171)+COUNTA($L171:$O171)=0,"",MID(IF($B171="",", division","")&amp;IF($D171="",", unit","")&amp;IF($F171="",", job title","")&amp;IF($G171="",", career level","")&amp;IF($H171="",", job family","")&amp;IF($I171="",", worker type","")&amp;IF(N($K171)&lt;=0,", the quarter split","")&amp;IF($Q171="",", driver","")&amp;IF($R171="",", alternatives","")&amp;IF(AND($D171&lt;&gt;"",COUNTIF(UnitList,$D171)=0),", a unit that is not in your structure",""),3,300))</f>
        <v/>
      </c>
      <c r="T171" s="17" t="str">
        <f aca="false">IF($S171="","",COUNTIF($S$6:$S171,"?*"))</f>
        <v/>
      </c>
    </row>
    <row r="172" customFormat="false" ht="15" hidden="false" customHeight="false" outlineLevel="0" collapsed="false">
      <c r="A172" s="17" t="n">
        <v>167</v>
      </c>
      <c r="B172" s="21"/>
      <c r="C172" s="21"/>
      <c r="D172" s="21"/>
      <c r="E172" s="21"/>
      <c r="F172" s="21"/>
      <c r="G172" s="21"/>
      <c r="H172" s="21"/>
      <c r="I172" s="21"/>
      <c r="J172" s="20" t="str">
        <f aca="false">IF($F172="","",SUMIFS(SeatApproved,SeatUnit,$D172,SeatTitle,$F172))</f>
        <v/>
      </c>
      <c r="K172" s="20" t="str">
        <f aca="false">IF($F172="","",SUM($L172:$O172))</f>
        <v/>
      </c>
      <c r="L172" s="22"/>
      <c r="M172" s="22"/>
      <c r="N172" s="22"/>
      <c r="O172" s="22"/>
      <c r="P172" s="18" t="str">
        <f aca="false">IF($Q172="","",IFERROR(INDEX(DriverCategory,MATCH($Q172,DriverList,0)),"?"))</f>
        <v/>
      </c>
      <c r="Q172" s="21"/>
      <c r="R172" s="21"/>
      <c r="S172" s="23" t="str">
        <f aca="false">IF(COUNTA($B172:$H172)+COUNTA($L172:$O172)=0,"",MID(IF($B172="",", division","")&amp;IF($D172="",", unit","")&amp;IF($F172="",", job title","")&amp;IF($G172="",", career level","")&amp;IF($H172="",", job family","")&amp;IF($I172="",", worker type","")&amp;IF(N($K172)&lt;=0,", the quarter split","")&amp;IF($Q172="",", driver","")&amp;IF($R172="",", alternatives","")&amp;IF(AND($D172&lt;&gt;"",COUNTIF(UnitList,$D172)=0),", a unit that is not in your structure",""),3,300))</f>
        <v/>
      </c>
      <c r="T172" s="17" t="str">
        <f aca="false">IF($S172="","",COUNTIF($S$6:$S172,"?*"))</f>
        <v/>
      </c>
    </row>
    <row r="173" customFormat="false" ht="15" hidden="false" customHeight="false" outlineLevel="0" collapsed="false">
      <c r="A173" s="17" t="n">
        <v>168</v>
      </c>
      <c r="B173" s="21"/>
      <c r="C173" s="21"/>
      <c r="D173" s="21"/>
      <c r="E173" s="21"/>
      <c r="F173" s="21"/>
      <c r="G173" s="21"/>
      <c r="H173" s="21"/>
      <c r="I173" s="21"/>
      <c r="J173" s="20" t="str">
        <f aca="false">IF($F173="","",SUMIFS(SeatApproved,SeatUnit,$D173,SeatTitle,$F173))</f>
        <v/>
      </c>
      <c r="K173" s="20" t="str">
        <f aca="false">IF($F173="","",SUM($L173:$O173))</f>
        <v/>
      </c>
      <c r="L173" s="22"/>
      <c r="M173" s="22"/>
      <c r="N173" s="22"/>
      <c r="O173" s="22"/>
      <c r="P173" s="18" t="str">
        <f aca="false">IF($Q173="","",IFERROR(INDEX(DriverCategory,MATCH($Q173,DriverList,0)),"?"))</f>
        <v/>
      </c>
      <c r="Q173" s="21"/>
      <c r="R173" s="21"/>
      <c r="S173" s="23" t="str">
        <f aca="false">IF(COUNTA($B173:$H173)+COUNTA($L173:$O173)=0,"",MID(IF($B173="",", division","")&amp;IF($D173="",", unit","")&amp;IF($F173="",", job title","")&amp;IF($G173="",", career level","")&amp;IF($H173="",", job family","")&amp;IF($I173="",", worker type","")&amp;IF(N($K173)&lt;=0,", the quarter split","")&amp;IF($Q173="",", driver","")&amp;IF($R173="",", alternatives","")&amp;IF(AND($D173&lt;&gt;"",COUNTIF(UnitList,$D173)=0),", a unit that is not in your structure",""),3,300))</f>
        <v/>
      </c>
      <c r="T173" s="17" t="str">
        <f aca="false">IF($S173="","",COUNTIF($S$6:$S173,"?*"))</f>
        <v/>
      </c>
    </row>
    <row r="174" customFormat="false" ht="15" hidden="false" customHeight="false" outlineLevel="0" collapsed="false">
      <c r="A174" s="17" t="n">
        <v>169</v>
      </c>
      <c r="B174" s="21"/>
      <c r="C174" s="21"/>
      <c r="D174" s="21"/>
      <c r="E174" s="21"/>
      <c r="F174" s="21"/>
      <c r="G174" s="21"/>
      <c r="H174" s="21"/>
      <c r="I174" s="21"/>
      <c r="J174" s="20" t="str">
        <f aca="false">IF($F174="","",SUMIFS(SeatApproved,SeatUnit,$D174,SeatTitle,$F174))</f>
        <v/>
      </c>
      <c r="K174" s="20" t="str">
        <f aca="false">IF($F174="","",SUM($L174:$O174))</f>
        <v/>
      </c>
      <c r="L174" s="22"/>
      <c r="M174" s="22"/>
      <c r="N174" s="22"/>
      <c r="O174" s="22"/>
      <c r="P174" s="18" t="str">
        <f aca="false">IF($Q174="","",IFERROR(INDEX(DriverCategory,MATCH($Q174,DriverList,0)),"?"))</f>
        <v/>
      </c>
      <c r="Q174" s="21"/>
      <c r="R174" s="21"/>
      <c r="S174" s="23" t="str">
        <f aca="false">IF(COUNTA($B174:$H174)+COUNTA($L174:$O174)=0,"",MID(IF($B174="",", division","")&amp;IF($D174="",", unit","")&amp;IF($F174="",", job title","")&amp;IF($G174="",", career level","")&amp;IF($H174="",", job family","")&amp;IF($I174="",", worker type","")&amp;IF(N($K174)&lt;=0,", the quarter split","")&amp;IF($Q174="",", driver","")&amp;IF($R174="",", alternatives","")&amp;IF(AND($D174&lt;&gt;"",COUNTIF(UnitList,$D174)=0),", a unit that is not in your structure",""),3,300))</f>
        <v/>
      </c>
      <c r="T174" s="17" t="str">
        <f aca="false">IF($S174="","",COUNTIF($S$6:$S174,"?*"))</f>
        <v/>
      </c>
    </row>
    <row r="175" customFormat="false" ht="15" hidden="false" customHeight="false" outlineLevel="0" collapsed="false">
      <c r="A175" s="17" t="n">
        <v>170</v>
      </c>
      <c r="B175" s="21"/>
      <c r="C175" s="21"/>
      <c r="D175" s="21"/>
      <c r="E175" s="21"/>
      <c r="F175" s="21"/>
      <c r="G175" s="21"/>
      <c r="H175" s="21"/>
      <c r="I175" s="21"/>
      <c r="J175" s="20" t="str">
        <f aca="false">IF($F175="","",SUMIFS(SeatApproved,SeatUnit,$D175,SeatTitle,$F175))</f>
        <v/>
      </c>
      <c r="K175" s="20" t="str">
        <f aca="false">IF($F175="","",SUM($L175:$O175))</f>
        <v/>
      </c>
      <c r="L175" s="22"/>
      <c r="M175" s="22"/>
      <c r="N175" s="22"/>
      <c r="O175" s="22"/>
      <c r="P175" s="18" t="str">
        <f aca="false">IF($Q175="","",IFERROR(INDEX(DriverCategory,MATCH($Q175,DriverList,0)),"?"))</f>
        <v/>
      </c>
      <c r="Q175" s="21"/>
      <c r="R175" s="21"/>
      <c r="S175" s="23" t="str">
        <f aca="false">IF(COUNTA($B175:$H175)+COUNTA($L175:$O175)=0,"",MID(IF($B175="",", division","")&amp;IF($D175="",", unit","")&amp;IF($F175="",", job title","")&amp;IF($G175="",", career level","")&amp;IF($H175="",", job family","")&amp;IF($I175="",", worker type","")&amp;IF(N($K175)&lt;=0,", the quarter split","")&amp;IF($Q175="",", driver","")&amp;IF($R175="",", alternatives","")&amp;IF(AND($D175&lt;&gt;"",COUNTIF(UnitList,$D175)=0),", a unit that is not in your structure",""),3,300))</f>
        <v/>
      </c>
      <c r="T175" s="17" t="str">
        <f aca="false">IF($S175="","",COUNTIF($S$6:$S175,"?*"))</f>
        <v/>
      </c>
    </row>
    <row r="176" customFormat="false" ht="15" hidden="false" customHeight="false" outlineLevel="0" collapsed="false">
      <c r="A176" s="17" t="n">
        <v>171</v>
      </c>
      <c r="B176" s="21"/>
      <c r="C176" s="21"/>
      <c r="D176" s="21"/>
      <c r="E176" s="21"/>
      <c r="F176" s="21"/>
      <c r="G176" s="21"/>
      <c r="H176" s="21"/>
      <c r="I176" s="21"/>
      <c r="J176" s="20" t="str">
        <f aca="false">IF($F176="","",SUMIFS(SeatApproved,SeatUnit,$D176,SeatTitle,$F176))</f>
        <v/>
      </c>
      <c r="K176" s="20" t="str">
        <f aca="false">IF($F176="","",SUM($L176:$O176))</f>
        <v/>
      </c>
      <c r="L176" s="22"/>
      <c r="M176" s="22"/>
      <c r="N176" s="22"/>
      <c r="O176" s="22"/>
      <c r="P176" s="18" t="str">
        <f aca="false">IF($Q176="","",IFERROR(INDEX(DriverCategory,MATCH($Q176,DriverList,0)),"?"))</f>
        <v/>
      </c>
      <c r="Q176" s="21"/>
      <c r="R176" s="21"/>
      <c r="S176" s="23" t="str">
        <f aca="false">IF(COUNTA($B176:$H176)+COUNTA($L176:$O176)=0,"",MID(IF($B176="",", division","")&amp;IF($D176="",", unit","")&amp;IF($F176="",", job title","")&amp;IF($G176="",", career level","")&amp;IF($H176="",", job family","")&amp;IF($I176="",", worker type","")&amp;IF(N($K176)&lt;=0,", the quarter split","")&amp;IF($Q176="",", driver","")&amp;IF($R176="",", alternatives","")&amp;IF(AND($D176&lt;&gt;"",COUNTIF(UnitList,$D176)=0),", a unit that is not in your structure",""),3,300))</f>
        <v/>
      </c>
      <c r="T176" s="17" t="str">
        <f aca="false">IF($S176="","",COUNTIF($S$6:$S176,"?*"))</f>
        <v/>
      </c>
    </row>
    <row r="177" customFormat="false" ht="15" hidden="false" customHeight="false" outlineLevel="0" collapsed="false">
      <c r="A177" s="17" t="n">
        <v>172</v>
      </c>
      <c r="B177" s="21"/>
      <c r="C177" s="21"/>
      <c r="D177" s="21"/>
      <c r="E177" s="21"/>
      <c r="F177" s="21"/>
      <c r="G177" s="21"/>
      <c r="H177" s="21"/>
      <c r="I177" s="21"/>
      <c r="J177" s="20" t="str">
        <f aca="false">IF($F177="","",SUMIFS(SeatApproved,SeatUnit,$D177,SeatTitle,$F177))</f>
        <v/>
      </c>
      <c r="K177" s="20" t="str">
        <f aca="false">IF($F177="","",SUM($L177:$O177))</f>
        <v/>
      </c>
      <c r="L177" s="22"/>
      <c r="M177" s="22"/>
      <c r="N177" s="22"/>
      <c r="O177" s="22"/>
      <c r="P177" s="18" t="str">
        <f aca="false">IF($Q177="","",IFERROR(INDEX(DriverCategory,MATCH($Q177,DriverList,0)),"?"))</f>
        <v/>
      </c>
      <c r="Q177" s="21"/>
      <c r="R177" s="21"/>
      <c r="S177" s="23" t="str">
        <f aca="false">IF(COUNTA($B177:$H177)+COUNTA($L177:$O177)=0,"",MID(IF($B177="",", division","")&amp;IF($D177="",", unit","")&amp;IF($F177="",", job title","")&amp;IF($G177="",", career level","")&amp;IF($H177="",", job family","")&amp;IF($I177="",", worker type","")&amp;IF(N($K177)&lt;=0,", the quarter split","")&amp;IF($Q177="",", driver","")&amp;IF($R177="",", alternatives","")&amp;IF(AND($D177&lt;&gt;"",COUNTIF(UnitList,$D177)=0),", a unit that is not in your structure",""),3,300))</f>
        <v/>
      </c>
      <c r="T177" s="17" t="str">
        <f aca="false">IF($S177="","",COUNTIF($S$6:$S177,"?*"))</f>
        <v/>
      </c>
    </row>
    <row r="178" customFormat="false" ht="15" hidden="false" customHeight="false" outlineLevel="0" collapsed="false">
      <c r="A178" s="17" t="n">
        <v>173</v>
      </c>
      <c r="B178" s="21"/>
      <c r="C178" s="21"/>
      <c r="D178" s="21"/>
      <c r="E178" s="21"/>
      <c r="F178" s="21"/>
      <c r="G178" s="21"/>
      <c r="H178" s="21"/>
      <c r="I178" s="21"/>
      <c r="J178" s="20" t="str">
        <f aca="false">IF($F178="","",SUMIFS(SeatApproved,SeatUnit,$D178,SeatTitle,$F178))</f>
        <v/>
      </c>
      <c r="K178" s="20" t="str">
        <f aca="false">IF($F178="","",SUM($L178:$O178))</f>
        <v/>
      </c>
      <c r="L178" s="22"/>
      <c r="M178" s="22"/>
      <c r="N178" s="22"/>
      <c r="O178" s="22"/>
      <c r="P178" s="18" t="str">
        <f aca="false">IF($Q178="","",IFERROR(INDEX(DriverCategory,MATCH($Q178,DriverList,0)),"?"))</f>
        <v/>
      </c>
      <c r="Q178" s="21"/>
      <c r="R178" s="21"/>
      <c r="S178" s="23" t="str">
        <f aca="false">IF(COUNTA($B178:$H178)+COUNTA($L178:$O178)=0,"",MID(IF($B178="",", division","")&amp;IF($D178="",", unit","")&amp;IF($F178="",", job title","")&amp;IF($G178="",", career level","")&amp;IF($H178="",", job family","")&amp;IF($I178="",", worker type","")&amp;IF(N($K178)&lt;=0,", the quarter split","")&amp;IF($Q178="",", driver","")&amp;IF($R178="",", alternatives","")&amp;IF(AND($D178&lt;&gt;"",COUNTIF(UnitList,$D178)=0),", a unit that is not in your structure",""),3,300))</f>
        <v/>
      </c>
      <c r="T178" s="17" t="str">
        <f aca="false">IF($S178="","",COUNTIF($S$6:$S178,"?*"))</f>
        <v/>
      </c>
    </row>
    <row r="179" customFormat="false" ht="15" hidden="false" customHeight="false" outlineLevel="0" collapsed="false">
      <c r="A179" s="17" t="n">
        <v>174</v>
      </c>
      <c r="B179" s="21"/>
      <c r="C179" s="21"/>
      <c r="D179" s="21"/>
      <c r="E179" s="21"/>
      <c r="F179" s="21"/>
      <c r="G179" s="21"/>
      <c r="H179" s="21"/>
      <c r="I179" s="21"/>
      <c r="J179" s="20" t="str">
        <f aca="false">IF($F179="","",SUMIFS(SeatApproved,SeatUnit,$D179,SeatTitle,$F179))</f>
        <v/>
      </c>
      <c r="K179" s="20" t="str">
        <f aca="false">IF($F179="","",SUM($L179:$O179))</f>
        <v/>
      </c>
      <c r="L179" s="22"/>
      <c r="M179" s="22"/>
      <c r="N179" s="22"/>
      <c r="O179" s="22"/>
      <c r="P179" s="18" t="str">
        <f aca="false">IF($Q179="","",IFERROR(INDEX(DriverCategory,MATCH($Q179,DriverList,0)),"?"))</f>
        <v/>
      </c>
      <c r="Q179" s="21"/>
      <c r="R179" s="21"/>
      <c r="S179" s="23" t="str">
        <f aca="false">IF(COUNTA($B179:$H179)+COUNTA($L179:$O179)=0,"",MID(IF($B179="",", division","")&amp;IF($D179="",", unit","")&amp;IF($F179="",", job title","")&amp;IF($G179="",", career level","")&amp;IF($H179="",", job family","")&amp;IF($I179="",", worker type","")&amp;IF(N($K179)&lt;=0,", the quarter split","")&amp;IF($Q179="",", driver","")&amp;IF($R179="",", alternatives","")&amp;IF(AND($D179&lt;&gt;"",COUNTIF(UnitList,$D179)=0),", a unit that is not in your structure",""),3,300))</f>
        <v/>
      </c>
      <c r="T179" s="17" t="str">
        <f aca="false">IF($S179="","",COUNTIF($S$6:$S179,"?*"))</f>
        <v/>
      </c>
    </row>
    <row r="180" customFormat="false" ht="15" hidden="false" customHeight="false" outlineLevel="0" collapsed="false">
      <c r="A180" s="17" t="n">
        <v>175</v>
      </c>
      <c r="B180" s="21"/>
      <c r="C180" s="21"/>
      <c r="D180" s="21"/>
      <c r="E180" s="21"/>
      <c r="F180" s="21"/>
      <c r="G180" s="21"/>
      <c r="H180" s="21"/>
      <c r="I180" s="21"/>
      <c r="J180" s="20" t="str">
        <f aca="false">IF($F180="","",SUMIFS(SeatApproved,SeatUnit,$D180,SeatTitle,$F180))</f>
        <v/>
      </c>
      <c r="K180" s="20" t="str">
        <f aca="false">IF($F180="","",SUM($L180:$O180))</f>
        <v/>
      </c>
      <c r="L180" s="22"/>
      <c r="M180" s="22"/>
      <c r="N180" s="22"/>
      <c r="O180" s="22"/>
      <c r="P180" s="18" t="str">
        <f aca="false">IF($Q180="","",IFERROR(INDEX(DriverCategory,MATCH($Q180,DriverList,0)),"?"))</f>
        <v/>
      </c>
      <c r="Q180" s="21"/>
      <c r="R180" s="21"/>
      <c r="S180" s="23" t="str">
        <f aca="false">IF(COUNTA($B180:$H180)+COUNTA($L180:$O180)=0,"",MID(IF($B180="",", division","")&amp;IF($D180="",", unit","")&amp;IF($F180="",", job title","")&amp;IF($G180="",", career level","")&amp;IF($H180="",", job family","")&amp;IF($I180="",", worker type","")&amp;IF(N($K180)&lt;=0,", the quarter split","")&amp;IF($Q180="",", driver","")&amp;IF($R180="",", alternatives","")&amp;IF(AND($D180&lt;&gt;"",COUNTIF(UnitList,$D180)=0),", a unit that is not in your structure",""),3,300))</f>
        <v/>
      </c>
      <c r="T180" s="17" t="str">
        <f aca="false">IF($S180="","",COUNTIF($S$6:$S180,"?*"))</f>
        <v/>
      </c>
    </row>
    <row r="181" customFormat="false" ht="15" hidden="false" customHeight="false" outlineLevel="0" collapsed="false">
      <c r="A181" s="17" t="n">
        <v>176</v>
      </c>
      <c r="B181" s="21"/>
      <c r="C181" s="21"/>
      <c r="D181" s="21"/>
      <c r="E181" s="21"/>
      <c r="F181" s="21"/>
      <c r="G181" s="21"/>
      <c r="H181" s="21"/>
      <c r="I181" s="21"/>
      <c r="J181" s="20" t="str">
        <f aca="false">IF($F181="","",SUMIFS(SeatApproved,SeatUnit,$D181,SeatTitle,$F181))</f>
        <v/>
      </c>
      <c r="K181" s="20" t="str">
        <f aca="false">IF($F181="","",SUM($L181:$O181))</f>
        <v/>
      </c>
      <c r="L181" s="22"/>
      <c r="M181" s="22"/>
      <c r="N181" s="22"/>
      <c r="O181" s="22"/>
      <c r="P181" s="18" t="str">
        <f aca="false">IF($Q181="","",IFERROR(INDEX(DriverCategory,MATCH($Q181,DriverList,0)),"?"))</f>
        <v/>
      </c>
      <c r="Q181" s="21"/>
      <c r="R181" s="21"/>
      <c r="S181" s="23" t="str">
        <f aca="false">IF(COUNTA($B181:$H181)+COUNTA($L181:$O181)=0,"",MID(IF($B181="",", division","")&amp;IF($D181="",", unit","")&amp;IF($F181="",", job title","")&amp;IF($G181="",", career level","")&amp;IF($H181="",", job family","")&amp;IF($I181="",", worker type","")&amp;IF(N($K181)&lt;=0,", the quarter split","")&amp;IF($Q181="",", driver","")&amp;IF($R181="",", alternatives","")&amp;IF(AND($D181&lt;&gt;"",COUNTIF(UnitList,$D181)=0),", a unit that is not in your structure",""),3,300))</f>
        <v/>
      </c>
      <c r="T181" s="17" t="str">
        <f aca="false">IF($S181="","",COUNTIF($S$6:$S181,"?*"))</f>
        <v/>
      </c>
    </row>
    <row r="182" customFormat="false" ht="15" hidden="false" customHeight="false" outlineLevel="0" collapsed="false">
      <c r="A182" s="17" t="n">
        <v>177</v>
      </c>
      <c r="B182" s="21"/>
      <c r="C182" s="21"/>
      <c r="D182" s="21"/>
      <c r="E182" s="21"/>
      <c r="F182" s="21"/>
      <c r="G182" s="21"/>
      <c r="H182" s="21"/>
      <c r="I182" s="21"/>
      <c r="J182" s="20" t="str">
        <f aca="false">IF($F182="","",SUMIFS(SeatApproved,SeatUnit,$D182,SeatTitle,$F182))</f>
        <v/>
      </c>
      <c r="K182" s="20" t="str">
        <f aca="false">IF($F182="","",SUM($L182:$O182))</f>
        <v/>
      </c>
      <c r="L182" s="22"/>
      <c r="M182" s="22"/>
      <c r="N182" s="22"/>
      <c r="O182" s="22"/>
      <c r="P182" s="18" t="str">
        <f aca="false">IF($Q182="","",IFERROR(INDEX(DriverCategory,MATCH($Q182,DriverList,0)),"?"))</f>
        <v/>
      </c>
      <c r="Q182" s="21"/>
      <c r="R182" s="21"/>
      <c r="S182" s="23" t="str">
        <f aca="false">IF(COUNTA($B182:$H182)+COUNTA($L182:$O182)=0,"",MID(IF($B182="",", division","")&amp;IF($D182="",", unit","")&amp;IF($F182="",", job title","")&amp;IF($G182="",", career level","")&amp;IF($H182="",", job family","")&amp;IF($I182="",", worker type","")&amp;IF(N($K182)&lt;=0,", the quarter split","")&amp;IF($Q182="",", driver","")&amp;IF($R182="",", alternatives","")&amp;IF(AND($D182&lt;&gt;"",COUNTIF(UnitList,$D182)=0),", a unit that is not in your structure",""),3,300))</f>
        <v/>
      </c>
      <c r="T182" s="17" t="str">
        <f aca="false">IF($S182="","",COUNTIF($S$6:$S182,"?*"))</f>
        <v/>
      </c>
    </row>
    <row r="183" customFormat="false" ht="15" hidden="false" customHeight="false" outlineLevel="0" collapsed="false">
      <c r="A183" s="17" t="n">
        <v>178</v>
      </c>
      <c r="B183" s="21"/>
      <c r="C183" s="21"/>
      <c r="D183" s="21"/>
      <c r="E183" s="21"/>
      <c r="F183" s="21"/>
      <c r="G183" s="21"/>
      <c r="H183" s="21"/>
      <c r="I183" s="21"/>
      <c r="J183" s="20" t="str">
        <f aca="false">IF($F183="","",SUMIFS(SeatApproved,SeatUnit,$D183,SeatTitle,$F183))</f>
        <v/>
      </c>
      <c r="K183" s="20" t="str">
        <f aca="false">IF($F183="","",SUM($L183:$O183))</f>
        <v/>
      </c>
      <c r="L183" s="22"/>
      <c r="M183" s="22"/>
      <c r="N183" s="22"/>
      <c r="O183" s="22"/>
      <c r="P183" s="18" t="str">
        <f aca="false">IF($Q183="","",IFERROR(INDEX(DriverCategory,MATCH($Q183,DriverList,0)),"?"))</f>
        <v/>
      </c>
      <c r="Q183" s="21"/>
      <c r="R183" s="21"/>
      <c r="S183" s="23" t="str">
        <f aca="false">IF(COUNTA($B183:$H183)+COUNTA($L183:$O183)=0,"",MID(IF($B183="",", division","")&amp;IF($D183="",", unit","")&amp;IF($F183="",", job title","")&amp;IF($G183="",", career level","")&amp;IF($H183="",", job family","")&amp;IF($I183="",", worker type","")&amp;IF(N($K183)&lt;=0,", the quarter split","")&amp;IF($Q183="",", driver","")&amp;IF($R183="",", alternatives","")&amp;IF(AND($D183&lt;&gt;"",COUNTIF(UnitList,$D183)=0),", a unit that is not in your structure",""),3,300))</f>
        <v/>
      </c>
      <c r="T183" s="17" t="str">
        <f aca="false">IF($S183="","",COUNTIF($S$6:$S183,"?*"))</f>
        <v/>
      </c>
    </row>
    <row r="184" customFormat="false" ht="15" hidden="false" customHeight="false" outlineLevel="0" collapsed="false">
      <c r="A184" s="17" t="n">
        <v>179</v>
      </c>
      <c r="B184" s="21"/>
      <c r="C184" s="21"/>
      <c r="D184" s="21"/>
      <c r="E184" s="21"/>
      <c r="F184" s="21"/>
      <c r="G184" s="21"/>
      <c r="H184" s="21"/>
      <c r="I184" s="21"/>
      <c r="J184" s="20" t="str">
        <f aca="false">IF($F184="","",SUMIFS(SeatApproved,SeatUnit,$D184,SeatTitle,$F184))</f>
        <v/>
      </c>
      <c r="K184" s="20" t="str">
        <f aca="false">IF($F184="","",SUM($L184:$O184))</f>
        <v/>
      </c>
      <c r="L184" s="22"/>
      <c r="M184" s="22"/>
      <c r="N184" s="22"/>
      <c r="O184" s="22"/>
      <c r="P184" s="18" t="str">
        <f aca="false">IF($Q184="","",IFERROR(INDEX(DriverCategory,MATCH($Q184,DriverList,0)),"?"))</f>
        <v/>
      </c>
      <c r="Q184" s="21"/>
      <c r="R184" s="21"/>
      <c r="S184" s="23" t="str">
        <f aca="false">IF(COUNTA($B184:$H184)+COUNTA($L184:$O184)=0,"",MID(IF($B184="",", division","")&amp;IF($D184="",", unit","")&amp;IF($F184="",", job title","")&amp;IF($G184="",", career level","")&amp;IF($H184="",", job family","")&amp;IF($I184="",", worker type","")&amp;IF(N($K184)&lt;=0,", the quarter split","")&amp;IF($Q184="",", driver","")&amp;IF($R184="",", alternatives","")&amp;IF(AND($D184&lt;&gt;"",COUNTIF(UnitList,$D184)=0),", a unit that is not in your structure",""),3,300))</f>
        <v/>
      </c>
      <c r="T184" s="17" t="str">
        <f aca="false">IF($S184="","",COUNTIF($S$6:$S184,"?*"))</f>
        <v/>
      </c>
    </row>
    <row r="185" customFormat="false" ht="15" hidden="false" customHeight="false" outlineLevel="0" collapsed="false">
      <c r="A185" s="17" t="n">
        <v>180</v>
      </c>
      <c r="B185" s="21"/>
      <c r="C185" s="21"/>
      <c r="D185" s="21"/>
      <c r="E185" s="21"/>
      <c r="F185" s="21"/>
      <c r="G185" s="21"/>
      <c r="H185" s="21"/>
      <c r="I185" s="21"/>
      <c r="J185" s="20" t="str">
        <f aca="false">IF($F185="","",SUMIFS(SeatApproved,SeatUnit,$D185,SeatTitle,$F185))</f>
        <v/>
      </c>
      <c r="K185" s="20" t="str">
        <f aca="false">IF($F185="","",SUM($L185:$O185))</f>
        <v/>
      </c>
      <c r="L185" s="22"/>
      <c r="M185" s="22"/>
      <c r="N185" s="22"/>
      <c r="O185" s="22"/>
      <c r="P185" s="18" t="str">
        <f aca="false">IF($Q185="","",IFERROR(INDEX(DriverCategory,MATCH($Q185,DriverList,0)),"?"))</f>
        <v/>
      </c>
      <c r="Q185" s="21"/>
      <c r="R185" s="21"/>
      <c r="S185" s="23" t="str">
        <f aca="false">IF(COUNTA($B185:$H185)+COUNTA($L185:$O185)=0,"",MID(IF($B185="",", division","")&amp;IF($D185="",", unit","")&amp;IF($F185="",", job title","")&amp;IF($G185="",", career level","")&amp;IF($H185="",", job family","")&amp;IF($I185="",", worker type","")&amp;IF(N($K185)&lt;=0,", the quarter split","")&amp;IF($Q185="",", driver","")&amp;IF($R185="",", alternatives","")&amp;IF(AND($D185&lt;&gt;"",COUNTIF(UnitList,$D185)=0),", a unit that is not in your structure",""),3,300))</f>
        <v/>
      </c>
      <c r="T185" s="17" t="str">
        <f aca="false">IF($S185="","",COUNTIF($S$6:$S185,"?*"))</f>
        <v/>
      </c>
    </row>
    <row r="186" customFormat="false" ht="15" hidden="false" customHeight="false" outlineLevel="0" collapsed="false">
      <c r="A186" s="17" t="n">
        <v>181</v>
      </c>
      <c r="B186" s="21"/>
      <c r="C186" s="21"/>
      <c r="D186" s="21"/>
      <c r="E186" s="21"/>
      <c r="F186" s="21"/>
      <c r="G186" s="21"/>
      <c r="H186" s="21"/>
      <c r="I186" s="21"/>
      <c r="J186" s="20" t="str">
        <f aca="false">IF($F186="","",SUMIFS(SeatApproved,SeatUnit,$D186,SeatTitle,$F186))</f>
        <v/>
      </c>
      <c r="K186" s="20" t="str">
        <f aca="false">IF($F186="","",SUM($L186:$O186))</f>
        <v/>
      </c>
      <c r="L186" s="22"/>
      <c r="M186" s="22"/>
      <c r="N186" s="22"/>
      <c r="O186" s="22"/>
      <c r="P186" s="18" t="str">
        <f aca="false">IF($Q186="","",IFERROR(INDEX(DriverCategory,MATCH($Q186,DriverList,0)),"?"))</f>
        <v/>
      </c>
      <c r="Q186" s="21"/>
      <c r="R186" s="21"/>
      <c r="S186" s="23" t="str">
        <f aca="false">IF(COUNTA($B186:$H186)+COUNTA($L186:$O186)=0,"",MID(IF($B186="",", division","")&amp;IF($D186="",", unit","")&amp;IF($F186="",", job title","")&amp;IF($G186="",", career level","")&amp;IF($H186="",", job family","")&amp;IF($I186="",", worker type","")&amp;IF(N($K186)&lt;=0,", the quarter split","")&amp;IF($Q186="",", driver","")&amp;IF($R186="",", alternatives","")&amp;IF(AND($D186&lt;&gt;"",COUNTIF(UnitList,$D186)=0),", a unit that is not in your structure",""),3,300))</f>
        <v/>
      </c>
      <c r="T186" s="17" t="str">
        <f aca="false">IF($S186="","",COUNTIF($S$6:$S186,"?*"))</f>
        <v/>
      </c>
    </row>
    <row r="187" customFormat="false" ht="15" hidden="false" customHeight="false" outlineLevel="0" collapsed="false">
      <c r="A187" s="17" t="n">
        <v>182</v>
      </c>
      <c r="B187" s="21"/>
      <c r="C187" s="21"/>
      <c r="D187" s="21"/>
      <c r="E187" s="21"/>
      <c r="F187" s="21"/>
      <c r="G187" s="21"/>
      <c r="H187" s="21"/>
      <c r="I187" s="21"/>
      <c r="J187" s="20" t="str">
        <f aca="false">IF($F187="","",SUMIFS(SeatApproved,SeatUnit,$D187,SeatTitle,$F187))</f>
        <v/>
      </c>
      <c r="K187" s="20" t="str">
        <f aca="false">IF($F187="","",SUM($L187:$O187))</f>
        <v/>
      </c>
      <c r="L187" s="22"/>
      <c r="M187" s="22"/>
      <c r="N187" s="22"/>
      <c r="O187" s="22"/>
      <c r="P187" s="18" t="str">
        <f aca="false">IF($Q187="","",IFERROR(INDEX(DriverCategory,MATCH($Q187,DriverList,0)),"?"))</f>
        <v/>
      </c>
      <c r="Q187" s="21"/>
      <c r="R187" s="21"/>
      <c r="S187" s="23" t="str">
        <f aca="false">IF(COUNTA($B187:$H187)+COUNTA($L187:$O187)=0,"",MID(IF($B187="",", division","")&amp;IF($D187="",", unit","")&amp;IF($F187="",", job title","")&amp;IF($G187="",", career level","")&amp;IF($H187="",", job family","")&amp;IF($I187="",", worker type","")&amp;IF(N($K187)&lt;=0,", the quarter split","")&amp;IF($Q187="",", driver","")&amp;IF($R187="",", alternatives","")&amp;IF(AND($D187&lt;&gt;"",COUNTIF(UnitList,$D187)=0),", a unit that is not in your structure",""),3,300))</f>
        <v/>
      </c>
      <c r="T187" s="17" t="str">
        <f aca="false">IF($S187="","",COUNTIF($S$6:$S187,"?*"))</f>
        <v/>
      </c>
    </row>
    <row r="188" customFormat="false" ht="15" hidden="false" customHeight="false" outlineLevel="0" collapsed="false">
      <c r="A188" s="17" t="n">
        <v>183</v>
      </c>
      <c r="B188" s="21"/>
      <c r="C188" s="21"/>
      <c r="D188" s="21"/>
      <c r="E188" s="21"/>
      <c r="F188" s="21"/>
      <c r="G188" s="21"/>
      <c r="H188" s="21"/>
      <c r="I188" s="21"/>
      <c r="J188" s="20" t="str">
        <f aca="false">IF($F188="","",SUMIFS(SeatApproved,SeatUnit,$D188,SeatTitle,$F188))</f>
        <v/>
      </c>
      <c r="K188" s="20" t="str">
        <f aca="false">IF($F188="","",SUM($L188:$O188))</f>
        <v/>
      </c>
      <c r="L188" s="22"/>
      <c r="M188" s="22"/>
      <c r="N188" s="22"/>
      <c r="O188" s="22"/>
      <c r="P188" s="18" t="str">
        <f aca="false">IF($Q188="","",IFERROR(INDEX(DriverCategory,MATCH($Q188,DriverList,0)),"?"))</f>
        <v/>
      </c>
      <c r="Q188" s="21"/>
      <c r="R188" s="21"/>
      <c r="S188" s="23" t="str">
        <f aca="false">IF(COUNTA($B188:$H188)+COUNTA($L188:$O188)=0,"",MID(IF($B188="",", division","")&amp;IF($D188="",", unit","")&amp;IF($F188="",", job title","")&amp;IF($G188="",", career level","")&amp;IF($H188="",", job family","")&amp;IF($I188="",", worker type","")&amp;IF(N($K188)&lt;=0,", the quarter split","")&amp;IF($Q188="",", driver","")&amp;IF($R188="",", alternatives","")&amp;IF(AND($D188&lt;&gt;"",COUNTIF(UnitList,$D188)=0),", a unit that is not in your structure",""),3,300))</f>
        <v/>
      </c>
      <c r="T188" s="17" t="str">
        <f aca="false">IF($S188="","",COUNTIF($S$6:$S188,"?*"))</f>
        <v/>
      </c>
    </row>
    <row r="189" customFormat="false" ht="15" hidden="false" customHeight="false" outlineLevel="0" collapsed="false">
      <c r="A189" s="17" t="n">
        <v>184</v>
      </c>
      <c r="B189" s="21"/>
      <c r="C189" s="21"/>
      <c r="D189" s="21"/>
      <c r="E189" s="21"/>
      <c r="F189" s="21"/>
      <c r="G189" s="21"/>
      <c r="H189" s="21"/>
      <c r="I189" s="21"/>
      <c r="J189" s="20" t="str">
        <f aca="false">IF($F189="","",SUMIFS(SeatApproved,SeatUnit,$D189,SeatTitle,$F189))</f>
        <v/>
      </c>
      <c r="K189" s="20" t="str">
        <f aca="false">IF($F189="","",SUM($L189:$O189))</f>
        <v/>
      </c>
      <c r="L189" s="22"/>
      <c r="M189" s="22"/>
      <c r="N189" s="22"/>
      <c r="O189" s="22"/>
      <c r="P189" s="18" t="str">
        <f aca="false">IF($Q189="","",IFERROR(INDEX(DriverCategory,MATCH($Q189,DriverList,0)),"?"))</f>
        <v/>
      </c>
      <c r="Q189" s="21"/>
      <c r="R189" s="21"/>
      <c r="S189" s="23" t="str">
        <f aca="false">IF(COUNTA($B189:$H189)+COUNTA($L189:$O189)=0,"",MID(IF($B189="",", division","")&amp;IF($D189="",", unit","")&amp;IF($F189="",", job title","")&amp;IF($G189="",", career level","")&amp;IF($H189="",", job family","")&amp;IF($I189="",", worker type","")&amp;IF(N($K189)&lt;=0,", the quarter split","")&amp;IF($Q189="",", driver","")&amp;IF($R189="",", alternatives","")&amp;IF(AND($D189&lt;&gt;"",COUNTIF(UnitList,$D189)=0),", a unit that is not in your structure",""),3,300))</f>
        <v/>
      </c>
      <c r="T189" s="17" t="str">
        <f aca="false">IF($S189="","",COUNTIF($S$6:$S189,"?*"))</f>
        <v/>
      </c>
    </row>
    <row r="190" customFormat="false" ht="15" hidden="false" customHeight="false" outlineLevel="0" collapsed="false">
      <c r="A190" s="17" t="n">
        <v>185</v>
      </c>
      <c r="B190" s="21"/>
      <c r="C190" s="21"/>
      <c r="D190" s="21"/>
      <c r="E190" s="21"/>
      <c r="F190" s="21"/>
      <c r="G190" s="21"/>
      <c r="H190" s="21"/>
      <c r="I190" s="21"/>
      <c r="J190" s="20" t="str">
        <f aca="false">IF($F190="","",SUMIFS(SeatApproved,SeatUnit,$D190,SeatTitle,$F190))</f>
        <v/>
      </c>
      <c r="K190" s="20" t="str">
        <f aca="false">IF($F190="","",SUM($L190:$O190))</f>
        <v/>
      </c>
      <c r="L190" s="22"/>
      <c r="M190" s="22"/>
      <c r="N190" s="22"/>
      <c r="O190" s="22"/>
      <c r="P190" s="18" t="str">
        <f aca="false">IF($Q190="","",IFERROR(INDEX(DriverCategory,MATCH($Q190,DriverList,0)),"?"))</f>
        <v/>
      </c>
      <c r="Q190" s="21"/>
      <c r="R190" s="21"/>
      <c r="S190" s="23" t="str">
        <f aca="false">IF(COUNTA($B190:$H190)+COUNTA($L190:$O190)=0,"",MID(IF($B190="",", division","")&amp;IF($D190="",", unit","")&amp;IF($F190="",", job title","")&amp;IF($G190="",", career level","")&amp;IF($H190="",", job family","")&amp;IF($I190="",", worker type","")&amp;IF(N($K190)&lt;=0,", the quarter split","")&amp;IF($Q190="",", driver","")&amp;IF($R190="",", alternatives","")&amp;IF(AND($D190&lt;&gt;"",COUNTIF(UnitList,$D190)=0),", a unit that is not in your structure",""),3,300))</f>
        <v/>
      </c>
      <c r="T190" s="17" t="str">
        <f aca="false">IF($S190="","",COUNTIF($S$6:$S190,"?*"))</f>
        <v/>
      </c>
    </row>
    <row r="191" customFormat="false" ht="15" hidden="false" customHeight="false" outlineLevel="0" collapsed="false">
      <c r="A191" s="17" t="n">
        <v>186</v>
      </c>
      <c r="B191" s="21"/>
      <c r="C191" s="21"/>
      <c r="D191" s="21"/>
      <c r="E191" s="21"/>
      <c r="F191" s="21"/>
      <c r="G191" s="21"/>
      <c r="H191" s="21"/>
      <c r="I191" s="21"/>
      <c r="J191" s="20" t="str">
        <f aca="false">IF($F191="","",SUMIFS(SeatApproved,SeatUnit,$D191,SeatTitle,$F191))</f>
        <v/>
      </c>
      <c r="K191" s="20" t="str">
        <f aca="false">IF($F191="","",SUM($L191:$O191))</f>
        <v/>
      </c>
      <c r="L191" s="22"/>
      <c r="M191" s="22"/>
      <c r="N191" s="22"/>
      <c r="O191" s="22"/>
      <c r="P191" s="18" t="str">
        <f aca="false">IF($Q191="","",IFERROR(INDEX(DriverCategory,MATCH($Q191,DriverList,0)),"?"))</f>
        <v/>
      </c>
      <c r="Q191" s="21"/>
      <c r="R191" s="21"/>
      <c r="S191" s="23" t="str">
        <f aca="false">IF(COUNTA($B191:$H191)+COUNTA($L191:$O191)=0,"",MID(IF($B191="",", division","")&amp;IF($D191="",", unit","")&amp;IF($F191="",", job title","")&amp;IF($G191="",", career level","")&amp;IF($H191="",", job family","")&amp;IF($I191="",", worker type","")&amp;IF(N($K191)&lt;=0,", the quarter split","")&amp;IF($Q191="",", driver","")&amp;IF($R191="",", alternatives","")&amp;IF(AND($D191&lt;&gt;"",COUNTIF(UnitList,$D191)=0),", a unit that is not in your structure",""),3,300))</f>
        <v/>
      </c>
      <c r="T191" s="17" t="str">
        <f aca="false">IF($S191="","",COUNTIF($S$6:$S191,"?*"))</f>
        <v/>
      </c>
    </row>
    <row r="192" customFormat="false" ht="15" hidden="false" customHeight="false" outlineLevel="0" collapsed="false">
      <c r="A192" s="17" t="n">
        <v>187</v>
      </c>
      <c r="B192" s="21"/>
      <c r="C192" s="21"/>
      <c r="D192" s="21"/>
      <c r="E192" s="21"/>
      <c r="F192" s="21"/>
      <c r="G192" s="21"/>
      <c r="H192" s="21"/>
      <c r="I192" s="21"/>
      <c r="J192" s="20" t="str">
        <f aca="false">IF($F192="","",SUMIFS(SeatApproved,SeatUnit,$D192,SeatTitle,$F192))</f>
        <v/>
      </c>
      <c r="K192" s="20" t="str">
        <f aca="false">IF($F192="","",SUM($L192:$O192))</f>
        <v/>
      </c>
      <c r="L192" s="22"/>
      <c r="M192" s="22"/>
      <c r="N192" s="22"/>
      <c r="O192" s="22"/>
      <c r="P192" s="18" t="str">
        <f aca="false">IF($Q192="","",IFERROR(INDEX(DriverCategory,MATCH($Q192,DriverList,0)),"?"))</f>
        <v/>
      </c>
      <c r="Q192" s="21"/>
      <c r="R192" s="21"/>
      <c r="S192" s="23" t="str">
        <f aca="false">IF(COUNTA($B192:$H192)+COUNTA($L192:$O192)=0,"",MID(IF($B192="",", division","")&amp;IF($D192="",", unit","")&amp;IF($F192="",", job title","")&amp;IF($G192="",", career level","")&amp;IF($H192="",", job family","")&amp;IF($I192="",", worker type","")&amp;IF(N($K192)&lt;=0,", the quarter split","")&amp;IF($Q192="",", driver","")&amp;IF($R192="",", alternatives","")&amp;IF(AND($D192&lt;&gt;"",COUNTIF(UnitList,$D192)=0),", a unit that is not in your structure",""),3,300))</f>
        <v/>
      </c>
      <c r="T192" s="17" t="str">
        <f aca="false">IF($S192="","",COUNTIF($S$6:$S192,"?*"))</f>
        <v/>
      </c>
    </row>
    <row r="193" customFormat="false" ht="15" hidden="false" customHeight="false" outlineLevel="0" collapsed="false">
      <c r="A193" s="17" t="n">
        <v>188</v>
      </c>
      <c r="B193" s="21"/>
      <c r="C193" s="21"/>
      <c r="D193" s="21"/>
      <c r="E193" s="21"/>
      <c r="F193" s="21"/>
      <c r="G193" s="21"/>
      <c r="H193" s="21"/>
      <c r="I193" s="21"/>
      <c r="J193" s="20" t="str">
        <f aca="false">IF($F193="","",SUMIFS(SeatApproved,SeatUnit,$D193,SeatTitle,$F193))</f>
        <v/>
      </c>
      <c r="K193" s="20" t="str">
        <f aca="false">IF($F193="","",SUM($L193:$O193))</f>
        <v/>
      </c>
      <c r="L193" s="22"/>
      <c r="M193" s="22"/>
      <c r="N193" s="22"/>
      <c r="O193" s="22"/>
      <c r="P193" s="18" t="str">
        <f aca="false">IF($Q193="","",IFERROR(INDEX(DriverCategory,MATCH($Q193,DriverList,0)),"?"))</f>
        <v/>
      </c>
      <c r="Q193" s="21"/>
      <c r="R193" s="21"/>
      <c r="S193" s="23" t="str">
        <f aca="false">IF(COUNTA($B193:$H193)+COUNTA($L193:$O193)=0,"",MID(IF($B193="",", division","")&amp;IF($D193="",", unit","")&amp;IF($F193="",", job title","")&amp;IF($G193="",", career level","")&amp;IF($H193="",", job family","")&amp;IF($I193="",", worker type","")&amp;IF(N($K193)&lt;=0,", the quarter split","")&amp;IF($Q193="",", driver","")&amp;IF($R193="",", alternatives","")&amp;IF(AND($D193&lt;&gt;"",COUNTIF(UnitList,$D193)=0),", a unit that is not in your structure",""),3,300))</f>
        <v/>
      </c>
      <c r="T193" s="17" t="str">
        <f aca="false">IF($S193="","",COUNTIF($S$6:$S193,"?*"))</f>
        <v/>
      </c>
    </row>
    <row r="194" customFormat="false" ht="15" hidden="false" customHeight="false" outlineLevel="0" collapsed="false">
      <c r="A194" s="17" t="n">
        <v>189</v>
      </c>
      <c r="B194" s="21"/>
      <c r="C194" s="21"/>
      <c r="D194" s="21"/>
      <c r="E194" s="21"/>
      <c r="F194" s="21"/>
      <c r="G194" s="21"/>
      <c r="H194" s="21"/>
      <c r="I194" s="21"/>
      <c r="J194" s="20" t="str">
        <f aca="false">IF($F194="","",SUMIFS(SeatApproved,SeatUnit,$D194,SeatTitle,$F194))</f>
        <v/>
      </c>
      <c r="K194" s="20" t="str">
        <f aca="false">IF($F194="","",SUM($L194:$O194))</f>
        <v/>
      </c>
      <c r="L194" s="22"/>
      <c r="M194" s="22"/>
      <c r="N194" s="22"/>
      <c r="O194" s="22"/>
      <c r="P194" s="18" t="str">
        <f aca="false">IF($Q194="","",IFERROR(INDEX(DriverCategory,MATCH($Q194,DriverList,0)),"?"))</f>
        <v/>
      </c>
      <c r="Q194" s="21"/>
      <c r="R194" s="21"/>
      <c r="S194" s="23" t="str">
        <f aca="false">IF(COUNTA($B194:$H194)+COUNTA($L194:$O194)=0,"",MID(IF($B194="",", division","")&amp;IF($D194="",", unit","")&amp;IF($F194="",", job title","")&amp;IF($G194="",", career level","")&amp;IF($H194="",", job family","")&amp;IF($I194="",", worker type","")&amp;IF(N($K194)&lt;=0,", the quarter split","")&amp;IF($Q194="",", driver","")&amp;IF($R194="",", alternatives","")&amp;IF(AND($D194&lt;&gt;"",COUNTIF(UnitList,$D194)=0),", a unit that is not in your structure",""),3,300))</f>
        <v/>
      </c>
      <c r="T194" s="17" t="str">
        <f aca="false">IF($S194="","",COUNTIF($S$6:$S194,"?*"))</f>
        <v/>
      </c>
    </row>
    <row r="195" customFormat="false" ht="15" hidden="false" customHeight="false" outlineLevel="0" collapsed="false">
      <c r="A195" s="17" t="n">
        <v>190</v>
      </c>
      <c r="B195" s="21"/>
      <c r="C195" s="21"/>
      <c r="D195" s="21"/>
      <c r="E195" s="21"/>
      <c r="F195" s="21"/>
      <c r="G195" s="21"/>
      <c r="H195" s="21"/>
      <c r="I195" s="21"/>
      <c r="J195" s="20" t="str">
        <f aca="false">IF($F195="","",SUMIFS(SeatApproved,SeatUnit,$D195,SeatTitle,$F195))</f>
        <v/>
      </c>
      <c r="K195" s="20" t="str">
        <f aca="false">IF($F195="","",SUM($L195:$O195))</f>
        <v/>
      </c>
      <c r="L195" s="22"/>
      <c r="M195" s="22"/>
      <c r="N195" s="22"/>
      <c r="O195" s="22"/>
      <c r="P195" s="18" t="str">
        <f aca="false">IF($Q195="","",IFERROR(INDEX(DriverCategory,MATCH($Q195,DriverList,0)),"?"))</f>
        <v/>
      </c>
      <c r="Q195" s="21"/>
      <c r="R195" s="21"/>
      <c r="S195" s="23" t="str">
        <f aca="false">IF(COUNTA($B195:$H195)+COUNTA($L195:$O195)=0,"",MID(IF($B195="",", division","")&amp;IF($D195="",", unit","")&amp;IF($F195="",", job title","")&amp;IF($G195="",", career level","")&amp;IF($H195="",", job family","")&amp;IF($I195="",", worker type","")&amp;IF(N($K195)&lt;=0,", the quarter split","")&amp;IF($Q195="",", driver","")&amp;IF($R195="",", alternatives","")&amp;IF(AND($D195&lt;&gt;"",COUNTIF(UnitList,$D195)=0),", a unit that is not in your structure",""),3,300))</f>
        <v/>
      </c>
      <c r="T195" s="17" t="str">
        <f aca="false">IF($S195="","",COUNTIF($S$6:$S195,"?*"))</f>
        <v/>
      </c>
    </row>
    <row r="196" customFormat="false" ht="15" hidden="false" customHeight="false" outlineLevel="0" collapsed="false">
      <c r="A196" s="17" t="n">
        <v>191</v>
      </c>
      <c r="B196" s="21"/>
      <c r="C196" s="21"/>
      <c r="D196" s="21"/>
      <c r="E196" s="21"/>
      <c r="F196" s="21"/>
      <c r="G196" s="21"/>
      <c r="H196" s="21"/>
      <c r="I196" s="21"/>
      <c r="J196" s="20" t="str">
        <f aca="false">IF($F196="","",SUMIFS(SeatApproved,SeatUnit,$D196,SeatTitle,$F196))</f>
        <v/>
      </c>
      <c r="K196" s="20" t="str">
        <f aca="false">IF($F196="","",SUM($L196:$O196))</f>
        <v/>
      </c>
      <c r="L196" s="22"/>
      <c r="M196" s="22"/>
      <c r="N196" s="22"/>
      <c r="O196" s="22"/>
      <c r="P196" s="18" t="str">
        <f aca="false">IF($Q196="","",IFERROR(INDEX(DriverCategory,MATCH($Q196,DriverList,0)),"?"))</f>
        <v/>
      </c>
      <c r="Q196" s="21"/>
      <c r="R196" s="21"/>
      <c r="S196" s="23" t="str">
        <f aca="false">IF(COUNTA($B196:$H196)+COUNTA($L196:$O196)=0,"",MID(IF($B196="",", division","")&amp;IF($D196="",", unit","")&amp;IF($F196="",", job title","")&amp;IF($G196="",", career level","")&amp;IF($H196="",", job family","")&amp;IF($I196="",", worker type","")&amp;IF(N($K196)&lt;=0,", the quarter split","")&amp;IF($Q196="",", driver","")&amp;IF($R196="",", alternatives","")&amp;IF(AND($D196&lt;&gt;"",COUNTIF(UnitList,$D196)=0),", a unit that is not in your structure",""),3,300))</f>
        <v/>
      </c>
      <c r="T196" s="17" t="str">
        <f aca="false">IF($S196="","",COUNTIF($S$6:$S196,"?*"))</f>
        <v/>
      </c>
    </row>
    <row r="197" customFormat="false" ht="15" hidden="false" customHeight="false" outlineLevel="0" collapsed="false">
      <c r="A197" s="17" t="n">
        <v>192</v>
      </c>
      <c r="B197" s="21"/>
      <c r="C197" s="21"/>
      <c r="D197" s="21"/>
      <c r="E197" s="21"/>
      <c r="F197" s="21"/>
      <c r="G197" s="21"/>
      <c r="H197" s="21"/>
      <c r="I197" s="21"/>
      <c r="J197" s="20" t="str">
        <f aca="false">IF($F197="","",SUMIFS(SeatApproved,SeatUnit,$D197,SeatTitle,$F197))</f>
        <v/>
      </c>
      <c r="K197" s="20" t="str">
        <f aca="false">IF($F197="","",SUM($L197:$O197))</f>
        <v/>
      </c>
      <c r="L197" s="22"/>
      <c r="M197" s="22"/>
      <c r="N197" s="22"/>
      <c r="O197" s="22"/>
      <c r="P197" s="18" t="str">
        <f aca="false">IF($Q197="","",IFERROR(INDEX(DriverCategory,MATCH($Q197,DriverList,0)),"?"))</f>
        <v/>
      </c>
      <c r="Q197" s="21"/>
      <c r="R197" s="21"/>
      <c r="S197" s="23" t="str">
        <f aca="false">IF(COUNTA($B197:$H197)+COUNTA($L197:$O197)=0,"",MID(IF($B197="",", division","")&amp;IF($D197="",", unit","")&amp;IF($F197="",", job title","")&amp;IF($G197="",", career level","")&amp;IF($H197="",", job family","")&amp;IF($I197="",", worker type","")&amp;IF(N($K197)&lt;=0,", the quarter split","")&amp;IF($Q197="",", driver","")&amp;IF($R197="",", alternatives","")&amp;IF(AND($D197&lt;&gt;"",COUNTIF(UnitList,$D197)=0),", a unit that is not in your structure",""),3,300))</f>
        <v/>
      </c>
      <c r="T197" s="17" t="str">
        <f aca="false">IF($S197="","",COUNTIF($S$6:$S197,"?*"))</f>
        <v/>
      </c>
    </row>
    <row r="198" customFormat="false" ht="15" hidden="false" customHeight="false" outlineLevel="0" collapsed="false">
      <c r="A198" s="17" t="n">
        <v>193</v>
      </c>
      <c r="B198" s="21"/>
      <c r="C198" s="21"/>
      <c r="D198" s="21"/>
      <c r="E198" s="21"/>
      <c r="F198" s="21"/>
      <c r="G198" s="21"/>
      <c r="H198" s="21"/>
      <c r="I198" s="21"/>
      <c r="J198" s="20" t="str">
        <f aca="false">IF($F198="","",SUMIFS(SeatApproved,SeatUnit,$D198,SeatTitle,$F198))</f>
        <v/>
      </c>
      <c r="K198" s="20" t="str">
        <f aca="false">IF($F198="","",SUM($L198:$O198))</f>
        <v/>
      </c>
      <c r="L198" s="22"/>
      <c r="M198" s="22"/>
      <c r="N198" s="22"/>
      <c r="O198" s="22"/>
      <c r="P198" s="18" t="str">
        <f aca="false">IF($Q198="","",IFERROR(INDEX(DriverCategory,MATCH($Q198,DriverList,0)),"?"))</f>
        <v/>
      </c>
      <c r="Q198" s="21"/>
      <c r="R198" s="21"/>
      <c r="S198" s="23" t="str">
        <f aca="false">IF(COUNTA($B198:$H198)+COUNTA($L198:$O198)=0,"",MID(IF($B198="",", division","")&amp;IF($D198="",", unit","")&amp;IF($F198="",", job title","")&amp;IF($G198="",", career level","")&amp;IF($H198="",", job family","")&amp;IF($I198="",", worker type","")&amp;IF(N($K198)&lt;=0,", the quarter split","")&amp;IF($Q198="",", driver","")&amp;IF($R198="",", alternatives","")&amp;IF(AND($D198&lt;&gt;"",COUNTIF(UnitList,$D198)=0),", a unit that is not in your structure",""),3,300))</f>
        <v/>
      </c>
      <c r="T198" s="17" t="str">
        <f aca="false">IF($S198="","",COUNTIF($S$6:$S198,"?*"))</f>
        <v/>
      </c>
    </row>
    <row r="199" customFormat="false" ht="15" hidden="false" customHeight="false" outlineLevel="0" collapsed="false">
      <c r="A199" s="17" t="n">
        <v>194</v>
      </c>
      <c r="B199" s="21"/>
      <c r="C199" s="21"/>
      <c r="D199" s="21"/>
      <c r="E199" s="21"/>
      <c r="F199" s="21"/>
      <c r="G199" s="21"/>
      <c r="H199" s="21"/>
      <c r="I199" s="21"/>
      <c r="J199" s="20" t="str">
        <f aca="false">IF($F199="","",SUMIFS(SeatApproved,SeatUnit,$D199,SeatTitle,$F199))</f>
        <v/>
      </c>
      <c r="K199" s="20" t="str">
        <f aca="false">IF($F199="","",SUM($L199:$O199))</f>
        <v/>
      </c>
      <c r="L199" s="22"/>
      <c r="M199" s="22"/>
      <c r="N199" s="22"/>
      <c r="O199" s="22"/>
      <c r="P199" s="18" t="str">
        <f aca="false">IF($Q199="","",IFERROR(INDEX(DriverCategory,MATCH($Q199,DriverList,0)),"?"))</f>
        <v/>
      </c>
      <c r="Q199" s="21"/>
      <c r="R199" s="21"/>
      <c r="S199" s="23" t="str">
        <f aca="false">IF(COUNTA($B199:$H199)+COUNTA($L199:$O199)=0,"",MID(IF($B199="",", division","")&amp;IF($D199="",", unit","")&amp;IF($F199="",", job title","")&amp;IF($G199="",", career level","")&amp;IF($H199="",", job family","")&amp;IF($I199="",", worker type","")&amp;IF(N($K199)&lt;=0,", the quarter split","")&amp;IF($Q199="",", driver","")&amp;IF($R199="",", alternatives","")&amp;IF(AND($D199&lt;&gt;"",COUNTIF(UnitList,$D199)=0),", a unit that is not in your structure",""),3,300))</f>
        <v/>
      </c>
      <c r="T199" s="17" t="str">
        <f aca="false">IF($S199="","",COUNTIF($S$6:$S199,"?*"))</f>
        <v/>
      </c>
    </row>
    <row r="200" customFormat="false" ht="15" hidden="false" customHeight="false" outlineLevel="0" collapsed="false">
      <c r="A200" s="17" t="n">
        <v>195</v>
      </c>
      <c r="B200" s="21"/>
      <c r="C200" s="21"/>
      <c r="D200" s="21"/>
      <c r="E200" s="21"/>
      <c r="F200" s="21"/>
      <c r="G200" s="21"/>
      <c r="H200" s="21"/>
      <c r="I200" s="21"/>
      <c r="J200" s="20" t="str">
        <f aca="false">IF($F200="","",SUMIFS(SeatApproved,SeatUnit,$D200,SeatTitle,$F200))</f>
        <v/>
      </c>
      <c r="K200" s="20" t="str">
        <f aca="false">IF($F200="","",SUM($L200:$O200))</f>
        <v/>
      </c>
      <c r="L200" s="22"/>
      <c r="M200" s="22"/>
      <c r="N200" s="22"/>
      <c r="O200" s="22"/>
      <c r="P200" s="18" t="str">
        <f aca="false">IF($Q200="","",IFERROR(INDEX(DriverCategory,MATCH($Q200,DriverList,0)),"?"))</f>
        <v/>
      </c>
      <c r="Q200" s="21"/>
      <c r="R200" s="21"/>
      <c r="S200" s="23" t="str">
        <f aca="false">IF(COUNTA($B200:$H200)+COUNTA($L200:$O200)=0,"",MID(IF($B200="",", division","")&amp;IF($D200="",", unit","")&amp;IF($F200="",", job title","")&amp;IF($G200="",", career level","")&amp;IF($H200="",", job family","")&amp;IF($I200="",", worker type","")&amp;IF(N($K200)&lt;=0,", the quarter split","")&amp;IF($Q200="",", driver","")&amp;IF($R200="",", alternatives","")&amp;IF(AND($D200&lt;&gt;"",COUNTIF(UnitList,$D200)=0),", a unit that is not in your structure",""),3,300))</f>
        <v/>
      </c>
      <c r="T200" s="17" t="str">
        <f aca="false">IF($S200="","",COUNTIF($S$6:$S200,"?*"))</f>
        <v/>
      </c>
    </row>
    <row r="201" customFormat="false" ht="15" hidden="false" customHeight="false" outlineLevel="0" collapsed="false">
      <c r="A201" s="17" t="n">
        <v>196</v>
      </c>
      <c r="B201" s="21"/>
      <c r="C201" s="21"/>
      <c r="D201" s="21"/>
      <c r="E201" s="21"/>
      <c r="F201" s="21"/>
      <c r="G201" s="21"/>
      <c r="H201" s="21"/>
      <c r="I201" s="21"/>
      <c r="J201" s="20" t="str">
        <f aca="false">IF($F201="","",SUMIFS(SeatApproved,SeatUnit,$D201,SeatTitle,$F201))</f>
        <v/>
      </c>
      <c r="K201" s="20" t="str">
        <f aca="false">IF($F201="","",SUM($L201:$O201))</f>
        <v/>
      </c>
      <c r="L201" s="22"/>
      <c r="M201" s="22"/>
      <c r="N201" s="22"/>
      <c r="O201" s="22"/>
      <c r="P201" s="18" t="str">
        <f aca="false">IF($Q201="","",IFERROR(INDEX(DriverCategory,MATCH($Q201,DriverList,0)),"?"))</f>
        <v/>
      </c>
      <c r="Q201" s="21"/>
      <c r="R201" s="21"/>
      <c r="S201" s="23" t="str">
        <f aca="false">IF(COUNTA($B201:$H201)+COUNTA($L201:$O201)=0,"",MID(IF($B201="",", division","")&amp;IF($D201="",", unit","")&amp;IF($F201="",", job title","")&amp;IF($G201="",", career level","")&amp;IF($H201="",", job family","")&amp;IF($I201="",", worker type","")&amp;IF(N($K201)&lt;=0,", the quarter split","")&amp;IF($Q201="",", driver","")&amp;IF($R201="",", alternatives","")&amp;IF(AND($D201&lt;&gt;"",COUNTIF(UnitList,$D201)=0),", a unit that is not in your structure",""),3,300))</f>
        <v/>
      </c>
      <c r="T201" s="17" t="str">
        <f aca="false">IF($S201="","",COUNTIF($S$6:$S201,"?*"))</f>
        <v/>
      </c>
    </row>
    <row r="202" customFormat="false" ht="15" hidden="false" customHeight="false" outlineLevel="0" collapsed="false">
      <c r="A202" s="17" t="n">
        <v>197</v>
      </c>
      <c r="B202" s="21"/>
      <c r="C202" s="21"/>
      <c r="D202" s="21"/>
      <c r="E202" s="21"/>
      <c r="F202" s="21"/>
      <c r="G202" s="21"/>
      <c r="H202" s="21"/>
      <c r="I202" s="21"/>
      <c r="J202" s="20" t="str">
        <f aca="false">IF($F202="","",SUMIFS(SeatApproved,SeatUnit,$D202,SeatTitle,$F202))</f>
        <v/>
      </c>
      <c r="K202" s="20" t="str">
        <f aca="false">IF($F202="","",SUM($L202:$O202))</f>
        <v/>
      </c>
      <c r="L202" s="22"/>
      <c r="M202" s="22"/>
      <c r="N202" s="22"/>
      <c r="O202" s="22"/>
      <c r="P202" s="18" t="str">
        <f aca="false">IF($Q202="","",IFERROR(INDEX(DriverCategory,MATCH($Q202,DriverList,0)),"?"))</f>
        <v/>
      </c>
      <c r="Q202" s="21"/>
      <c r="R202" s="21"/>
      <c r="S202" s="23" t="str">
        <f aca="false">IF(COUNTA($B202:$H202)+COUNTA($L202:$O202)=0,"",MID(IF($B202="",", division","")&amp;IF($D202="",", unit","")&amp;IF($F202="",", job title","")&amp;IF($G202="",", career level","")&amp;IF($H202="",", job family","")&amp;IF($I202="",", worker type","")&amp;IF(N($K202)&lt;=0,", the quarter split","")&amp;IF($Q202="",", driver","")&amp;IF($R202="",", alternatives","")&amp;IF(AND($D202&lt;&gt;"",COUNTIF(UnitList,$D202)=0),", a unit that is not in your structure",""),3,300))</f>
        <v/>
      </c>
      <c r="T202" s="17" t="str">
        <f aca="false">IF($S202="","",COUNTIF($S$6:$S202,"?*"))</f>
        <v/>
      </c>
    </row>
    <row r="203" customFormat="false" ht="15" hidden="false" customHeight="false" outlineLevel="0" collapsed="false">
      <c r="A203" s="17" t="n">
        <v>198</v>
      </c>
      <c r="B203" s="21"/>
      <c r="C203" s="21"/>
      <c r="D203" s="21"/>
      <c r="E203" s="21"/>
      <c r="F203" s="21"/>
      <c r="G203" s="21"/>
      <c r="H203" s="21"/>
      <c r="I203" s="21"/>
      <c r="J203" s="20" t="str">
        <f aca="false">IF($F203="","",SUMIFS(SeatApproved,SeatUnit,$D203,SeatTitle,$F203))</f>
        <v/>
      </c>
      <c r="K203" s="20" t="str">
        <f aca="false">IF($F203="","",SUM($L203:$O203))</f>
        <v/>
      </c>
      <c r="L203" s="22"/>
      <c r="M203" s="22"/>
      <c r="N203" s="22"/>
      <c r="O203" s="22"/>
      <c r="P203" s="18" t="str">
        <f aca="false">IF($Q203="","",IFERROR(INDEX(DriverCategory,MATCH($Q203,DriverList,0)),"?"))</f>
        <v/>
      </c>
      <c r="Q203" s="21"/>
      <c r="R203" s="21"/>
      <c r="S203" s="23" t="str">
        <f aca="false">IF(COUNTA($B203:$H203)+COUNTA($L203:$O203)=0,"",MID(IF($B203="",", division","")&amp;IF($D203="",", unit","")&amp;IF($F203="",", job title","")&amp;IF($G203="",", career level","")&amp;IF($H203="",", job family","")&amp;IF($I203="",", worker type","")&amp;IF(N($K203)&lt;=0,", the quarter split","")&amp;IF($Q203="",", driver","")&amp;IF($R203="",", alternatives","")&amp;IF(AND($D203&lt;&gt;"",COUNTIF(UnitList,$D203)=0),", a unit that is not in your structure",""),3,300))</f>
        <v/>
      </c>
      <c r="T203" s="17" t="str">
        <f aca="false">IF($S203="","",COUNTIF($S$6:$S203,"?*"))</f>
        <v/>
      </c>
    </row>
    <row r="204" customFormat="false" ht="15" hidden="false" customHeight="false" outlineLevel="0" collapsed="false">
      <c r="A204" s="17" t="n">
        <v>199</v>
      </c>
      <c r="B204" s="21"/>
      <c r="C204" s="21"/>
      <c r="D204" s="21"/>
      <c r="E204" s="21"/>
      <c r="F204" s="21"/>
      <c r="G204" s="21"/>
      <c r="H204" s="21"/>
      <c r="I204" s="21"/>
      <c r="J204" s="20" t="str">
        <f aca="false">IF($F204="","",SUMIFS(SeatApproved,SeatUnit,$D204,SeatTitle,$F204))</f>
        <v/>
      </c>
      <c r="K204" s="20" t="str">
        <f aca="false">IF($F204="","",SUM($L204:$O204))</f>
        <v/>
      </c>
      <c r="L204" s="22"/>
      <c r="M204" s="22"/>
      <c r="N204" s="22"/>
      <c r="O204" s="22"/>
      <c r="P204" s="18" t="str">
        <f aca="false">IF($Q204="","",IFERROR(INDEX(DriverCategory,MATCH($Q204,DriverList,0)),"?"))</f>
        <v/>
      </c>
      <c r="Q204" s="21"/>
      <c r="R204" s="21"/>
      <c r="S204" s="23" t="str">
        <f aca="false">IF(COUNTA($B204:$H204)+COUNTA($L204:$O204)=0,"",MID(IF($B204="",", division","")&amp;IF($D204="",", unit","")&amp;IF($F204="",", job title","")&amp;IF($G204="",", career level","")&amp;IF($H204="",", job family","")&amp;IF($I204="",", worker type","")&amp;IF(N($K204)&lt;=0,", the quarter split","")&amp;IF($Q204="",", driver","")&amp;IF($R204="",", alternatives","")&amp;IF(AND($D204&lt;&gt;"",COUNTIF(UnitList,$D204)=0),", a unit that is not in your structure",""),3,300))</f>
        <v/>
      </c>
      <c r="T204" s="17" t="str">
        <f aca="false">IF($S204="","",COUNTIF($S$6:$S204,"?*"))</f>
        <v/>
      </c>
    </row>
    <row r="205" customFormat="false" ht="15" hidden="false" customHeight="false" outlineLevel="0" collapsed="false">
      <c r="A205" s="17" t="n">
        <v>200</v>
      </c>
      <c r="B205" s="21"/>
      <c r="C205" s="21"/>
      <c r="D205" s="21"/>
      <c r="E205" s="21"/>
      <c r="F205" s="21"/>
      <c r="G205" s="21"/>
      <c r="H205" s="21"/>
      <c r="I205" s="21"/>
      <c r="J205" s="20" t="str">
        <f aca="false">IF($F205="","",SUMIFS(SeatApproved,SeatUnit,$D205,SeatTitle,$F205))</f>
        <v/>
      </c>
      <c r="K205" s="20" t="str">
        <f aca="false">IF($F205="","",SUM($L205:$O205))</f>
        <v/>
      </c>
      <c r="L205" s="22"/>
      <c r="M205" s="22"/>
      <c r="N205" s="22"/>
      <c r="O205" s="22"/>
      <c r="P205" s="18" t="str">
        <f aca="false">IF($Q205="","",IFERROR(INDEX(DriverCategory,MATCH($Q205,DriverList,0)),"?"))</f>
        <v/>
      </c>
      <c r="Q205" s="21"/>
      <c r="R205" s="21"/>
      <c r="S205" s="23" t="str">
        <f aca="false">IF(COUNTA($B205:$H205)+COUNTA($L205:$O205)=0,"",MID(IF($B205="",", division","")&amp;IF($D205="",", unit","")&amp;IF($F205="",", job title","")&amp;IF($G205="",", career level","")&amp;IF($H205="",", job family","")&amp;IF($I205="",", worker type","")&amp;IF(N($K205)&lt;=0,", the quarter split","")&amp;IF($Q205="",", driver","")&amp;IF($R205="",", alternatives","")&amp;IF(AND($D205&lt;&gt;"",COUNTIF(UnitList,$D205)=0),", a unit that is not in your structure",""),3,300))</f>
        <v/>
      </c>
      <c r="T205" s="17" t="str">
        <f aca="false">IF($S205="","",COUNTIF($S$6:$S205,"?*"))</f>
        <v/>
      </c>
    </row>
  </sheetData>
  <sheetProtection sheet="true" sort="false" autoFilter="false"/>
  <autoFilter ref="A5:T205"/>
  <mergeCells count="2">
    <mergeCell ref="A2:J2"/>
    <mergeCell ref="L4:O4"/>
  </mergeCells>
  <conditionalFormatting sqref="P6:P205">
    <cfRule type="cellIs" priority="2" operator="equal" aboveAverage="0" equalAverage="0" bottom="0" percent="0" rank="0" text="" dxfId="1">
      <formula>"Regulatory"</formula>
    </cfRule>
  </conditionalFormatting>
  <conditionalFormatting sqref="A6:T205">
    <cfRule type="expression" priority="3" aboveAverage="0" equalAverage="0" bottom="0" percent="0" rank="0" text="" dxfId="13">
      <formula>$S6&lt;&gt;""</formula>
    </cfRule>
  </conditionalFormatting>
  <dataValidations count="7">
    <dataValidation allowBlank="true" error="Pick a value from the list." errorStyle="stop" operator="between" showDropDown="false" showErrorMessage="true" showInputMessage="false" sqref="B6:B205" type="list">
      <formula1>DivisionList</formula1>
      <formula2>0</formula2>
    </dataValidation>
    <dataValidation allowBlank="true" error="Pick a value from the list." errorStyle="stop" operator="between" showDropDown="false" showErrorMessage="true" showInputMessage="false" sqref="D6:D205" type="list">
      <formula1>UnitList</formula1>
      <formula2>0</formula2>
    </dataValidation>
    <dataValidation allowBlank="true" error="Pick a value from the list." errorStyle="stop" operator="between" showDropDown="false" showErrorMessage="true" showInputMessage="false" sqref="G6:G205" type="list">
      <formula1>CareerLevels</formula1>
      <formula2>0</formula2>
    </dataValidation>
    <dataValidation allowBlank="true" error="Pick a value from the list." errorStyle="stop" operator="between" showDropDown="false" showErrorMessage="true" showInputMessage="false" sqref="H6:H205" type="list">
      <formula1>JobFamilies</formula1>
      <formula2>0</formula2>
    </dataValidation>
    <dataValidation allowBlank="true" error="Pick a value from the list." errorStyle="stop" operator="between" showDropDown="false" showErrorMessage="true" showInputMessage="false" sqref="I6:I205" type="list">
      <formula1>WorkerTypes</formula1>
      <formula2>0</formula2>
    </dataValidation>
    <dataValidation allowBlank="true" error="Pick a value from the list." errorStyle="stop" operator="between" showDropDown="false" showErrorMessage="true" showInputMessage="false" sqref="Q6:Q205" type="list">
      <formula1>DriverList</formula1>
      <formula2>0</formula2>
    </dataValidation>
    <dataValidation allowBlank="true" error="A quarter takes between 0 and 50 positions." errorStyle="stop" operator="between" showDropDown="false" showErrorMessage="true" showInputMessage="false" sqref="L6:O2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44"/>
  </cols>
  <sheetData>
    <row r="1" customFormat="false" ht="24" hidden="false" customHeight="true" outlineLevel="0" collapsed="false">
      <c r="A1" s="1" t="s">
        <v>397</v>
      </c>
    </row>
    <row r="2" customFormat="false" ht="15" hidden="false" customHeight="false" outlineLevel="0" collapsed="false">
      <c r="A2" s="2" t="s">
        <v>398</v>
      </c>
      <c r="B2" s="2"/>
      <c r="C2" s="2"/>
      <c r="D2" s="2"/>
      <c r="E2" s="2"/>
      <c r="F2" s="2"/>
      <c r="G2" s="2"/>
      <c r="H2" s="2"/>
      <c r="I2" s="2"/>
      <c r="J2" s="2"/>
    </row>
    <row r="4" customFormat="false" ht="15" hidden="false" customHeight="false" outlineLevel="0" collapsed="false">
      <c r="A4" s="3" t="s">
        <v>399</v>
      </c>
    </row>
    <row r="5" customFormat="false" ht="27.75" hidden="false" customHeight="true" outlineLevel="0" collapsed="false">
      <c r="A5" s="12" t="s">
        <v>61</v>
      </c>
      <c r="B5" s="12" t="s">
        <v>389</v>
      </c>
      <c r="C5" s="12" t="s">
        <v>400</v>
      </c>
      <c r="D5" s="12" t="s">
        <v>390</v>
      </c>
      <c r="E5" s="12" t="s">
        <v>401</v>
      </c>
      <c r="F5" s="12" t="s">
        <v>57</v>
      </c>
      <c r="G5" s="12"/>
    </row>
    <row r="6" customFormat="false" ht="15" hidden="false" customHeight="false" outlineLevel="0" collapsed="false">
      <c r="A6" s="9" t="s">
        <v>63</v>
      </c>
      <c r="B6" s="26" t="n">
        <f aca="false">SUMIFS(SeatApproved,SeatDivision,"Branch Operations Division")</f>
        <v>77</v>
      </c>
      <c r="C6" s="26" t="n">
        <f aca="false">SUMIFS(SeatExits,SeatDivision,"Branch Operations Division")</f>
        <v>0</v>
      </c>
      <c r="D6" s="26" t="n">
        <f aca="false">SUMIFS(AskTotal,AskDivision,"Branch Operations Division")</f>
        <v>0</v>
      </c>
      <c r="E6" s="26" t="n">
        <f aca="false">$B6-$C6+$D6</f>
        <v>77</v>
      </c>
      <c r="F6" s="26" t="n">
        <f aca="false">$E6-$B6</f>
        <v>0</v>
      </c>
    </row>
    <row r="7" customFormat="false" ht="15" hidden="false" customHeight="false" outlineLevel="0" collapsed="false">
      <c r="A7" s="9" t="s">
        <v>128</v>
      </c>
      <c r="B7" s="26" t="n">
        <f aca="false">SUMIFS(SeatApproved,SeatDivision,"Payments Operations Division")</f>
        <v>75</v>
      </c>
      <c r="C7" s="26" t="n">
        <f aca="false">SUMIFS(SeatExits,SeatDivision,"Payments Operations Division")</f>
        <v>0</v>
      </c>
      <c r="D7" s="26" t="n">
        <f aca="false">SUMIFS(AskTotal,AskDivision,"Payments Operations Division")</f>
        <v>0</v>
      </c>
      <c r="E7" s="26" t="n">
        <f aca="false">$B7-$C7+$D7</f>
        <v>75</v>
      </c>
      <c r="F7" s="26" t="n">
        <f aca="false">$E7-$B7</f>
        <v>0</v>
      </c>
    </row>
    <row r="8" customFormat="false" ht="15" hidden="false" customHeight="false" outlineLevel="0" collapsed="false">
      <c r="A8" s="9" t="s">
        <v>190</v>
      </c>
      <c r="B8" s="26" t="n">
        <f aca="false">SUMIFS(SeatApproved,SeatDivision,"Trade &amp; Corporate Operations Division")</f>
        <v>75</v>
      </c>
      <c r="C8" s="26" t="n">
        <f aca="false">SUMIFS(SeatExits,SeatDivision,"Trade &amp; Corporate Operations Division")</f>
        <v>0</v>
      </c>
      <c r="D8" s="26" t="n">
        <f aca="false">SUMIFS(AskTotal,AskDivision,"Trade &amp; Corporate Operations Division")</f>
        <v>0</v>
      </c>
      <c r="E8" s="26" t="n">
        <f aca="false">$B8-$C8+$D8</f>
        <v>75</v>
      </c>
      <c r="F8" s="26" t="n">
        <f aca="false">$E8-$B8</f>
        <v>0</v>
      </c>
    </row>
    <row r="9" customFormat="false" ht="15" hidden="false" customHeight="false" outlineLevel="0" collapsed="false">
      <c r="A9" s="9" t="s">
        <v>402</v>
      </c>
      <c r="B9" s="26" t="n">
        <f aca="false">SUMIFS(SeatApproved,SeatDivision,"")</f>
        <v>1</v>
      </c>
      <c r="C9" s="26" t="n">
        <f aca="false">SUMIFS(SeatExits,SeatDivision,"")</f>
        <v>0</v>
      </c>
      <c r="D9" s="26" t="n">
        <f aca="false">SUMIFS(AskTotal,AskDivision,"")</f>
        <v>0</v>
      </c>
      <c r="E9" s="26" t="n">
        <f aca="false">$B9-$C9+$D9</f>
        <v>1</v>
      </c>
      <c r="F9" s="26" t="n">
        <f aca="false">$E9-$B9</f>
        <v>0</v>
      </c>
    </row>
    <row r="10" customFormat="false" ht="15" hidden="false" customHeight="false" outlineLevel="0" collapsed="false">
      <c r="A10" s="27" t="s">
        <v>403</v>
      </c>
      <c r="B10" s="16" t="n">
        <f aca="false">SUM(B6:B9)</f>
        <v>228</v>
      </c>
      <c r="C10" s="16" t="n">
        <f aca="false">SUM(C6:C9)</f>
        <v>0</v>
      </c>
      <c r="D10" s="16" t="n">
        <f aca="false">SUM(D6:D9)</f>
        <v>0</v>
      </c>
      <c r="E10" s="16" t="n">
        <f aca="false">SUM(E6:E9)</f>
        <v>228</v>
      </c>
      <c r="F10" s="16" t="n">
        <f aca="false">SUM(F6:F9)</f>
        <v>0</v>
      </c>
    </row>
    <row r="12" customFormat="false" ht="15" hidden="false" customHeight="false" outlineLevel="0" collapsed="false">
      <c r="A12" s="3" t="s">
        <v>404</v>
      </c>
      <c r="G12" s="28" t="s">
        <v>405</v>
      </c>
    </row>
    <row r="13" customFormat="false" ht="27.75" hidden="false" customHeight="true" outlineLevel="0" collapsed="false">
      <c r="A13" s="12" t="s">
        <v>61</v>
      </c>
      <c r="B13" s="12" t="s">
        <v>389</v>
      </c>
      <c r="C13" s="12" t="s">
        <v>400</v>
      </c>
      <c r="D13" s="12" t="s">
        <v>390</v>
      </c>
      <c r="E13" s="12" t="s">
        <v>401</v>
      </c>
      <c r="F13" s="12" t="s">
        <v>57</v>
      </c>
      <c r="G13" s="12"/>
    </row>
    <row r="14" customFormat="false" ht="15" hidden="false" customHeight="false" outlineLevel="0" collapsed="false">
      <c r="A14" s="9" t="s">
        <v>63</v>
      </c>
      <c r="B14" s="29" t="n">
        <f aca="false">SUMIFS(SeatApproved,SeatDivision,"Branch Operations Division",SeatLevel,INDEX(LevelList,1),SeatMandate,"Yes")*(INDEX(LevelBasic,1)+INDEX(LevelHousing,1)+INDEX(LevelTransport,1)+INDEX(LevelBasic,1)*INDEX(LevelBonus,1)+(INDEX(LevelBasic,1)+INDEX(LevelHousing,1))*GosiSaudi)+SUMIFS(SeatApproved,SeatDivision,"Branch Operations Division",SeatLevel,INDEX(LevelList,1),SeatMandate,"No")*(INDEX(LevelBasic,1)+INDEX(LevelHousing,1)+INDEX(LevelTransport,1)+INDEX(LevelBasic,1)*INDEX(LevelBonus,1)+(INDEX(LevelBasic,1)+INDEX(LevelHousing,1))*GosiOther)+SUMIFS(SeatApproved,SeatDivision,"Branch Operations Division",SeatLevel,INDEX(LevelList,2),SeatMandate,"Yes")*(INDEX(LevelBasic,2)+INDEX(LevelHousing,2)+INDEX(LevelTransport,2)+INDEX(LevelBasic,2)*INDEX(LevelBonus,2)+(INDEX(LevelBasic,2)+INDEX(LevelHousing,2))*GosiSaudi)+SUMIFS(SeatApproved,SeatDivision,"Branch Operations Division",SeatLevel,INDEX(LevelList,2),SeatMandate,"No")*(INDEX(LevelBasic,2)+INDEX(LevelHousing,2)+INDEX(LevelTransport,2)+INDEX(LevelBasic,2)*INDEX(LevelBonus,2)+(INDEX(LevelBasic,2)+INDEX(LevelHousing,2))*GosiOther)+SUMIFS(SeatApproved,SeatDivision,"Branch Operations Division",SeatLevel,INDEX(LevelList,3),SeatMandate,"Yes")*(INDEX(LevelBasic,3)+INDEX(LevelHousing,3)+INDEX(LevelTransport,3)+INDEX(LevelBasic,3)*INDEX(LevelBonus,3)+(INDEX(LevelBasic,3)+INDEX(LevelHousing,3))*GosiSaudi)+SUMIFS(SeatApproved,SeatDivision,"Branch Operations Division",SeatLevel,INDEX(LevelList,3),SeatMandate,"No")*(INDEX(LevelBasic,3)+INDEX(LevelHousing,3)+INDEX(LevelTransport,3)+INDEX(LevelBasic,3)*INDEX(LevelBonus,3)+(INDEX(LevelBasic,3)+INDEX(LevelHousing,3))*GosiOther)+SUMIFS(SeatApproved,SeatDivision,"Branch Operations Division",SeatLevel,INDEX(LevelList,4),SeatMandate,"Yes")*(INDEX(LevelBasic,4)+INDEX(LevelHousing,4)+INDEX(LevelTransport,4)+INDEX(LevelBasic,4)*INDEX(LevelBonus,4)+(INDEX(LevelBasic,4)+INDEX(LevelHousing,4))*GosiSaudi)+SUMIFS(SeatApproved,SeatDivision,"Branch Operations Division",SeatLevel,INDEX(LevelList,4),SeatMandate,"No")*(INDEX(LevelBasic,4)+INDEX(LevelHousing,4)+INDEX(LevelTransport,4)+INDEX(LevelBasic,4)*INDEX(LevelBonus,4)+(INDEX(LevelBasic,4)+INDEX(LevelHousing,4))*GosiOther)+SUMIFS(SeatApproved,SeatDivision,"Branch Operations Division",SeatLevel,INDEX(LevelList,5),SeatMandate,"Yes")*(INDEX(LevelBasic,5)+INDEX(LevelHousing,5)+INDEX(LevelTransport,5)+INDEX(LevelBasic,5)*INDEX(LevelBonus,5)+(INDEX(LevelBasic,5)+INDEX(LevelHousing,5))*GosiSaudi)+SUMIFS(SeatApproved,SeatDivision,"Branch Operations Division",SeatLevel,INDEX(LevelList,5),SeatMandate,"No")*(INDEX(LevelBasic,5)+INDEX(LevelHousing,5)+INDEX(LevelTransport,5)+INDEX(LevelBasic,5)*INDEX(LevelBonus,5)+(INDEX(LevelBasic,5)+INDEX(LevelHousing,5))*GosiOther)+SUMIFS(SeatApproved,SeatDivision,"Branch Operations Division",SeatLevel,INDEX(LevelList,6),SeatMandate,"Yes")*(INDEX(LevelBasic,6)+INDEX(LevelHousing,6)+INDEX(LevelTransport,6)+INDEX(LevelBasic,6)*INDEX(LevelBonus,6)+(INDEX(LevelBasic,6)+INDEX(LevelHousing,6))*GosiSaudi)+SUMIFS(SeatApproved,SeatDivision,"Branch Operations Division",SeatLevel,INDEX(LevelList,6),SeatMandate,"No")*(INDEX(LevelBasic,6)+INDEX(LevelHousing,6)+INDEX(LevelTransport,6)+INDEX(LevelBasic,6)*INDEX(LevelBonus,6)+(INDEX(LevelBasic,6)+INDEX(LevelHousing,6))*GosiOther)</f>
        <v>0</v>
      </c>
      <c r="C14" s="29" t="n">
        <f aca="false">SUMIFS(SeatExits,SeatDivision,"Branch Operations Division",SeatLevel,INDEX(LevelList,1),SeatMandate,"Yes")*(INDEX(LevelBasic,1)+INDEX(LevelHousing,1)+INDEX(LevelTransport,1)+INDEX(LevelBasic,1)*INDEX(LevelBonus,1)+(INDEX(LevelBasic,1)+INDEX(LevelHousing,1))*GosiSaudi)+SUMIFS(SeatExits,SeatDivision,"Branch Operations Division",SeatLevel,INDEX(LevelList,1),SeatMandate,"No")*(INDEX(LevelBasic,1)+INDEX(LevelHousing,1)+INDEX(LevelTransport,1)+INDEX(LevelBasic,1)*INDEX(LevelBonus,1)+(INDEX(LevelBasic,1)+INDEX(LevelHousing,1))*GosiOther)+SUMIFS(SeatExits,SeatDivision,"Branch Operations Division",SeatLevel,INDEX(LevelList,2),SeatMandate,"Yes")*(INDEX(LevelBasic,2)+INDEX(LevelHousing,2)+INDEX(LevelTransport,2)+INDEX(LevelBasic,2)*INDEX(LevelBonus,2)+(INDEX(LevelBasic,2)+INDEX(LevelHousing,2))*GosiSaudi)+SUMIFS(SeatExits,SeatDivision,"Branch Operations Division",SeatLevel,INDEX(LevelList,2),SeatMandate,"No")*(INDEX(LevelBasic,2)+INDEX(LevelHousing,2)+INDEX(LevelTransport,2)+INDEX(LevelBasic,2)*INDEX(LevelBonus,2)+(INDEX(LevelBasic,2)+INDEX(LevelHousing,2))*GosiOther)+SUMIFS(SeatExits,SeatDivision,"Branch Operations Division",SeatLevel,INDEX(LevelList,3),SeatMandate,"Yes")*(INDEX(LevelBasic,3)+INDEX(LevelHousing,3)+INDEX(LevelTransport,3)+INDEX(LevelBasic,3)*INDEX(LevelBonus,3)+(INDEX(LevelBasic,3)+INDEX(LevelHousing,3))*GosiSaudi)+SUMIFS(SeatExits,SeatDivision,"Branch Operations Division",SeatLevel,INDEX(LevelList,3),SeatMandate,"No")*(INDEX(LevelBasic,3)+INDEX(LevelHousing,3)+INDEX(LevelTransport,3)+INDEX(LevelBasic,3)*INDEX(LevelBonus,3)+(INDEX(LevelBasic,3)+INDEX(LevelHousing,3))*GosiOther)+SUMIFS(SeatExits,SeatDivision,"Branch Operations Division",SeatLevel,INDEX(LevelList,4),SeatMandate,"Yes")*(INDEX(LevelBasic,4)+INDEX(LevelHousing,4)+INDEX(LevelTransport,4)+INDEX(LevelBasic,4)*INDEX(LevelBonus,4)+(INDEX(LevelBasic,4)+INDEX(LevelHousing,4))*GosiSaudi)+SUMIFS(SeatExits,SeatDivision,"Branch Operations Division",SeatLevel,INDEX(LevelList,4),SeatMandate,"No")*(INDEX(LevelBasic,4)+INDEX(LevelHousing,4)+INDEX(LevelTransport,4)+INDEX(LevelBasic,4)*INDEX(LevelBonus,4)+(INDEX(LevelBasic,4)+INDEX(LevelHousing,4))*GosiOther)+SUMIFS(SeatExits,SeatDivision,"Branch Operations Division",SeatLevel,INDEX(LevelList,5),SeatMandate,"Yes")*(INDEX(LevelBasic,5)+INDEX(LevelHousing,5)+INDEX(LevelTransport,5)+INDEX(LevelBasic,5)*INDEX(LevelBonus,5)+(INDEX(LevelBasic,5)+INDEX(LevelHousing,5))*GosiSaudi)+SUMIFS(SeatExits,SeatDivision,"Branch Operations Division",SeatLevel,INDEX(LevelList,5),SeatMandate,"No")*(INDEX(LevelBasic,5)+INDEX(LevelHousing,5)+INDEX(LevelTransport,5)+INDEX(LevelBasic,5)*INDEX(LevelBonus,5)+(INDEX(LevelBasic,5)+INDEX(LevelHousing,5))*GosiOther)+SUMIFS(SeatExits,SeatDivision,"Branch Operations Division",SeatLevel,INDEX(LevelList,6),SeatMandate,"Yes")*(INDEX(LevelBasic,6)+INDEX(LevelHousing,6)+INDEX(LevelTransport,6)+INDEX(LevelBasic,6)*INDEX(LevelBonus,6)+(INDEX(LevelBasic,6)+INDEX(LevelHousing,6))*GosiSaudi)+SUMIFS(SeatExits,SeatDivision,"Branch Operations Division",SeatLevel,INDEX(LevelList,6),SeatMandate,"No")*(INDEX(LevelBasic,6)+INDEX(LevelHousing,6)+INDEX(LevelTransport,6)+INDEX(LevelBasic,6)*INDEX(LevelBonus,6)+(INDEX(LevelBasic,6)+INDEX(LevelHousing,6))*GosiOther)</f>
        <v>0</v>
      </c>
      <c r="D14" s="29" t="n">
        <f aca="false">SUMIFS(AskTotal,AskDivision,"Branch Operations Division",AskLevel,INDEX(LevelList,1))*(INDEX(LevelBasic,1)+INDEX(LevelHousing,1)+INDEX(LevelTransport,1)+INDEX(LevelBasic,1)*INDEX(LevelBonus,1)+(INDEX(LevelBasic,1)+INDEX(LevelHousing,1))*GosiSaudi)+SUMIFS(AskTotal,AskDivision,"Branch Operations Division",AskLevel,INDEX(LevelList,2))*(INDEX(LevelBasic,2)+INDEX(LevelHousing,2)+INDEX(LevelTransport,2)+INDEX(LevelBasic,2)*INDEX(LevelBonus,2)+(INDEX(LevelBasic,2)+INDEX(LevelHousing,2))*GosiSaudi)+SUMIFS(AskTotal,AskDivision,"Branch Operations Division",AskLevel,INDEX(LevelList,3))*(INDEX(LevelBasic,3)+INDEX(LevelHousing,3)+INDEX(LevelTransport,3)+INDEX(LevelBasic,3)*INDEX(LevelBonus,3)+(INDEX(LevelBasic,3)+INDEX(LevelHousing,3))*GosiSaudi)+SUMIFS(AskTotal,AskDivision,"Branch Operations Division",AskLevel,INDEX(LevelList,4))*(INDEX(LevelBasic,4)+INDEX(LevelHousing,4)+INDEX(LevelTransport,4)+INDEX(LevelBasic,4)*INDEX(LevelBonus,4)+(INDEX(LevelBasic,4)+INDEX(LevelHousing,4))*GosiSaudi)+SUMIFS(AskTotal,AskDivision,"Branch Operations Division",AskLevel,INDEX(LevelList,5))*(INDEX(LevelBasic,5)+INDEX(LevelHousing,5)+INDEX(LevelTransport,5)+INDEX(LevelBasic,5)*INDEX(LevelBonus,5)+(INDEX(LevelBasic,5)+INDEX(LevelHousing,5))*GosiSaudi)+SUMIFS(AskTotal,AskDivision,"Branch Operations Division",AskLevel,INDEX(LevelList,6))*(INDEX(LevelBasic,6)+INDEX(LevelHousing,6)+INDEX(LevelTransport,6)+INDEX(LevelBasic,6)*INDEX(LevelBonus,6)+(INDEX(LevelBasic,6)+INDEX(LevelHousing,6))*GosiSaudi)</f>
        <v>0</v>
      </c>
      <c r="E14" s="29" t="n">
        <f aca="false">$B14-$C14+$D14</f>
        <v>0</v>
      </c>
      <c r="F14" s="29" t="n">
        <f aca="false">$E14-$B14</f>
        <v>0</v>
      </c>
    </row>
    <row r="15" customFormat="false" ht="15" hidden="false" customHeight="false" outlineLevel="0" collapsed="false">
      <c r="A15" s="9" t="s">
        <v>128</v>
      </c>
      <c r="B15" s="29" t="n">
        <f aca="false">SUMIFS(SeatApproved,SeatDivision,"Payments Operations Division",SeatLevel,INDEX(LevelList,1),SeatMandate,"Yes")*(INDEX(LevelBasic,1)+INDEX(LevelHousing,1)+INDEX(LevelTransport,1)+INDEX(LevelBasic,1)*INDEX(LevelBonus,1)+(INDEX(LevelBasic,1)+INDEX(LevelHousing,1))*GosiSaudi)+SUMIFS(SeatApproved,SeatDivision,"Payments Operations Division",SeatLevel,INDEX(LevelList,1),SeatMandate,"No")*(INDEX(LevelBasic,1)+INDEX(LevelHousing,1)+INDEX(LevelTransport,1)+INDEX(LevelBasic,1)*INDEX(LevelBonus,1)+(INDEX(LevelBasic,1)+INDEX(LevelHousing,1))*GosiOther)+SUMIFS(SeatApproved,SeatDivision,"Payments Operations Division",SeatLevel,INDEX(LevelList,2),SeatMandate,"Yes")*(INDEX(LevelBasic,2)+INDEX(LevelHousing,2)+INDEX(LevelTransport,2)+INDEX(LevelBasic,2)*INDEX(LevelBonus,2)+(INDEX(LevelBasic,2)+INDEX(LevelHousing,2))*GosiSaudi)+SUMIFS(SeatApproved,SeatDivision,"Payments Operations Division",SeatLevel,INDEX(LevelList,2),SeatMandate,"No")*(INDEX(LevelBasic,2)+INDEX(LevelHousing,2)+INDEX(LevelTransport,2)+INDEX(LevelBasic,2)*INDEX(LevelBonus,2)+(INDEX(LevelBasic,2)+INDEX(LevelHousing,2))*GosiOther)+SUMIFS(SeatApproved,SeatDivision,"Payments Operations Division",SeatLevel,INDEX(LevelList,3),SeatMandate,"Yes")*(INDEX(LevelBasic,3)+INDEX(LevelHousing,3)+INDEX(LevelTransport,3)+INDEX(LevelBasic,3)*INDEX(LevelBonus,3)+(INDEX(LevelBasic,3)+INDEX(LevelHousing,3))*GosiSaudi)+SUMIFS(SeatApproved,SeatDivision,"Payments Operations Division",SeatLevel,INDEX(LevelList,3),SeatMandate,"No")*(INDEX(LevelBasic,3)+INDEX(LevelHousing,3)+INDEX(LevelTransport,3)+INDEX(LevelBasic,3)*INDEX(LevelBonus,3)+(INDEX(LevelBasic,3)+INDEX(LevelHousing,3))*GosiOther)+SUMIFS(SeatApproved,SeatDivision,"Payments Operations Division",SeatLevel,INDEX(LevelList,4),SeatMandate,"Yes")*(INDEX(LevelBasic,4)+INDEX(LevelHousing,4)+INDEX(LevelTransport,4)+INDEX(LevelBasic,4)*INDEX(LevelBonus,4)+(INDEX(LevelBasic,4)+INDEX(LevelHousing,4))*GosiSaudi)+SUMIFS(SeatApproved,SeatDivision,"Payments Operations Division",SeatLevel,INDEX(LevelList,4),SeatMandate,"No")*(INDEX(LevelBasic,4)+INDEX(LevelHousing,4)+INDEX(LevelTransport,4)+INDEX(LevelBasic,4)*INDEX(LevelBonus,4)+(INDEX(LevelBasic,4)+INDEX(LevelHousing,4))*GosiOther)+SUMIFS(SeatApproved,SeatDivision,"Payments Operations Division",SeatLevel,INDEX(LevelList,5),SeatMandate,"Yes")*(INDEX(LevelBasic,5)+INDEX(LevelHousing,5)+INDEX(LevelTransport,5)+INDEX(LevelBasic,5)*INDEX(LevelBonus,5)+(INDEX(LevelBasic,5)+INDEX(LevelHousing,5))*GosiSaudi)+SUMIFS(SeatApproved,SeatDivision,"Payments Operations Division",SeatLevel,INDEX(LevelList,5),SeatMandate,"No")*(INDEX(LevelBasic,5)+INDEX(LevelHousing,5)+INDEX(LevelTransport,5)+INDEX(LevelBasic,5)*INDEX(LevelBonus,5)+(INDEX(LevelBasic,5)+INDEX(LevelHousing,5))*GosiOther)+SUMIFS(SeatApproved,SeatDivision,"Payments Operations Division",SeatLevel,INDEX(LevelList,6),SeatMandate,"Yes")*(INDEX(LevelBasic,6)+INDEX(LevelHousing,6)+INDEX(LevelTransport,6)+INDEX(LevelBasic,6)*INDEX(LevelBonus,6)+(INDEX(LevelBasic,6)+INDEX(LevelHousing,6))*GosiSaudi)+SUMIFS(SeatApproved,SeatDivision,"Payments Operations Division",SeatLevel,INDEX(LevelList,6),SeatMandate,"No")*(INDEX(LevelBasic,6)+INDEX(LevelHousing,6)+INDEX(LevelTransport,6)+INDEX(LevelBasic,6)*INDEX(LevelBonus,6)+(INDEX(LevelBasic,6)+INDEX(LevelHousing,6))*GosiOther)</f>
        <v>0</v>
      </c>
      <c r="C15" s="29" t="n">
        <f aca="false">SUMIFS(SeatExits,SeatDivision,"Payments Operations Division",SeatLevel,INDEX(LevelList,1),SeatMandate,"Yes")*(INDEX(LevelBasic,1)+INDEX(LevelHousing,1)+INDEX(LevelTransport,1)+INDEX(LevelBasic,1)*INDEX(LevelBonus,1)+(INDEX(LevelBasic,1)+INDEX(LevelHousing,1))*GosiSaudi)+SUMIFS(SeatExits,SeatDivision,"Payments Operations Division",SeatLevel,INDEX(LevelList,1),SeatMandate,"No")*(INDEX(LevelBasic,1)+INDEX(LevelHousing,1)+INDEX(LevelTransport,1)+INDEX(LevelBasic,1)*INDEX(LevelBonus,1)+(INDEX(LevelBasic,1)+INDEX(LevelHousing,1))*GosiOther)+SUMIFS(SeatExits,SeatDivision,"Payments Operations Division",SeatLevel,INDEX(LevelList,2),SeatMandate,"Yes")*(INDEX(LevelBasic,2)+INDEX(LevelHousing,2)+INDEX(LevelTransport,2)+INDEX(LevelBasic,2)*INDEX(LevelBonus,2)+(INDEX(LevelBasic,2)+INDEX(LevelHousing,2))*GosiSaudi)+SUMIFS(SeatExits,SeatDivision,"Payments Operations Division",SeatLevel,INDEX(LevelList,2),SeatMandate,"No")*(INDEX(LevelBasic,2)+INDEX(LevelHousing,2)+INDEX(LevelTransport,2)+INDEX(LevelBasic,2)*INDEX(LevelBonus,2)+(INDEX(LevelBasic,2)+INDEX(LevelHousing,2))*GosiOther)+SUMIFS(SeatExits,SeatDivision,"Payments Operations Division",SeatLevel,INDEX(LevelList,3),SeatMandate,"Yes")*(INDEX(LevelBasic,3)+INDEX(LevelHousing,3)+INDEX(LevelTransport,3)+INDEX(LevelBasic,3)*INDEX(LevelBonus,3)+(INDEX(LevelBasic,3)+INDEX(LevelHousing,3))*GosiSaudi)+SUMIFS(SeatExits,SeatDivision,"Payments Operations Division",SeatLevel,INDEX(LevelList,3),SeatMandate,"No")*(INDEX(LevelBasic,3)+INDEX(LevelHousing,3)+INDEX(LevelTransport,3)+INDEX(LevelBasic,3)*INDEX(LevelBonus,3)+(INDEX(LevelBasic,3)+INDEX(LevelHousing,3))*GosiOther)+SUMIFS(SeatExits,SeatDivision,"Payments Operations Division",SeatLevel,INDEX(LevelList,4),SeatMandate,"Yes")*(INDEX(LevelBasic,4)+INDEX(LevelHousing,4)+INDEX(LevelTransport,4)+INDEX(LevelBasic,4)*INDEX(LevelBonus,4)+(INDEX(LevelBasic,4)+INDEX(LevelHousing,4))*GosiSaudi)+SUMIFS(SeatExits,SeatDivision,"Payments Operations Division",SeatLevel,INDEX(LevelList,4),SeatMandate,"No")*(INDEX(LevelBasic,4)+INDEX(LevelHousing,4)+INDEX(LevelTransport,4)+INDEX(LevelBasic,4)*INDEX(LevelBonus,4)+(INDEX(LevelBasic,4)+INDEX(LevelHousing,4))*GosiOther)+SUMIFS(SeatExits,SeatDivision,"Payments Operations Division",SeatLevel,INDEX(LevelList,5),SeatMandate,"Yes")*(INDEX(LevelBasic,5)+INDEX(LevelHousing,5)+INDEX(LevelTransport,5)+INDEX(LevelBasic,5)*INDEX(LevelBonus,5)+(INDEX(LevelBasic,5)+INDEX(LevelHousing,5))*GosiSaudi)+SUMIFS(SeatExits,SeatDivision,"Payments Operations Division",SeatLevel,INDEX(LevelList,5),SeatMandate,"No")*(INDEX(LevelBasic,5)+INDEX(LevelHousing,5)+INDEX(LevelTransport,5)+INDEX(LevelBasic,5)*INDEX(LevelBonus,5)+(INDEX(LevelBasic,5)+INDEX(LevelHousing,5))*GosiOther)+SUMIFS(SeatExits,SeatDivision,"Payments Operations Division",SeatLevel,INDEX(LevelList,6),SeatMandate,"Yes")*(INDEX(LevelBasic,6)+INDEX(LevelHousing,6)+INDEX(LevelTransport,6)+INDEX(LevelBasic,6)*INDEX(LevelBonus,6)+(INDEX(LevelBasic,6)+INDEX(LevelHousing,6))*GosiSaudi)+SUMIFS(SeatExits,SeatDivision,"Payments Operations Division",SeatLevel,INDEX(LevelList,6),SeatMandate,"No")*(INDEX(LevelBasic,6)+INDEX(LevelHousing,6)+INDEX(LevelTransport,6)+INDEX(LevelBasic,6)*INDEX(LevelBonus,6)+(INDEX(LevelBasic,6)+INDEX(LevelHousing,6))*GosiOther)</f>
        <v>0</v>
      </c>
      <c r="D15" s="29" t="n">
        <f aca="false">SUMIFS(AskTotal,AskDivision,"Payments Operations Division",AskLevel,INDEX(LevelList,1))*(INDEX(LevelBasic,1)+INDEX(LevelHousing,1)+INDEX(LevelTransport,1)+INDEX(LevelBasic,1)*INDEX(LevelBonus,1)+(INDEX(LevelBasic,1)+INDEX(LevelHousing,1))*GosiSaudi)+SUMIFS(AskTotal,AskDivision,"Payments Operations Division",AskLevel,INDEX(LevelList,2))*(INDEX(LevelBasic,2)+INDEX(LevelHousing,2)+INDEX(LevelTransport,2)+INDEX(LevelBasic,2)*INDEX(LevelBonus,2)+(INDEX(LevelBasic,2)+INDEX(LevelHousing,2))*GosiSaudi)+SUMIFS(AskTotal,AskDivision,"Payments Operations Division",AskLevel,INDEX(LevelList,3))*(INDEX(LevelBasic,3)+INDEX(LevelHousing,3)+INDEX(LevelTransport,3)+INDEX(LevelBasic,3)*INDEX(LevelBonus,3)+(INDEX(LevelBasic,3)+INDEX(LevelHousing,3))*GosiSaudi)+SUMIFS(AskTotal,AskDivision,"Payments Operations Division",AskLevel,INDEX(LevelList,4))*(INDEX(LevelBasic,4)+INDEX(LevelHousing,4)+INDEX(LevelTransport,4)+INDEX(LevelBasic,4)*INDEX(LevelBonus,4)+(INDEX(LevelBasic,4)+INDEX(LevelHousing,4))*GosiSaudi)+SUMIFS(AskTotal,AskDivision,"Payments Operations Division",AskLevel,INDEX(LevelList,5))*(INDEX(LevelBasic,5)+INDEX(LevelHousing,5)+INDEX(LevelTransport,5)+INDEX(LevelBasic,5)*INDEX(LevelBonus,5)+(INDEX(LevelBasic,5)+INDEX(LevelHousing,5))*GosiSaudi)+SUMIFS(AskTotal,AskDivision,"Payments Operations Division",AskLevel,INDEX(LevelList,6))*(INDEX(LevelBasic,6)+INDEX(LevelHousing,6)+INDEX(LevelTransport,6)+INDEX(LevelBasic,6)*INDEX(LevelBonus,6)+(INDEX(LevelBasic,6)+INDEX(LevelHousing,6))*GosiSaudi)</f>
        <v>0</v>
      </c>
      <c r="E15" s="29" t="n">
        <f aca="false">$B15-$C15+$D15</f>
        <v>0</v>
      </c>
      <c r="F15" s="29" t="n">
        <f aca="false">$E15-$B15</f>
        <v>0</v>
      </c>
    </row>
    <row r="16" customFormat="false" ht="15" hidden="false" customHeight="false" outlineLevel="0" collapsed="false">
      <c r="A16" s="9" t="s">
        <v>190</v>
      </c>
      <c r="B16" s="29" t="n">
        <f aca="false">SUMIFS(SeatApproved,SeatDivision,"Trade &amp; Corporate Operations Division",SeatLevel,INDEX(LevelList,1),SeatMandate,"Yes")*(INDEX(LevelBasic,1)+INDEX(LevelHousing,1)+INDEX(LevelTransport,1)+INDEX(LevelBasic,1)*INDEX(LevelBonus,1)+(INDEX(LevelBasic,1)+INDEX(LevelHousing,1))*GosiSaudi)+SUMIFS(SeatApproved,SeatDivision,"Trade &amp; Corporate Operations Division",SeatLevel,INDEX(LevelList,1),SeatMandate,"No")*(INDEX(LevelBasic,1)+INDEX(LevelHousing,1)+INDEX(LevelTransport,1)+INDEX(LevelBasic,1)*INDEX(LevelBonus,1)+(INDEX(LevelBasic,1)+INDEX(LevelHousing,1))*GosiOther)+SUMIFS(SeatApproved,SeatDivision,"Trade &amp; Corporate Operations Division",SeatLevel,INDEX(LevelList,2),SeatMandate,"Yes")*(INDEX(LevelBasic,2)+INDEX(LevelHousing,2)+INDEX(LevelTransport,2)+INDEX(LevelBasic,2)*INDEX(LevelBonus,2)+(INDEX(LevelBasic,2)+INDEX(LevelHousing,2))*GosiSaudi)+SUMIFS(SeatApproved,SeatDivision,"Trade &amp; Corporate Operations Division",SeatLevel,INDEX(LevelList,2),SeatMandate,"No")*(INDEX(LevelBasic,2)+INDEX(LevelHousing,2)+INDEX(LevelTransport,2)+INDEX(LevelBasic,2)*INDEX(LevelBonus,2)+(INDEX(LevelBasic,2)+INDEX(LevelHousing,2))*GosiOther)+SUMIFS(SeatApproved,SeatDivision,"Trade &amp; Corporate Operations Division",SeatLevel,INDEX(LevelList,3),SeatMandate,"Yes")*(INDEX(LevelBasic,3)+INDEX(LevelHousing,3)+INDEX(LevelTransport,3)+INDEX(LevelBasic,3)*INDEX(LevelBonus,3)+(INDEX(LevelBasic,3)+INDEX(LevelHousing,3))*GosiSaudi)+SUMIFS(SeatApproved,SeatDivision,"Trade &amp; Corporate Operations Division",SeatLevel,INDEX(LevelList,3),SeatMandate,"No")*(INDEX(LevelBasic,3)+INDEX(LevelHousing,3)+INDEX(LevelTransport,3)+INDEX(LevelBasic,3)*INDEX(LevelBonus,3)+(INDEX(LevelBasic,3)+INDEX(LevelHousing,3))*GosiOther)+SUMIFS(SeatApproved,SeatDivision,"Trade &amp; Corporate Operations Division",SeatLevel,INDEX(LevelList,4),SeatMandate,"Yes")*(INDEX(LevelBasic,4)+INDEX(LevelHousing,4)+INDEX(LevelTransport,4)+INDEX(LevelBasic,4)*INDEX(LevelBonus,4)+(INDEX(LevelBasic,4)+INDEX(LevelHousing,4))*GosiSaudi)+SUMIFS(SeatApproved,SeatDivision,"Trade &amp; Corporate Operations Division",SeatLevel,INDEX(LevelList,4),SeatMandate,"No")*(INDEX(LevelBasic,4)+INDEX(LevelHousing,4)+INDEX(LevelTransport,4)+INDEX(LevelBasic,4)*INDEX(LevelBonus,4)+(INDEX(LevelBasic,4)+INDEX(LevelHousing,4))*GosiOther)+SUMIFS(SeatApproved,SeatDivision,"Trade &amp; Corporate Operations Division",SeatLevel,INDEX(LevelList,5),SeatMandate,"Yes")*(INDEX(LevelBasic,5)+INDEX(LevelHousing,5)+INDEX(LevelTransport,5)+INDEX(LevelBasic,5)*INDEX(LevelBonus,5)+(INDEX(LevelBasic,5)+INDEX(LevelHousing,5))*GosiSaudi)+SUMIFS(SeatApproved,SeatDivision,"Trade &amp; Corporate Operations Division",SeatLevel,INDEX(LevelList,5),SeatMandate,"No")*(INDEX(LevelBasic,5)+INDEX(LevelHousing,5)+INDEX(LevelTransport,5)+INDEX(LevelBasic,5)*INDEX(LevelBonus,5)+(INDEX(LevelBasic,5)+INDEX(LevelHousing,5))*GosiOther)+SUMIFS(SeatApproved,SeatDivision,"Trade &amp; Corporate Operations Division",SeatLevel,INDEX(LevelList,6),SeatMandate,"Yes")*(INDEX(LevelBasic,6)+INDEX(LevelHousing,6)+INDEX(LevelTransport,6)+INDEX(LevelBasic,6)*INDEX(LevelBonus,6)+(INDEX(LevelBasic,6)+INDEX(LevelHousing,6))*GosiSaudi)+SUMIFS(SeatApproved,SeatDivision,"Trade &amp; Corporate Operations Division",SeatLevel,INDEX(LevelList,6),SeatMandate,"No")*(INDEX(LevelBasic,6)+INDEX(LevelHousing,6)+INDEX(LevelTransport,6)+INDEX(LevelBasic,6)*INDEX(LevelBonus,6)+(INDEX(LevelBasic,6)+INDEX(LevelHousing,6))*GosiOther)</f>
        <v>0</v>
      </c>
      <c r="C16" s="29" t="n">
        <f aca="false">SUMIFS(SeatExits,SeatDivision,"Trade &amp; Corporate Operations Division",SeatLevel,INDEX(LevelList,1),SeatMandate,"Yes")*(INDEX(LevelBasic,1)+INDEX(LevelHousing,1)+INDEX(LevelTransport,1)+INDEX(LevelBasic,1)*INDEX(LevelBonus,1)+(INDEX(LevelBasic,1)+INDEX(LevelHousing,1))*GosiSaudi)+SUMIFS(SeatExits,SeatDivision,"Trade &amp; Corporate Operations Division",SeatLevel,INDEX(LevelList,1),SeatMandate,"No")*(INDEX(LevelBasic,1)+INDEX(LevelHousing,1)+INDEX(LevelTransport,1)+INDEX(LevelBasic,1)*INDEX(LevelBonus,1)+(INDEX(LevelBasic,1)+INDEX(LevelHousing,1))*GosiOther)+SUMIFS(SeatExits,SeatDivision,"Trade &amp; Corporate Operations Division",SeatLevel,INDEX(LevelList,2),SeatMandate,"Yes")*(INDEX(LevelBasic,2)+INDEX(LevelHousing,2)+INDEX(LevelTransport,2)+INDEX(LevelBasic,2)*INDEX(LevelBonus,2)+(INDEX(LevelBasic,2)+INDEX(LevelHousing,2))*GosiSaudi)+SUMIFS(SeatExits,SeatDivision,"Trade &amp; Corporate Operations Division",SeatLevel,INDEX(LevelList,2),SeatMandate,"No")*(INDEX(LevelBasic,2)+INDEX(LevelHousing,2)+INDEX(LevelTransport,2)+INDEX(LevelBasic,2)*INDEX(LevelBonus,2)+(INDEX(LevelBasic,2)+INDEX(LevelHousing,2))*GosiOther)+SUMIFS(SeatExits,SeatDivision,"Trade &amp; Corporate Operations Division",SeatLevel,INDEX(LevelList,3),SeatMandate,"Yes")*(INDEX(LevelBasic,3)+INDEX(LevelHousing,3)+INDEX(LevelTransport,3)+INDEX(LevelBasic,3)*INDEX(LevelBonus,3)+(INDEX(LevelBasic,3)+INDEX(LevelHousing,3))*GosiSaudi)+SUMIFS(SeatExits,SeatDivision,"Trade &amp; Corporate Operations Division",SeatLevel,INDEX(LevelList,3),SeatMandate,"No")*(INDEX(LevelBasic,3)+INDEX(LevelHousing,3)+INDEX(LevelTransport,3)+INDEX(LevelBasic,3)*INDEX(LevelBonus,3)+(INDEX(LevelBasic,3)+INDEX(LevelHousing,3))*GosiOther)+SUMIFS(SeatExits,SeatDivision,"Trade &amp; Corporate Operations Division",SeatLevel,INDEX(LevelList,4),SeatMandate,"Yes")*(INDEX(LevelBasic,4)+INDEX(LevelHousing,4)+INDEX(LevelTransport,4)+INDEX(LevelBasic,4)*INDEX(LevelBonus,4)+(INDEX(LevelBasic,4)+INDEX(LevelHousing,4))*GosiSaudi)+SUMIFS(SeatExits,SeatDivision,"Trade &amp; Corporate Operations Division",SeatLevel,INDEX(LevelList,4),SeatMandate,"No")*(INDEX(LevelBasic,4)+INDEX(LevelHousing,4)+INDEX(LevelTransport,4)+INDEX(LevelBasic,4)*INDEX(LevelBonus,4)+(INDEX(LevelBasic,4)+INDEX(LevelHousing,4))*GosiOther)+SUMIFS(SeatExits,SeatDivision,"Trade &amp; Corporate Operations Division",SeatLevel,INDEX(LevelList,5),SeatMandate,"Yes")*(INDEX(LevelBasic,5)+INDEX(LevelHousing,5)+INDEX(LevelTransport,5)+INDEX(LevelBasic,5)*INDEX(LevelBonus,5)+(INDEX(LevelBasic,5)+INDEX(LevelHousing,5))*GosiSaudi)+SUMIFS(SeatExits,SeatDivision,"Trade &amp; Corporate Operations Division",SeatLevel,INDEX(LevelList,5),SeatMandate,"No")*(INDEX(LevelBasic,5)+INDEX(LevelHousing,5)+INDEX(LevelTransport,5)+INDEX(LevelBasic,5)*INDEX(LevelBonus,5)+(INDEX(LevelBasic,5)+INDEX(LevelHousing,5))*GosiOther)+SUMIFS(SeatExits,SeatDivision,"Trade &amp; Corporate Operations Division",SeatLevel,INDEX(LevelList,6),SeatMandate,"Yes")*(INDEX(LevelBasic,6)+INDEX(LevelHousing,6)+INDEX(LevelTransport,6)+INDEX(LevelBasic,6)*INDEX(LevelBonus,6)+(INDEX(LevelBasic,6)+INDEX(LevelHousing,6))*GosiSaudi)+SUMIFS(SeatExits,SeatDivision,"Trade &amp; Corporate Operations Division",SeatLevel,INDEX(LevelList,6),SeatMandate,"No")*(INDEX(LevelBasic,6)+INDEX(LevelHousing,6)+INDEX(LevelTransport,6)+INDEX(LevelBasic,6)*INDEX(LevelBonus,6)+(INDEX(LevelBasic,6)+INDEX(LevelHousing,6))*GosiOther)</f>
        <v>0</v>
      </c>
      <c r="D16" s="29" t="n">
        <f aca="false">SUMIFS(AskTotal,AskDivision,"Trade &amp; Corporate Operations Division",AskLevel,INDEX(LevelList,1))*(INDEX(LevelBasic,1)+INDEX(LevelHousing,1)+INDEX(LevelTransport,1)+INDEX(LevelBasic,1)*INDEX(LevelBonus,1)+(INDEX(LevelBasic,1)+INDEX(LevelHousing,1))*GosiSaudi)+SUMIFS(AskTotal,AskDivision,"Trade &amp; Corporate Operations Division",AskLevel,INDEX(LevelList,2))*(INDEX(LevelBasic,2)+INDEX(LevelHousing,2)+INDEX(LevelTransport,2)+INDEX(LevelBasic,2)*INDEX(LevelBonus,2)+(INDEX(LevelBasic,2)+INDEX(LevelHousing,2))*GosiSaudi)+SUMIFS(AskTotal,AskDivision,"Trade &amp; Corporate Operations Division",AskLevel,INDEX(LevelList,3))*(INDEX(LevelBasic,3)+INDEX(LevelHousing,3)+INDEX(LevelTransport,3)+INDEX(LevelBasic,3)*INDEX(LevelBonus,3)+(INDEX(LevelBasic,3)+INDEX(LevelHousing,3))*GosiSaudi)+SUMIFS(AskTotal,AskDivision,"Trade &amp; Corporate Operations Division",AskLevel,INDEX(LevelList,4))*(INDEX(LevelBasic,4)+INDEX(LevelHousing,4)+INDEX(LevelTransport,4)+INDEX(LevelBasic,4)*INDEX(LevelBonus,4)+(INDEX(LevelBasic,4)+INDEX(LevelHousing,4))*GosiSaudi)+SUMIFS(AskTotal,AskDivision,"Trade &amp; Corporate Operations Division",AskLevel,INDEX(LevelList,5))*(INDEX(LevelBasic,5)+INDEX(LevelHousing,5)+INDEX(LevelTransport,5)+INDEX(LevelBasic,5)*INDEX(LevelBonus,5)+(INDEX(LevelBasic,5)+INDEX(LevelHousing,5))*GosiSaudi)+SUMIFS(AskTotal,AskDivision,"Trade &amp; Corporate Operations Division",AskLevel,INDEX(LevelList,6))*(INDEX(LevelBasic,6)+INDEX(LevelHousing,6)+INDEX(LevelTransport,6)+INDEX(LevelBasic,6)*INDEX(LevelBonus,6)+(INDEX(LevelBasic,6)+INDEX(LevelHousing,6))*GosiSaudi)</f>
        <v>0</v>
      </c>
      <c r="E16" s="29" t="n">
        <f aca="false">$B16-$C16+$D16</f>
        <v>0</v>
      </c>
      <c r="F16" s="29" t="n">
        <f aca="false">$E16-$B16</f>
        <v>0</v>
      </c>
    </row>
    <row r="17" customFormat="false" ht="15" hidden="false" customHeight="false" outlineLevel="0" collapsed="false">
      <c r="A17" s="9" t="s">
        <v>402</v>
      </c>
      <c r="B17" s="29" t="n">
        <f aca="false">SUMIFS(SeatApproved,SeatDivision,"",SeatLevel,INDEX(LevelList,1),SeatMandate,"Yes")*(INDEX(LevelBasic,1)+INDEX(LevelHousing,1)+INDEX(LevelTransport,1)+INDEX(LevelBasic,1)*INDEX(LevelBonus,1)+(INDEX(LevelBasic,1)+INDEX(LevelHousing,1))*GosiSaudi)+SUMIFS(SeatApproved,SeatDivision,"",SeatLevel,INDEX(LevelList,1),SeatMandate,"No")*(INDEX(LevelBasic,1)+INDEX(LevelHousing,1)+INDEX(LevelTransport,1)+INDEX(LevelBasic,1)*INDEX(LevelBonus,1)+(INDEX(LevelBasic,1)+INDEX(LevelHousing,1))*GosiOther)+SUMIFS(SeatApproved,SeatDivision,"",SeatLevel,INDEX(LevelList,2),SeatMandate,"Yes")*(INDEX(LevelBasic,2)+INDEX(LevelHousing,2)+INDEX(LevelTransport,2)+INDEX(LevelBasic,2)*INDEX(LevelBonus,2)+(INDEX(LevelBasic,2)+INDEX(LevelHousing,2))*GosiSaudi)+SUMIFS(SeatApproved,SeatDivision,"",SeatLevel,INDEX(LevelList,2),SeatMandate,"No")*(INDEX(LevelBasic,2)+INDEX(LevelHousing,2)+INDEX(LevelTransport,2)+INDEX(LevelBasic,2)*INDEX(LevelBonus,2)+(INDEX(LevelBasic,2)+INDEX(LevelHousing,2))*GosiOther)+SUMIFS(SeatApproved,SeatDivision,"",SeatLevel,INDEX(LevelList,3),SeatMandate,"Yes")*(INDEX(LevelBasic,3)+INDEX(LevelHousing,3)+INDEX(LevelTransport,3)+INDEX(LevelBasic,3)*INDEX(LevelBonus,3)+(INDEX(LevelBasic,3)+INDEX(LevelHousing,3))*GosiSaudi)+SUMIFS(SeatApproved,SeatDivision,"",SeatLevel,INDEX(LevelList,3),SeatMandate,"No")*(INDEX(LevelBasic,3)+INDEX(LevelHousing,3)+INDEX(LevelTransport,3)+INDEX(LevelBasic,3)*INDEX(LevelBonus,3)+(INDEX(LevelBasic,3)+INDEX(LevelHousing,3))*GosiOther)+SUMIFS(SeatApproved,SeatDivision,"",SeatLevel,INDEX(LevelList,4),SeatMandate,"Yes")*(INDEX(LevelBasic,4)+INDEX(LevelHousing,4)+INDEX(LevelTransport,4)+INDEX(LevelBasic,4)*INDEX(LevelBonus,4)+(INDEX(LevelBasic,4)+INDEX(LevelHousing,4))*GosiSaudi)+SUMIFS(SeatApproved,SeatDivision,"",SeatLevel,INDEX(LevelList,4),SeatMandate,"No")*(INDEX(LevelBasic,4)+INDEX(LevelHousing,4)+INDEX(LevelTransport,4)+INDEX(LevelBasic,4)*INDEX(LevelBonus,4)+(INDEX(LevelBasic,4)+INDEX(LevelHousing,4))*GosiOther)+SUMIFS(SeatApproved,SeatDivision,"",SeatLevel,INDEX(LevelList,5),SeatMandate,"Yes")*(INDEX(LevelBasic,5)+INDEX(LevelHousing,5)+INDEX(LevelTransport,5)+INDEX(LevelBasic,5)*INDEX(LevelBonus,5)+(INDEX(LevelBasic,5)+INDEX(LevelHousing,5))*GosiSaudi)+SUMIFS(SeatApproved,SeatDivision,"",SeatLevel,INDEX(LevelList,5),SeatMandate,"No")*(INDEX(LevelBasic,5)+INDEX(LevelHousing,5)+INDEX(LevelTransport,5)+INDEX(LevelBasic,5)*INDEX(LevelBonus,5)+(INDEX(LevelBasic,5)+INDEX(LevelHousing,5))*GosiOther)+SUMIFS(SeatApproved,SeatDivision,"",SeatLevel,INDEX(LevelList,6),SeatMandate,"Yes")*(INDEX(LevelBasic,6)+INDEX(LevelHousing,6)+INDEX(LevelTransport,6)+INDEX(LevelBasic,6)*INDEX(LevelBonus,6)+(INDEX(LevelBasic,6)+INDEX(LevelHousing,6))*GosiSaudi)+SUMIFS(SeatApproved,SeatDivision,"",SeatLevel,INDEX(LevelList,6),SeatMandate,"No")*(INDEX(LevelBasic,6)+INDEX(LevelHousing,6)+INDEX(LevelTransport,6)+INDEX(LevelBasic,6)*INDEX(LevelBonus,6)+(INDEX(LevelBasic,6)+INDEX(LevelHousing,6))*GosiOther)</f>
        <v>0</v>
      </c>
      <c r="C17" s="29" t="n">
        <f aca="false">SUMIFS(SeatExits,SeatDivision,"",SeatLevel,INDEX(LevelList,1),SeatMandate,"Yes")*(INDEX(LevelBasic,1)+INDEX(LevelHousing,1)+INDEX(LevelTransport,1)+INDEX(LevelBasic,1)*INDEX(LevelBonus,1)+(INDEX(LevelBasic,1)+INDEX(LevelHousing,1))*GosiSaudi)+SUMIFS(SeatExits,SeatDivision,"",SeatLevel,INDEX(LevelList,1),SeatMandate,"No")*(INDEX(LevelBasic,1)+INDEX(LevelHousing,1)+INDEX(LevelTransport,1)+INDEX(LevelBasic,1)*INDEX(LevelBonus,1)+(INDEX(LevelBasic,1)+INDEX(LevelHousing,1))*GosiOther)+SUMIFS(SeatExits,SeatDivision,"",SeatLevel,INDEX(LevelList,2),SeatMandate,"Yes")*(INDEX(LevelBasic,2)+INDEX(LevelHousing,2)+INDEX(LevelTransport,2)+INDEX(LevelBasic,2)*INDEX(LevelBonus,2)+(INDEX(LevelBasic,2)+INDEX(LevelHousing,2))*GosiSaudi)+SUMIFS(SeatExits,SeatDivision,"",SeatLevel,INDEX(LevelList,2),SeatMandate,"No")*(INDEX(LevelBasic,2)+INDEX(LevelHousing,2)+INDEX(LevelTransport,2)+INDEX(LevelBasic,2)*INDEX(LevelBonus,2)+(INDEX(LevelBasic,2)+INDEX(LevelHousing,2))*GosiOther)+SUMIFS(SeatExits,SeatDivision,"",SeatLevel,INDEX(LevelList,3),SeatMandate,"Yes")*(INDEX(LevelBasic,3)+INDEX(LevelHousing,3)+INDEX(LevelTransport,3)+INDEX(LevelBasic,3)*INDEX(LevelBonus,3)+(INDEX(LevelBasic,3)+INDEX(LevelHousing,3))*GosiSaudi)+SUMIFS(SeatExits,SeatDivision,"",SeatLevel,INDEX(LevelList,3),SeatMandate,"No")*(INDEX(LevelBasic,3)+INDEX(LevelHousing,3)+INDEX(LevelTransport,3)+INDEX(LevelBasic,3)*INDEX(LevelBonus,3)+(INDEX(LevelBasic,3)+INDEX(LevelHousing,3))*GosiOther)+SUMIFS(SeatExits,SeatDivision,"",SeatLevel,INDEX(LevelList,4),SeatMandate,"Yes")*(INDEX(LevelBasic,4)+INDEX(LevelHousing,4)+INDEX(LevelTransport,4)+INDEX(LevelBasic,4)*INDEX(LevelBonus,4)+(INDEX(LevelBasic,4)+INDEX(LevelHousing,4))*GosiSaudi)+SUMIFS(SeatExits,SeatDivision,"",SeatLevel,INDEX(LevelList,4),SeatMandate,"No")*(INDEX(LevelBasic,4)+INDEX(LevelHousing,4)+INDEX(LevelTransport,4)+INDEX(LevelBasic,4)*INDEX(LevelBonus,4)+(INDEX(LevelBasic,4)+INDEX(LevelHousing,4))*GosiOther)+SUMIFS(SeatExits,SeatDivision,"",SeatLevel,INDEX(LevelList,5),SeatMandate,"Yes")*(INDEX(LevelBasic,5)+INDEX(LevelHousing,5)+INDEX(LevelTransport,5)+INDEX(LevelBasic,5)*INDEX(LevelBonus,5)+(INDEX(LevelBasic,5)+INDEX(LevelHousing,5))*GosiSaudi)+SUMIFS(SeatExits,SeatDivision,"",SeatLevel,INDEX(LevelList,5),SeatMandate,"No")*(INDEX(LevelBasic,5)+INDEX(LevelHousing,5)+INDEX(LevelTransport,5)+INDEX(LevelBasic,5)*INDEX(LevelBonus,5)+(INDEX(LevelBasic,5)+INDEX(LevelHousing,5))*GosiOther)+SUMIFS(SeatExits,SeatDivision,"",SeatLevel,INDEX(LevelList,6),SeatMandate,"Yes")*(INDEX(LevelBasic,6)+INDEX(LevelHousing,6)+INDEX(LevelTransport,6)+INDEX(LevelBasic,6)*INDEX(LevelBonus,6)+(INDEX(LevelBasic,6)+INDEX(LevelHousing,6))*GosiSaudi)+SUMIFS(SeatExits,SeatDivision,"",SeatLevel,INDEX(LevelList,6),SeatMandate,"No")*(INDEX(LevelBasic,6)+INDEX(LevelHousing,6)+INDEX(LevelTransport,6)+INDEX(LevelBasic,6)*INDEX(LevelBonus,6)+(INDEX(LevelBasic,6)+INDEX(LevelHousing,6))*GosiOther)</f>
        <v>0</v>
      </c>
      <c r="D17" s="29" t="n">
        <f aca="false">SUMIFS(AskTotal,AskDivision,"",AskLevel,INDEX(LevelList,1))*(INDEX(LevelBasic,1)+INDEX(LevelHousing,1)+INDEX(LevelTransport,1)+INDEX(LevelBasic,1)*INDEX(LevelBonus,1)+(INDEX(LevelBasic,1)+INDEX(LevelHousing,1))*GosiSaudi)+SUMIFS(AskTotal,AskDivision,"",AskLevel,INDEX(LevelList,2))*(INDEX(LevelBasic,2)+INDEX(LevelHousing,2)+INDEX(LevelTransport,2)+INDEX(LevelBasic,2)*INDEX(LevelBonus,2)+(INDEX(LevelBasic,2)+INDEX(LevelHousing,2))*GosiSaudi)+SUMIFS(AskTotal,AskDivision,"",AskLevel,INDEX(LevelList,3))*(INDEX(LevelBasic,3)+INDEX(LevelHousing,3)+INDEX(LevelTransport,3)+INDEX(LevelBasic,3)*INDEX(LevelBonus,3)+(INDEX(LevelBasic,3)+INDEX(LevelHousing,3))*GosiSaudi)+SUMIFS(AskTotal,AskDivision,"",AskLevel,INDEX(LevelList,4))*(INDEX(LevelBasic,4)+INDEX(LevelHousing,4)+INDEX(LevelTransport,4)+INDEX(LevelBasic,4)*INDEX(LevelBonus,4)+(INDEX(LevelBasic,4)+INDEX(LevelHousing,4))*GosiSaudi)+SUMIFS(AskTotal,AskDivision,"",AskLevel,INDEX(LevelList,5))*(INDEX(LevelBasic,5)+INDEX(LevelHousing,5)+INDEX(LevelTransport,5)+INDEX(LevelBasic,5)*INDEX(LevelBonus,5)+(INDEX(LevelBasic,5)+INDEX(LevelHousing,5))*GosiSaudi)+SUMIFS(AskTotal,AskDivision,"",AskLevel,INDEX(LevelList,6))*(INDEX(LevelBasic,6)+INDEX(LevelHousing,6)+INDEX(LevelTransport,6)+INDEX(LevelBasic,6)*INDEX(LevelBonus,6)+(INDEX(LevelBasic,6)+INDEX(LevelHousing,6))*GosiSaudi)</f>
        <v>0</v>
      </c>
      <c r="E17" s="29" t="n">
        <f aca="false">$B17-$C17+$D17</f>
        <v>0</v>
      </c>
      <c r="F17" s="29" t="n">
        <f aca="false">$E17-$B17</f>
        <v>0</v>
      </c>
    </row>
    <row r="18" customFormat="false" ht="15" hidden="false" customHeight="false" outlineLevel="0" collapsed="false">
      <c r="A18" s="27" t="s">
        <v>403</v>
      </c>
      <c r="B18" s="15" t="n">
        <f aca="false">SUM(B14:B17)</f>
        <v>0</v>
      </c>
      <c r="C18" s="15" t="n">
        <f aca="false">SUM(C14:C17)</f>
        <v>0</v>
      </c>
      <c r="D18" s="15" t="n">
        <f aca="false">SUM(D14:D17)</f>
        <v>0</v>
      </c>
      <c r="E18" s="15" t="n">
        <f aca="false">SUM(E14:E17)</f>
        <v>0</v>
      </c>
      <c r="F18" s="15" t="n">
        <f aca="false">SUM(F14:F17)</f>
        <v>0</v>
      </c>
    </row>
    <row r="20" customFormat="false" ht="15" hidden="false" customHeight="false" outlineLevel="0" collapsed="false">
      <c r="A20" s="3" t="s">
        <v>406</v>
      </c>
    </row>
    <row r="21" customFormat="false" ht="15" hidden="false" customHeight="false" outlineLevel="0" collapsed="false">
      <c r="A21" s="6" t="s">
        <v>407</v>
      </c>
      <c r="B21" s="1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c r="C21" s="30" t="s">
        <v>408</v>
      </c>
    </row>
    <row r="22" customFormat="false" ht="15" hidden="false" customHeight="false" outlineLevel="0" collapsed="false">
      <c r="A22" s="6" t="s">
        <v>409</v>
      </c>
      <c r="B22" s="19" t="n">
        <f aca="false">SUMIFS(AskTotal,AskLevel,INDEX(LevelList,1))*INDEX(LevelOneOff,1)+SUMIFS(AskTotal,AskLevel,INDEX(LevelList,2))*INDEX(LevelOneOff,2)+SUMIFS(AskTotal,AskLevel,INDEX(LevelList,3))*INDEX(LevelOneOff,3)+SUMIFS(AskTotal,AskLevel,INDEX(LevelList,4))*INDEX(LevelOneOff,4)+SUMIFS(AskTotal,AskLevel,INDEX(LevelList,5))*INDEX(LevelOneOff,5)+SUMIFS(AskTotal,AskLevel,INDEX(LevelList,6))*INDEX(LevelOneOff,6)</f>
        <v>0</v>
      </c>
      <c r="C22" s="30" t="s">
        <v>410</v>
      </c>
    </row>
    <row r="23" customFormat="false" ht="15" hidden="false" customHeight="false" outlineLevel="0" collapsed="false">
      <c r="A23" s="6" t="s">
        <v>411</v>
      </c>
      <c r="B23" s="19" t="n">
        <f aca="false">-SUM(OutCash)</f>
        <v>-0</v>
      </c>
      <c r="C23" s="30" t="s">
        <v>412</v>
      </c>
    </row>
    <row r="24" customFormat="false" ht="15" hidden="false" customHeight="false" outlineLevel="0" collapsed="false">
      <c r="A24" s="27" t="s">
        <v>413</v>
      </c>
      <c r="B24" s="15" t="n">
        <f aca="false">$B$21+$B$22+$B$23</f>
        <v>0</v>
      </c>
      <c r="C24" s="30" t="s">
        <v>414</v>
      </c>
    </row>
    <row r="26" customFormat="false" ht="15" hidden="false" customHeight="false" outlineLevel="0" collapsed="false">
      <c r="A26" s="3" t="s">
        <v>415</v>
      </c>
    </row>
    <row r="27" customFormat="false" ht="27.75" hidden="false" customHeight="true" outlineLevel="0" collapsed="false">
      <c r="A27" s="12" t="s">
        <v>416</v>
      </c>
      <c r="B27" s="12" t="s">
        <v>417</v>
      </c>
      <c r="C27" s="12" t="s">
        <v>418</v>
      </c>
      <c r="D27" s="12" t="s">
        <v>419</v>
      </c>
      <c r="E27" s="12" t="s">
        <v>420</v>
      </c>
      <c r="F27" s="12"/>
      <c r="G27" s="12"/>
    </row>
    <row r="28" customFormat="false" ht="15" hidden="false" customHeight="false" outlineLevel="0" collapsed="false">
      <c r="A28" s="31" t="s">
        <v>421</v>
      </c>
      <c r="B28" s="32" t="n">
        <f aca="false">CostEnvelope</f>
        <v>3130</v>
      </c>
      <c r="C28" s="33" t="n">
        <f aca="false">$F$18</f>
        <v>0</v>
      </c>
      <c r="D28" s="29" t="n">
        <f aca="false">$B28-$C28</f>
        <v>3130</v>
      </c>
      <c r="E28" s="34" t="str">
        <f aca="false">IF($D28&gt;=0,"Within envelope","Over envelope")</f>
        <v>Within envelope</v>
      </c>
      <c r="G28" s="35" t="s">
        <v>422</v>
      </c>
    </row>
    <row r="29" customFormat="false" ht="15" hidden="false" customHeight="false" outlineLevel="0" collapsed="false">
      <c r="A29" s="31" t="s">
        <v>423</v>
      </c>
      <c r="B29" s="36" t="n">
        <f aca="false">HeadEnvelope</f>
        <v>11</v>
      </c>
      <c r="C29" s="37" t="n">
        <f aca="false">$F$10</f>
        <v>0</v>
      </c>
      <c r="D29" s="26" t="n">
        <f aca="false">$B29-$C29</f>
        <v>11</v>
      </c>
      <c r="E29" s="34" t="str">
        <f aca="false">IF($D29&gt;=0,"Within envelope","Over envelope")</f>
        <v>Within envelope</v>
      </c>
      <c r="G29" s="35" t="s">
        <v>424</v>
      </c>
    </row>
    <row r="30" customFormat="false" ht="15" hidden="false" customHeight="false" outlineLevel="0" collapsed="false">
      <c r="A30" s="31" t="s">
        <v>425</v>
      </c>
      <c r="B30" s="38" t="n">
        <f aca="false">SaudiTarget</f>
        <v>0.66</v>
      </c>
      <c r="C30" s="39" t="n">
        <f aca="false">IFERROR(SUMIFS(SeatApproved,SeatMandate,"Yes")/SUM(SeatApproved),0)</f>
        <v>0</v>
      </c>
      <c r="D30" s="40" t="n">
        <f aca="false">$C30-$B30</f>
        <v>-0.66</v>
      </c>
      <c r="E30" s="34" t="str">
        <f aca="false">IF($C30&gt;=$B30,"At or above target","Below target")</f>
        <v>Below target</v>
      </c>
      <c r="G30" s="35" t="s">
        <v>426</v>
      </c>
    </row>
    <row r="32" customFormat="false" ht="15" hidden="false" customHeight="false" outlineLevel="0" collapsed="false">
      <c r="A32" s="3" t="s">
        <v>427</v>
      </c>
      <c r="G32" s="28" t="s">
        <v>428</v>
      </c>
    </row>
    <row r="33" customFormat="false" ht="27.75" hidden="false" customHeight="true" outlineLevel="0" collapsed="false">
      <c r="A33" s="12" t="s">
        <v>429</v>
      </c>
      <c r="B33" s="12" t="s">
        <v>390</v>
      </c>
      <c r="C33" s="12" t="s">
        <v>430</v>
      </c>
      <c r="D33" s="12" t="s">
        <v>431</v>
      </c>
      <c r="E33" s="12" t="s">
        <v>432</v>
      </c>
      <c r="F33" s="12"/>
      <c r="G33" s="12"/>
    </row>
    <row r="34" customFormat="false" ht="15" hidden="false" customHeight="false" outlineLevel="0" collapsed="false">
      <c r="A34" s="9" t="s">
        <v>433</v>
      </c>
      <c r="B34" s="26" t="n">
        <f aca="false">SUMIFS(AskTotal,AskCategory,"Regulatory")</f>
        <v>0</v>
      </c>
      <c r="C34" s="29" t="n">
        <f aca="false">SUMIFS(AskTotal,AskCategory,"Regulatory",AskLevel,INDEX(LevelList,1))*(INDEX(LevelBasic,1)+INDEX(LevelHousing,1)+INDEX(LevelTransport,1)+INDEX(LevelBasic,1)*INDEX(LevelBonus,1)+(INDEX(LevelBasic,1)+INDEX(LevelHousing,1))*GosiSaudi)+SUMIFS(AskTotal,AskCategory,"Regulatory",AskLevel,INDEX(LevelList,2))*(INDEX(LevelBasic,2)+INDEX(LevelHousing,2)+INDEX(LevelTransport,2)+INDEX(LevelBasic,2)*INDEX(LevelBonus,2)+(INDEX(LevelBasic,2)+INDEX(LevelHousing,2))*GosiSaudi)+SUMIFS(AskTotal,AskCategory,"Regulatory",AskLevel,INDEX(LevelList,3))*(INDEX(LevelBasic,3)+INDEX(LevelHousing,3)+INDEX(LevelTransport,3)+INDEX(LevelBasic,3)*INDEX(LevelBonus,3)+(INDEX(LevelBasic,3)+INDEX(LevelHousing,3))*GosiSaudi)+SUMIFS(AskTotal,AskCategory,"Regulatory",AskLevel,INDEX(LevelList,4))*(INDEX(LevelBasic,4)+INDEX(LevelHousing,4)+INDEX(LevelTransport,4)+INDEX(LevelBasic,4)*INDEX(LevelBonus,4)+(INDEX(LevelBasic,4)+INDEX(LevelHousing,4))*GosiSaudi)+SUMIFS(AskTotal,AskCategory,"Regulatory",AskLevel,INDEX(LevelList,5))*(INDEX(LevelBasic,5)+INDEX(LevelHousing,5)+INDEX(LevelTransport,5)+INDEX(LevelBasic,5)*INDEX(LevelBonus,5)+(INDEX(LevelBasic,5)+INDEX(LevelHousing,5))*GosiSaudi)+SUMIFS(AskTotal,AskCategory,"Regulatory",AskLevel,INDEX(LevelList,6))*(INDEX(LevelBasic,6)+INDEX(LevelHousing,6)+INDEX(LevelTransport,6)+INDEX(LevelBasic,6)*INDEX(LevelBonus,6)+(INDEX(LevelBasic,6)+INDEX(LevelHousing,6))*GosiSaudi)</f>
        <v>0</v>
      </c>
      <c r="D34" s="29" t="n">
        <f aca="false">SUM($C$34:$C34)</f>
        <v>0</v>
      </c>
      <c r="E34" s="34" t="str">
        <f aca="false">IF($D34&lt;=CostEnvelope,"Yes","No")</f>
        <v>Yes</v>
      </c>
      <c r="G34" s="35" t="s">
        <v>434</v>
      </c>
    </row>
    <row r="35" customFormat="false" ht="15" hidden="false" customHeight="false" outlineLevel="0" collapsed="false">
      <c r="A35" s="9" t="s">
        <v>435</v>
      </c>
      <c r="B35" s="26" t="n">
        <f aca="false">SUMIFS(AskTotal,AskCategory,"Strategic")</f>
        <v>0</v>
      </c>
      <c r="C35" s="29" t="n">
        <f aca="false">SUMIFS(AskTotal,AskCategory,"Strategic",AskLevel,INDEX(LevelList,1))*(INDEX(LevelBasic,1)+INDEX(LevelHousing,1)+INDEX(LevelTransport,1)+INDEX(LevelBasic,1)*INDEX(LevelBonus,1)+(INDEX(LevelBasic,1)+INDEX(LevelHousing,1))*GosiSaudi)+SUMIFS(AskTotal,AskCategory,"Strategic",AskLevel,INDEX(LevelList,2))*(INDEX(LevelBasic,2)+INDEX(LevelHousing,2)+INDEX(LevelTransport,2)+INDEX(LevelBasic,2)*INDEX(LevelBonus,2)+(INDEX(LevelBasic,2)+INDEX(LevelHousing,2))*GosiSaudi)+SUMIFS(AskTotal,AskCategory,"Strategic",AskLevel,INDEX(LevelList,3))*(INDEX(LevelBasic,3)+INDEX(LevelHousing,3)+INDEX(LevelTransport,3)+INDEX(LevelBasic,3)*INDEX(LevelBonus,3)+(INDEX(LevelBasic,3)+INDEX(LevelHousing,3))*GosiSaudi)+SUMIFS(AskTotal,AskCategory,"Strategic",AskLevel,INDEX(LevelList,4))*(INDEX(LevelBasic,4)+INDEX(LevelHousing,4)+INDEX(LevelTransport,4)+INDEX(LevelBasic,4)*INDEX(LevelBonus,4)+(INDEX(LevelBasic,4)+INDEX(LevelHousing,4))*GosiSaudi)+SUMIFS(AskTotal,AskCategory,"Strategic",AskLevel,INDEX(LevelList,5))*(INDEX(LevelBasic,5)+INDEX(LevelHousing,5)+INDEX(LevelTransport,5)+INDEX(LevelBasic,5)*INDEX(LevelBonus,5)+(INDEX(LevelBasic,5)+INDEX(LevelHousing,5))*GosiSaudi)+SUMIFS(AskTotal,AskCategory,"Strategic",AskLevel,INDEX(LevelList,6))*(INDEX(LevelBasic,6)+INDEX(LevelHousing,6)+INDEX(LevelTransport,6)+INDEX(LevelBasic,6)*INDEX(LevelBonus,6)+(INDEX(LevelBasic,6)+INDEX(LevelHousing,6))*GosiSaudi)</f>
        <v>0</v>
      </c>
      <c r="D35" s="29" t="n">
        <f aca="false">SUM($C$34:$C35)</f>
        <v>0</v>
      </c>
      <c r="E35" s="34" t="str">
        <f aca="false">IF($D35&lt;=CostEnvelope,"Yes","No")</f>
        <v>Yes</v>
      </c>
      <c r="G35" s="35" t="s">
        <v>436</v>
      </c>
    </row>
    <row r="36" customFormat="false" ht="15" hidden="false" customHeight="false" outlineLevel="0" collapsed="false">
      <c r="A36" s="9" t="s">
        <v>437</v>
      </c>
      <c r="B36" s="26" t="n">
        <f aca="false">SUMIFS(AskTotal,AskCategory,"Control")</f>
        <v>0</v>
      </c>
      <c r="C36" s="29" t="n">
        <f aca="false">SUMIFS(AskTotal,AskCategory,"Control",AskLevel,INDEX(LevelList,1))*(INDEX(LevelBasic,1)+INDEX(LevelHousing,1)+INDEX(LevelTransport,1)+INDEX(LevelBasic,1)*INDEX(LevelBonus,1)+(INDEX(LevelBasic,1)+INDEX(LevelHousing,1))*GosiSaudi)+SUMIFS(AskTotal,AskCategory,"Control",AskLevel,INDEX(LevelList,2))*(INDEX(LevelBasic,2)+INDEX(LevelHousing,2)+INDEX(LevelTransport,2)+INDEX(LevelBasic,2)*INDEX(LevelBonus,2)+(INDEX(LevelBasic,2)+INDEX(LevelHousing,2))*GosiSaudi)+SUMIFS(AskTotal,AskCategory,"Control",AskLevel,INDEX(LevelList,3))*(INDEX(LevelBasic,3)+INDEX(LevelHousing,3)+INDEX(LevelTransport,3)+INDEX(LevelBasic,3)*INDEX(LevelBonus,3)+(INDEX(LevelBasic,3)+INDEX(LevelHousing,3))*GosiSaudi)+SUMIFS(AskTotal,AskCategory,"Control",AskLevel,INDEX(LevelList,4))*(INDEX(LevelBasic,4)+INDEX(LevelHousing,4)+INDEX(LevelTransport,4)+INDEX(LevelBasic,4)*INDEX(LevelBonus,4)+(INDEX(LevelBasic,4)+INDEX(LevelHousing,4))*GosiSaudi)+SUMIFS(AskTotal,AskCategory,"Control",AskLevel,INDEX(LevelList,5))*(INDEX(LevelBasic,5)+INDEX(LevelHousing,5)+INDEX(LevelTransport,5)+INDEX(LevelBasic,5)*INDEX(LevelBonus,5)+(INDEX(LevelBasic,5)+INDEX(LevelHousing,5))*GosiSaudi)+SUMIFS(AskTotal,AskCategory,"Control",AskLevel,INDEX(LevelList,6))*(INDEX(LevelBasic,6)+INDEX(LevelHousing,6)+INDEX(LevelTransport,6)+INDEX(LevelBasic,6)*INDEX(LevelBonus,6)+(INDEX(LevelBasic,6)+INDEX(LevelHousing,6))*GosiSaudi)</f>
        <v>0</v>
      </c>
      <c r="D36" s="29" t="n">
        <f aca="false">SUM($C$34:$C36)</f>
        <v>0</v>
      </c>
      <c r="E36" s="34" t="str">
        <f aca="false">IF($D36&lt;=CostEnvelope,"Yes","No")</f>
        <v>Yes</v>
      </c>
      <c r="G36" s="35" t="s">
        <v>438</v>
      </c>
    </row>
    <row r="37" customFormat="false" ht="15" hidden="false" customHeight="false" outlineLevel="0" collapsed="false">
      <c r="A37" s="9" t="s">
        <v>439</v>
      </c>
      <c r="B37" s="26" t="n">
        <f aca="false">SUMIFS(AskTotal,AskCategory,"BAU")</f>
        <v>0</v>
      </c>
      <c r="C37" s="29" t="n">
        <f aca="false">SUMIFS(AskTotal,AskCategory,"BAU",AskLevel,INDEX(LevelList,1))*(INDEX(LevelBasic,1)+INDEX(LevelHousing,1)+INDEX(LevelTransport,1)+INDEX(LevelBasic,1)*INDEX(LevelBonus,1)+(INDEX(LevelBasic,1)+INDEX(LevelHousing,1))*GosiSaudi)+SUMIFS(AskTotal,AskCategory,"BAU",AskLevel,INDEX(LevelList,2))*(INDEX(LevelBasic,2)+INDEX(LevelHousing,2)+INDEX(LevelTransport,2)+INDEX(LevelBasic,2)*INDEX(LevelBonus,2)+(INDEX(LevelBasic,2)+INDEX(LevelHousing,2))*GosiSaudi)+SUMIFS(AskTotal,AskCategory,"BAU",AskLevel,INDEX(LevelList,3))*(INDEX(LevelBasic,3)+INDEX(LevelHousing,3)+INDEX(LevelTransport,3)+INDEX(LevelBasic,3)*INDEX(LevelBonus,3)+(INDEX(LevelBasic,3)+INDEX(LevelHousing,3))*GosiSaudi)+SUMIFS(AskTotal,AskCategory,"BAU",AskLevel,INDEX(LevelList,4))*(INDEX(LevelBasic,4)+INDEX(LevelHousing,4)+INDEX(LevelTransport,4)+INDEX(LevelBasic,4)*INDEX(LevelBonus,4)+(INDEX(LevelBasic,4)+INDEX(LevelHousing,4))*GosiSaudi)+SUMIFS(AskTotal,AskCategory,"BAU",AskLevel,INDEX(LevelList,5))*(INDEX(LevelBasic,5)+INDEX(LevelHousing,5)+INDEX(LevelTransport,5)+INDEX(LevelBasic,5)*INDEX(LevelBonus,5)+(INDEX(LevelBasic,5)+INDEX(LevelHousing,5))*GosiSaudi)+SUMIFS(AskTotal,AskCategory,"BAU",AskLevel,INDEX(LevelList,6))*(INDEX(LevelBasic,6)+INDEX(LevelHousing,6)+INDEX(LevelTransport,6)+INDEX(LevelBasic,6)*INDEX(LevelBonus,6)+(INDEX(LevelBasic,6)+INDEX(LevelHousing,6))*GosiSaudi)</f>
        <v>0</v>
      </c>
      <c r="D37" s="29" t="n">
        <f aca="false">SUM($C$34:$C37)</f>
        <v>0</v>
      </c>
      <c r="E37" s="34" t="str">
        <f aca="false">IF($D37&lt;=CostEnvelope,"Yes","No")</f>
        <v>Yes</v>
      </c>
      <c r="G37" s="35" t="s">
        <v>440</v>
      </c>
    </row>
    <row r="39" customFormat="false" ht="15" hidden="false" customHeight="false" outlineLevel="0" collapsed="false">
      <c r="A39" s="3" t="s">
        <v>441</v>
      </c>
    </row>
    <row r="40" customFormat="false" ht="27.75" hidden="false" customHeight="true" outlineLevel="0" collapsed="false">
      <c r="A40" s="12" t="s">
        <v>388</v>
      </c>
      <c r="B40" s="12" t="s">
        <v>390</v>
      </c>
      <c r="C40" s="12" t="s">
        <v>442</v>
      </c>
      <c r="D40" s="12" t="s">
        <v>443</v>
      </c>
      <c r="E40" s="12"/>
      <c r="F40" s="12"/>
      <c r="G40" s="12"/>
    </row>
    <row r="41" customFormat="false" ht="15" hidden="false" customHeight="false" outlineLevel="0" collapsed="false">
      <c r="A41" s="9" t="s">
        <v>391</v>
      </c>
      <c r="B41" s="26" t="n">
        <f aca="false">SUM(AskQ1)</f>
        <v>0</v>
      </c>
      <c r="C41" s="41" t="n">
        <v>1</v>
      </c>
      <c r="D41" s="2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f>
        <v>0</v>
      </c>
    </row>
    <row r="42" customFormat="false" ht="15" hidden="false" customHeight="false" outlineLevel="0" collapsed="false">
      <c r="A42" s="9" t="s">
        <v>392</v>
      </c>
      <c r="B42" s="26" t="n">
        <f aca="false">SUM(AskQ2)</f>
        <v>0</v>
      </c>
      <c r="C42" s="41" t="n">
        <v>0.75</v>
      </c>
      <c r="D42" s="29" t="n">
        <f aca="false">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f>
        <v>0</v>
      </c>
    </row>
    <row r="43" customFormat="false" ht="15" hidden="false" customHeight="false" outlineLevel="0" collapsed="false">
      <c r="A43" s="9" t="s">
        <v>393</v>
      </c>
      <c r="B43" s="26" t="n">
        <f aca="false">SUM(AskQ3)</f>
        <v>0</v>
      </c>
      <c r="C43" s="41" t="n">
        <v>0.5</v>
      </c>
      <c r="D43" s="29" t="n">
        <f aca="false">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f>
        <v>0</v>
      </c>
    </row>
    <row r="44" customFormat="false" ht="15" hidden="false" customHeight="false" outlineLevel="0" collapsed="false">
      <c r="A44" s="9" t="s">
        <v>394</v>
      </c>
      <c r="B44" s="26" t="n">
        <f aca="false">SUM(AskQ4)</f>
        <v>0</v>
      </c>
      <c r="C44" s="41" t="n">
        <v>0.25</v>
      </c>
      <c r="D44" s="29" t="n">
        <f aca="false">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row>
    <row r="66" customFormat="false" ht="15" hidden="false" customHeight="false" outlineLevel="0" collapsed="false">
      <c r="A66" s="3" t="s">
        <v>444</v>
      </c>
      <c r="G66" s="28" t="s">
        <v>445</v>
      </c>
    </row>
    <row r="67" customFormat="false" ht="27.75" hidden="false" customHeight="true" outlineLevel="0" collapsed="false">
      <c r="A67" s="12" t="s">
        <v>61</v>
      </c>
      <c r="B67" s="12" t="s">
        <v>389</v>
      </c>
      <c r="C67" s="12" t="s">
        <v>260</v>
      </c>
      <c r="D67" s="12" t="s">
        <v>390</v>
      </c>
      <c r="E67" s="12" t="s">
        <v>401</v>
      </c>
      <c r="F67" s="12" t="s">
        <v>446</v>
      </c>
      <c r="G67" s="12" t="s">
        <v>430</v>
      </c>
      <c r="H67" s="12" t="s">
        <v>383</v>
      </c>
    </row>
    <row r="68" customFormat="false" ht="15" hidden="false" customHeight="false" outlineLevel="0" collapsed="false">
      <c r="A68" s="10" t="str">
        <f aca="false">$A6</f>
        <v>Branch Operations Division</v>
      </c>
      <c r="B68" s="26" t="n">
        <f aca="false">$B6</f>
        <v>77</v>
      </c>
      <c r="C68" s="26" t="n">
        <f aca="false">$C6</f>
        <v>0</v>
      </c>
      <c r="D68" s="26" t="n">
        <f aca="false">$D6</f>
        <v>0</v>
      </c>
      <c r="E68" s="26" t="n">
        <f aca="false">$E6</f>
        <v>77</v>
      </c>
      <c r="F68" s="26" t="n">
        <f aca="false">SUMIFS(SeatApproved,SeatDivision,"Branch Operations Division",SeatMandate,"Yes")</f>
        <v>0</v>
      </c>
      <c r="G68" s="29" t="n">
        <f aca="false">$E14</f>
        <v>0</v>
      </c>
      <c r="H68" s="29" t="n">
        <f aca="false">SUMIFS(OutCash,OutDivision,"Branch Operations Division")</f>
        <v>0</v>
      </c>
    </row>
    <row r="69" customFormat="false" ht="15" hidden="false" customHeight="false" outlineLevel="0" collapsed="false">
      <c r="A69" s="10" t="str">
        <f aca="false">$A7</f>
        <v>Payments Operations Division</v>
      </c>
      <c r="B69" s="26" t="n">
        <f aca="false">$B7</f>
        <v>75</v>
      </c>
      <c r="C69" s="26" t="n">
        <f aca="false">$C7</f>
        <v>0</v>
      </c>
      <c r="D69" s="26" t="n">
        <f aca="false">$D7</f>
        <v>0</v>
      </c>
      <c r="E69" s="26" t="n">
        <f aca="false">$E7</f>
        <v>75</v>
      </c>
      <c r="F69" s="26" t="n">
        <f aca="false">SUMIFS(SeatApproved,SeatDivision,"Payments Operations Division",SeatMandate,"Yes")</f>
        <v>0</v>
      </c>
      <c r="G69" s="29" t="n">
        <f aca="false">$E15</f>
        <v>0</v>
      </c>
      <c r="H69" s="29" t="n">
        <f aca="false">SUMIFS(OutCash,OutDivision,"Payments Operations Division")</f>
        <v>0</v>
      </c>
    </row>
    <row r="70" customFormat="false" ht="15" hidden="false" customHeight="false" outlineLevel="0" collapsed="false">
      <c r="A70" s="10" t="str">
        <f aca="false">$A8</f>
        <v>Trade &amp; Corporate Operations Division</v>
      </c>
      <c r="B70" s="26" t="n">
        <f aca="false">$B8</f>
        <v>75</v>
      </c>
      <c r="C70" s="26" t="n">
        <f aca="false">$C8</f>
        <v>0</v>
      </c>
      <c r="D70" s="26" t="n">
        <f aca="false">$D8</f>
        <v>0</v>
      </c>
      <c r="E70" s="26" t="n">
        <f aca="false">$E8</f>
        <v>75</v>
      </c>
      <c r="F70" s="26" t="n">
        <f aca="false">SUMIFS(SeatApproved,SeatDivision,"Trade &amp; Corporate Operations Division",SeatMandate,"Yes")</f>
        <v>0</v>
      </c>
      <c r="G70" s="29" t="n">
        <f aca="false">$E16</f>
        <v>0</v>
      </c>
      <c r="H70" s="29" t="n">
        <f aca="false">SUMIFS(OutCash,OutDivision,"Trade &amp; Corporate Operations Division")</f>
        <v>0</v>
      </c>
    </row>
    <row r="71" customFormat="false" ht="15" hidden="false" customHeight="false" outlineLevel="0" collapsed="false">
      <c r="A71" s="10" t="str">
        <f aca="false">$A9</f>
        <v>Reporting to the group directly</v>
      </c>
      <c r="B71" s="26" t="n">
        <f aca="false">$B9</f>
        <v>1</v>
      </c>
      <c r="C71" s="26" t="n">
        <f aca="false">$C9</f>
        <v>0</v>
      </c>
      <c r="D71" s="26" t="n">
        <f aca="false">$D9</f>
        <v>0</v>
      </c>
      <c r="E71" s="26" t="n">
        <f aca="false">$E9</f>
        <v>1</v>
      </c>
      <c r="F71" s="26" t="n">
        <f aca="false">SUMIFS(SeatApproved,SeatDivision,"",SeatMandate,"Yes")</f>
        <v>0</v>
      </c>
      <c r="G71" s="29" t="n">
        <f aca="false">$E17</f>
        <v>0</v>
      </c>
      <c r="H71" s="29" t="n">
        <f aca="false">SUMIFS(OutCash,OutDivision,"")</f>
        <v>0</v>
      </c>
    </row>
  </sheetData>
  <sheetProtection sheet="true" sort="false" autoFilter="false"/>
  <mergeCells count="1">
    <mergeCell ref="A2:J2"/>
  </mergeCells>
  <conditionalFormatting sqref="F6:F9">
    <cfRule type="cellIs" priority="2" operator="lessThan" aboveAverage="0" equalAverage="0" bottom="0" percent="0" rank="0" text="" dxfId="15">
      <formula>0</formula>
    </cfRule>
  </conditionalFormatting>
  <conditionalFormatting sqref="E28:E30">
    <cfRule type="expression" priority="3" aboveAverage="0" equalAverage="0" bottom="0" percent="0" rank="0" text="" dxfId="1">
      <formula>OR($E28="Over envelope",$E28="Below target")</formula>
    </cfRule>
    <cfRule type="expression" priority="4" aboveAverage="0" equalAverage="0" bottom="0" percent="0" rank="0" text="" dxfId="0">
      <formula>OR($E28="Within envelope",$E28="At or above target")</formula>
    </cfRule>
  </conditionalFormatting>
  <conditionalFormatting sqref="E34:E37">
    <cfRule type="cellIs" priority="5" operator="equal" aboveAverage="0" equalAverage="0" bottom="0" percent="0" rank="0" text="" dxfId="1">
      <formula>"No"</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447</v>
      </c>
    </row>
    <row r="2" customFormat="false" ht="15" hidden="false" customHeight="false" outlineLevel="0" collapsed="false">
      <c r="A2" s="2" t="s">
        <v>448</v>
      </c>
      <c r="B2" s="2"/>
      <c r="C2" s="2"/>
      <c r="D2" s="2"/>
      <c r="E2" s="2"/>
      <c r="F2" s="2"/>
      <c r="G2" s="2"/>
      <c r="H2" s="2"/>
      <c r="I2" s="2"/>
      <c r="J2" s="2"/>
    </row>
    <row r="4" customFormat="false" ht="15" hidden="false" customHeight="false" outlineLevel="0" collapsed="false">
      <c r="A4" s="3" t="s">
        <v>449</v>
      </c>
    </row>
    <row r="5" customFormat="false" ht="27.75" hidden="false" customHeight="true" outlineLevel="0" collapsed="false">
      <c r="A5" s="12" t="s">
        <v>450</v>
      </c>
      <c r="B5" s="12" t="s">
        <v>451</v>
      </c>
      <c r="C5" s="12" t="s">
        <v>420</v>
      </c>
      <c r="D5" s="12" t="s">
        <v>452</v>
      </c>
    </row>
    <row r="6" customFormat="false" ht="25.5" hidden="false" customHeight="true" outlineLevel="0" collapsed="false">
      <c r="A6" s="9" t="s">
        <v>453</v>
      </c>
      <c r="B6" s="29" t="n">
        <f aca="false">COUNTIF(SeatProblem,"?*")</f>
        <v>159</v>
      </c>
      <c r="C6" s="42" t="str">
        <f aca="false">IF($B6=0,"OK","Fix")</f>
        <v>Fix</v>
      </c>
      <c r="D6" s="43" t="s">
        <v>454</v>
      </c>
    </row>
    <row r="7" customFormat="false" ht="25.5" hidden="false" customHeight="true" outlineLevel="0" collapsed="false">
      <c r="A7" s="9" t="s">
        <v>455</v>
      </c>
      <c r="B7" s="29" t="n">
        <f aca="false">SUMPRODUCT((SeatTitle&lt;&gt;"")*(SeatLevel=""))</f>
        <v>159</v>
      </c>
      <c r="C7" s="42" t="str">
        <f aca="false">IF($B7=0,"OK","Fix")</f>
        <v>Fix</v>
      </c>
      <c r="D7" s="43" t="s">
        <v>456</v>
      </c>
    </row>
    <row r="8" customFormat="false" ht="25.5" hidden="false" customHeight="true" outlineLevel="0" collapsed="false">
      <c r="A8" s="9" t="s">
        <v>457</v>
      </c>
      <c r="B8" s="29" t="n">
        <f aca="false">SUMPRODUCT((SeatTitle&lt;&gt;"")*(SeatDirection=""))</f>
        <v>159</v>
      </c>
      <c r="C8" s="42" t="str">
        <f aca="false">IF($B8=0,"OK","Fix")</f>
        <v>Fix</v>
      </c>
      <c r="D8" s="43" t="s">
        <v>458</v>
      </c>
    </row>
    <row r="9" customFormat="false" ht="25.5" hidden="false" customHeight="true" outlineLevel="0" collapsed="false">
      <c r="A9" s="9" t="s">
        <v>459</v>
      </c>
      <c r="B9" s="29" t="n">
        <f aca="false">SUMPRODUCT((SeatDirection="Reduce")*(N(SeatSlated)&lt;=0))</f>
        <v>0</v>
      </c>
      <c r="C9" s="42" t="str">
        <f aca="false">IF($B9=0,"OK","Fix")</f>
        <v>OK</v>
      </c>
      <c r="D9" s="43" t="s">
        <v>460</v>
      </c>
    </row>
    <row r="10" customFormat="false" ht="25.5" hidden="false" customHeight="true" outlineLevel="0" collapsed="false">
      <c r="A10" s="9" t="s">
        <v>461</v>
      </c>
      <c r="B10" s="29" t="n">
        <f aca="false">SUMPRODUCT((N(SeatSlated)&gt;0)*(SeatDirection&lt;&gt;"Reduce"))</f>
        <v>0</v>
      </c>
      <c r="C10" s="42" t="str">
        <f aca="false">IF($B10=0,"OK","Fix")</f>
        <v>OK</v>
      </c>
      <c r="D10" s="43" t="s">
        <v>462</v>
      </c>
    </row>
    <row r="11" customFormat="false" ht="25.5" hidden="false" customHeight="true" outlineLevel="0" collapsed="false">
      <c r="A11" s="9" t="s">
        <v>463</v>
      </c>
      <c r="B11" s="29" t="n">
        <f aca="false">SUMPRODUCT((N(SeatSlated)&gt;N(SeatApproved))*1)</f>
        <v>0</v>
      </c>
      <c r="C11" s="42" t="str">
        <f aca="false">IF($B11=0,"OK","Fix")</f>
        <v>OK</v>
      </c>
      <c r="D11" s="43" t="s">
        <v>464</v>
      </c>
    </row>
    <row r="12" customFormat="false" ht="25.5" hidden="false" customHeight="true" outlineLevel="0" collapsed="false">
      <c r="A12" s="9" t="s">
        <v>465</v>
      </c>
      <c r="B12" s="29" t="n">
        <f aca="false">COUNTIF(OutProblem,"?*")</f>
        <v>0</v>
      </c>
      <c r="C12" s="42" t="str">
        <f aca="false">IF($B12=0,"OK","Fix")</f>
        <v>OK</v>
      </c>
      <c r="D12" s="43" t="s">
        <v>466</v>
      </c>
    </row>
    <row r="13" customFormat="false" ht="25.5" hidden="false" customHeight="true" outlineLevel="0" collapsed="false">
      <c r="A13" s="9" t="s">
        <v>467</v>
      </c>
      <c r="B13" s="29" t="n">
        <f aca="false">SUMPRODUCT((OutDisposition="Surrender to fund new asks")*(COUNTIFS(OutUnit,OutUnit,OutTitle,OutTitle,OutDisposition,"Surrender to fund new asks")&gt;SUMIFS(SeatSlated,SeatUnit,OutUnit,SeatTitle,OutTitle)))</f>
        <v>0</v>
      </c>
      <c r="C13" s="42" t="str">
        <f aca="false">IF($B13=0,"OK","Fix")</f>
        <v>OK</v>
      </c>
      <c r="D13" s="43" t="s">
        <v>468</v>
      </c>
    </row>
    <row r="14" customFormat="false" ht="25.5" hidden="false" customHeight="true" outlineLevel="0" collapsed="false">
      <c r="A14" s="9" t="s">
        <v>469</v>
      </c>
      <c r="B14" s="29" t="n">
        <f aca="false">COUNTIF(AskProblem,"?*")</f>
        <v>0</v>
      </c>
      <c r="C14" s="42" t="str">
        <f aca="false">IF($B14=0,"OK","Fix")</f>
        <v>OK</v>
      </c>
      <c r="D14" s="43" t="s">
        <v>470</v>
      </c>
    </row>
    <row r="15" customFormat="false" ht="25.5" hidden="false" customHeight="true" outlineLevel="0" collapsed="false">
      <c r="A15" s="9" t="s">
        <v>471</v>
      </c>
      <c r="B15" s="29" t="n">
        <f aca="false">SUMPRODUCT((AskTitle&lt;&gt;"")*(N(AskTotal)&lt;=0))</f>
        <v>0</v>
      </c>
      <c r="C15" s="42" t="str">
        <f aca="false">IF($B15=0,"OK","Fix")</f>
        <v>OK</v>
      </c>
      <c r="D15" s="43" t="s">
        <v>472</v>
      </c>
    </row>
    <row r="16" customFormat="false" ht="25.5" hidden="false" customHeight="true" outlineLevel="0" collapsed="false">
      <c r="A16" s="9" t="s">
        <v>473</v>
      </c>
      <c r="B16" s="29" t="n">
        <f aca="false">SUMPRODUCT((AskUnit&lt;&gt;"")*(COUNTIF(UnitList,AskUnit)=0))</f>
        <v>0</v>
      </c>
      <c r="C16" s="42" t="str">
        <f aca="false">IF($B16=0,"OK","Fix")</f>
        <v>OK</v>
      </c>
      <c r="D16" s="43" t="s">
        <v>474</v>
      </c>
    </row>
    <row r="18" customFormat="false" ht="15" hidden="false" customHeight="false" outlineLevel="0" collapsed="false">
      <c r="A18" s="3" t="s">
        <v>475</v>
      </c>
    </row>
    <row r="19" customFormat="false" ht="27.75" hidden="false" customHeight="true" outlineLevel="0" collapsed="false">
      <c r="A19" s="12" t="s">
        <v>450</v>
      </c>
      <c r="B19" s="12" t="s">
        <v>451</v>
      </c>
      <c r="C19" s="12" t="s">
        <v>420</v>
      </c>
      <c r="D19" s="12" t="s">
        <v>452</v>
      </c>
    </row>
    <row r="20" customFormat="false" ht="25.5" hidden="false" customHeight="true" outlineLevel="0" collapsed="false">
      <c r="A20" s="9" t="s">
        <v>476</v>
      </c>
      <c r="B20" s="29" t="n">
        <f aca="false">IF(CostMine&gt;CostLimit,1,0)</f>
        <v>0</v>
      </c>
      <c r="C20" s="42" t="str">
        <f aca="false">IF($B20=0,"OK","Review")</f>
        <v>OK</v>
      </c>
      <c r="D20" s="43" t="s">
        <v>477</v>
      </c>
    </row>
    <row r="21" customFormat="false" ht="25.5" hidden="false" customHeight="true" outlineLevel="0" collapsed="false">
      <c r="A21" s="9" t="s">
        <v>478</v>
      </c>
      <c r="B21" s="29" t="n">
        <f aca="false">IF(HeadMine&gt;HeadLimit,1,0)</f>
        <v>0</v>
      </c>
      <c r="C21" s="42" t="str">
        <f aca="false">IF($B21=0,"OK","Review")</f>
        <v>OK</v>
      </c>
      <c r="D21" s="43" t="s">
        <v>479</v>
      </c>
    </row>
    <row r="22" customFormat="false" ht="25.5" hidden="false" customHeight="true" outlineLevel="0" collapsed="false">
      <c r="A22" s="9" t="s">
        <v>480</v>
      </c>
      <c r="B22" s="29" t="n">
        <f aca="false">IF(MandateMine&lt;MandateLimit,1,0)</f>
        <v>1</v>
      </c>
      <c r="C22" s="42" t="str">
        <f aca="false">IF($B22=0,"OK","Review")</f>
        <v>Review</v>
      </c>
      <c r="D22" s="43" t="s">
        <v>481</v>
      </c>
    </row>
    <row r="24" customFormat="false" ht="15" hidden="false" customHeight="false" outlineLevel="0" collapsed="false">
      <c r="A24" s="3" t="s">
        <v>482</v>
      </c>
      <c r="D24" s="28" t="s">
        <v>483</v>
      </c>
    </row>
    <row r="25" customFormat="false" ht="27.75" hidden="false" customHeight="true" outlineLevel="0" collapsed="false">
      <c r="A25" s="12" t="s">
        <v>484</v>
      </c>
      <c r="B25" s="12" t="s">
        <v>50</v>
      </c>
      <c r="C25" s="12" t="s">
        <v>377</v>
      </c>
      <c r="D25" s="12" t="s">
        <v>485</v>
      </c>
    </row>
    <row r="26" customFormat="false" ht="15" hidden="false" customHeight="false" outlineLevel="0" collapsed="false">
      <c r="A26" s="9" t="str">
        <f aca="false">IFERROR(IF(INDEX(AskRef,MATCH(1,AskIssueNo,0))=0,"",INDEX(AskRef,MATCH(1,AskIssueNo,0))),"")</f>
        <v/>
      </c>
      <c r="B26" s="9" t="str">
        <f aca="false">IFERROR(IF(INDEX(AskUnit,MATCH(1,AskIssueNo,0))=0,"",INDEX(AskUnit,MATCH(1,AskIssueNo,0))),"")</f>
        <v/>
      </c>
      <c r="C26" s="9" t="str">
        <f aca="false">IFERROR(IF(INDEX(AskTitle,MATCH(1,AskIssueNo,0))=0,"",INDEX(AskTitle,MATCH(1,AskIssueNo,0))),"")</f>
        <v/>
      </c>
      <c r="D26" s="44" t="str">
        <f aca="false">IFERROR(IF(INDEX(AskProblem,MATCH(1,AskIssueNo,0))=0,"",INDEX(AskProblem,MATCH(1,AskIssueNo,0))),"")</f>
        <v/>
      </c>
    </row>
    <row r="27" customFormat="false" ht="15" hidden="false" customHeight="false" outlineLevel="0" collapsed="false">
      <c r="A27" s="9" t="str">
        <f aca="false">IFERROR(IF(INDEX(AskRef,MATCH(2,AskIssueNo,0))=0,"",INDEX(AskRef,MATCH(2,AskIssueNo,0))),"")</f>
        <v/>
      </c>
      <c r="B27" s="9" t="str">
        <f aca="false">IFERROR(IF(INDEX(AskUnit,MATCH(2,AskIssueNo,0))=0,"",INDEX(AskUnit,MATCH(2,AskIssueNo,0))),"")</f>
        <v/>
      </c>
      <c r="C27" s="9" t="str">
        <f aca="false">IFERROR(IF(INDEX(AskTitle,MATCH(2,AskIssueNo,0))=0,"",INDEX(AskTitle,MATCH(2,AskIssueNo,0))),"")</f>
        <v/>
      </c>
      <c r="D27" s="44" t="str">
        <f aca="false">IFERROR(IF(INDEX(AskProblem,MATCH(2,AskIssueNo,0))=0,"",INDEX(AskProblem,MATCH(2,AskIssueNo,0))),"")</f>
        <v/>
      </c>
    </row>
    <row r="28" customFormat="false" ht="15" hidden="false" customHeight="false" outlineLevel="0" collapsed="false">
      <c r="A28" s="9" t="str">
        <f aca="false">IFERROR(IF(INDEX(AskRef,MATCH(3,AskIssueNo,0))=0,"",INDEX(AskRef,MATCH(3,AskIssueNo,0))),"")</f>
        <v/>
      </c>
      <c r="B28" s="9" t="str">
        <f aca="false">IFERROR(IF(INDEX(AskUnit,MATCH(3,AskIssueNo,0))=0,"",INDEX(AskUnit,MATCH(3,AskIssueNo,0))),"")</f>
        <v/>
      </c>
      <c r="C28" s="9" t="str">
        <f aca="false">IFERROR(IF(INDEX(AskTitle,MATCH(3,AskIssueNo,0))=0,"",INDEX(AskTitle,MATCH(3,AskIssueNo,0))),"")</f>
        <v/>
      </c>
      <c r="D28" s="44" t="str">
        <f aca="false">IFERROR(IF(INDEX(AskProblem,MATCH(3,AskIssueNo,0))=0,"",INDEX(AskProblem,MATCH(3,AskIssueNo,0))),"")</f>
        <v/>
      </c>
    </row>
    <row r="29" customFormat="false" ht="15" hidden="false" customHeight="false" outlineLevel="0" collapsed="false">
      <c r="A29" s="9" t="str">
        <f aca="false">IFERROR(IF(INDEX(AskRef,MATCH(4,AskIssueNo,0))=0,"",INDEX(AskRef,MATCH(4,AskIssueNo,0))),"")</f>
        <v/>
      </c>
      <c r="B29" s="9" t="str">
        <f aca="false">IFERROR(IF(INDEX(AskUnit,MATCH(4,AskIssueNo,0))=0,"",INDEX(AskUnit,MATCH(4,AskIssueNo,0))),"")</f>
        <v/>
      </c>
      <c r="C29" s="9" t="str">
        <f aca="false">IFERROR(IF(INDEX(AskTitle,MATCH(4,AskIssueNo,0))=0,"",INDEX(AskTitle,MATCH(4,AskIssueNo,0))),"")</f>
        <v/>
      </c>
      <c r="D29" s="44" t="str">
        <f aca="false">IFERROR(IF(INDEX(AskProblem,MATCH(4,AskIssueNo,0))=0,"",INDEX(AskProblem,MATCH(4,AskIssueNo,0))),"")</f>
        <v/>
      </c>
    </row>
    <row r="30" customFormat="false" ht="15" hidden="false" customHeight="false" outlineLevel="0" collapsed="false">
      <c r="A30" s="9" t="str">
        <f aca="false">IFERROR(IF(INDEX(AskRef,MATCH(5,AskIssueNo,0))=0,"",INDEX(AskRef,MATCH(5,AskIssueNo,0))),"")</f>
        <v/>
      </c>
      <c r="B30" s="9" t="str">
        <f aca="false">IFERROR(IF(INDEX(AskUnit,MATCH(5,AskIssueNo,0))=0,"",INDEX(AskUnit,MATCH(5,AskIssueNo,0))),"")</f>
        <v/>
      </c>
      <c r="C30" s="9" t="str">
        <f aca="false">IFERROR(IF(INDEX(AskTitle,MATCH(5,AskIssueNo,0))=0,"",INDEX(AskTitle,MATCH(5,AskIssueNo,0))),"")</f>
        <v/>
      </c>
      <c r="D30" s="44" t="str">
        <f aca="false">IFERROR(IF(INDEX(AskProblem,MATCH(5,AskIssueNo,0))=0,"",INDEX(AskProblem,MATCH(5,AskIssueNo,0))),"")</f>
        <v/>
      </c>
    </row>
    <row r="31" customFormat="false" ht="15" hidden="false" customHeight="false" outlineLevel="0" collapsed="false">
      <c r="A31" s="9" t="str">
        <f aca="false">IFERROR(IF(INDEX(AskRef,MATCH(6,AskIssueNo,0))=0,"",INDEX(AskRef,MATCH(6,AskIssueNo,0))),"")</f>
        <v/>
      </c>
      <c r="B31" s="9" t="str">
        <f aca="false">IFERROR(IF(INDEX(AskUnit,MATCH(6,AskIssueNo,0))=0,"",INDEX(AskUnit,MATCH(6,AskIssueNo,0))),"")</f>
        <v/>
      </c>
      <c r="C31" s="9" t="str">
        <f aca="false">IFERROR(IF(INDEX(AskTitle,MATCH(6,AskIssueNo,0))=0,"",INDEX(AskTitle,MATCH(6,AskIssueNo,0))),"")</f>
        <v/>
      </c>
      <c r="D31" s="44" t="str">
        <f aca="false">IFERROR(IF(INDEX(AskProblem,MATCH(6,AskIssueNo,0))=0,"",INDEX(AskProblem,MATCH(6,AskIssueNo,0))),"")</f>
        <v/>
      </c>
    </row>
    <row r="32" customFormat="false" ht="15" hidden="false" customHeight="false" outlineLevel="0" collapsed="false">
      <c r="A32" s="9" t="str">
        <f aca="false">IFERROR(IF(INDEX(AskRef,MATCH(7,AskIssueNo,0))=0,"",INDEX(AskRef,MATCH(7,AskIssueNo,0))),"")</f>
        <v/>
      </c>
      <c r="B32" s="9" t="str">
        <f aca="false">IFERROR(IF(INDEX(AskUnit,MATCH(7,AskIssueNo,0))=0,"",INDEX(AskUnit,MATCH(7,AskIssueNo,0))),"")</f>
        <v/>
      </c>
      <c r="C32" s="9" t="str">
        <f aca="false">IFERROR(IF(INDEX(AskTitle,MATCH(7,AskIssueNo,0))=0,"",INDEX(AskTitle,MATCH(7,AskIssueNo,0))),"")</f>
        <v/>
      </c>
      <c r="D32" s="44" t="str">
        <f aca="false">IFERROR(IF(INDEX(AskProblem,MATCH(7,AskIssueNo,0))=0,"",INDEX(AskProblem,MATCH(7,AskIssueNo,0))),"")</f>
        <v/>
      </c>
    </row>
    <row r="33" customFormat="false" ht="15" hidden="false" customHeight="false" outlineLevel="0" collapsed="false">
      <c r="A33" s="9" t="str">
        <f aca="false">IFERROR(IF(INDEX(AskRef,MATCH(8,AskIssueNo,0))=0,"",INDEX(AskRef,MATCH(8,AskIssueNo,0))),"")</f>
        <v/>
      </c>
      <c r="B33" s="9" t="str">
        <f aca="false">IFERROR(IF(INDEX(AskUnit,MATCH(8,AskIssueNo,0))=0,"",INDEX(AskUnit,MATCH(8,AskIssueNo,0))),"")</f>
        <v/>
      </c>
      <c r="C33" s="9" t="str">
        <f aca="false">IFERROR(IF(INDEX(AskTitle,MATCH(8,AskIssueNo,0))=0,"",INDEX(AskTitle,MATCH(8,AskIssueNo,0))),"")</f>
        <v/>
      </c>
      <c r="D33" s="44" t="str">
        <f aca="false">IFERROR(IF(INDEX(AskProblem,MATCH(8,AskIssueNo,0))=0,"",INDEX(AskProblem,MATCH(8,AskIssueNo,0))),"")</f>
        <v/>
      </c>
    </row>
    <row r="34" customFormat="false" ht="15" hidden="false" customHeight="false" outlineLevel="0" collapsed="false">
      <c r="A34" s="9" t="str">
        <f aca="false">IFERROR(IF(INDEX(AskRef,MATCH(9,AskIssueNo,0))=0,"",INDEX(AskRef,MATCH(9,AskIssueNo,0))),"")</f>
        <v/>
      </c>
      <c r="B34" s="9" t="str">
        <f aca="false">IFERROR(IF(INDEX(AskUnit,MATCH(9,AskIssueNo,0))=0,"",INDEX(AskUnit,MATCH(9,AskIssueNo,0))),"")</f>
        <v/>
      </c>
      <c r="C34" s="9" t="str">
        <f aca="false">IFERROR(IF(INDEX(AskTitle,MATCH(9,AskIssueNo,0))=0,"",INDEX(AskTitle,MATCH(9,AskIssueNo,0))),"")</f>
        <v/>
      </c>
      <c r="D34" s="44" t="str">
        <f aca="false">IFERROR(IF(INDEX(AskProblem,MATCH(9,AskIssueNo,0))=0,"",INDEX(AskProblem,MATCH(9,AskIssueNo,0))),"")</f>
        <v/>
      </c>
    </row>
    <row r="35" customFormat="false" ht="15" hidden="false" customHeight="false" outlineLevel="0" collapsed="false">
      <c r="A35" s="9" t="str">
        <f aca="false">IFERROR(IF(INDEX(AskRef,MATCH(10,AskIssueNo,0))=0,"",INDEX(AskRef,MATCH(10,AskIssueNo,0))),"")</f>
        <v/>
      </c>
      <c r="B35" s="9" t="str">
        <f aca="false">IFERROR(IF(INDEX(AskUnit,MATCH(10,AskIssueNo,0))=0,"",INDEX(AskUnit,MATCH(10,AskIssueNo,0))),"")</f>
        <v/>
      </c>
      <c r="C35" s="9" t="str">
        <f aca="false">IFERROR(IF(INDEX(AskTitle,MATCH(10,AskIssueNo,0))=0,"",INDEX(AskTitle,MATCH(10,AskIssueNo,0))),"")</f>
        <v/>
      </c>
      <c r="D35" s="44" t="str">
        <f aca="false">IFERROR(IF(INDEX(AskProblem,MATCH(10,AskIssueNo,0))=0,"",INDEX(AskProblem,MATCH(10,AskIssueNo,0))),"")</f>
        <v/>
      </c>
    </row>
    <row r="36" customFormat="false" ht="15" hidden="false" customHeight="false" outlineLevel="0" collapsed="false">
      <c r="A36" s="9" t="str">
        <f aca="false">IFERROR(IF(INDEX(AskRef,MATCH(11,AskIssueNo,0))=0,"",INDEX(AskRef,MATCH(11,AskIssueNo,0))),"")</f>
        <v/>
      </c>
      <c r="B36" s="9" t="str">
        <f aca="false">IFERROR(IF(INDEX(AskUnit,MATCH(11,AskIssueNo,0))=0,"",INDEX(AskUnit,MATCH(11,AskIssueNo,0))),"")</f>
        <v/>
      </c>
      <c r="C36" s="9" t="str">
        <f aca="false">IFERROR(IF(INDEX(AskTitle,MATCH(11,AskIssueNo,0))=0,"",INDEX(AskTitle,MATCH(11,AskIssueNo,0))),"")</f>
        <v/>
      </c>
      <c r="D36" s="44" t="str">
        <f aca="false">IFERROR(IF(INDEX(AskProblem,MATCH(11,AskIssueNo,0))=0,"",INDEX(AskProblem,MATCH(11,AskIssueNo,0))),"")</f>
        <v/>
      </c>
    </row>
    <row r="37" customFormat="false" ht="15" hidden="false" customHeight="false" outlineLevel="0" collapsed="false">
      <c r="A37" s="9" t="str">
        <f aca="false">IFERROR(IF(INDEX(AskRef,MATCH(12,AskIssueNo,0))=0,"",INDEX(AskRef,MATCH(12,AskIssueNo,0))),"")</f>
        <v/>
      </c>
      <c r="B37" s="9" t="str">
        <f aca="false">IFERROR(IF(INDEX(AskUnit,MATCH(12,AskIssueNo,0))=0,"",INDEX(AskUnit,MATCH(12,AskIssueNo,0))),"")</f>
        <v/>
      </c>
      <c r="C37" s="9" t="str">
        <f aca="false">IFERROR(IF(INDEX(AskTitle,MATCH(12,AskIssueNo,0))=0,"",INDEX(AskTitle,MATCH(12,AskIssueNo,0))),"")</f>
        <v/>
      </c>
      <c r="D37" s="44" t="str">
        <f aca="false">IFERROR(IF(INDEX(AskProblem,MATCH(12,AskIssueNo,0))=0,"",INDEX(AskProblem,MATCH(12,AskIssueNo,0))),"")</f>
        <v/>
      </c>
    </row>
    <row r="38" customFormat="false" ht="15" hidden="false" customHeight="false" outlineLevel="0" collapsed="false">
      <c r="A38" s="9" t="str">
        <f aca="false">IFERROR(IF(INDEX(AskRef,MATCH(13,AskIssueNo,0))=0,"",INDEX(AskRef,MATCH(13,AskIssueNo,0))),"")</f>
        <v/>
      </c>
      <c r="B38" s="9" t="str">
        <f aca="false">IFERROR(IF(INDEX(AskUnit,MATCH(13,AskIssueNo,0))=0,"",INDEX(AskUnit,MATCH(13,AskIssueNo,0))),"")</f>
        <v/>
      </c>
      <c r="C38" s="9" t="str">
        <f aca="false">IFERROR(IF(INDEX(AskTitle,MATCH(13,AskIssueNo,0))=0,"",INDEX(AskTitle,MATCH(13,AskIssueNo,0))),"")</f>
        <v/>
      </c>
      <c r="D38" s="44" t="str">
        <f aca="false">IFERROR(IF(INDEX(AskProblem,MATCH(13,AskIssueNo,0))=0,"",INDEX(AskProblem,MATCH(13,AskIssueNo,0))),"")</f>
        <v/>
      </c>
    </row>
    <row r="39" customFormat="false" ht="15" hidden="false" customHeight="false" outlineLevel="0" collapsed="false">
      <c r="A39" s="9" t="str">
        <f aca="false">IFERROR(IF(INDEX(AskRef,MATCH(14,AskIssueNo,0))=0,"",INDEX(AskRef,MATCH(14,AskIssueNo,0))),"")</f>
        <v/>
      </c>
      <c r="B39" s="9" t="str">
        <f aca="false">IFERROR(IF(INDEX(AskUnit,MATCH(14,AskIssueNo,0))=0,"",INDEX(AskUnit,MATCH(14,AskIssueNo,0))),"")</f>
        <v/>
      </c>
      <c r="C39" s="9" t="str">
        <f aca="false">IFERROR(IF(INDEX(AskTitle,MATCH(14,AskIssueNo,0))=0,"",INDEX(AskTitle,MATCH(14,AskIssueNo,0))),"")</f>
        <v/>
      </c>
      <c r="D39" s="44" t="str">
        <f aca="false">IFERROR(IF(INDEX(AskProblem,MATCH(14,AskIssueNo,0))=0,"",INDEX(AskProblem,MATCH(14,AskIssueNo,0))),"")</f>
        <v/>
      </c>
    </row>
    <row r="40" customFormat="false" ht="15" hidden="false" customHeight="false" outlineLevel="0" collapsed="false">
      <c r="A40" s="9" t="str">
        <f aca="false">IFERROR(IF(INDEX(AskRef,MATCH(15,AskIssueNo,0))=0,"",INDEX(AskRef,MATCH(15,AskIssueNo,0))),"")</f>
        <v/>
      </c>
      <c r="B40" s="9" t="str">
        <f aca="false">IFERROR(IF(INDEX(AskUnit,MATCH(15,AskIssueNo,0))=0,"",INDEX(AskUnit,MATCH(15,AskIssueNo,0))),"")</f>
        <v/>
      </c>
      <c r="C40" s="9" t="str">
        <f aca="false">IFERROR(IF(INDEX(AskTitle,MATCH(15,AskIssueNo,0))=0,"",INDEX(AskTitle,MATCH(15,AskIssueNo,0))),"")</f>
        <v/>
      </c>
      <c r="D40" s="44" t="str">
        <f aca="false">IFERROR(IF(INDEX(AskProblem,MATCH(15,AskIssueNo,0))=0,"",INDEX(AskProblem,MATCH(15,AskIssueNo,0))),"")</f>
        <v/>
      </c>
    </row>
    <row r="41" customFormat="false" ht="15" hidden="false" customHeight="false" outlineLevel="0" collapsed="false">
      <c r="A41" s="9" t="str">
        <f aca="false">IFERROR(IF(INDEX(AskRef,MATCH(16,AskIssueNo,0))=0,"",INDEX(AskRef,MATCH(16,AskIssueNo,0))),"")</f>
        <v/>
      </c>
      <c r="B41" s="9" t="str">
        <f aca="false">IFERROR(IF(INDEX(AskUnit,MATCH(16,AskIssueNo,0))=0,"",INDEX(AskUnit,MATCH(16,AskIssueNo,0))),"")</f>
        <v/>
      </c>
      <c r="C41" s="9" t="str">
        <f aca="false">IFERROR(IF(INDEX(AskTitle,MATCH(16,AskIssueNo,0))=0,"",INDEX(AskTitle,MATCH(16,AskIssueNo,0))),"")</f>
        <v/>
      </c>
      <c r="D41" s="44" t="str">
        <f aca="false">IFERROR(IF(INDEX(AskProblem,MATCH(16,AskIssueNo,0))=0,"",INDEX(AskProblem,MATCH(16,AskIssueNo,0))),"")</f>
        <v/>
      </c>
    </row>
    <row r="42" customFormat="false" ht="15" hidden="false" customHeight="false" outlineLevel="0" collapsed="false">
      <c r="A42" s="9" t="str">
        <f aca="false">IFERROR(IF(INDEX(AskRef,MATCH(17,AskIssueNo,0))=0,"",INDEX(AskRef,MATCH(17,AskIssueNo,0))),"")</f>
        <v/>
      </c>
      <c r="B42" s="9" t="str">
        <f aca="false">IFERROR(IF(INDEX(AskUnit,MATCH(17,AskIssueNo,0))=0,"",INDEX(AskUnit,MATCH(17,AskIssueNo,0))),"")</f>
        <v/>
      </c>
      <c r="C42" s="9" t="str">
        <f aca="false">IFERROR(IF(INDEX(AskTitle,MATCH(17,AskIssueNo,0))=0,"",INDEX(AskTitle,MATCH(17,AskIssueNo,0))),"")</f>
        <v/>
      </c>
      <c r="D42" s="44" t="str">
        <f aca="false">IFERROR(IF(INDEX(AskProblem,MATCH(17,AskIssueNo,0))=0,"",INDEX(AskProblem,MATCH(17,AskIssueNo,0))),"")</f>
        <v/>
      </c>
    </row>
    <row r="43" customFormat="false" ht="15" hidden="false" customHeight="false" outlineLevel="0" collapsed="false">
      <c r="A43" s="9" t="str">
        <f aca="false">IFERROR(IF(INDEX(AskRef,MATCH(18,AskIssueNo,0))=0,"",INDEX(AskRef,MATCH(18,AskIssueNo,0))),"")</f>
        <v/>
      </c>
      <c r="B43" s="9" t="str">
        <f aca="false">IFERROR(IF(INDEX(AskUnit,MATCH(18,AskIssueNo,0))=0,"",INDEX(AskUnit,MATCH(18,AskIssueNo,0))),"")</f>
        <v/>
      </c>
      <c r="C43" s="9" t="str">
        <f aca="false">IFERROR(IF(INDEX(AskTitle,MATCH(18,AskIssueNo,0))=0,"",INDEX(AskTitle,MATCH(18,AskIssueNo,0))),"")</f>
        <v/>
      </c>
      <c r="D43" s="44" t="str">
        <f aca="false">IFERROR(IF(INDEX(AskProblem,MATCH(18,AskIssueNo,0))=0,"",INDEX(AskProblem,MATCH(18,AskIssueNo,0))),"")</f>
        <v/>
      </c>
    </row>
    <row r="44" customFormat="false" ht="15" hidden="false" customHeight="false" outlineLevel="0" collapsed="false">
      <c r="A44" s="9" t="str">
        <f aca="false">IFERROR(IF(INDEX(AskRef,MATCH(19,AskIssueNo,0))=0,"",INDEX(AskRef,MATCH(19,AskIssueNo,0))),"")</f>
        <v/>
      </c>
      <c r="B44" s="9" t="str">
        <f aca="false">IFERROR(IF(INDEX(AskUnit,MATCH(19,AskIssueNo,0))=0,"",INDEX(AskUnit,MATCH(19,AskIssueNo,0))),"")</f>
        <v/>
      </c>
      <c r="C44" s="9" t="str">
        <f aca="false">IFERROR(IF(INDEX(AskTitle,MATCH(19,AskIssueNo,0))=0,"",INDEX(AskTitle,MATCH(19,AskIssueNo,0))),"")</f>
        <v/>
      </c>
      <c r="D44" s="44" t="str">
        <f aca="false">IFERROR(IF(INDEX(AskProblem,MATCH(19,AskIssueNo,0))=0,"",INDEX(AskProblem,MATCH(19,AskIssueNo,0))),"")</f>
        <v/>
      </c>
    </row>
    <row r="45" customFormat="false" ht="15" hidden="false" customHeight="false" outlineLevel="0" collapsed="false">
      <c r="A45" s="9" t="str">
        <f aca="false">IFERROR(IF(INDEX(AskRef,MATCH(20,AskIssueNo,0))=0,"",INDEX(AskRef,MATCH(20,AskIssueNo,0))),"")</f>
        <v/>
      </c>
      <c r="B45" s="9" t="str">
        <f aca="false">IFERROR(IF(INDEX(AskUnit,MATCH(20,AskIssueNo,0))=0,"",INDEX(AskUnit,MATCH(20,AskIssueNo,0))),"")</f>
        <v/>
      </c>
      <c r="C45" s="9" t="str">
        <f aca="false">IFERROR(IF(INDEX(AskTitle,MATCH(20,AskIssueNo,0))=0,"",INDEX(AskTitle,MATCH(20,AskIssueNo,0))),"")</f>
        <v/>
      </c>
      <c r="D45" s="44" t="str">
        <f aca="false">IFERROR(IF(INDEX(AskProblem,MATCH(20,AskIssueNo,0))=0,"",INDEX(AskProblem,MATCH(20,AskIssueNo,0))),"")</f>
        <v/>
      </c>
    </row>
    <row r="47" customFormat="false" ht="15" hidden="false" customHeight="false" outlineLevel="0" collapsed="false">
      <c r="A47" s="3" t="s">
        <v>486</v>
      </c>
    </row>
    <row r="48" customFormat="false" ht="15" hidden="false" customHeight="false" outlineLevel="0" collapsed="false">
      <c r="A48" s="6" t="s">
        <v>487</v>
      </c>
      <c r="B48" s="45" t="str">
        <f aca="false">IF(SUM($B$6:$B$16)=0,"Yes","No")</f>
        <v>No</v>
      </c>
      <c r="C48" s="30" t="s">
        <v>488</v>
      </c>
    </row>
    <row r="49" customFormat="false" ht="15" hidden="false" customHeight="false" outlineLevel="0" collapsed="false">
      <c r="A49" s="6" t="s">
        <v>489</v>
      </c>
      <c r="B49" s="21"/>
    </row>
    <row r="50" customFormat="false" ht="15" hidden="false" customHeight="false" outlineLevel="0" collapsed="false">
      <c r="A50" s="6" t="s">
        <v>490</v>
      </c>
      <c r="B50" s="21"/>
    </row>
    <row r="51" customFormat="false" ht="15" hidden="false" customHeight="false" outlineLevel="0" collapsed="false">
      <c r="A51" s="6" t="s">
        <v>491</v>
      </c>
      <c r="B51" s="21"/>
    </row>
    <row r="52" customFormat="false" ht="15" hidden="false" customHeight="false" outlineLevel="0" collapsed="false">
      <c r="A52" s="3" t="s">
        <v>492</v>
      </c>
      <c r="B52" s="46" t="s">
        <v>493</v>
      </c>
      <c r="C52" s="30" t="s">
        <v>494</v>
      </c>
    </row>
    <row r="54" customFormat="false" ht="25.5" hidden="false" customHeight="true" outlineLevel="0" collapsed="false">
      <c r="A54" s="11" t="s">
        <v>495</v>
      </c>
      <c r="B54" s="11"/>
      <c r="C54" s="11"/>
      <c r="D54" s="11"/>
    </row>
  </sheetData>
  <sheetProtection sheet="true" sort="false" autoFilter="false"/>
  <mergeCells count="2">
    <mergeCell ref="A2:J2"/>
    <mergeCell ref="A54:D54"/>
  </mergeCells>
  <conditionalFormatting sqref="C6:C16">
    <cfRule type="cellIs" priority="2" operator="equal" aboveAverage="0" equalAverage="0" bottom="0" percent="0" rank="0" text="" dxfId="0">
      <formula>"OK"</formula>
    </cfRule>
    <cfRule type="cellIs" priority="3" operator="equal" aboveAverage="0" equalAverage="0" bottom="0" percent="0" rank="0" text="" dxfId="1">
      <formula>"Fix"</formula>
    </cfRule>
    <cfRule type="cellIs" priority="4" operator="equal" aboveAverage="0" equalAverage="0" bottom="0" percent="0" rank="0" text="" dxfId="12">
      <formula>"Review"</formula>
    </cfRule>
  </conditionalFormatting>
  <conditionalFormatting sqref="C20:C22">
    <cfRule type="cellIs" priority="5" operator="equal" aboveAverage="0" equalAverage="0" bottom="0" percent="0" rank="0" text="" dxfId="0">
      <formula>"OK"</formula>
    </cfRule>
    <cfRule type="cellIs" priority="6" operator="equal" aboveAverage="0" equalAverage="0" bottom="0" percent="0" rank="0" text="" dxfId="1">
      <formula>"Fix"</formula>
    </cfRule>
    <cfRule type="cellIs" priority="7" operator="equal" aboveAverage="0" equalAverage="0" bottom="0" percent="0" rank="0" text="" dxfId="12">
      <formula>"Review"</formula>
    </cfRule>
  </conditionalFormatting>
  <conditionalFormatting sqref="B48">
    <cfRule type="cellIs" priority="8" operator="equal" aboveAverage="0" equalAverage="0" bottom="0" percent="0" rank="0" text="" dxfId="16">
      <formula>"Yes"</formula>
    </cfRule>
    <cfRule type="cellIs" priority="9" operator="equal" aboveAverage="0" equalAverage="0" bottom="0" percent="0" rank="0" text="" dxfId="17">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52" type="custom">
      <formula1>AND(OR($B$52="Draft",$B$52="Submitted"),OR($B$52="Draft",$B$48="Yes"))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24" hidden="false" customHeight="true" outlineLevel="0" collapsed="false">
      <c r="A1" s="1" t="s">
        <v>15</v>
      </c>
    </row>
    <row r="2" customFormat="false" ht="15" hidden="false" customHeight="false" outlineLevel="0" collapsed="false">
      <c r="A2" s="2" t="s">
        <v>496</v>
      </c>
      <c r="B2" s="2"/>
      <c r="C2" s="2"/>
      <c r="D2" s="2"/>
      <c r="E2" s="2"/>
      <c r="F2" s="2"/>
      <c r="G2" s="2"/>
      <c r="H2" s="2"/>
      <c r="I2" s="2"/>
      <c r="J2" s="2"/>
    </row>
    <row r="4" customFormat="false" ht="30" hidden="false" customHeight="true" outlineLevel="0" collapsed="false">
      <c r="A4" s="12" t="s">
        <v>497</v>
      </c>
      <c r="B4" s="12" t="s">
        <v>498</v>
      </c>
    </row>
    <row r="5" customFormat="false" ht="27.75" hidden="false" customHeight="true" outlineLevel="0" collapsed="false">
      <c r="A5" s="47" t="s">
        <v>499</v>
      </c>
      <c r="B5" s="48" t="s">
        <v>500</v>
      </c>
    </row>
    <row r="6" customFormat="false" ht="27.75" hidden="false" customHeight="true" outlineLevel="0" collapsed="false">
      <c r="A6" s="47" t="s">
        <v>258</v>
      </c>
      <c r="B6" s="48" t="s">
        <v>501</v>
      </c>
    </row>
    <row r="7" customFormat="false" ht="27.75" hidden="false" customHeight="true" outlineLevel="0" collapsed="false">
      <c r="A7" s="47" t="s">
        <v>502</v>
      </c>
      <c r="B7" s="48" t="s">
        <v>503</v>
      </c>
    </row>
    <row r="8" customFormat="false" ht="27.75" hidden="false" customHeight="true" outlineLevel="0" collapsed="false">
      <c r="A8" s="47" t="s">
        <v>504</v>
      </c>
      <c r="B8" s="48" t="s">
        <v>505</v>
      </c>
    </row>
    <row r="9" customFormat="false" ht="27.75" hidden="false" customHeight="true" outlineLevel="0" collapsed="false">
      <c r="A9" s="47" t="s">
        <v>506</v>
      </c>
      <c r="B9" s="48" t="s">
        <v>507</v>
      </c>
    </row>
    <row r="10" customFormat="false" ht="27.75" hidden="false" customHeight="true" outlineLevel="0" collapsed="false">
      <c r="A10" s="47" t="s">
        <v>259</v>
      </c>
      <c r="B10" s="48" t="s">
        <v>508</v>
      </c>
    </row>
    <row r="11" customFormat="false" ht="27.75" hidden="false" customHeight="true" outlineLevel="0" collapsed="false">
      <c r="A11" s="47" t="s">
        <v>509</v>
      </c>
      <c r="B11" s="48" t="s">
        <v>510</v>
      </c>
    </row>
    <row r="12" customFormat="false" ht="27.75" hidden="false" customHeight="true" outlineLevel="0" collapsed="false">
      <c r="A12" s="47" t="s">
        <v>511</v>
      </c>
      <c r="B12" s="48" t="s">
        <v>512</v>
      </c>
    </row>
    <row r="13" customFormat="false" ht="27.75" hidden="false" customHeight="true" outlineLevel="0" collapsed="false">
      <c r="A13" s="47" t="s">
        <v>513</v>
      </c>
      <c r="B13" s="48" t="s">
        <v>514</v>
      </c>
    </row>
    <row r="14" customFormat="false" ht="27.75" hidden="false" customHeight="true" outlineLevel="0" collapsed="false">
      <c r="A14" s="47" t="s">
        <v>515</v>
      </c>
      <c r="B14" s="48" t="s">
        <v>516</v>
      </c>
    </row>
    <row r="15" customFormat="false" ht="27.75" hidden="false" customHeight="true" outlineLevel="0" collapsed="false">
      <c r="A15" s="47" t="s">
        <v>24</v>
      </c>
      <c r="B15" s="48" t="s">
        <v>517</v>
      </c>
    </row>
    <row r="16" customFormat="false" ht="27.75" hidden="false" customHeight="true" outlineLevel="0" collapsed="false">
      <c r="A16" s="47" t="s">
        <v>374</v>
      </c>
      <c r="B16" s="48" t="s">
        <v>518</v>
      </c>
    </row>
    <row r="17" customFormat="false" ht="27.75" hidden="false" customHeight="true" outlineLevel="0" collapsed="false">
      <c r="A17" s="47" t="s">
        <v>519</v>
      </c>
      <c r="B17" s="48" t="s">
        <v>520</v>
      </c>
    </row>
    <row r="18" customFormat="false" ht="27.75" hidden="false" customHeight="true" outlineLevel="0" collapsed="false">
      <c r="A18" s="47" t="s">
        <v>521</v>
      </c>
      <c r="B18" s="48" t="s">
        <v>522</v>
      </c>
    </row>
    <row r="19" customFormat="false" ht="27.75" hidden="false" customHeight="true" outlineLevel="0" collapsed="false">
      <c r="A19" s="47" t="s">
        <v>523</v>
      </c>
      <c r="B19" s="48" t="s">
        <v>524</v>
      </c>
    </row>
    <row r="20" customFormat="false" ht="27.75" hidden="false" customHeight="true" outlineLevel="0" collapsed="false">
      <c r="A20" s="47" t="s">
        <v>430</v>
      </c>
      <c r="B20" s="48" t="s">
        <v>525</v>
      </c>
    </row>
    <row r="21" customFormat="false" ht="27.75" hidden="false" customHeight="true" outlineLevel="0" collapsed="false">
      <c r="A21" s="47" t="s">
        <v>526</v>
      </c>
      <c r="B21" s="48" t="s">
        <v>527</v>
      </c>
    </row>
    <row r="22" customFormat="false" ht="27.75" hidden="false" customHeight="true" outlineLevel="0" collapsed="false">
      <c r="A22" s="47" t="s">
        <v>528</v>
      </c>
      <c r="B22" s="48" t="s">
        <v>529</v>
      </c>
    </row>
    <row r="23" customFormat="false" ht="27.75" hidden="false" customHeight="true" outlineLevel="0" collapsed="false">
      <c r="A23" s="47" t="s">
        <v>530</v>
      </c>
      <c r="B23" s="48" t="s">
        <v>531</v>
      </c>
    </row>
    <row r="24" customFormat="false" ht="27.75" hidden="false" customHeight="true" outlineLevel="0" collapsed="false">
      <c r="A24" s="47" t="s">
        <v>532</v>
      </c>
      <c r="B24" s="48" t="s">
        <v>533</v>
      </c>
    </row>
    <row r="25" customFormat="false" ht="27.75" hidden="false" customHeight="true" outlineLevel="0" collapsed="false">
      <c r="A25" s="47" t="s">
        <v>429</v>
      </c>
      <c r="B25" s="48" t="s">
        <v>534</v>
      </c>
    </row>
    <row r="26" customFormat="false" ht="27.75" hidden="false" customHeight="true" outlineLevel="0" collapsed="false">
      <c r="A26" s="47" t="s">
        <v>30</v>
      </c>
      <c r="B26" s="48" t="s">
        <v>535</v>
      </c>
    </row>
    <row r="27" customFormat="false" ht="27.75" hidden="false" customHeight="true" outlineLevel="0" collapsed="false">
      <c r="A27" s="47" t="s">
        <v>536</v>
      </c>
      <c r="B27" s="48" t="s">
        <v>537</v>
      </c>
    </row>
  </sheetData>
  <sheetProtection sheet="true" sort="false" autoFilter="false"/>
  <mergeCells count="1">
    <mergeCell ref="A2:J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16"/>
    <col collapsed="false" customWidth="true" hidden="false" outlineLevel="0" max="7" min="7" style="0" width="20"/>
  </cols>
  <sheetData>
    <row r="1" customFormat="false" ht="24" hidden="false" customHeight="true" outlineLevel="0" collapsed="false">
      <c r="A1" s="1" t="s">
        <v>538</v>
      </c>
    </row>
    <row r="2" customFormat="false" ht="15" hidden="false" customHeight="false" outlineLevel="0" collapsed="false">
      <c r="A2" s="2" t="s">
        <v>539</v>
      </c>
      <c r="B2" s="2"/>
      <c r="C2" s="2"/>
      <c r="D2" s="2"/>
      <c r="E2" s="2"/>
      <c r="F2" s="2"/>
      <c r="G2" s="2"/>
      <c r="H2" s="2"/>
      <c r="I2" s="2"/>
      <c r="J2" s="2"/>
    </row>
    <row r="4" customFormat="false" ht="15" hidden="false" customHeight="false" outlineLevel="0" collapsed="false">
      <c r="A4" s="3" t="s">
        <v>540</v>
      </c>
    </row>
    <row r="5" customFormat="false" ht="15" hidden="false" customHeight="false" outlineLevel="0" collapsed="false">
      <c r="A5" s="6" t="s">
        <v>541</v>
      </c>
      <c r="B5" s="49" t="n">
        <v>2027</v>
      </c>
    </row>
    <row r="6" customFormat="false" ht="15" hidden="false" customHeight="false" outlineLevel="0" collapsed="false">
      <c r="A6" s="6" t="s">
        <v>542</v>
      </c>
      <c r="B6" s="49" t="n">
        <v>2026</v>
      </c>
    </row>
    <row r="7" customFormat="false" ht="15" hidden="false" customHeight="false" outlineLevel="0" collapsed="false">
      <c r="A7" s="6" t="s">
        <v>543</v>
      </c>
      <c r="B7" s="50" t="n">
        <v>0.09</v>
      </c>
    </row>
    <row r="8" customFormat="false" ht="15" hidden="false" customHeight="false" outlineLevel="0" collapsed="false">
      <c r="A8" s="6" t="s">
        <v>544</v>
      </c>
      <c r="B8" s="50" t="n">
        <v>0.03</v>
      </c>
    </row>
    <row r="9" customFormat="false" ht="15" hidden="false" customHeight="false" outlineLevel="0" collapsed="false">
      <c r="A9" s="6" t="s">
        <v>545</v>
      </c>
      <c r="B9" s="50" t="n">
        <v>0.04</v>
      </c>
    </row>
    <row r="10" customFormat="false" ht="15" hidden="false" customHeight="false" outlineLevel="0" collapsed="false">
      <c r="A10" s="6" t="s">
        <v>546</v>
      </c>
      <c r="B10" s="50" t="n">
        <v>0.1175</v>
      </c>
    </row>
    <row r="11" customFormat="false" ht="15" hidden="false" customHeight="false" outlineLevel="0" collapsed="false">
      <c r="A11" s="6" t="s">
        <v>547</v>
      </c>
      <c r="B11" s="50" t="n">
        <v>0.02</v>
      </c>
    </row>
    <row r="12" customFormat="false" ht="15" hidden="false" customHeight="false" outlineLevel="0" collapsed="false">
      <c r="A12" s="6" t="s">
        <v>59</v>
      </c>
      <c r="B12" s="49" t="s">
        <v>60</v>
      </c>
    </row>
    <row r="14" customFormat="false" ht="15" hidden="false" customHeight="false" outlineLevel="0" collapsed="false">
      <c r="A14" s="3" t="s">
        <v>548</v>
      </c>
    </row>
    <row r="15" customFormat="false" ht="15" hidden="false" customHeight="false" outlineLevel="0" collapsed="false">
      <c r="A15" s="6" t="s">
        <v>549</v>
      </c>
      <c r="B15" s="51" t="n">
        <v>3130</v>
      </c>
      <c r="C15" s="30" t="s">
        <v>550</v>
      </c>
    </row>
    <row r="16" customFormat="false" ht="15" hidden="false" customHeight="false" outlineLevel="0" collapsed="false">
      <c r="A16" s="6" t="s">
        <v>551</v>
      </c>
      <c r="B16" s="51" t="n">
        <v>11</v>
      </c>
      <c r="C16" s="30" t="s">
        <v>552</v>
      </c>
    </row>
    <row r="17" customFormat="false" ht="15" hidden="false" customHeight="false" outlineLevel="0" collapsed="false">
      <c r="A17" s="6" t="s">
        <v>553</v>
      </c>
      <c r="B17" s="50" t="n">
        <v>0.66</v>
      </c>
      <c r="C17" s="30" t="s">
        <v>554</v>
      </c>
    </row>
    <row r="19" customFormat="false" ht="15" hidden="false" customHeight="false" outlineLevel="0" collapsed="false">
      <c r="A19" s="3" t="s">
        <v>555</v>
      </c>
      <c r="G19" s="28" t="s">
        <v>556</v>
      </c>
    </row>
    <row r="20" customFormat="false" ht="30" hidden="false" customHeight="true" outlineLevel="0" collapsed="false">
      <c r="A20" s="12" t="s">
        <v>504</v>
      </c>
      <c r="B20" s="12" t="s">
        <v>557</v>
      </c>
      <c r="C20" s="12" t="s">
        <v>558</v>
      </c>
      <c r="D20" s="12" t="s">
        <v>559</v>
      </c>
      <c r="E20" s="12" t="s">
        <v>560</v>
      </c>
      <c r="F20" s="12" t="s">
        <v>561</v>
      </c>
      <c r="G20" s="12" t="s">
        <v>562</v>
      </c>
    </row>
    <row r="21" customFormat="false" ht="15" hidden="false" customHeight="false" outlineLevel="0" collapsed="false">
      <c r="A21" s="0" t="s">
        <v>264</v>
      </c>
      <c r="B21" s="52" t="n">
        <v>900</v>
      </c>
      <c r="C21" s="52" t="n">
        <v>225</v>
      </c>
      <c r="D21" s="52" t="n">
        <v>36</v>
      </c>
      <c r="E21" s="53" t="n">
        <v>0.3</v>
      </c>
      <c r="F21" s="52" t="n">
        <v>45</v>
      </c>
      <c r="G21" s="52" t="n">
        <f aca="false">$B21+$C21+$D21+$B21*$E21+($B21+$C21)*GosiSaudi</f>
        <v>1563.1875</v>
      </c>
    </row>
    <row r="22" customFormat="false" ht="15" hidden="false" customHeight="false" outlineLevel="0" collapsed="false">
      <c r="A22" s="0" t="s">
        <v>563</v>
      </c>
      <c r="B22" s="52" t="n">
        <v>540</v>
      </c>
      <c r="C22" s="52" t="n">
        <v>135</v>
      </c>
      <c r="D22" s="52" t="n">
        <v>30</v>
      </c>
      <c r="E22" s="53" t="n">
        <v>0.22</v>
      </c>
      <c r="F22" s="52" t="n">
        <v>45</v>
      </c>
      <c r="G22" s="52" t="n">
        <f aca="false">$B22+$C22+$D22+$B22*$E22+($B22+$C22)*GosiSaudi</f>
        <v>903.1125</v>
      </c>
    </row>
    <row r="23" customFormat="false" ht="15" hidden="false" customHeight="false" outlineLevel="0" collapsed="false">
      <c r="A23" s="0" t="s">
        <v>273</v>
      </c>
      <c r="B23" s="52" t="n">
        <v>336</v>
      </c>
      <c r="C23" s="52" t="n">
        <v>84</v>
      </c>
      <c r="D23" s="52" t="n">
        <v>18</v>
      </c>
      <c r="E23" s="53" t="n">
        <v>0.15</v>
      </c>
      <c r="F23" s="52" t="n">
        <v>30</v>
      </c>
      <c r="G23" s="52" t="n">
        <f aca="false">$B23+$C23+$D23+$B23*$E23+($B23+$C23)*GosiSaudi</f>
        <v>537.75</v>
      </c>
    </row>
    <row r="24" customFormat="false" ht="15" hidden="false" customHeight="false" outlineLevel="0" collapsed="false">
      <c r="A24" s="0" t="s">
        <v>275</v>
      </c>
      <c r="B24" s="52" t="n">
        <v>216</v>
      </c>
      <c r="C24" s="52" t="n">
        <v>54</v>
      </c>
      <c r="D24" s="52" t="n">
        <v>14</v>
      </c>
      <c r="E24" s="53" t="n">
        <v>0.1</v>
      </c>
      <c r="F24" s="52" t="n">
        <v>18</v>
      </c>
      <c r="G24" s="52" t="n">
        <f aca="false">$B24+$C24+$D24+$B24*$E24+($B24+$C24)*GosiSaudi</f>
        <v>337.325</v>
      </c>
    </row>
    <row r="25" customFormat="false" ht="15" hidden="false" customHeight="false" outlineLevel="0" collapsed="false">
      <c r="A25" s="0" t="s">
        <v>564</v>
      </c>
      <c r="B25" s="52" t="n">
        <v>138</v>
      </c>
      <c r="C25" s="52" t="n">
        <v>35</v>
      </c>
      <c r="D25" s="52" t="n">
        <v>12</v>
      </c>
      <c r="E25" s="53" t="n">
        <v>0.07</v>
      </c>
      <c r="F25" s="52" t="n">
        <v>12</v>
      </c>
      <c r="G25" s="52" t="n">
        <f aca="false">$B25+$C25+$D25+$B25*$E25+($B25+$C25)*GosiSaudi</f>
        <v>214.9875</v>
      </c>
    </row>
    <row r="26" customFormat="false" ht="15" hidden="false" customHeight="false" outlineLevel="0" collapsed="false">
      <c r="A26" s="0" t="s">
        <v>565</v>
      </c>
      <c r="B26" s="52" t="n">
        <v>96</v>
      </c>
      <c r="C26" s="52" t="n">
        <v>24</v>
      </c>
      <c r="D26" s="52" t="n">
        <v>12</v>
      </c>
      <c r="E26" s="53" t="n">
        <v>0.05</v>
      </c>
      <c r="F26" s="52" t="n">
        <v>12</v>
      </c>
      <c r="G26" s="52" t="n">
        <f aca="false">$B26+$C26+$D26+$B26*$E26+($B26+$C26)*GosiSaudi</f>
        <v>150.9</v>
      </c>
    </row>
    <row r="28" customFormat="false" ht="15" hidden="false" customHeight="false" outlineLevel="0" collapsed="false">
      <c r="A28" s="3" t="s">
        <v>566</v>
      </c>
    </row>
    <row r="29" customFormat="false" ht="30" hidden="false" customHeight="true" outlineLevel="0" collapsed="false">
      <c r="A29" s="12" t="s">
        <v>30</v>
      </c>
      <c r="B29" s="12" t="s">
        <v>395</v>
      </c>
      <c r="C29" s="12" t="s">
        <v>567</v>
      </c>
    </row>
    <row r="30" customFormat="false" ht="15" hidden="false" customHeight="false" outlineLevel="0" collapsed="false">
      <c r="A30" s="0" t="s">
        <v>568</v>
      </c>
      <c r="B30" s="0" t="s">
        <v>569</v>
      </c>
      <c r="C30" s="0" t="n">
        <v>1</v>
      </c>
    </row>
    <row r="31" customFormat="false" ht="15" hidden="false" customHeight="false" outlineLevel="0" collapsed="false">
      <c r="A31" s="0" t="s">
        <v>570</v>
      </c>
      <c r="B31" s="0" t="s">
        <v>569</v>
      </c>
      <c r="C31" s="0" t="n">
        <v>1</v>
      </c>
    </row>
    <row r="32" customFormat="false" ht="15" hidden="false" customHeight="false" outlineLevel="0" collapsed="false">
      <c r="A32" s="0" t="s">
        <v>571</v>
      </c>
      <c r="B32" s="0" t="s">
        <v>569</v>
      </c>
      <c r="C32" s="0" t="n">
        <v>1</v>
      </c>
    </row>
    <row r="33" customFormat="false" ht="15" hidden="false" customHeight="false" outlineLevel="0" collapsed="false">
      <c r="A33" s="0" t="s">
        <v>572</v>
      </c>
      <c r="B33" s="0" t="s">
        <v>569</v>
      </c>
      <c r="C33" s="0" t="n">
        <v>1</v>
      </c>
    </row>
    <row r="34" customFormat="false" ht="15" hidden="false" customHeight="false" outlineLevel="0" collapsed="false">
      <c r="A34" s="0" t="s">
        <v>573</v>
      </c>
      <c r="B34" s="0" t="s">
        <v>574</v>
      </c>
      <c r="C34" s="0" t="n">
        <v>2</v>
      </c>
    </row>
    <row r="35" customFormat="false" ht="15" hidden="false" customHeight="false" outlineLevel="0" collapsed="false">
      <c r="A35" s="0" t="s">
        <v>575</v>
      </c>
      <c r="B35" s="0" t="s">
        <v>574</v>
      </c>
      <c r="C35" s="0" t="n">
        <v>2</v>
      </c>
    </row>
    <row r="36" customFormat="false" ht="15" hidden="false" customHeight="false" outlineLevel="0" collapsed="false">
      <c r="A36" s="0" t="s">
        <v>576</v>
      </c>
      <c r="B36" s="0" t="s">
        <v>574</v>
      </c>
      <c r="C36" s="0" t="n">
        <v>2</v>
      </c>
    </row>
    <row r="37" customFormat="false" ht="15" hidden="false" customHeight="false" outlineLevel="0" collapsed="false">
      <c r="A37" s="0" t="s">
        <v>577</v>
      </c>
      <c r="B37" s="0" t="s">
        <v>574</v>
      </c>
      <c r="C37" s="0" t="n">
        <v>2</v>
      </c>
    </row>
    <row r="38" customFormat="false" ht="15" hidden="false" customHeight="false" outlineLevel="0" collapsed="false">
      <c r="A38" s="0" t="s">
        <v>578</v>
      </c>
      <c r="B38" s="0" t="s">
        <v>574</v>
      </c>
      <c r="C38" s="0" t="n">
        <v>2</v>
      </c>
    </row>
    <row r="39" customFormat="false" ht="15" hidden="false" customHeight="false" outlineLevel="0" collapsed="false">
      <c r="A39" s="0" t="s">
        <v>579</v>
      </c>
      <c r="B39" s="0" t="s">
        <v>580</v>
      </c>
      <c r="C39" s="0" t="n">
        <v>3</v>
      </c>
    </row>
    <row r="40" customFormat="false" ht="15" hidden="false" customHeight="false" outlineLevel="0" collapsed="false">
      <c r="A40" s="0" t="s">
        <v>581</v>
      </c>
      <c r="B40" s="0" t="s">
        <v>580</v>
      </c>
      <c r="C40" s="0" t="n">
        <v>3</v>
      </c>
    </row>
    <row r="41" customFormat="false" ht="15" hidden="false" customHeight="false" outlineLevel="0" collapsed="false">
      <c r="A41" s="0" t="s">
        <v>582</v>
      </c>
      <c r="B41" s="0" t="s">
        <v>580</v>
      </c>
      <c r="C41" s="0" t="n">
        <v>3</v>
      </c>
    </row>
    <row r="42" customFormat="false" ht="15" hidden="false" customHeight="false" outlineLevel="0" collapsed="false">
      <c r="A42" s="0" t="s">
        <v>583</v>
      </c>
      <c r="B42" s="0" t="s">
        <v>584</v>
      </c>
      <c r="C42" s="0" t="n">
        <v>4</v>
      </c>
    </row>
    <row r="43" customFormat="false" ht="15" hidden="false" customHeight="false" outlineLevel="0" collapsed="false">
      <c r="A43" s="0" t="s">
        <v>585</v>
      </c>
      <c r="B43" s="0" t="s">
        <v>584</v>
      </c>
      <c r="C43" s="0" t="n">
        <v>4</v>
      </c>
    </row>
    <row r="44" customFormat="false" ht="15" hidden="false" customHeight="false" outlineLevel="0" collapsed="false">
      <c r="A44" s="0" t="s">
        <v>586</v>
      </c>
      <c r="B44" s="0" t="s">
        <v>584</v>
      </c>
      <c r="C44" s="0" t="n">
        <v>4</v>
      </c>
    </row>
    <row r="45" customFormat="false" ht="15" hidden="false" customHeight="false" outlineLevel="0" collapsed="false">
      <c r="A45" s="0" t="s">
        <v>587</v>
      </c>
      <c r="B45" s="0" t="s">
        <v>584</v>
      </c>
      <c r="C45" s="0" t="n">
        <v>4</v>
      </c>
    </row>
    <row r="46" customFormat="false" ht="15" hidden="false" customHeight="false" outlineLevel="0" collapsed="false">
      <c r="A46" s="0" t="s">
        <v>588</v>
      </c>
      <c r="B46" s="0" t="s">
        <v>584</v>
      </c>
      <c r="C46" s="0" t="n">
        <v>4</v>
      </c>
    </row>
    <row r="47" customFormat="false" ht="15" hidden="false" customHeight="false" outlineLevel="0" collapsed="false">
      <c r="A47" s="0" t="s">
        <v>589</v>
      </c>
      <c r="B47" s="0" t="s">
        <v>584</v>
      </c>
      <c r="C47" s="0" t="n">
        <v>4</v>
      </c>
    </row>
    <row r="48" customFormat="false" ht="15" hidden="false" customHeight="false" outlineLevel="0" collapsed="false">
      <c r="A48" s="0" t="s">
        <v>590</v>
      </c>
      <c r="B48" s="0" t="s">
        <v>584</v>
      </c>
      <c r="C48" s="0" t="n">
        <v>4</v>
      </c>
    </row>
    <row r="50" customFormat="false" ht="15" hidden="false" customHeight="false" outlineLevel="0" collapsed="false">
      <c r="A50" s="6" t="s">
        <v>591</v>
      </c>
      <c r="C50" s="6" t="s">
        <v>592</v>
      </c>
      <c r="E50" s="6" t="s">
        <v>593</v>
      </c>
      <c r="G50" s="6" t="s">
        <v>594</v>
      </c>
      <c r="I50" s="6" t="s">
        <v>595</v>
      </c>
      <c r="K50" s="6" t="s">
        <v>596</v>
      </c>
      <c r="M50" s="6" t="s">
        <v>395</v>
      </c>
      <c r="O50" s="6" t="s">
        <v>597</v>
      </c>
      <c r="Q50" s="6" t="s">
        <v>598</v>
      </c>
      <c r="S50" s="6" t="s">
        <v>599</v>
      </c>
      <c r="U50" s="6" t="s">
        <v>600</v>
      </c>
      <c r="W50" s="6" t="s">
        <v>601</v>
      </c>
    </row>
    <row r="51" customFormat="false" ht="15" hidden="false" customHeight="false" outlineLevel="0" collapsed="false">
      <c r="A51" s="0" t="s">
        <v>391</v>
      </c>
      <c r="C51" s="0" t="s">
        <v>265</v>
      </c>
      <c r="E51" s="0" t="s">
        <v>511</v>
      </c>
      <c r="G51" s="0" t="s">
        <v>602</v>
      </c>
      <c r="I51" s="0" t="s">
        <v>519</v>
      </c>
      <c r="K51" s="0" t="s">
        <v>59</v>
      </c>
      <c r="M51" s="0" t="s">
        <v>569</v>
      </c>
      <c r="O51" s="0" t="s">
        <v>603</v>
      </c>
      <c r="Q51" s="0" t="s">
        <v>264</v>
      </c>
      <c r="S51" s="0" t="s">
        <v>264</v>
      </c>
      <c r="U51" s="0" t="s">
        <v>63</v>
      </c>
      <c r="W51" s="0" t="s">
        <v>66</v>
      </c>
    </row>
    <row r="52" customFormat="false" ht="15" hidden="false" customHeight="false" outlineLevel="0" collapsed="false">
      <c r="A52" s="0" t="s">
        <v>392</v>
      </c>
      <c r="C52" s="0" t="s">
        <v>277</v>
      </c>
      <c r="E52" s="0" t="s">
        <v>513</v>
      </c>
      <c r="G52" s="0" t="s">
        <v>604</v>
      </c>
      <c r="I52" s="0" t="s">
        <v>521</v>
      </c>
      <c r="K52" s="0" t="s">
        <v>61</v>
      </c>
      <c r="M52" s="0" t="s">
        <v>574</v>
      </c>
      <c r="O52" s="0" t="s">
        <v>605</v>
      </c>
      <c r="Q52" s="0" t="s">
        <v>563</v>
      </c>
      <c r="S52" s="0" t="s">
        <v>268</v>
      </c>
      <c r="U52" s="0" t="s">
        <v>128</v>
      </c>
      <c r="W52" s="0" t="s">
        <v>68</v>
      </c>
    </row>
    <row r="53" customFormat="false" ht="15" hidden="false" customHeight="false" outlineLevel="0" collapsed="false">
      <c r="A53" s="0" t="s">
        <v>393</v>
      </c>
      <c r="C53" s="0" t="s">
        <v>606</v>
      </c>
      <c r="E53" s="0" t="s">
        <v>515</v>
      </c>
      <c r="G53" s="0" t="s">
        <v>607</v>
      </c>
      <c r="I53" s="0" t="s">
        <v>523</v>
      </c>
      <c r="K53" s="0" t="s">
        <v>64</v>
      </c>
      <c r="M53" s="0" t="s">
        <v>580</v>
      </c>
      <c r="Q53" s="0" t="s">
        <v>273</v>
      </c>
      <c r="S53" s="0" t="s">
        <v>273</v>
      </c>
      <c r="U53" s="0" t="s">
        <v>190</v>
      </c>
      <c r="W53" s="0" t="s">
        <v>71</v>
      </c>
    </row>
    <row r="54" customFormat="false" ht="15" hidden="false" customHeight="false" outlineLevel="0" collapsed="false">
      <c r="A54" s="0" t="s">
        <v>394</v>
      </c>
      <c r="G54" s="0" t="s">
        <v>608</v>
      </c>
      <c r="K54" s="0" t="s">
        <v>50</v>
      </c>
      <c r="M54" s="0" t="s">
        <v>584</v>
      </c>
      <c r="Q54" s="0" t="s">
        <v>275</v>
      </c>
      <c r="S54" s="0" t="s">
        <v>275</v>
      </c>
      <c r="W54" s="0" t="s">
        <v>74</v>
      </c>
    </row>
    <row r="55" customFormat="false" ht="15" hidden="false" customHeight="false" outlineLevel="0" collapsed="false">
      <c r="G55" s="0" t="s">
        <v>590</v>
      </c>
      <c r="K55" s="0" t="s">
        <v>69</v>
      </c>
      <c r="Q55" s="0" t="s">
        <v>564</v>
      </c>
      <c r="W55" s="0" t="s">
        <v>76</v>
      </c>
    </row>
    <row r="56" customFormat="false" ht="15" hidden="false" customHeight="false" outlineLevel="0" collapsed="false">
      <c r="K56" s="0" t="s">
        <v>72</v>
      </c>
      <c r="Q56" s="0" t="s">
        <v>565</v>
      </c>
      <c r="W56" s="0" t="s">
        <v>78</v>
      </c>
    </row>
    <row r="57" customFormat="false" ht="15" hidden="false" customHeight="false" outlineLevel="0" collapsed="false">
      <c r="W57" s="0" t="s">
        <v>80</v>
      </c>
    </row>
    <row r="58" customFormat="false" ht="15" hidden="false" customHeight="false" outlineLevel="0" collapsed="false">
      <c r="W58" s="0" t="s">
        <v>82</v>
      </c>
    </row>
    <row r="59" customFormat="false" ht="15" hidden="false" customHeight="false" outlineLevel="0" collapsed="false">
      <c r="W59" s="0" t="s">
        <v>84</v>
      </c>
    </row>
    <row r="60" customFormat="false" ht="15" hidden="false" customHeight="false" outlineLevel="0" collapsed="false">
      <c r="W60" s="0" t="s">
        <v>86</v>
      </c>
    </row>
    <row r="61" customFormat="false" ht="15" hidden="false" customHeight="false" outlineLevel="0" collapsed="false">
      <c r="W61" s="0" t="s">
        <v>88</v>
      </c>
    </row>
    <row r="62" customFormat="false" ht="15" hidden="false" customHeight="false" outlineLevel="0" collapsed="false">
      <c r="W62" s="0" t="s">
        <v>90</v>
      </c>
    </row>
    <row r="63" customFormat="false" ht="15" hidden="false" customHeight="false" outlineLevel="0" collapsed="false">
      <c r="W63" s="0" t="s">
        <v>92</v>
      </c>
    </row>
    <row r="64" customFormat="false" ht="15" hidden="false" customHeight="false" outlineLevel="0" collapsed="false">
      <c r="W64" s="0" t="s">
        <v>94</v>
      </c>
    </row>
    <row r="65" customFormat="false" ht="15" hidden="false" customHeight="false" outlineLevel="0" collapsed="false">
      <c r="W65" s="0" t="s">
        <v>96</v>
      </c>
    </row>
    <row r="66" customFormat="false" ht="15" hidden="false" customHeight="false" outlineLevel="0" collapsed="false">
      <c r="W66" s="0" t="s">
        <v>98</v>
      </c>
    </row>
    <row r="67" customFormat="false" ht="15" hidden="false" customHeight="false" outlineLevel="0" collapsed="false">
      <c r="W67" s="0" t="s">
        <v>100</v>
      </c>
    </row>
    <row r="68" customFormat="false" ht="15" hidden="false" customHeight="false" outlineLevel="0" collapsed="false">
      <c r="W68" s="0" t="s">
        <v>102</v>
      </c>
    </row>
    <row r="69" customFormat="false" ht="15" hidden="false" customHeight="false" outlineLevel="0" collapsed="false">
      <c r="W69" s="0" t="s">
        <v>104</v>
      </c>
    </row>
    <row r="70" customFormat="false" ht="15" hidden="false" customHeight="false" outlineLevel="0" collapsed="false">
      <c r="W70" s="0" t="s">
        <v>106</v>
      </c>
    </row>
    <row r="71" customFormat="false" ht="15" hidden="false" customHeight="false" outlineLevel="0" collapsed="false">
      <c r="W71" s="0" t="s">
        <v>108</v>
      </c>
    </row>
    <row r="72" customFormat="false" ht="15" hidden="false" customHeight="false" outlineLevel="0" collapsed="false">
      <c r="W72" s="0" t="s">
        <v>110</v>
      </c>
    </row>
    <row r="73" customFormat="false" ht="15" hidden="false" customHeight="false" outlineLevel="0" collapsed="false">
      <c r="W73" s="0" t="s">
        <v>112</v>
      </c>
    </row>
    <row r="74" customFormat="false" ht="15" hidden="false" customHeight="false" outlineLevel="0" collapsed="false">
      <c r="W74" s="0" t="s">
        <v>114</v>
      </c>
    </row>
    <row r="75" customFormat="false" ht="15" hidden="false" customHeight="false" outlineLevel="0" collapsed="false">
      <c r="W75" s="0" t="s">
        <v>116</v>
      </c>
    </row>
    <row r="76" customFormat="false" ht="15" hidden="false" customHeight="false" outlineLevel="0" collapsed="false">
      <c r="W76" s="0" t="s">
        <v>118</v>
      </c>
    </row>
    <row r="77" customFormat="false" ht="15" hidden="false" customHeight="false" outlineLevel="0" collapsed="false">
      <c r="W77" s="0" t="s">
        <v>120</v>
      </c>
    </row>
    <row r="78" customFormat="false" ht="15" hidden="false" customHeight="false" outlineLevel="0" collapsed="false">
      <c r="W78" s="0" t="s">
        <v>122</v>
      </c>
    </row>
    <row r="79" customFormat="false" ht="15" hidden="false" customHeight="false" outlineLevel="0" collapsed="false">
      <c r="W79" s="0" t="s">
        <v>124</v>
      </c>
    </row>
    <row r="80" customFormat="false" ht="15" hidden="false" customHeight="false" outlineLevel="0" collapsed="false">
      <c r="W80" s="0" t="s">
        <v>126</v>
      </c>
    </row>
    <row r="81" customFormat="false" ht="15" hidden="false" customHeight="false" outlineLevel="0" collapsed="false">
      <c r="W81" s="0" t="s">
        <v>130</v>
      </c>
    </row>
    <row r="82" customFormat="false" ht="15" hidden="false" customHeight="false" outlineLevel="0" collapsed="false">
      <c r="W82" s="0" t="s">
        <v>132</v>
      </c>
    </row>
    <row r="83" customFormat="false" ht="15" hidden="false" customHeight="false" outlineLevel="0" collapsed="false">
      <c r="W83" s="0" t="s">
        <v>134</v>
      </c>
    </row>
    <row r="84" customFormat="false" ht="15" hidden="false" customHeight="false" outlineLevel="0" collapsed="false">
      <c r="W84" s="0" t="s">
        <v>136</v>
      </c>
    </row>
    <row r="85" customFormat="false" ht="15" hidden="false" customHeight="false" outlineLevel="0" collapsed="false">
      <c r="W85" s="0" t="s">
        <v>138</v>
      </c>
    </row>
    <row r="86" customFormat="false" ht="15" hidden="false" customHeight="false" outlineLevel="0" collapsed="false">
      <c r="W86" s="0" t="s">
        <v>140</v>
      </c>
    </row>
    <row r="87" customFormat="false" ht="15" hidden="false" customHeight="false" outlineLevel="0" collapsed="false">
      <c r="W87" s="0" t="s">
        <v>142</v>
      </c>
    </row>
    <row r="88" customFormat="false" ht="15" hidden="false" customHeight="false" outlineLevel="0" collapsed="false">
      <c r="W88" s="0" t="s">
        <v>144</v>
      </c>
    </row>
    <row r="89" customFormat="false" ht="15" hidden="false" customHeight="false" outlineLevel="0" collapsed="false">
      <c r="W89" s="0" t="s">
        <v>146</v>
      </c>
    </row>
    <row r="90" customFormat="false" ht="15" hidden="false" customHeight="false" outlineLevel="0" collapsed="false">
      <c r="W90" s="0" t="s">
        <v>148</v>
      </c>
    </row>
    <row r="91" customFormat="false" ht="15" hidden="false" customHeight="false" outlineLevel="0" collapsed="false">
      <c r="W91" s="0" t="s">
        <v>150</v>
      </c>
    </row>
    <row r="92" customFormat="false" ht="15" hidden="false" customHeight="false" outlineLevel="0" collapsed="false">
      <c r="W92" s="0" t="s">
        <v>152</v>
      </c>
    </row>
    <row r="93" customFormat="false" ht="15" hidden="false" customHeight="false" outlineLevel="0" collapsed="false">
      <c r="W93" s="0" t="s">
        <v>154</v>
      </c>
    </row>
    <row r="94" customFormat="false" ht="15" hidden="false" customHeight="false" outlineLevel="0" collapsed="false">
      <c r="W94" s="0" t="s">
        <v>156</v>
      </c>
    </row>
    <row r="95" customFormat="false" ht="15" hidden="false" customHeight="false" outlineLevel="0" collapsed="false">
      <c r="W95" s="0" t="s">
        <v>158</v>
      </c>
    </row>
    <row r="96" customFormat="false" ht="15" hidden="false" customHeight="false" outlineLevel="0" collapsed="false">
      <c r="W96" s="0" t="s">
        <v>160</v>
      </c>
    </row>
    <row r="97" customFormat="false" ht="15" hidden="false" customHeight="false" outlineLevel="0" collapsed="false">
      <c r="W97" s="0" t="s">
        <v>162</v>
      </c>
    </row>
    <row r="98" customFormat="false" ht="15" hidden="false" customHeight="false" outlineLevel="0" collapsed="false">
      <c r="W98" s="0" t="s">
        <v>164</v>
      </c>
    </row>
    <row r="99" customFormat="false" ht="15" hidden="false" customHeight="false" outlineLevel="0" collapsed="false">
      <c r="W99" s="0" t="s">
        <v>166</v>
      </c>
    </row>
    <row r="100" customFormat="false" ht="15" hidden="false" customHeight="false" outlineLevel="0" collapsed="false">
      <c r="W100" s="0" t="s">
        <v>168</v>
      </c>
    </row>
    <row r="101" customFormat="false" ht="15" hidden="false" customHeight="false" outlineLevel="0" collapsed="false">
      <c r="W101" s="0" t="s">
        <v>170</v>
      </c>
    </row>
    <row r="102" customFormat="false" ht="15" hidden="false" customHeight="false" outlineLevel="0" collapsed="false">
      <c r="W102" s="0" t="s">
        <v>172</v>
      </c>
    </row>
    <row r="103" customFormat="false" ht="15" hidden="false" customHeight="false" outlineLevel="0" collapsed="false">
      <c r="W103" s="0" t="s">
        <v>174</v>
      </c>
    </row>
    <row r="104" customFormat="false" ht="15" hidden="false" customHeight="false" outlineLevel="0" collapsed="false">
      <c r="W104" s="0" t="s">
        <v>176</v>
      </c>
    </row>
    <row r="105" customFormat="false" ht="15" hidden="false" customHeight="false" outlineLevel="0" collapsed="false">
      <c r="W105" s="0" t="s">
        <v>178</v>
      </c>
    </row>
    <row r="106" customFormat="false" ht="15" hidden="false" customHeight="false" outlineLevel="0" collapsed="false">
      <c r="W106" s="0" t="s">
        <v>180</v>
      </c>
    </row>
    <row r="107" customFormat="false" ht="15" hidden="false" customHeight="false" outlineLevel="0" collapsed="false">
      <c r="W107" s="0" t="s">
        <v>182</v>
      </c>
    </row>
    <row r="108" customFormat="false" ht="15" hidden="false" customHeight="false" outlineLevel="0" collapsed="false">
      <c r="W108" s="0" t="s">
        <v>184</v>
      </c>
    </row>
    <row r="109" customFormat="false" ht="15" hidden="false" customHeight="false" outlineLevel="0" collapsed="false">
      <c r="W109" s="0" t="s">
        <v>186</v>
      </c>
    </row>
    <row r="110" customFormat="false" ht="15" hidden="false" customHeight="false" outlineLevel="0" collapsed="false">
      <c r="W110" s="0" t="s">
        <v>188</v>
      </c>
    </row>
    <row r="111" customFormat="false" ht="15" hidden="false" customHeight="false" outlineLevel="0" collapsed="false">
      <c r="W111" s="0" t="s">
        <v>192</v>
      </c>
    </row>
    <row r="112" customFormat="false" ht="15" hidden="false" customHeight="false" outlineLevel="0" collapsed="false">
      <c r="W112" s="0" t="s">
        <v>194</v>
      </c>
    </row>
    <row r="113" customFormat="false" ht="15" hidden="false" customHeight="false" outlineLevel="0" collapsed="false">
      <c r="W113" s="0" t="s">
        <v>196</v>
      </c>
    </row>
    <row r="114" customFormat="false" ht="15" hidden="false" customHeight="false" outlineLevel="0" collapsed="false">
      <c r="W114" s="0" t="s">
        <v>198</v>
      </c>
    </row>
    <row r="115" customFormat="false" ht="15" hidden="false" customHeight="false" outlineLevel="0" collapsed="false">
      <c r="W115" s="0" t="s">
        <v>200</v>
      </c>
    </row>
    <row r="116" customFormat="false" ht="15" hidden="false" customHeight="false" outlineLevel="0" collapsed="false">
      <c r="W116" s="0" t="s">
        <v>202</v>
      </c>
    </row>
    <row r="117" customFormat="false" ht="15" hidden="false" customHeight="false" outlineLevel="0" collapsed="false">
      <c r="W117" s="0" t="s">
        <v>204</v>
      </c>
    </row>
    <row r="118" customFormat="false" ht="15" hidden="false" customHeight="false" outlineLevel="0" collapsed="false">
      <c r="W118" s="0" t="s">
        <v>206</v>
      </c>
    </row>
    <row r="119" customFormat="false" ht="15" hidden="false" customHeight="false" outlineLevel="0" collapsed="false">
      <c r="W119" s="0" t="s">
        <v>208</v>
      </c>
    </row>
    <row r="120" customFormat="false" ht="15" hidden="false" customHeight="false" outlineLevel="0" collapsed="false">
      <c r="W120" s="0" t="s">
        <v>210</v>
      </c>
    </row>
    <row r="121" customFormat="false" ht="15" hidden="false" customHeight="false" outlineLevel="0" collapsed="false">
      <c r="W121" s="0" t="s">
        <v>212</v>
      </c>
    </row>
    <row r="122" customFormat="false" ht="15" hidden="false" customHeight="false" outlineLevel="0" collapsed="false">
      <c r="W122" s="0" t="s">
        <v>214</v>
      </c>
    </row>
    <row r="123" customFormat="false" ht="15" hidden="false" customHeight="false" outlineLevel="0" collapsed="false">
      <c r="W123" s="0" t="s">
        <v>216</v>
      </c>
    </row>
    <row r="124" customFormat="false" ht="15" hidden="false" customHeight="false" outlineLevel="0" collapsed="false">
      <c r="W124" s="0" t="s">
        <v>218</v>
      </c>
    </row>
    <row r="125" customFormat="false" ht="15" hidden="false" customHeight="false" outlineLevel="0" collapsed="false">
      <c r="W125" s="0" t="s">
        <v>220</v>
      </c>
    </row>
    <row r="126" customFormat="false" ht="15" hidden="false" customHeight="false" outlineLevel="0" collapsed="false">
      <c r="W126" s="0" t="s">
        <v>222</v>
      </c>
    </row>
    <row r="127" customFormat="false" ht="15" hidden="false" customHeight="false" outlineLevel="0" collapsed="false">
      <c r="W127" s="0" t="s">
        <v>224</v>
      </c>
    </row>
    <row r="128" customFormat="false" ht="15" hidden="false" customHeight="false" outlineLevel="0" collapsed="false">
      <c r="W128" s="0" t="s">
        <v>226</v>
      </c>
    </row>
    <row r="129" customFormat="false" ht="15" hidden="false" customHeight="false" outlineLevel="0" collapsed="false">
      <c r="W129" s="0" t="s">
        <v>228</v>
      </c>
    </row>
    <row r="130" customFormat="false" ht="15" hidden="false" customHeight="false" outlineLevel="0" collapsed="false">
      <c r="W130" s="0" t="s">
        <v>230</v>
      </c>
    </row>
    <row r="131" customFormat="false" ht="15" hidden="false" customHeight="false" outlineLevel="0" collapsed="false">
      <c r="W131" s="0" t="s">
        <v>232</v>
      </c>
    </row>
    <row r="132" customFormat="false" ht="15" hidden="false" customHeight="false" outlineLevel="0" collapsed="false">
      <c r="W132" s="0" t="s">
        <v>234</v>
      </c>
    </row>
    <row r="133" customFormat="false" ht="15" hidden="false" customHeight="false" outlineLevel="0" collapsed="false">
      <c r="W133" s="0" t="s">
        <v>236</v>
      </c>
    </row>
    <row r="134" customFormat="false" ht="15" hidden="false" customHeight="false" outlineLevel="0" collapsed="false">
      <c r="W134" s="0" t="s">
        <v>238</v>
      </c>
    </row>
    <row r="135" customFormat="false" ht="15" hidden="false" customHeight="false" outlineLevel="0" collapsed="false">
      <c r="W135" s="0" t="s">
        <v>240</v>
      </c>
    </row>
    <row r="136" customFormat="false" ht="15" hidden="false" customHeight="false" outlineLevel="0" collapsed="false">
      <c r="W136" s="0" t="s">
        <v>242</v>
      </c>
    </row>
    <row r="137" customFormat="false" ht="15" hidden="false" customHeight="false" outlineLevel="0" collapsed="false">
      <c r="W137" s="0" t="s">
        <v>244</v>
      </c>
    </row>
    <row r="138" customFormat="false" ht="15" hidden="false" customHeight="false" outlineLevel="0" collapsed="false">
      <c r="W138" s="0" t="s">
        <v>246</v>
      </c>
    </row>
    <row r="139" customFormat="false" ht="15" hidden="false" customHeight="false" outlineLevel="0" collapsed="false">
      <c r="W139" s="0" t="s">
        <v>248</v>
      </c>
    </row>
    <row r="140" customFormat="false" ht="15" hidden="false" customHeight="false" outlineLevel="0" collapsed="false">
      <c r="W140" s="0" t="s">
        <v>250</v>
      </c>
    </row>
    <row r="143" customFormat="false" ht="15" hidden="false" customHeight="false" outlineLevel="0" collapsed="false">
      <c r="A143" s="3" t="s">
        <v>609</v>
      </c>
    </row>
    <row r="144" customFormat="false" ht="15" hidden="false" customHeight="false" outlineLevel="0" collapsed="false">
      <c r="A144" s="6" t="s">
        <v>511</v>
      </c>
      <c r="B144" s="17" t="s">
        <v>610</v>
      </c>
    </row>
    <row r="145" customFormat="false" ht="15" hidden="false" customHeight="false" outlineLevel="0" collapsed="false">
      <c r="A145" s="6" t="s">
        <v>513</v>
      </c>
      <c r="B145" s="17" t="s">
        <v>514</v>
      </c>
    </row>
    <row r="146" customFormat="false" ht="15" hidden="false" customHeight="false" outlineLevel="0" collapsed="false">
      <c r="A146" s="6" t="s">
        <v>515</v>
      </c>
      <c r="B146" s="17" t="s">
        <v>611</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2026-09-07T13:45:49Z</dcterms:created>
  <dc:creator>Capacity exercise toolkit</dc:creator>
  <dc:description/>
  <dc:language>en-US</dc:language>
  <cp:lastModifiedBy/>
  <dcterms:modified xsi:type="dcterms:W3CDTF">2026-09-07T13:46:13Z</dcterms:modified>
  <cp:revision>1</cp:revision>
  <dc:subject/>
  <dc:title>2027 Capacity Exercise - Operations Group</dc:title>
</cp:coreProperties>
</file>

<file path=docProps/custom.xml><?xml version="1.0" encoding="utf-8"?>
<Properties xmlns="http://schemas.openxmlformats.org/officeDocument/2006/custom-properties" xmlns:vt="http://schemas.openxmlformats.org/officeDocument/2006/docPropsVTypes"/>
</file>