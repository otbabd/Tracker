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Ref!$B$8</definedName>
    <definedName function="false" hidden="false" name="BaseYear" vbProcedure="false">Ref!$B$6</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Ref!$B$12</definedName>
    <definedName function="false" hidden="false" name="GosiSaudi" vbProcedure="false">Ref!$B$11</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Ref!$B$7</definedName>
    <definedName function="false" hidden="false" name="HeadEnvelope" vbProcedure="false">Ref!$B$18</definedName>
    <definedName function="false" hidden="false" name="LadderLevels" vbProcedure="false">Ref!$M$56:$M$61</definedName>
    <definedName function="false" hidden="false" name="OneOffJunior" vbProcedure="false">Ref!$B$13</definedName>
    <definedName function="false" hidden="false" name="OneOffSenior" vbProcedure="false">Ref!$B$14</definedName>
    <definedName function="false" hidden="false" name="PlanYear" vbProcedure="false">Ref!$B$5</definedName>
    <definedName function="false" hidden="false" name="ProductivityDefault" vbProcedure="false">Ref!$B$9</definedName>
    <definedName function="false" hidden="false" name="QuarterList" vbProcedure="false">Ref!$C$56:$C$59</definedName>
    <definedName function="false" hidden="false" name="SalaryInflation" vbProcedure="false">Ref!$B$10</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Ref!$Q$56:$Q$123</definedName>
    <definedName function="false" hidden="false" name="WorkforceTypes" vbProcedure="false">Ref!$E$56:$E$58</definedName>
    <definedName function="false" hidden="false" name="WorkloadDrivers" vbProcedure="false">Ref!$A$56:$A$70</definedName>
    <definedName function="false" hidden="false" name="YesNo" vbProcedure="false">Ref!$O$56:$O$57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<sst xmlns="http://schemas.openxmlformats.org/spreadsheetml/2006/main" count="906" uniqueCount="570">
  <si>
    <t xml:space="preserve">2027 Capacity Exercise</t>
  </si>
  <si>
    <t xml:space="preserve">Risk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</si>
  <si>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</si>
  <si>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</si>
  <si>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</si>
  <si>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</si>
  <si>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</si>
  <si>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</si>
  <si>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</si>
  <si>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</si>
  <si>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</si>
  <si>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</si>
  <si>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</si>
  <si>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</si>
  <si>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</si>
  <si>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</si>
  <si>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</si>
  <si>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</si>
  <si>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</si>
  <si>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</si>
  <si>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</si>
  <si>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</si>
  <si>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</si>
  <si>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</si>
  <si>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</si>
  <si>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</si>
  <si>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</si>
  <si>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</si>
  <si>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Risk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</si>
  <si>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</si>
  <si>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</si>
  <si>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</si>
  <si>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</si>
  <si>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</si>
  <si>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</si>
  <si>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</si>
  <si>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</si>
  <si>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</si>
  <si>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Risk Group</t>
  </si>
  <si>
    <t xml:space="preserve">Division</t>
  </si>
  <si>
    <t xml:space="preserve">    Credit Risk Division</t>
  </si>
  <si>
    <t xml:space="preserve">Department</t>
  </si>
  <si>
    <t xml:space="preserve">        Corporate Credit Risk</t>
  </si>
  <si>
    <t xml:space="preserve">            Corporate Credit Risk Unit 1</t>
  </si>
  <si>
    <t xml:space="preserve">Sub-unit</t>
  </si>
  <si>
    <t xml:space="preserve">                Corporate Credit Risk Unit 1 - Team A</t>
  </si>
  <si>
    <t xml:space="preserve">                Corporate Credit Risk Unit 1 - Team B</t>
  </si>
  <si>
    <t xml:space="preserve">            Corporate Credit Risk Unit 2</t>
  </si>
  <si>
    <t xml:space="preserve">                Corporate Credit Risk Unit 2 - Team A</t>
  </si>
  <si>
    <t xml:space="preserve">                Corporate Credit Risk Unit 2 - Team B</t>
  </si>
  <si>
    <t xml:space="preserve">        Credit Administration</t>
  </si>
  <si>
    <t xml:space="preserve">            Credit Administration Unit 1</t>
  </si>
  <si>
    <t xml:space="preserve">                Credit Administration Unit 1 - Team A</t>
  </si>
  <si>
    <t xml:space="preserve">                Credit Administration Unit 1 - Team B</t>
  </si>
  <si>
    <t xml:space="preserve">            Credit Administration Unit 2</t>
  </si>
  <si>
    <t xml:space="preserve">                Credit Administration Unit 2 - Team A</t>
  </si>
  <si>
    <t xml:space="preserve">                Credit Administration Unit 2 - Team B</t>
  </si>
  <si>
    <t xml:space="preserve">        Retail Credit Risk</t>
  </si>
  <si>
    <t xml:space="preserve">            Retail Credit Risk Unit 1</t>
  </si>
  <si>
    <t xml:space="preserve">                Retail Credit Risk Unit 1 - Team A</t>
  </si>
  <si>
    <t xml:space="preserve">                Retail Credit Risk Unit 1 - Team B</t>
  </si>
  <si>
    <t xml:space="preserve">            Retail Credit Risk Unit 2</t>
  </si>
  <si>
    <t xml:space="preserve">                Retail Credit Risk Unit 2 - Team A</t>
  </si>
  <si>
    <t xml:space="preserve">                Retail Credit Risk Unit 2 - Team B</t>
  </si>
  <si>
    <t xml:space="preserve">    Market &amp; Liquidity Risk Division</t>
  </si>
  <si>
    <t xml:space="preserve">        Liquidity Risk</t>
  </si>
  <si>
    <t xml:space="preserve">            Liquidity Risk Unit 1</t>
  </si>
  <si>
    <t xml:space="preserve">                Liquidity Risk Unit 1 - Team A</t>
  </si>
  <si>
    <t xml:space="preserve">                Liquidity Risk Unit 1 - Team B</t>
  </si>
  <si>
    <t xml:space="preserve">            Liquidity Risk Unit 2</t>
  </si>
  <si>
    <t xml:space="preserve">                Liquidity Risk Unit 2 - Team A</t>
  </si>
  <si>
    <t xml:space="preserve">                Liquidity Risk Unit 2 - Team B</t>
  </si>
  <si>
    <t xml:space="preserve">        Market Risk</t>
  </si>
  <si>
    <t xml:space="preserve">            Market Risk Unit 1</t>
  </si>
  <si>
    <t xml:space="preserve">                Market Risk Unit 1 - Team A</t>
  </si>
  <si>
    <t xml:space="preserve">                Market Risk Unit 1 - Team B</t>
  </si>
  <si>
    <t xml:space="preserve">            Market Risk Unit 2</t>
  </si>
  <si>
    <t xml:space="preserve">                Market Risk Unit 2 - Team A</t>
  </si>
  <si>
    <t xml:space="preserve">                Market Risk Unit 2 - Team B</t>
  </si>
  <si>
    <t xml:space="preserve">    Operational Risk Division</t>
  </si>
  <si>
    <t xml:space="preserve">        Business Continuity</t>
  </si>
  <si>
    <t xml:space="preserve">            Business Continuity Unit 1</t>
  </si>
  <si>
    <t xml:space="preserve">                Business Continuity Unit 1 - Team A</t>
  </si>
  <si>
    <t xml:space="preserve">                Business Continuity Unit 1 - Team B</t>
  </si>
  <si>
    <t xml:space="preserve">            Business Continuity Unit 2</t>
  </si>
  <si>
    <t xml:space="preserve">                Business Continuity Unit 2 - Team A</t>
  </si>
  <si>
    <t xml:space="preserve">                Business Continuity Unit 2 - Team B</t>
  </si>
  <si>
    <t xml:space="preserve">        Operational Risk</t>
  </si>
  <si>
    <t xml:space="preserve">            Operational Risk Unit 1</t>
  </si>
  <si>
    <t xml:space="preserve">                Operational Risk Unit 1 - Team A</t>
  </si>
  <si>
    <t xml:space="preserve">                Operational Risk Unit 1 - Team B</t>
  </si>
  <si>
    <t xml:space="preserve">            Operational Risk Unit 2</t>
  </si>
  <si>
    <t xml:space="preserve">                Operational Risk Unit 2 - Team A</t>
  </si>
  <si>
    <t xml:space="preserve">                Operational Risk Unit 2 - Team B</t>
  </si>
  <si>
    <t xml:space="preserve">    Risk Analytics Division</t>
  </si>
  <si>
    <t xml:space="preserve">        IFRS 9 &amp; Provisioning</t>
  </si>
  <si>
    <t xml:space="preserve">            IFRS 9 &amp; Provisioning Unit 1</t>
  </si>
  <si>
    <t xml:space="preserve">                IFRS 9 &amp; Provisioning Unit 1 - Team A</t>
  </si>
  <si>
    <t xml:space="preserve">                IFRS 9 &amp; Provisioning Unit 1 - Team B</t>
  </si>
  <si>
    <t xml:space="preserve">            IFRS 9 &amp; Provisioning Unit 2</t>
  </si>
  <si>
    <t xml:space="preserve">                IFRS 9 &amp; Provisioning Unit 2 - Team A</t>
  </si>
  <si>
    <t xml:space="preserve">                IFRS 9 &amp; Provisioning Unit 2 - Team B</t>
  </si>
  <si>
    <t xml:space="preserve">        Risk Modelling</t>
  </si>
  <si>
    <t xml:space="preserve">            Risk Modelling Unit 1</t>
  </si>
  <si>
    <t xml:space="preserve">                Risk Modelling Unit 1 - Team A</t>
  </si>
  <si>
    <t xml:space="preserve">                Risk Modelling Unit 1 - Team B</t>
  </si>
  <si>
    <t xml:space="preserve">            Risk Modelling Unit 2</t>
  </si>
  <si>
    <t xml:space="preserve">                Risk Modelling Unit 2 - Team A</t>
  </si>
  <si>
    <t xml:space="preserve">                Risk Modelling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</si>
  <si>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</si>
  <si>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</si>
  <si>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</si>
  <si>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</si>
  <si>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</si>
  <si>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</si>
  <si>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</si>
  <si>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</si>
  <si>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</si>
  <si>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</si>
  <si>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</si>
  <si>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</si>
  <si>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</si>
  <si>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</si>
  <si>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Corporate Credit Risk</t>
  </si>
  <si>
    <t xml:space="preserve">Corporate Credit Risk Unit 1</t>
  </si>
  <si>
    <t xml:space="preserve">Corporate Credit Risk Unit 2</t>
  </si>
  <si>
    <t xml:space="preserve">Credit Administration</t>
  </si>
  <si>
    <t xml:space="preserve">Credit Administration Unit 1</t>
  </si>
  <si>
    <t xml:space="preserve">Credit Administration Unit 2</t>
  </si>
  <si>
    <t xml:space="preserve">Retail Credit Risk</t>
  </si>
  <si>
    <t xml:space="preserve">Retail Credit Risk Unit 1</t>
  </si>
  <si>
    <t xml:space="preserve">Retail Credit Risk Unit 2</t>
  </si>
  <si>
    <t xml:space="preserve">Liquidity Risk</t>
  </si>
  <si>
    <t xml:space="preserve">Liquidity Risk Unit 1</t>
  </si>
  <si>
    <t xml:space="preserve">Liquidity Risk Unit 2</t>
  </si>
  <si>
    <t xml:space="preserve">Market Risk</t>
  </si>
  <si>
    <t xml:space="preserve">Market Risk Unit 1</t>
  </si>
  <si>
    <t xml:space="preserve">Market Risk Unit 2</t>
  </si>
  <si>
    <t xml:space="preserve">Business Continuity</t>
  </si>
  <si>
    <t xml:space="preserve">Business Continuity Unit 1</t>
  </si>
  <si>
    <t xml:space="preserve">Business Continuity Unit 2</t>
  </si>
  <si>
    <t xml:space="preserve">Operational Risk</t>
  </si>
  <si>
    <t xml:space="preserve">Operational Risk Unit 1</t>
  </si>
  <si>
    <t xml:space="preserve">Operational Risk Unit 2</t>
  </si>
  <si>
    <t xml:space="preserve">IFRS 9 &amp; Provisioning</t>
  </si>
  <si>
    <t xml:space="preserve">IFRS 9 &amp; Provisioning Unit 1</t>
  </si>
  <si>
    <t xml:space="preserve">IFRS 9 &amp; Provisioning Unit 2</t>
  </si>
  <si>
    <t xml:space="preserve">Risk Modelling</t>
  </si>
  <si>
    <t xml:space="preserve">Risk Modelling Unit 1</t>
  </si>
  <si>
    <t xml:space="preserve">Risk Modelling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</si>
  <si>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</si>
  <si>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</si>
  <si>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</si>
  <si>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</si>
  <si>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</si>
  <si>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</si>
  <si>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</si>
  <si>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</si>
  <si>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</si>
  <si>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</si>
  <si>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</si>
  <si>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</si>
  <si>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</si>
  <si>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</si>
  <si>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</si>
  <si>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</si>
  <si>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</si>
  <si>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</si>
  <si>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</si>
  <si>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</si>
  <si>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</si>
  <si>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IFRS 9 &amp; Provisioning Unit 2 - Team B</t>
  </si>
  <si>
    <t xml:space="preserve">Associate IFRS 9 &amp; Provisioning</t>
  </si>
  <si>
    <t xml:space="preserve">G10</t>
  </si>
  <si>
    <t xml:space="preserve">2026-09-13</t>
  </si>
  <si>
    <t xml:space="preserve">Q3</t>
  </si>
  <si>
    <t xml:space="preserve">Resignation / assignment end</t>
  </si>
  <si>
    <t xml:space="preserve">Yes</t>
  </si>
  <si>
    <t xml:space="preserve">Operational Risk Unit 1 - Team A</t>
  </si>
  <si>
    <t xml:space="preserve">Analyst Operational Risk</t>
  </si>
  <si>
    <t xml:space="preserve">2026-09-16</t>
  </si>
  <si>
    <t xml:space="preserve">Manager Retail Credit Risk</t>
  </si>
  <si>
    <t xml:space="preserve">G13</t>
  </si>
  <si>
    <t xml:space="preserve">2026-09-23</t>
  </si>
  <si>
    <t xml:space="preserve">Risk Modelling Unit 2 - Team B</t>
  </si>
  <si>
    <t xml:space="preserve">Associate Risk Modelling</t>
  </si>
  <si>
    <t xml:space="preserve">G11</t>
  </si>
  <si>
    <t xml:space="preserve">2026-10-12</t>
  </si>
  <si>
    <t xml:space="preserve">Q4</t>
  </si>
  <si>
    <t xml:space="preserve">Manager Credit Administration</t>
  </si>
  <si>
    <t xml:space="preserve">2026-10-31</t>
  </si>
  <si>
    <t xml:space="preserve">Business Continuity Unit 1 - Team A</t>
  </si>
  <si>
    <t xml:space="preserve">Analyst Business Continuity</t>
  </si>
  <si>
    <t xml:space="preserve">2026-11-05</t>
  </si>
  <si>
    <t xml:space="preserve">Business Continuity Unit 1 - Team B</t>
  </si>
  <si>
    <t xml:space="preserve">Senior Officer Business Continuity</t>
  </si>
  <si>
    <t xml:space="preserve">2026-11-08</t>
  </si>
  <si>
    <t xml:space="preserve">Associate Business Continuity</t>
  </si>
  <si>
    <t xml:space="preserve">2026-11-12</t>
  </si>
  <si>
    <t xml:space="preserve">Liquidity Risk Unit 2 - Team A</t>
  </si>
  <si>
    <t xml:space="preserve">Associate Liquidity Risk</t>
  </si>
  <si>
    <t xml:space="preserve">G9</t>
  </si>
  <si>
    <t xml:space="preserve">2026-11-15</t>
  </si>
  <si>
    <t xml:space="preserve">Officer Business Continuity</t>
  </si>
  <si>
    <t xml:space="preserve">2026-11-16</t>
  </si>
  <si>
    <t xml:space="preserve">Market Risk Unit 1 - Team A</t>
  </si>
  <si>
    <t xml:space="preserve">Analyst Market Risk</t>
  </si>
  <si>
    <t xml:space="preserve">2026-11-18</t>
  </si>
  <si>
    <t xml:space="preserve">Market Risk Unit 2 - Team B</t>
  </si>
  <si>
    <t xml:space="preserve">2026-11-21</t>
  </si>
  <si>
    <t xml:space="preserve">Corporate Credit Risk Unit 2 - Team B</t>
  </si>
  <si>
    <t xml:space="preserve">Officer Corporate Credit Risk</t>
  </si>
  <si>
    <t xml:space="preserve">2026-12-12</t>
  </si>
  <si>
    <t xml:space="preserve">Credit Administration Unit 1 - Team A</t>
  </si>
  <si>
    <t xml:space="preserve">Specialist Credit Administration</t>
  </si>
  <si>
    <t xml:space="preserve">2026-12-17</t>
  </si>
  <si>
    <t xml:space="preserve">Specialist Liquidity Risk</t>
  </si>
  <si>
    <t xml:space="preserve">Business Continuity Unit 2 - Team B</t>
  </si>
  <si>
    <t xml:space="preserve">2026-12-18</t>
  </si>
  <si>
    <t xml:space="preserve">Risk Modelling Unit 1 - Team A</t>
  </si>
  <si>
    <t xml:space="preserve">Analyst Risk Modelling</t>
  </si>
  <si>
    <t xml:space="preserve">2027-01-14</t>
  </si>
  <si>
    <t xml:space="preserve">Q1</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</si>
  <si>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</si>
  <si>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</si>
  <si>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</si>
  <si>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</si>
  <si>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</si>
  <si>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Senior Analyst Business Continuity</t>
  </si>
  <si>
    <t xml:space="preserve">Jana Saleh</t>
  </si>
  <si>
    <t xml:space="preserve">Business Continuity Unit 2 - Team A</t>
  </si>
  <si>
    <t xml:space="preserve">Specialist Business Continuity</t>
  </si>
  <si>
    <t xml:space="preserve">Bilal Saleh</t>
  </si>
  <si>
    <t xml:space="preserve">Dana Bakr</t>
  </si>
  <si>
    <t xml:space="preserve">Corporate Credit Risk Unit 2 - Team A</t>
  </si>
  <si>
    <t xml:space="preserve">Associate Corporate Credit Risk</t>
  </si>
  <si>
    <t xml:space="preserve">Associate Credit Administration</t>
  </si>
  <si>
    <t xml:space="preserve">خالد الدوسري</t>
  </si>
  <si>
    <t xml:space="preserve">Credit Administration Unit 1 - Team B</t>
  </si>
  <si>
    <t xml:space="preserve">Noor Mansour</t>
  </si>
  <si>
    <t xml:space="preserve">Officer Credit Administration</t>
  </si>
  <si>
    <t xml:space="preserve">Senior Analyst Credit Administration</t>
  </si>
  <si>
    <t xml:space="preserve">Noor Karim</t>
  </si>
  <si>
    <t xml:space="preserve">Credit Administration Unit 2 - Team A</t>
  </si>
  <si>
    <t xml:space="preserve">Analyst Credit Administration</t>
  </si>
  <si>
    <t xml:space="preserve">Maya Qureshi</t>
  </si>
  <si>
    <t xml:space="preserve">Adel Darwish</t>
  </si>
  <si>
    <t xml:space="preserve">Team Lead Credit Administration</t>
  </si>
  <si>
    <t xml:space="preserve">G12</t>
  </si>
  <si>
    <t xml:space="preserve">عبدالله الزهراني</t>
  </si>
  <si>
    <t xml:space="preserve">Credit Administration Unit 2 - Team B</t>
  </si>
  <si>
    <t xml:space="preserve">Manager IFRS 9 &amp; Provisioning</t>
  </si>
  <si>
    <t xml:space="preserve">Mona Aziz</t>
  </si>
  <si>
    <t xml:space="preserve">IFRS 9 &amp; Provisioning Unit 1 - Team B</t>
  </si>
  <si>
    <t xml:space="preserve">Specialist IFRS 9 &amp; Provisioning</t>
  </si>
  <si>
    <t xml:space="preserve">نورة القحطاني</t>
  </si>
  <si>
    <t xml:space="preserve">Rami Siddiqui</t>
  </si>
  <si>
    <t xml:space="preserve">Manager Liquidity Risk</t>
  </si>
  <si>
    <t xml:space="preserve">Lina Fahmy</t>
  </si>
  <si>
    <t xml:space="preserve">Liquidity Risk Unit 1 - Team A</t>
  </si>
  <si>
    <t xml:space="preserve">Officer Liquidity Risk</t>
  </si>
  <si>
    <t xml:space="preserve">Senior Analyst Liquidity Risk</t>
  </si>
  <si>
    <t xml:space="preserve">Analyst Liquidity Risk</t>
  </si>
  <si>
    <t xml:space="preserve">Salma Qureshi</t>
  </si>
  <si>
    <t xml:space="preserve">Liquidity Risk Unit 2 - Team B</t>
  </si>
  <si>
    <t xml:space="preserve">Sami Mansour</t>
  </si>
  <si>
    <t xml:space="preserve">Manager Market Risk</t>
  </si>
  <si>
    <t xml:space="preserve">Ziad Siddiqui</t>
  </si>
  <si>
    <t xml:space="preserve">Senior Analyst Market Risk</t>
  </si>
  <si>
    <t xml:space="preserve">Nasser Nasser</t>
  </si>
  <si>
    <t xml:space="preserve">Market Risk Unit 2 - Team A</t>
  </si>
  <si>
    <t xml:space="preserve">Yusuf Fahmy</t>
  </si>
  <si>
    <t xml:space="preserve">Team Lead Market Risk</t>
  </si>
  <si>
    <t xml:space="preserve">Operational Risk Unit 1 - Team B</t>
  </si>
  <si>
    <t xml:space="preserve">Associate Operational Risk</t>
  </si>
  <si>
    <t xml:space="preserve">فيصل الشمري</t>
  </si>
  <si>
    <t xml:space="preserve">Operational Risk Unit 2 - Team A</t>
  </si>
  <si>
    <t xml:space="preserve">ماجد المطيري</t>
  </si>
  <si>
    <t xml:space="preserve">Specialist Operational Risk</t>
  </si>
  <si>
    <t xml:space="preserve">فيصل المطيري</t>
  </si>
  <si>
    <t xml:space="preserve">Retail Credit Risk Unit 1 - Team B</t>
  </si>
  <si>
    <t xml:space="preserve">Senior Officer Retail Credit Risk</t>
  </si>
  <si>
    <t xml:space="preserve">ماجد الشمري</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</si>
  <si>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</si>
  <si>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</si>
  <si>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</si>
  <si>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</si>
  <si>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</si>
  <si>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</si>
  <si>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</si>
  <si>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</si>
  <si>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</si>
  <si>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</si>
  <si>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</si>
  <si>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</si>
  <si>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</si>
  <si>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</si>
  <si>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</si>
  <si>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</si>
  <si>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</si>
  <si>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</si>
  <si>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</si>
  <si>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</si>
  <si>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</si>
  <si>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</si>
  <si>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</si>
  <si>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</si>
  <si>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</si>
  <si>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</si>
  <si>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</si>
  <si>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</si>
  <si>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</si>
  <si>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</si>
  <si>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</si>
  <si>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</si>
  <si>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</si>
  <si>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</si>
  <si>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</si>
  <si>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</si>
  <si>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</si>
  <si>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</si>
  <si>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</si>
  <si>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</si>
  <si>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</si>
  <si>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</si>
  <si>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</si>
  <si>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</si>
  <si>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</si>
  <si>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</si>
  <si>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</si>
  <si>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</si>
  <si>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</si>
  <si>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</si>
  <si>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</si>
  <si>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</si>
  <si>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</si>
  <si>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</si>
  <si>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</si>
  <si>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</si>
  <si>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</si>
  <si>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</si>
  <si>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</si>
  <si>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</si>
  <si>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</si>
  <si>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</si>
  <si>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</si>
  <si>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</si>
  <si>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</si>
  <si>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</si>
  <si>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</si>
  <si>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</si>
  <si>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</si>
  <si>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</si>
  <si>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</si>
  <si>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</si>
  <si>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</si>
  <si>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</si>
  <si>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</si>
  <si>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</si>
  <si>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</si>
  <si>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</si>
  <si>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</si>
  <si>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</si>
  <si>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</si>
  <si>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</si>
  <si>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</si>
  <si>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</si>
  <si>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</si>
  <si>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</si>
  <si>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</si>
  <si>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</si>
  <si>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</si>
  <si>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</si>
  <si>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</si>
  <si>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</si>
  <si>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</si>
  <si>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</si>
  <si>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</si>
  <si>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</si>
  <si>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</si>
  <si>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</si>
  <si>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</si>
  <si>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</si>
  <si>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</si>
  <si>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</si>
  <si>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</si>
  <si>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</si>
  <si>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</si>
  <si>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</si>
  <si>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</si>
  <si>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</si>
  <si>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</si>
  <si>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</si>
  <si>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</si>
  <si>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</si>
  <si>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</si>
  <si>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</si>
  <si>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</si>
  <si>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</si>
  <si>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</si>
  <si>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</si>
  <si>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</si>
  <si>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Q2</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</si>
  <si>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</si>
  <si>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</si>
  <si>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</si>
  <si>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</si>
  <si>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</si>
  <si>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</si>
  <si>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</si>
  <si>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</si>
  <si>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</si>
  <si>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</si>
  <si>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</si>
  <si>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</si>
  <si>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</si>
  <si>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</si>
  <si>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</si>
  <si>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</si>
  <si>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</si>
  <si>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</si>
  <si>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</si>
  <si>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</si>
  <si>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</si>
  <si>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</si>
  <si>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</si>
  <si>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</si>
  <si>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</si>
  <si>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</si>
  <si>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</si>
  <si>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</si>
  <si>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</si>
  <si>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</si>
  <si>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</si>
  <si>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</si>
  <si>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</si>
  <si>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</si>
  <si>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</si>
  <si>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</si>
  <si>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</si>
  <si>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</si>
  <si>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</si>
  <si>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</si>
  <si>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</si>
  <si>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</si>
  <si>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</si>
  <si>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</si>
  <si>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</si>
  <si>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</si>
  <si>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</si>
  <si>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</si>
  <si>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</si>
  <si>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</si>
  <si>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</si>
  <si>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</si>
  <si>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</si>
  <si>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</si>
  <si>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</si>
  <si>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</si>
  <si>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</si>
  <si>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</si>
  <si>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</si>
  <si>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</si>
  <si>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</si>
  <si>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</si>
  <si>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</si>
  <si>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</si>
  <si>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</si>
  <si>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</si>
  <si>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</si>
  <si>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</si>
  <si>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</si>
  <si>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</si>
  <si>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</si>
  <si>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</si>
  <si>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</si>
  <si>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</si>
  <si>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</si>
  <si>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</si>
  <si>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Risk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</si>
  <si>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</si>
  <si>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</si>
  <si>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</si>
  <si>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</si>
  <si>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</si>
  <si>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</si>
  <si>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</si>
  <si>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</si>
  <si>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</si>
  <si>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</si>
  <si>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grade below G14</t>
  </si>
  <si>
    <t xml:space="preserve">One-off cost - grade G14 and above</t>
  </si>
  <si>
    <t xml:space="preserve">Envelope for this group</t>
  </si>
  <si>
    <t xml:space="preserve">Cost envelope (SAR '000)</t>
  </si>
  <si>
    <t xml:space="preserve">Headcount envelope (net adds)</t>
  </si>
  <si>
    <t xml:space="preserve">Saudization target</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</si>
  <si>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</si>
  <si>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</si>
  <si>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</si>
  <si>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</si>
  <si>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</si>
  <si>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</si>
  <si>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G14</t>
  </si>
  <si>
    <t xml:space="preserve">G15</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</si>
  <si>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</si>
  <si>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</si>
  <si>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</si>
  <si>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</si>
  <si>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</si>
  <si>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</si>
  <si>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</si>
  <si>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</si>
  <si>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</si>
  <si>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</si>
  <si>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</si>
  <si>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</si>
  <si>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</si>
  <si>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</si>
  <si>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</si>
  <si>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</si>
  <si>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</si>
  <si>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</si>
  <si>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</si>
  <si>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</si>
  <si>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</si>
  <si>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</si>
  <si>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</si>
  <si>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</si>
  <si>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</si>
  <si>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</si>
  <si>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</si>
  <si>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</si>
  <si>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</si>
  <si>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</si>
  <si>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</si>
  <si>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</si>
  <si>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</si>
  <si>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</si>
  <si>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</si>
  <si>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</si>
  <si>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</si>
  <si>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</si>
  <si>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</si>
  <si>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</si>
  <si>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</si>
  <si>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</si>
  <si>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</si>
  <si>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Credit Risk Division</t>
  </si>
  <si>
    <t xml:space="preserve">Outsourced</t>
  </si>
  <si>
    <t xml:space="preserve">Undecided</t>
  </si>
  <si>
    <t xml:space="preserve">Conversion</t>
  </si>
  <si>
    <t xml:space="preserve">Rename</t>
  </si>
  <si>
    <t xml:space="preserve">Merge into another unit</t>
  </si>
  <si>
    <t xml:space="preserve">Close</t>
  </si>
  <si>
    <t xml:space="preserve">Corporate Credit Risk Unit 1 - Team A</t>
  </si>
  <si>
    <t xml:space="preserve">Section</t>
  </si>
  <si>
    <t xml:space="preserve">Corporate Credit Risk Unit 1 - Team B</t>
  </si>
  <si>
    <t xml:space="preserve">Retail Credit Risk Unit 1 - Team A</t>
  </si>
  <si>
    <t xml:space="preserve">Retail Credit Risk Unit 2 - Team A</t>
  </si>
  <si>
    <t xml:space="preserve">Retail Credit Risk Unit 2 - Team B</t>
  </si>
  <si>
    <t xml:space="preserve">Market &amp; Liquidity Risk Division</t>
  </si>
  <si>
    <t xml:space="preserve">Liquidity Risk Unit 1 - Team B</t>
  </si>
  <si>
    <t xml:space="preserve">Market Risk Unit 1 - Team B</t>
  </si>
  <si>
    <t xml:space="preserve">Operational Risk Division</t>
  </si>
  <si>
    <t xml:space="preserve">Operational Risk Unit 2 - Team B</t>
  </si>
  <si>
    <t xml:space="preserve">Risk Analytics Division</t>
  </si>
  <si>
    <t xml:space="preserve">IFRS 9 &amp; Provisioning Unit 1 - Team A</t>
  </si>
  <si>
    <t xml:space="preserve">IFRS 9 &amp; Provisioning Unit 2 - Team A</t>
  </si>
  <si>
    <t xml:space="preserve">Risk Modelling Unit 1 - Team B</t>
  </si>
  <si>
    <t xml:space="preserve">Risk Modelling Unit 2 - Team A</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</si>
</sst>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17350926"/>
        <c:axId val="21122943"/>
      </c:barChart>
      <c:catAx>
        <c:axId val="173509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22943"/>
        <c:crosses val="autoZero"/>
        <c:auto val="1"/>
        <c:lblAlgn val="ctr"/>
        <c:lblOffset val="100"/>
        <c:noMultiLvlLbl val="0"/>
      </c:catAx>
      <c:valAx>
        <c:axId val="2112294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509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17246693"/>
        <c:axId val="53814505"/>
      </c:barChart>
      <c:catAx>
        <c:axId val="172466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14505"/>
        <c:crosses val="autoZero"/>
        <c:auto val="1"/>
        <c:lblAlgn val="ctr"/>
        <c:lblOffset val="100"/>
        <c:noMultiLvlLbl val="0"/>
      </c:catAx>
      <c:valAx>
        <c:axId val="5381450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466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325</v>
      </c>
      <c r="D5" s="15" t="n">
        <v>290</v>
      </c>
      <c r="E5" s="15" t="n">
        <v>35</v>
      </c>
      <c r="F5" s="16" t="n">
        <f aca="false">SUMIFS('5. Capacity asks'!$H$6:$H$305,'5. Capacity asks'!$B$6:$B$305,$B5)</f>
        <v>0</v>
      </c>
      <c r="G5" s="16" t="n">
        <f aca="false">$C5+$F5</f>
        <v>325</v>
      </c>
      <c r="H5" s="16" t="n">
        <f aca="false">$F5</f>
        <v>0</v>
      </c>
    </row>
    <row r="6" customFormat="false" ht="15" hidden="false" customHeight="false" outlineLevel="1" collapsed="false">
      <c r="A6" s="13" t="s">
        <v>39</v>
      </c>
      <c r="B6" s="14" t="s">
        <v>40</v>
      </c>
      <c r="C6" s="15" t="n">
        <v>104</v>
      </c>
      <c r="D6" s="15" t="n">
        <v>94</v>
      </c>
      <c r="E6" s="15" t="n">
        <v>10</v>
      </c>
      <c r="F6" s="16" t="n">
        <f aca="false">SUMIFS('5. Capacity asks'!$H$6:$H$305,'5. Capacity asks'!$B$6:$B$305,$B6)</f>
        <v>0</v>
      </c>
      <c r="G6" s="16" t="n">
        <f aca="false">$C6+$F6</f>
        <v>104</v>
      </c>
      <c r="H6" s="16" t="n">
        <f aca="false">$F6</f>
        <v>0</v>
      </c>
    </row>
    <row r="7" customFormat="false" ht="15" hidden="false" customHeight="false" outlineLevel="2" collapsed="false">
      <c r="A7" s="17" t="s">
        <v>41</v>
      </c>
      <c r="B7" s="18" t="s">
        <v>42</v>
      </c>
      <c r="C7" s="19" t="n">
        <v>31</v>
      </c>
      <c r="D7" s="19" t="n">
        <v>30</v>
      </c>
      <c r="E7" s="19" t="n">
        <v>1</v>
      </c>
      <c r="F7" s="20" t="n">
        <f aca="false">SUMIFS('5. Capacity asks'!$H$6:$H$305,'5. Capacity asks'!$B$6:$B$305,$B7)</f>
        <v>0</v>
      </c>
      <c r="G7" s="20" t="n">
        <f aca="false">$C7+$F7</f>
        <v>31</v>
      </c>
      <c r="H7" s="20" t="n">
        <f aca="false">$F7</f>
        <v>0</v>
      </c>
    </row>
    <row r="8" customFormat="false" ht="15" hidden="false" customHeight="false" outlineLevel="3" collapsed="false">
      <c r="A8" s="17" t="s">
        <v>30</v>
      </c>
      <c r="B8" s="18" t="s">
        <v>43</v>
      </c>
      <c r="C8" s="19" t="n">
        <v>17</v>
      </c>
      <c r="D8" s="19" t="n">
        <v>17</v>
      </c>
      <c r="E8" s="19" t="n">
        <v>0</v>
      </c>
      <c r="F8" s="20" t="n">
        <f aca="false">SUMIFS('5. Capacity asks'!$H$6:$H$305,'5. Capacity asks'!$B$6:$B$305,$B8)</f>
        <v>0</v>
      </c>
      <c r="G8" s="20" t="n">
        <f aca="false">$C8+$F8</f>
        <v>17</v>
      </c>
      <c r="H8" s="20" t="n">
        <f aca="false">$F8</f>
        <v>0</v>
      </c>
    </row>
    <row r="9" customFormat="false" ht="15" hidden="false" customHeight="false" outlineLevel="4" collapsed="false">
      <c r="A9" s="17" t="s">
        <v>44</v>
      </c>
      <c r="B9" s="18" t="s">
        <v>45</v>
      </c>
      <c r="C9" s="19" t="n">
        <v>10</v>
      </c>
      <c r="D9" s="19" t="n">
        <v>10</v>
      </c>
      <c r="E9" s="19" t="n">
        <v>0</v>
      </c>
      <c r="F9" s="20" t="n">
        <f aca="false">SUMIFS('5. Capacity asks'!$H$6:$H$305,'5. Capacity asks'!$B$6:$B$305,$B9)</f>
        <v>0</v>
      </c>
      <c r="G9" s="20" t="n">
        <f aca="false">$C9+$F9</f>
        <v>10</v>
      </c>
      <c r="H9" s="20" t="n">
        <f aca="false">$F9</f>
        <v>0</v>
      </c>
    </row>
    <row r="10" customFormat="false" ht="15" hidden="false" customHeight="false" outlineLevel="4" collapsed="false">
      <c r="A10" s="17" t="s">
        <v>44</v>
      </c>
      <c r="B10" s="18" t="s">
        <v>46</v>
      </c>
      <c r="C10" s="19" t="n">
        <v>6</v>
      </c>
      <c r="D10" s="19" t="n">
        <v>6</v>
      </c>
      <c r="E10" s="19" t="n">
        <v>0</v>
      </c>
      <c r="F10" s="20" t="n">
        <f aca="false">SUMIFS('5. Capacity asks'!$H$6:$H$305,'5. Capacity asks'!$B$6:$B$305,$B10)</f>
        <v>0</v>
      </c>
      <c r="G10" s="20" t="n">
        <f aca="false">$C10+$F10</f>
        <v>6</v>
      </c>
      <c r="H10" s="20" t="n">
        <f aca="false">$F10</f>
        <v>0</v>
      </c>
    </row>
    <row r="11" customFormat="false" ht="15" hidden="false" customHeight="false" outlineLevel="3" collapsed="false">
      <c r="A11" s="17" t="s">
        <v>30</v>
      </c>
      <c r="B11" s="18" t="s">
        <v>47</v>
      </c>
      <c r="C11" s="19" t="n">
        <v>13</v>
      </c>
      <c r="D11" s="19" t="n">
        <v>12</v>
      </c>
      <c r="E11" s="19" t="n">
        <v>1</v>
      </c>
      <c r="F11" s="20" t="n">
        <f aca="false">SUMIFS('5. Capacity asks'!$H$6:$H$305,'5. Capacity asks'!$B$6:$B$305,$B11)</f>
        <v>0</v>
      </c>
      <c r="G11" s="20" t="n">
        <f aca="false">$C11+$F11</f>
        <v>13</v>
      </c>
      <c r="H11" s="20" t="n">
        <f aca="false">$F11</f>
        <v>0</v>
      </c>
    </row>
    <row r="12" customFormat="false" ht="15" hidden="false" customHeight="false" outlineLevel="4" collapsed="false">
      <c r="A12" s="17" t="s">
        <v>44</v>
      </c>
      <c r="B12" s="18" t="s">
        <v>48</v>
      </c>
      <c r="C12" s="19" t="n">
        <v>6</v>
      </c>
      <c r="D12" s="19" t="n">
        <v>5</v>
      </c>
      <c r="E12" s="19" t="n">
        <v>1</v>
      </c>
      <c r="F12" s="20" t="n">
        <f aca="false">SUMIFS('5. Capacity asks'!$H$6:$H$305,'5. Capacity asks'!$B$6:$B$305,$B12)</f>
        <v>0</v>
      </c>
      <c r="G12" s="20" t="n">
        <f aca="false">$C12+$F12</f>
        <v>6</v>
      </c>
      <c r="H12" s="20" t="n">
        <f aca="false">$F12</f>
        <v>0</v>
      </c>
    </row>
    <row r="13" customFormat="false" ht="15" hidden="false" customHeight="false" outlineLevel="4" collapsed="false">
      <c r="A13" s="17" t="s">
        <v>44</v>
      </c>
      <c r="B13" s="18" t="s">
        <v>49</v>
      </c>
      <c r="C13" s="19" t="n">
        <v>6</v>
      </c>
      <c r="D13" s="19" t="n">
        <v>6</v>
      </c>
      <c r="E13" s="19" t="n">
        <v>0</v>
      </c>
      <c r="F13" s="20" t="n">
        <f aca="false">SUMIFS('5. Capacity asks'!$H$6:$H$305,'5. Capacity asks'!$B$6:$B$305,$B13)</f>
        <v>0</v>
      </c>
      <c r="G13" s="20" t="n">
        <f aca="false">$C13+$F13</f>
        <v>6</v>
      </c>
      <c r="H13" s="20" t="n">
        <f aca="false">$F13</f>
        <v>0</v>
      </c>
    </row>
    <row r="14" customFormat="false" ht="15" hidden="false" customHeight="false" outlineLevel="2" collapsed="false">
      <c r="A14" s="17" t="s">
        <v>41</v>
      </c>
      <c r="B14" s="18" t="s">
        <v>50</v>
      </c>
      <c r="C14" s="19" t="n">
        <v>40</v>
      </c>
      <c r="D14" s="19" t="n">
        <v>32</v>
      </c>
      <c r="E14" s="19" t="n">
        <v>8</v>
      </c>
      <c r="F14" s="20" t="n">
        <f aca="false">SUMIFS('5. Capacity asks'!$H$6:$H$305,'5. Capacity asks'!$B$6:$B$305,$B14)</f>
        <v>0</v>
      </c>
      <c r="G14" s="20" t="n">
        <f aca="false">$C14+$F14</f>
        <v>40</v>
      </c>
      <c r="H14" s="20" t="n">
        <f aca="false">$F14</f>
        <v>0</v>
      </c>
    </row>
    <row r="15" customFormat="false" ht="15" hidden="false" customHeight="false" outlineLevel="3" collapsed="false">
      <c r="A15" s="17" t="s">
        <v>30</v>
      </c>
      <c r="B15" s="18" t="s">
        <v>51</v>
      </c>
      <c r="C15" s="19" t="n">
        <v>20</v>
      </c>
      <c r="D15" s="19" t="n">
        <v>16</v>
      </c>
      <c r="E15" s="19" t="n">
        <v>4</v>
      </c>
      <c r="F15" s="20" t="n">
        <f aca="false">SUMIFS('5. Capacity asks'!$H$6:$H$305,'5. Capacity asks'!$B$6:$B$305,$B15)</f>
        <v>0</v>
      </c>
      <c r="G15" s="20" t="n">
        <f aca="false">$C15+$F15</f>
        <v>20</v>
      </c>
      <c r="H15" s="20" t="n">
        <f aca="false">$F15</f>
        <v>0</v>
      </c>
    </row>
    <row r="16" customFormat="false" ht="15" hidden="false" customHeight="false" outlineLevel="4" collapsed="false">
      <c r="A16" s="17" t="s">
        <v>44</v>
      </c>
      <c r="B16" s="18" t="s">
        <v>52</v>
      </c>
      <c r="C16" s="19" t="n">
        <v>10</v>
      </c>
      <c r="D16" s="19" t="n">
        <v>9</v>
      </c>
      <c r="E16" s="19" t="n">
        <v>1</v>
      </c>
      <c r="F16" s="20" t="n">
        <f aca="false">SUMIFS('5. Capacity asks'!$H$6:$H$305,'5. Capacity asks'!$B$6:$B$305,$B16)</f>
        <v>0</v>
      </c>
      <c r="G16" s="20" t="n">
        <f aca="false">$C16+$F16</f>
        <v>10</v>
      </c>
      <c r="H16" s="20" t="n">
        <f aca="false">$F16</f>
        <v>0</v>
      </c>
    </row>
    <row r="17" customFormat="false" ht="15" hidden="false" customHeight="false" outlineLevel="4" collapsed="false">
      <c r="A17" s="17" t="s">
        <v>44</v>
      </c>
      <c r="B17" s="18" t="s">
        <v>53</v>
      </c>
      <c r="C17" s="19" t="n">
        <v>9</v>
      </c>
      <c r="D17" s="19" t="n">
        <v>6</v>
      </c>
      <c r="E17" s="19" t="n">
        <v>3</v>
      </c>
      <c r="F17" s="20" t="n">
        <f aca="false">SUMIFS('5. Capacity asks'!$H$6:$H$305,'5. Capacity asks'!$B$6:$B$305,$B17)</f>
        <v>0</v>
      </c>
      <c r="G17" s="20" t="n">
        <f aca="false">$C17+$F17</f>
        <v>9</v>
      </c>
      <c r="H17" s="20" t="n">
        <f aca="false">$F17</f>
        <v>0</v>
      </c>
    </row>
    <row r="18" customFormat="false" ht="15" hidden="false" customHeight="false" outlineLevel="3" collapsed="false">
      <c r="A18" s="17" t="s">
        <v>30</v>
      </c>
      <c r="B18" s="18" t="s">
        <v>54</v>
      </c>
      <c r="C18" s="19" t="n">
        <v>19</v>
      </c>
      <c r="D18" s="19" t="n">
        <v>15</v>
      </c>
      <c r="E18" s="19" t="n">
        <v>4</v>
      </c>
      <c r="F18" s="20" t="n">
        <f aca="false">SUMIFS('5. Capacity asks'!$H$6:$H$305,'5. Capacity asks'!$B$6:$B$305,$B18)</f>
        <v>0</v>
      </c>
      <c r="G18" s="20" t="n">
        <f aca="false">$C18+$F18</f>
        <v>19</v>
      </c>
      <c r="H18" s="20" t="n">
        <f aca="false">$F18</f>
        <v>0</v>
      </c>
    </row>
    <row r="19" customFormat="false" ht="15" hidden="false" customHeight="false" outlineLevel="4" collapsed="false">
      <c r="A19" s="17" t="s">
        <v>44</v>
      </c>
      <c r="B19" s="18" t="s">
        <v>55</v>
      </c>
      <c r="C19" s="19" t="n">
        <v>8</v>
      </c>
      <c r="D19" s="19" t="n">
        <v>5</v>
      </c>
      <c r="E19" s="19" t="n">
        <v>3</v>
      </c>
      <c r="F19" s="20" t="n">
        <f aca="false">SUMIFS('5. Capacity asks'!$H$6:$H$305,'5. Capacity asks'!$B$6:$B$305,$B19)</f>
        <v>0</v>
      </c>
      <c r="G19" s="20" t="n">
        <f aca="false">$C19+$F19</f>
        <v>8</v>
      </c>
      <c r="H19" s="20" t="n">
        <f aca="false">$F19</f>
        <v>0</v>
      </c>
    </row>
    <row r="20" customFormat="false" ht="15" hidden="false" customHeight="false" outlineLevel="4" collapsed="false">
      <c r="A20" s="17" t="s">
        <v>44</v>
      </c>
      <c r="B20" s="18" t="s">
        <v>56</v>
      </c>
      <c r="C20" s="19" t="n">
        <v>10</v>
      </c>
      <c r="D20" s="19" t="n">
        <v>9</v>
      </c>
      <c r="E20" s="19" t="n">
        <v>1</v>
      </c>
      <c r="F20" s="20" t="n">
        <f aca="false">SUMIFS('5. Capacity asks'!$H$6:$H$305,'5. Capacity asks'!$B$6:$B$305,$B20)</f>
        <v>0</v>
      </c>
      <c r="G20" s="20" t="n">
        <f aca="false">$C20+$F20</f>
        <v>10</v>
      </c>
      <c r="H20" s="20" t="n">
        <f aca="false">$F20</f>
        <v>0</v>
      </c>
    </row>
    <row r="21" customFormat="false" ht="15" hidden="false" customHeight="false" outlineLevel="2" collapsed="false">
      <c r="A21" s="17" t="s">
        <v>41</v>
      </c>
      <c r="B21" s="18" t="s">
        <v>57</v>
      </c>
      <c r="C21" s="19" t="n">
        <v>32</v>
      </c>
      <c r="D21" s="19" t="n">
        <v>31</v>
      </c>
      <c r="E21" s="19" t="n">
        <v>1</v>
      </c>
      <c r="F21" s="20" t="n">
        <f aca="false">SUMIFS('5. Capacity asks'!$H$6:$H$305,'5. Capacity asks'!$B$6:$B$305,$B21)</f>
        <v>0</v>
      </c>
      <c r="G21" s="20" t="n">
        <f aca="false">$C21+$F21</f>
        <v>32</v>
      </c>
      <c r="H21" s="20" t="n">
        <f aca="false">$F21</f>
        <v>0</v>
      </c>
    </row>
    <row r="22" customFormat="false" ht="15" hidden="false" customHeight="false" outlineLevel="3" collapsed="false">
      <c r="A22" s="17" t="s">
        <v>30</v>
      </c>
      <c r="B22" s="18" t="s">
        <v>58</v>
      </c>
      <c r="C22" s="19" t="n">
        <v>17</v>
      </c>
      <c r="D22" s="19" t="n">
        <v>16</v>
      </c>
      <c r="E22" s="19" t="n">
        <v>1</v>
      </c>
      <c r="F22" s="20" t="n">
        <f aca="false">SUMIFS('5. Capacity asks'!$H$6:$H$305,'5. Capacity asks'!$B$6:$B$305,$B22)</f>
        <v>0</v>
      </c>
      <c r="G22" s="20" t="n">
        <f aca="false">$C22+$F22</f>
        <v>17</v>
      </c>
      <c r="H22" s="20" t="n">
        <f aca="false">$F22</f>
        <v>0</v>
      </c>
    </row>
    <row r="23" customFormat="false" ht="15" hidden="false" customHeight="false" outlineLevel="4" collapsed="false">
      <c r="A23" s="17" t="s">
        <v>44</v>
      </c>
      <c r="B23" s="18" t="s">
        <v>59</v>
      </c>
      <c r="C23" s="19" t="n">
        <v>9</v>
      </c>
      <c r="D23" s="19" t="n">
        <v>9</v>
      </c>
      <c r="E23" s="19" t="n">
        <v>0</v>
      </c>
      <c r="F23" s="20" t="n">
        <f aca="false">SUMIFS('5. Capacity asks'!$H$6:$H$305,'5. Capacity asks'!$B$6:$B$305,$B23)</f>
        <v>0</v>
      </c>
      <c r="G23" s="20" t="n">
        <f aca="false">$C23+$F23</f>
        <v>9</v>
      </c>
      <c r="H23" s="20" t="n">
        <f aca="false">$F23</f>
        <v>0</v>
      </c>
    </row>
    <row r="24" customFormat="false" ht="15" hidden="false" customHeight="false" outlineLevel="4" collapsed="false">
      <c r="A24" s="17" t="s">
        <v>44</v>
      </c>
      <c r="B24" s="18" t="s">
        <v>60</v>
      </c>
      <c r="C24" s="19" t="n">
        <v>7</v>
      </c>
      <c r="D24" s="19" t="n">
        <v>6</v>
      </c>
      <c r="E24" s="19" t="n">
        <v>1</v>
      </c>
      <c r="F24" s="20" t="n">
        <f aca="false">SUMIFS('5. Capacity asks'!$H$6:$H$305,'5. Capacity asks'!$B$6:$B$305,$B24)</f>
        <v>0</v>
      </c>
      <c r="G24" s="20" t="n">
        <f aca="false">$C24+$F24</f>
        <v>7</v>
      </c>
      <c r="H24" s="20" t="n">
        <f aca="false">$F24</f>
        <v>0</v>
      </c>
    </row>
    <row r="25" customFormat="false" ht="15" hidden="false" customHeight="false" outlineLevel="3" collapsed="false">
      <c r="A25" s="17" t="s">
        <v>30</v>
      </c>
      <c r="B25" s="18" t="s">
        <v>61</v>
      </c>
      <c r="C25" s="19" t="n">
        <v>14</v>
      </c>
      <c r="D25" s="19" t="n">
        <v>14</v>
      </c>
      <c r="E25" s="19" t="n">
        <v>0</v>
      </c>
      <c r="F25" s="20" t="n">
        <f aca="false">SUMIFS('5. Capacity asks'!$H$6:$H$305,'5. Capacity asks'!$B$6:$B$305,$B25)</f>
        <v>0</v>
      </c>
      <c r="G25" s="20" t="n">
        <f aca="false">$C25+$F25</f>
        <v>14</v>
      </c>
      <c r="H25" s="20" t="n">
        <f aca="false">$F25</f>
        <v>0</v>
      </c>
    </row>
    <row r="26" customFormat="false" ht="15" hidden="false" customHeight="false" outlineLevel="4" collapsed="false">
      <c r="A26" s="17" t="s">
        <v>44</v>
      </c>
      <c r="B26" s="18" t="s">
        <v>62</v>
      </c>
      <c r="C26" s="19" t="n">
        <v>7</v>
      </c>
      <c r="D26" s="19" t="n">
        <v>7</v>
      </c>
      <c r="E26" s="19" t="n">
        <v>0</v>
      </c>
      <c r="F26" s="20" t="n">
        <f aca="false">SUMIFS('5. Capacity asks'!$H$6:$H$305,'5. Capacity asks'!$B$6:$B$305,$B26)</f>
        <v>0</v>
      </c>
      <c r="G26" s="20" t="n">
        <f aca="false">$C26+$F26</f>
        <v>7</v>
      </c>
      <c r="H26" s="20" t="n">
        <f aca="false">$F26</f>
        <v>0</v>
      </c>
    </row>
    <row r="27" customFormat="false" ht="15" hidden="false" customHeight="false" outlineLevel="4" collapsed="false">
      <c r="A27" s="17" t="s">
        <v>44</v>
      </c>
      <c r="B27" s="18" t="s">
        <v>63</v>
      </c>
      <c r="C27" s="19" t="n">
        <v>6</v>
      </c>
      <c r="D27" s="19" t="n">
        <v>6</v>
      </c>
      <c r="E27" s="19" t="n">
        <v>0</v>
      </c>
      <c r="F27" s="20" t="n">
        <f aca="false">SUMIFS('5. Capacity asks'!$H$6:$H$305,'5. Capacity asks'!$B$6:$B$305,$B27)</f>
        <v>0</v>
      </c>
      <c r="G27" s="20" t="n">
        <f aca="false">$C27+$F27</f>
        <v>6</v>
      </c>
      <c r="H27" s="20" t="n">
        <f aca="false">$F27</f>
        <v>0</v>
      </c>
    </row>
    <row r="28" customFormat="false" ht="15" hidden="false" customHeight="false" outlineLevel="1" collapsed="false">
      <c r="A28" s="13" t="s">
        <v>39</v>
      </c>
      <c r="B28" s="14" t="s">
        <v>64</v>
      </c>
      <c r="C28" s="15" t="n">
        <v>70</v>
      </c>
      <c r="D28" s="15" t="n">
        <v>58</v>
      </c>
      <c r="E28" s="15" t="n">
        <v>12</v>
      </c>
      <c r="F28" s="16" t="n">
        <f aca="false">SUMIFS('5. Capacity asks'!$H$6:$H$305,'5. Capacity asks'!$B$6:$B$305,$B28)</f>
        <v>0</v>
      </c>
      <c r="G28" s="16" t="n">
        <f aca="false">$C28+$F28</f>
        <v>70</v>
      </c>
      <c r="H28" s="16" t="n">
        <f aca="false">$F28</f>
        <v>0</v>
      </c>
    </row>
    <row r="29" customFormat="false" ht="15" hidden="false" customHeight="false" outlineLevel="2" collapsed="false">
      <c r="A29" s="17" t="s">
        <v>41</v>
      </c>
      <c r="B29" s="18" t="s">
        <v>65</v>
      </c>
      <c r="C29" s="19" t="n">
        <v>34</v>
      </c>
      <c r="D29" s="19" t="n">
        <v>28</v>
      </c>
      <c r="E29" s="19" t="n">
        <v>6</v>
      </c>
      <c r="F29" s="20" t="n">
        <f aca="false">SUMIFS('5. Capacity asks'!$H$6:$H$305,'5. Capacity asks'!$B$6:$B$305,$B29)</f>
        <v>0</v>
      </c>
      <c r="G29" s="20" t="n">
        <f aca="false">$C29+$F29</f>
        <v>34</v>
      </c>
      <c r="H29" s="20" t="n">
        <f aca="false">$F29</f>
        <v>0</v>
      </c>
    </row>
    <row r="30" customFormat="false" ht="15" hidden="false" customHeight="false" outlineLevel="3" collapsed="false">
      <c r="A30" s="17" t="s">
        <v>30</v>
      </c>
      <c r="B30" s="18" t="s">
        <v>66</v>
      </c>
      <c r="C30" s="19" t="n">
        <v>17</v>
      </c>
      <c r="D30" s="19" t="n">
        <v>14</v>
      </c>
      <c r="E30" s="19" t="n">
        <v>3</v>
      </c>
      <c r="F30" s="20" t="n">
        <f aca="false">SUMIFS('5. Capacity asks'!$H$6:$H$305,'5. Capacity asks'!$B$6:$B$305,$B30)</f>
        <v>0</v>
      </c>
      <c r="G30" s="20" t="n">
        <f aca="false">$C30+$F30</f>
        <v>17</v>
      </c>
      <c r="H30" s="20" t="n">
        <f aca="false">$F30</f>
        <v>0</v>
      </c>
    </row>
    <row r="31" customFormat="false" ht="15" hidden="false" customHeight="false" outlineLevel="4" collapsed="false">
      <c r="A31" s="17" t="s">
        <v>44</v>
      </c>
      <c r="B31" s="18" t="s">
        <v>67</v>
      </c>
      <c r="C31" s="19" t="n">
        <v>6</v>
      </c>
      <c r="D31" s="19" t="n">
        <v>4</v>
      </c>
      <c r="E31" s="19" t="n">
        <v>2</v>
      </c>
      <c r="F31" s="20" t="n">
        <f aca="false">SUMIFS('5. Capacity asks'!$H$6:$H$305,'5. Capacity asks'!$B$6:$B$305,$B31)</f>
        <v>0</v>
      </c>
      <c r="G31" s="20" t="n">
        <f aca="false">$C31+$F31</f>
        <v>6</v>
      </c>
      <c r="H31" s="20" t="n">
        <f aca="false">$F31</f>
        <v>0</v>
      </c>
    </row>
    <row r="32" customFormat="false" ht="15" hidden="false" customHeight="false" outlineLevel="4" collapsed="false">
      <c r="A32" s="17" t="s">
        <v>44</v>
      </c>
      <c r="B32" s="18" t="s">
        <v>68</v>
      </c>
      <c r="C32" s="19" t="n">
        <v>10</v>
      </c>
      <c r="D32" s="19" t="n">
        <v>10</v>
      </c>
      <c r="E32" s="19" t="n">
        <v>0</v>
      </c>
      <c r="F32" s="20" t="n">
        <f aca="false">SUMIFS('5. Capacity asks'!$H$6:$H$305,'5. Capacity asks'!$B$6:$B$305,$B32)</f>
        <v>0</v>
      </c>
      <c r="G32" s="20" t="n">
        <f aca="false">$C32+$F32</f>
        <v>10</v>
      </c>
      <c r="H32" s="20" t="n">
        <f aca="false">$F32</f>
        <v>0</v>
      </c>
    </row>
    <row r="33" customFormat="false" ht="15" hidden="false" customHeight="false" outlineLevel="3" collapsed="false">
      <c r="A33" s="17" t="s">
        <v>30</v>
      </c>
      <c r="B33" s="18" t="s">
        <v>69</v>
      </c>
      <c r="C33" s="19" t="n">
        <v>16</v>
      </c>
      <c r="D33" s="19" t="n">
        <v>13</v>
      </c>
      <c r="E33" s="19" t="n">
        <v>3</v>
      </c>
      <c r="F33" s="20" t="n">
        <f aca="false">SUMIFS('5. Capacity asks'!$H$6:$H$305,'5. Capacity asks'!$B$6:$B$305,$B33)</f>
        <v>0</v>
      </c>
      <c r="G33" s="20" t="n">
        <f aca="false">$C33+$F33</f>
        <v>16</v>
      </c>
      <c r="H33" s="20" t="n">
        <f aca="false">$F33</f>
        <v>0</v>
      </c>
    </row>
    <row r="34" customFormat="false" ht="15" hidden="false" customHeight="false" outlineLevel="4" collapsed="false">
      <c r="A34" s="17" t="s">
        <v>44</v>
      </c>
      <c r="B34" s="18" t="s">
        <v>70</v>
      </c>
      <c r="C34" s="19" t="n">
        <v>9</v>
      </c>
      <c r="D34" s="19" t="n">
        <v>7</v>
      </c>
      <c r="E34" s="19" t="n">
        <v>2</v>
      </c>
      <c r="F34" s="20" t="n">
        <f aca="false">SUMIFS('5. Capacity asks'!$H$6:$H$305,'5. Capacity asks'!$B$6:$B$305,$B34)</f>
        <v>0</v>
      </c>
      <c r="G34" s="20" t="n">
        <f aca="false">$C34+$F34</f>
        <v>9</v>
      </c>
      <c r="H34" s="20" t="n">
        <f aca="false">$F34</f>
        <v>0</v>
      </c>
    </row>
    <row r="35" customFormat="false" ht="15" hidden="false" customHeight="false" outlineLevel="4" collapsed="false">
      <c r="A35" s="17" t="s">
        <v>44</v>
      </c>
      <c r="B35" s="18" t="s">
        <v>71</v>
      </c>
      <c r="C35" s="19" t="n">
        <v>6</v>
      </c>
      <c r="D35" s="19" t="n">
        <v>5</v>
      </c>
      <c r="E35" s="19" t="n">
        <v>1</v>
      </c>
      <c r="F35" s="20" t="n">
        <f aca="false">SUMIFS('5. Capacity asks'!$H$6:$H$305,'5. Capacity asks'!$B$6:$B$305,$B35)</f>
        <v>0</v>
      </c>
      <c r="G35" s="20" t="n">
        <f aca="false">$C35+$F35</f>
        <v>6</v>
      </c>
      <c r="H35" s="20" t="n">
        <f aca="false">$F35</f>
        <v>0</v>
      </c>
    </row>
    <row r="36" customFormat="false" ht="15" hidden="false" customHeight="false" outlineLevel="2" collapsed="false">
      <c r="A36" s="17" t="s">
        <v>41</v>
      </c>
      <c r="B36" s="18" t="s">
        <v>72</v>
      </c>
      <c r="C36" s="19" t="n">
        <v>35</v>
      </c>
      <c r="D36" s="19" t="n">
        <v>29</v>
      </c>
      <c r="E36" s="19" t="n">
        <v>6</v>
      </c>
      <c r="F36" s="20" t="n">
        <f aca="false">SUMIFS('5. Capacity asks'!$H$6:$H$305,'5. Capacity asks'!$B$6:$B$305,$B36)</f>
        <v>0</v>
      </c>
      <c r="G36" s="20" t="n">
        <f aca="false">$C36+$F36</f>
        <v>35</v>
      </c>
      <c r="H36" s="20" t="n">
        <f aca="false">$F36</f>
        <v>0</v>
      </c>
    </row>
    <row r="37" customFormat="false" ht="15" hidden="false" customHeight="false" outlineLevel="3" collapsed="false">
      <c r="A37" s="17" t="s">
        <v>30</v>
      </c>
      <c r="B37" s="18" t="s">
        <v>73</v>
      </c>
      <c r="C37" s="19" t="n">
        <v>15</v>
      </c>
      <c r="D37" s="19" t="n">
        <v>13</v>
      </c>
      <c r="E37" s="19" t="n">
        <v>2</v>
      </c>
      <c r="F37" s="20" t="n">
        <f aca="false">SUMIFS('5. Capacity asks'!$H$6:$H$305,'5. Capacity asks'!$B$6:$B$305,$B37)</f>
        <v>0</v>
      </c>
      <c r="G37" s="20" t="n">
        <f aca="false">$C37+$F37</f>
        <v>15</v>
      </c>
      <c r="H37" s="20" t="n">
        <f aca="false">$F37</f>
        <v>0</v>
      </c>
    </row>
    <row r="38" customFormat="false" ht="15" hidden="false" customHeight="false" outlineLevel="4" collapsed="false">
      <c r="A38" s="17" t="s">
        <v>44</v>
      </c>
      <c r="B38" s="18" t="s">
        <v>74</v>
      </c>
      <c r="C38" s="19" t="n">
        <v>6</v>
      </c>
      <c r="D38" s="19" t="n">
        <v>5</v>
      </c>
      <c r="E38" s="19" t="n">
        <v>1</v>
      </c>
      <c r="F38" s="20" t="n">
        <f aca="false">SUMIFS('5. Capacity asks'!$H$6:$H$305,'5. Capacity asks'!$B$6:$B$305,$B38)</f>
        <v>0</v>
      </c>
      <c r="G38" s="20" t="n">
        <f aca="false">$C38+$F38</f>
        <v>6</v>
      </c>
      <c r="H38" s="20" t="n">
        <f aca="false">$F38</f>
        <v>0</v>
      </c>
    </row>
    <row r="39" customFormat="false" ht="15" hidden="false" customHeight="false" outlineLevel="4" collapsed="false">
      <c r="A39" s="17" t="s">
        <v>44</v>
      </c>
      <c r="B39" s="18" t="s">
        <v>75</v>
      </c>
      <c r="C39" s="19" t="n">
        <v>8</v>
      </c>
      <c r="D39" s="19" t="n">
        <v>8</v>
      </c>
      <c r="E39" s="19" t="n">
        <v>0</v>
      </c>
      <c r="F39" s="20" t="n">
        <f aca="false">SUMIFS('5. Capacity asks'!$H$6:$H$305,'5. Capacity asks'!$B$6:$B$305,$B39)</f>
        <v>0</v>
      </c>
      <c r="G39" s="20" t="n">
        <f aca="false">$C39+$F39</f>
        <v>8</v>
      </c>
      <c r="H39" s="20" t="n">
        <f aca="false">$F39</f>
        <v>0</v>
      </c>
    </row>
    <row r="40" customFormat="false" ht="15" hidden="false" customHeight="false" outlineLevel="3" collapsed="false">
      <c r="A40" s="17" t="s">
        <v>30</v>
      </c>
      <c r="B40" s="18" t="s">
        <v>76</v>
      </c>
      <c r="C40" s="19" t="n">
        <v>19</v>
      </c>
      <c r="D40" s="19" t="n">
        <v>15</v>
      </c>
      <c r="E40" s="19" t="n">
        <v>4</v>
      </c>
      <c r="F40" s="20" t="n">
        <f aca="false">SUMIFS('5. Capacity asks'!$H$6:$H$305,'5. Capacity asks'!$B$6:$B$305,$B40)</f>
        <v>0</v>
      </c>
      <c r="G40" s="20" t="n">
        <f aca="false">$C40+$F40</f>
        <v>19</v>
      </c>
      <c r="H40" s="20" t="n">
        <f aca="false">$F40</f>
        <v>0</v>
      </c>
    </row>
    <row r="41" customFormat="false" ht="15" hidden="false" customHeight="false" outlineLevel="4" collapsed="false">
      <c r="A41" s="17" t="s">
        <v>44</v>
      </c>
      <c r="B41" s="18" t="s">
        <v>77</v>
      </c>
      <c r="C41" s="19" t="n">
        <v>10</v>
      </c>
      <c r="D41" s="19" t="n">
        <v>8</v>
      </c>
      <c r="E41" s="19" t="n">
        <v>2</v>
      </c>
      <c r="F41" s="20" t="n">
        <f aca="false">SUMIFS('5. Capacity asks'!$H$6:$H$305,'5. Capacity asks'!$B$6:$B$305,$B41)</f>
        <v>0</v>
      </c>
      <c r="G41" s="20" t="n">
        <f aca="false">$C41+$F41</f>
        <v>10</v>
      </c>
      <c r="H41" s="20" t="n">
        <f aca="false">$F41</f>
        <v>0</v>
      </c>
    </row>
    <row r="42" customFormat="false" ht="15" hidden="false" customHeight="false" outlineLevel="4" collapsed="false">
      <c r="A42" s="17" t="s">
        <v>44</v>
      </c>
      <c r="B42" s="18" t="s">
        <v>78</v>
      </c>
      <c r="C42" s="19" t="n">
        <v>8</v>
      </c>
      <c r="D42" s="19" t="n">
        <v>7</v>
      </c>
      <c r="E42" s="19" t="n">
        <v>1</v>
      </c>
      <c r="F42" s="20" t="n">
        <f aca="false">SUMIFS('5. Capacity asks'!$H$6:$H$305,'5. Capacity asks'!$B$6:$B$305,$B42)</f>
        <v>0</v>
      </c>
      <c r="G42" s="20" t="n">
        <f aca="false">$C42+$F42</f>
        <v>8</v>
      </c>
      <c r="H42" s="20" t="n">
        <f aca="false">$F42</f>
        <v>0</v>
      </c>
    </row>
    <row r="43" customFormat="false" ht="15" hidden="false" customHeight="false" outlineLevel="1" collapsed="false">
      <c r="A43" s="13" t="s">
        <v>39</v>
      </c>
      <c r="B43" s="14" t="s">
        <v>79</v>
      </c>
      <c r="C43" s="15" t="n">
        <v>76</v>
      </c>
      <c r="D43" s="15" t="n">
        <v>69</v>
      </c>
      <c r="E43" s="15" t="n">
        <v>7</v>
      </c>
      <c r="F43" s="16" t="n">
        <f aca="false">SUMIFS('5. Capacity asks'!$H$6:$H$305,'5. Capacity asks'!$B$6:$B$305,$B43)</f>
        <v>0</v>
      </c>
      <c r="G43" s="16" t="n">
        <f aca="false">$C43+$F43</f>
        <v>76</v>
      </c>
      <c r="H43" s="16" t="n">
        <f aca="false">$F43</f>
        <v>0</v>
      </c>
    </row>
    <row r="44" customFormat="false" ht="15" hidden="false" customHeight="false" outlineLevel="2" collapsed="false">
      <c r="A44" s="17" t="s">
        <v>41</v>
      </c>
      <c r="B44" s="18" t="s">
        <v>80</v>
      </c>
      <c r="C44" s="19" t="n">
        <v>37</v>
      </c>
      <c r="D44" s="19" t="n">
        <v>33</v>
      </c>
      <c r="E44" s="19" t="n">
        <v>4</v>
      </c>
      <c r="F44" s="20" t="n">
        <f aca="false">SUMIFS('5. Capacity asks'!$H$6:$H$305,'5. Capacity asks'!$B$6:$B$305,$B44)</f>
        <v>0</v>
      </c>
      <c r="G44" s="20" t="n">
        <f aca="false">$C44+$F44</f>
        <v>37</v>
      </c>
      <c r="H44" s="20" t="n">
        <f aca="false">$F44</f>
        <v>0</v>
      </c>
    </row>
    <row r="45" customFormat="false" ht="15" hidden="false" customHeight="false" outlineLevel="3" collapsed="false">
      <c r="A45" s="17" t="s">
        <v>30</v>
      </c>
      <c r="B45" s="18" t="s">
        <v>81</v>
      </c>
      <c r="C45" s="19" t="n">
        <v>18</v>
      </c>
      <c r="D45" s="19" t="n">
        <v>16</v>
      </c>
      <c r="E45" s="19" t="n">
        <v>2</v>
      </c>
      <c r="F45" s="20" t="n">
        <f aca="false">SUMIFS('5. Capacity asks'!$H$6:$H$305,'5. Capacity asks'!$B$6:$B$305,$B45)</f>
        <v>0</v>
      </c>
      <c r="G45" s="20" t="n">
        <f aca="false">$C45+$F45</f>
        <v>18</v>
      </c>
      <c r="H45" s="20" t="n">
        <f aca="false">$F45</f>
        <v>0</v>
      </c>
    </row>
    <row r="46" customFormat="false" ht="15" hidden="false" customHeight="false" outlineLevel="4" collapsed="false">
      <c r="A46" s="17" t="s">
        <v>44</v>
      </c>
      <c r="B46" s="18" t="s">
        <v>82</v>
      </c>
      <c r="C46" s="19" t="n">
        <v>10</v>
      </c>
      <c r="D46" s="19" t="n">
        <v>9</v>
      </c>
      <c r="E46" s="19" t="n">
        <v>1</v>
      </c>
      <c r="F46" s="20" t="n">
        <f aca="false">SUMIFS('5. Capacity asks'!$H$6:$H$305,'5. Capacity asks'!$B$6:$B$305,$B46)</f>
        <v>0</v>
      </c>
      <c r="G46" s="20" t="n">
        <f aca="false">$C46+$F46</f>
        <v>10</v>
      </c>
      <c r="H46" s="20" t="n">
        <f aca="false">$F46</f>
        <v>0</v>
      </c>
    </row>
    <row r="47" customFormat="false" ht="15" hidden="false" customHeight="false" outlineLevel="4" collapsed="false">
      <c r="A47" s="17" t="s">
        <v>44</v>
      </c>
      <c r="B47" s="18" t="s">
        <v>83</v>
      </c>
      <c r="C47" s="19" t="n">
        <v>7</v>
      </c>
      <c r="D47" s="19" t="n">
        <v>6</v>
      </c>
      <c r="E47" s="19" t="n">
        <v>1</v>
      </c>
      <c r="F47" s="20" t="n">
        <f aca="false">SUMIFS('5. Capacity asks'!$H$6:$H$305,'5. Capacity asks'!$B$6:$B$305,$B47)</f>
        <v>0</v>
      </c>
      <c r="G47" s="20" t="n">
        <f aca="false">$C47+$F47</f>
        <v>7</v>
      </c>
      <c r="H47" s="20" t="n">
        <f aca="false">$F47</f>
        <v>0</v>
      </c>
    </row>
    <row r="48" customFormat="false" ht="15" hidden="false" customHeight="false" outlineLevel="3" collapsed="false">
      <c r="A48" s="17" t="s">
        <v>30</v>
      </c>
      <c r="B48" s="18" t="s">
        <v>84</v>
      </c>
      <c r="C48" s="19" t="n">
        <v>18</v>
      </c>
      <c r="D48" s="19" t="n">
        <v>16</v>
      </c>
      <c r="E48" s="19" t="n">
        <v>2</v>
      </c>
      <c r="F48" s="20" t="n">
        <f aca="false">SUMIFS('5. Capacity asks'!$H$6:$H$305,'5. Capacity asks'!$B$6:$B$305,$B48)</f>
        <v>0</v>
      </c>
      <c r="G48" s="20" t="n">
        <f aca="false">$C48+$F48</f>
        <v>18</v>
      </c>
      <c r="H48" s="20" t="n">
        <f aca="false">$F48</f>
        <v>0</v>
      </c>
    </row>
    <row r="49" customFormat="false" ht="15" hidden="false" customHeight="false" outlineLevel="4" collapsed="false">
      <c r="A49" s="17" t="s">
        <v>44</v>
      </c>
      <c r="B49" s="18" t="s">
        <v>85</v>
      </c>
      <c r="C49" s="19" t="n">
        <v>8</v>
      </c>
      <c r="D49" s="19" t="n">
        <v>7</v>
      </c>
      <c r="E49" s="19" t="n">
        <v>1</v>
      </c>
      <c r="F49" s="20" t="n">
        <f aca="false">SUMIFS('5. Capacity asks'!$H$6:$H$305,'5. Capacity asks'!$B$6:$B$305,$B49)</f>
        <v>0</v>
      </c>
      <c r="G49" s="20" t="n">
        <f aca="false">$C49+$F49</f>
        <v>8</v>
      </c>
      <c r="H49" s="20" t="n">
        <f aca="false">$F49</f>
        <v>0</v>
      </c>
    </row>
    <row r="50" customFormat="false" ht="15" hidden="false" customHeight="false" outlineLevel="4" collapsed="false">
      <c r="A50" s="17" t="s">
        <v>44</v>
      </c>
      <c r="B50" s="18" t="s">
        <v>86</v>
      </c>
      <c r="C50" s="19" t="n">
        <v>9</v>
      </c>
      <c r="D50" s="19" t="n">
        <v>8</v>
      </c>
      <c r="E50" s="19" t="n">
        <v>1</v>
      </c>
      <c r="F50" s="20" t="n">
        <f aca="false">SUMIFS('5. Capacity asks'!$H$6:$H$305,'5. Capacity asks'!$B$6:$B$305,$B50)</f>
        <v>0</v>
      </c>
      <c r="G50" s="20" t="n">
        <f aca="false">$C50+$F50</f>
        <v>9</v>
      </c>
      <c r="H50" s="20" t="n">
        <f aca="false">$F50</f>
        <v>0</v>
      </c>
    </row>
    <row r="51" customFormat="false" ht="15" hidden="false" customHeight="false" outlineLevel="2" collapsed="false">
      <c r="A51" s="17" t="s">
        <v>41</v>
      </c>
      <c r="B51" s="18" t="s">
        <v>87</v>
      </c>
      <c r="C51" s="19" t="n">
        <v>38</v>
      </c>
      <c r="D51" s="19" t="n">
        <v>35</v>
      </c>
      <c r="E51" s="19" t="n">
        <v>3</v>
      </c>
      <c r="F51" s="20" t="n">
        <f aca="false">SUMIFS('5. Capacity asks'!$H$6:$H$305,'5. Capacity asks'!$B$6:$B$305,$B51)</f>
        <v>0</v>
      </c>
      <c r="G51" s="20" t="n">
        <f aca="false">$C51+$F51</f>
        <v>38</v>
      </c>
      <c r="H51" s="20" t="n">
        <f aca="false">$F51</f>
        <v>0</v>
      </c>
    </row>
    <row r="52" customFormat="false" ht="15" hidden="false" customHeight="false" outlineLevel="3" collapsed="false">
      <c r="A52" s="17" t="s">
        <v>30</v>
      </c>
      <c r="B52" s="18" t="s">
        <v>88</v>
      </c>
      <c r="C52" s="19" t="n">
        <v>18</v>
      </c>
      <c r="D52" s="19" t="n">
        <v>17</v>
      </c>
      <c r="E52" s="19" t="n">
        <v>1</v>
      </c>
      <c r="F52" s="20" t="n">
        <f aca="false">SUMIFS('5. Capacity asks'!$H$6:$H$305,'5. Capacity asks'!$B$6:$B$305,$B52)</f>
        <v>0</v>
      </c>
      <c r="G52" s="20" t="n">
        <f aca="false">$C52+$F52</f>
        <v>18</v>
      </c>
      <c r="H52" s="20" t="n">
        <f aca="false">$F52</f>
        <v>0</v>
      </c>
    </row>
    <row r="53" customFormat="false" ht="15" hidden="false" customHeight="false" outlineLevel="4" collapsed="false">
      <c r="A53" s="17" t="s">
        <v>44</v>
      </c>
      <c r="B53" s="18" t="s">
        <v>89</v>
      </c>
      <c r="C53" s="19" t="n">
        <v>8</v>
      </c>
      <c r="D53" s="19" t="n">
        <v>8</v>
      </c>
      <c r="E53" s="19" t="n">
        <v>0</v>
      </c>
      <c r="F53" s="20" t="n">
        <f aca="false">SUMIFS('5. Capacity asks'!$H$6:$H$305,'5. Capacity asks'!$B$6:$B$305,$B53)</f>
        <v>0</v>
      </c>
      <c r="G53" s="20" t="n">
        <f aca="false">$C53+$F53</f>
        <v>8</v>
      </c>
      <c r="H53" s="20" t="n">
        <f aca="false">$F53</f>
        <v>0</v>
      </c>
    </row>
    <row r="54" customFormat="false" ht="15" hidden="false" customHeight="false" outlineLevel="4" collapsed="false">
      <c r="A54" s="17" t="s">
        <v>44</v>
      </c>
      <c r="B54" s="18" t="s">
        <v>90</v>
      </c>
      <c r="C54" s="19" t="n">
        <v>9</v>
      </c>
      <c r="D54" s="19" t="n">
        <v>8</v>
      </c>
      <c r="E54" s="19" t="n">
        <v>1</v>
      </c>
      <c r="F54" s="20" t="n">
        <f aca="false">SUMIFS('5. Capacity asks'!$H$6:$H$305,'5. Capacity asks'!$B$6:$B$305,$B54)</f>
        <v>0</v>
      </c>
      <c r="G54" s="20" t="n">
        <f aca="false">$C54+$F54</f>
        <v>9</v>
      </c>
      <c r="H54" s="20" t="n">
        <f aca="false">$F54</f>
        <v>0</v>
      </c>
    </row>
    <row r="55" customFormat="false" ht="15" hidden="false" customHeight="false" outlineLevel="3" collapsed="false">
      <c r="A55" s="17" t="s">
        <v>30</v>
      </c>
      <c r="B55" s="18" t="s">
        <v>91</v>
      </c>
      <c r="C55" s="19" t="n">
        <v>19</v>
      </c>
      <c r="D55" s="19" t="n">
        <v>17</v>
      </c>
      <c r="E55" s="19" t="n">
        <v>2</v>
      </c>
      <c r="F55" s="20" t="n">
        <f aca="false">SUMIFS('5. Capacity asks'!$H$6:$H$305,'5. Capacity asks'!$B$6:$B$305,$B55)</f>
        <v>0</v>
      </c>
      <c r="G55" s="20" t="n">
        <f aca="false">$C55+$F55</f>
        <v>19</v>
      </c>
      <c r="H55" s="20" t="n">
        <f aca="false">$F55</f>
        <v>0</v>
      </c>
    </row>
    <row r="56" customFormat="false" ht="15" hidden="false" customHeight="false" outlineLevel="4" collapsed="false">
      <c r="A56" s="17" t="s">
        <v>44</v>
      </c>
      <c r="B56" s="18" t="s">
        <v>92</v>
      </c>
      <c r="C56" s="19" t="n">
        <v>10</v>
      </c>
      <c r="D56" s="19" t="n">
        <v>8</v>
      </c>
      <c r="E56" s="19" t="n">
        <v>2</v>
      </c>
      <c r="F56" s="20" t="n">
        <f aca="false">SUMIFS('5. Capacity asks'!$H$6:$H$305,'5. Capacity asks'!$B$6:$B$305,$B56)</f>
        <v>0</v>
      </c>
      <c r="G56" s="20" t="n">
        <f aca="false">$C56+$F56</f>
        <v>10</v>
      </c>
      <c r="H56" s="20" t="n">
        <f aca="false">$F56</f>
        <v>0</v>
      </c>
    </row>
    <row r="57" customFormat="false" ht="15" hidden="false" customHeight="false" outlineLevel="4" collapsed="false">
      <c r="A57" s="17" t="s">
        <v>44</v>
      </c>
      <c r="B57" s="18" t="s">
        <v>93</v>
      </c>
      <c r="C57" s="19" t="n">
        <v>8</v>
      </c>
      <c r="D57" s="19" t="n">
        <v>8</v>
      </c>
      <c r="E57" s="19" t="n">
        <v>0</v>
      </c>
      <c r="F57" s="20" t="n">
        <f aca="false">SUMIFS('5. Capacity asks'!$H$6:$H$305,'5. Capacity asks'!$B$6:$B$305,$B57)</f>
        <v>0</v>
      </c>
      <c r="G57" s="20" t="n">
        <f aca="false">$C57+$F57</f>
        <v>8</v>
      </c>
      <c r="H57" s="20" t="n">
        <f aca="false">$F57</f>
        <v>0</v>
      </c>
    </row>
    <row r="58" customFormat="false" ht="15" hidden="false" customHeight="false" outlineLevel="1" collapsed="false">
      <c r="A58" s="13" t="s">
        <v>39</v>
      </c>
      <c r="B58" s="14" t="s">
        <v>94</v>
      </c>
      <c r="C58" s="15" t="n">
        <v>74</v>
      </c>
      <c r="D58" s="15" t="n">
        <v>68</v>
      </c>
      <c r="E58" s="15" t="n">
        <v>6</v>
      </c>
      <c r="F58" s="16" t="n">
        <f aca="false">SUMIFS('5. Capacity asks'!$H$6:$H$305,'5. Capacity asks'!$B$6:$B$305,$B58)</f>
        <v>0</v>
      </c>
      <c r="G58" s="16" t="n">
        <f aca="false">$C58+$F58</f>
        <v>74</v>
      </c>
      <c r="H58" s="16" t="n">
        <f aca="false">$F58</f>
        <v>0</v>
      </c>
    </row>
    <row r="59" customFormat="false" ht="15" hidden="false" customHeight="false" outlineLevel="2" collapsed="false">
      <c r="A59" s="17" t="s">
        <v>41</v>
      </c>
      <c r="B59" s="18" t="s">
        <v>95</v>
      </c>
      <c r="C59" s="19" t="n">
        <v>38</v>
      </c>
      <c r="D59" s="19" t="n">
        <v>33</v>
      </c>
      <c r="E59" s="19" t="n">
        <v>5</v>
      </c>
      <c r="F59" s="20" t="n">
        <f aca="false">SUMIFS('5. Capacity asks'!$H$6:$H$305,'5. Capacity asks'!$B$6:$B$305,$B59)</f>
        <v>0</v>
      </c>
      <c r="G59" s="20" t="n">
        <f aca="false">$C59+$F59</f>
        <v>38</v>
      </c>
      <c r="H59" s="20" t="n">
        <f aca="false">$F59</f>
        <v>0</v>
      </c>
    </row>
    <row r="60" customFormat="false" ht="15" hidden="false" customHeight="false" outlineLevel="3" collapsed="false">
      <c r="A60" s="17" t="s">
        <v>30</v>
      </c>
      <c r="B60" s="18" t="s">
        <v>96</v>
      </c>
      <c r="C60" s="19" t="n">
        <v>19</v>
      </c>
      <c r="D60" s="19" t="n">
        <v>16</v>
      </c>
      <c r="E60" s="19" t="n">
        <v>3</v>
      </c>
      <c r="F60" s="20" t="n">
        <f aca="false">SUMIFS('5. Capacity asks'!$H$6:$H$305,'5. Capacity asks'!$B$6:$B$305,$B60)</f>
        <v>0</v>
      </c>
      <c r="G60" s="20" t="n">
        <f aca="false">$C60+$F60</f>
        <v>19</v>
      </c>
      <c r="H60" s="20" t="n">
        <f aca="false">$F60</f>
        <v>0</v>
      </c>
    </row>
    <row r="61" customFormat="false" ht="15" hidden="false" customHeight="false" outlineLevel="4" collapsed="false">
      <c r="A61" s="17" t="s">
        <v>44</v>
      </c>
      <c r="B61" s="18" t="s">
        <v>97</v>
      </c>
      <c r="C61" s="19" t="n">
        <v>8</v>
      </c>
      <c r="D61" s="19" t="n">
        <v>8</v>
      </c>
      <c r="E61" s="19" t="n">
        <v>0</v>
      </c>
      <c r="F61" s="20" t="n">
        <f aca="false">SUMIFS('5. Capacity asks'!$H$6:$H$305,'5. Capacity asks'!$B$6:$B$305,$B61)</f>
        <v>0</v>
      </c>
      <c r="G61" s="20" t="n">
        <f aca="false">$C61+$F61</f>
        <v>8</v>
      </c>
      <c r="H61" s="20" t="n">
        <f aca="false">$F61</f>
        <v>0</v>
      </c>
    </row>
    <row r="62" customFormat="false" ht="15" hidden="false" customHeight="false" outlineLevel="4" collapsed="false">
      <c r="A62" s="17" t="s">
        <v>44</v>
      </c>
      <c r="B62" s="18" t="s">
        <v>98</v>
      </c>
      <c r="C62" s="19" t="n">
        <v>10</v>
      </c>
      <c r="D62" s="19" t="n">
        <v>8</v>
      </c>
      <c r="E62" s="19" t="n">
        <v>2</v>
      </c>
      <c r="F62" s="20" t="n">
        <f aca="false">SUMIFS('5. Capacity asks'!$H$6:$H$305,'5. Capacity asks'!$B$6:$B$305,$B62)</f>
        <v>0</v>
      </c>
      <c r="G62" s="20" t="n">
        <f aca="false">$C62+$F62</f>
        <v>10</v>
      </c>
      <c r="H62" s="20" t="n">
        <f aca="false">$F62</f>
        <v>0</v>
      </c>
    </row>
    <row r="63" customFormat="false" ht="15" hidden="false" customHeight="false" outlineLevel="3" collapsed="false">
      <c r="A63" s="17" t="s">
        <v>30</v>
      </c>
      <c r="B63" s="18" t="s">
        <v>99</v>
      </c>
      <c r="C63" s="19" t="n">
        <v>18</v>
      </c>
      <c r="D63" s="19" t="n">
        <v>16</v>
      </c>
      <c r="E63" s="19" t="n">
        <v>2</v>
      </c>
      <c r="F63" s="20" t="n">
        <f aca="false">SUMIFS('5. Capacity asks'!$H$6:$H$305,'5. Capacity asks'!$B$6:$B$305,$B63)</f>
        <v>0</v>
      </c>
      <c r="G63" s="20" t="n">
        <f aca="false">$C63+$F63</f>
        <v>18</v>
      </c>
      <c r="H63" s="20" t="n">
        <f aca="false">$F63</f>
        <v>0</v>
      </c>
    </row>
    <row r="64" customFormat="false" ht="15" hidden="false" customHeight="false" outlineLevel="4" collapsed="false">
      <c r="A64" s="17" t="s">
        <v>44</v>
      </c>
      <c r="B64" s="18" t="s">
        <v>100</v>
      </c>
      <c r="C64" s="19" t="n">
        <v>8</v>
      </c>
      <c r="D64" s="19" t="n">
        <v>8</v>
      </c>
      <c r="E64" s="19" t="n">
        <v>0</v>
      </c>
      <c r="F64" s="20" t="n">
        <f aca="false">SUMIFS('5. Capacity asks'!$H$6:$H$305,'5. Capacity asks'!$B$6:$B$305,$B64)</f>
        <v>0</v>
      </c>
      <c r="G64" s="20" t="n">
        <f aca="false">$C64+$F64</f>
        <v>8</v>
      </c>
      <c r="H64" s="20" t="n">
        <f aca="false">$F64</f>
        <v>0</v>
      </c>
    </row>
    <row r="65" customFormat="false" ht="15" hidden="false" customHeight="false" outlineLevel="4" collapsed="false">
      <c r="A65" s="17" t="s">
        <v>44</v>
      </c>
      <c r="B65" s="18" t="s">
        <v>101</v>
      </c>
      <c r="C65" s="19" t="n">
        <v>9</v>
      </c>
      <c r="D65" s="19" t="n">
        <v>7</v>
      </c>
      <c r="E65" s="19" t="n">
        <v>2</v>
      </c>
      <c r="F65" s="20" t="n">
        <f aca="false">SUMIFS('5. Capacity asks'!$H$6:$H$305,'5. Capacity asks'!$B$6:$B$305,$B65)</f>
        <v>0</v>
      </c>
      <c r="G65" s="20" t="n">
        <f aca="false">$C65+$F65</f>
        <v>9</v>
      </c>
      <c r="H65" s="20" t="n">
        <f aca="false">$F65</f>
        <v>0</v>
      </c>
    </row>
    <row r="66" customFormat="false" ht="15" hidden="false" customHeight="false" outlineLevel="2" collapsed="false">
      <c r="A66" s="17" t="s">
        <v>41</v>
      </c>
      <c r="B66" s="18" t="s">
        <v>102</v>
      </c>
      <c r="C66" s="19" t="n">
        <v>35</v>
      </c>
      <c r="D66" s="19" t="n">
        <v>34</v>
      </c>
      <c r="E66" s="19" t="n">
        <v>1</v>
      </c>
      <c r="F66" s="20" t="n">
        <f aca="false">SUMIFS('5. Capacity asks'!$H$6:$H$305,'5. Capacity asks'!$B$6:$B$305,$B66)</f>
        <v>0</v>
      </c>
      <c r="G66" s="20" t="n">
        <f aca="false">$C66+$F66</f>
        <v>35</v>
      </c>
      <c r="H66" s="20" t="n">
        <f aca="false">$F66</f>
        <v>0</v>
      </c>
    </row>
    <row r="67" customFormat="false" ht="15" hidden="false" customHeight="false" outlineLevel="3" collapsed="false">
      <c r="A67" s="17" t="s">
        <v>30</v>
      </c>
      <c r="B67" s="18" t="s">
        <v>103</v>
      </c>
      <c r="C67" s="19" t="n">
        <v>14</v>
      </c>
      <c r="D67" s="19" t="n">
        <v>14</v>
      </c>
      <c r="E67" s="19" t="n">
        <v>0</v>
      </c>
      <c r="F67" s="20" t="n">
        <f aca="false">SUMIFS('5. Capacity asks'!$H$6:$H$305,'5. Capacity asks'!$B$6:$B$305,$B67)</f>
        <v>0</v>
      </c>
      <c r="G67" s="20" t="n">
        <f aca="false">$C67+$F67</f>
        <v>14</v>
      </c>
      <c r="H67" s="20" t="n">
        <f aca="false">$F67</f>
        <v>0</v>
      </c>
    </row>
    <row r="68" customFormat="false" ht="15" hidden="false" customHeight="false" outlineLevel="4" collapsed="false">
      <c r="A68" s="17" t="s">
        <v>44</v>
      </c>
      <c r="B68" s="18" t="s">
        <v>104</v>
      </c>
      <c r="C68" s="19" t="n">
        <v>6</v>
      </c>
      <c r="D68" s="19" t="n">
        <v>6</v>
      </c>
      <c r="E68" s="19" t="n">
        <v>0</v>
      </c>
      <c r="F68" s="20" t="n">
        <f aca="false">SUMIFS('5. Capacity asks'!$H$6:$H$305,'5. Capacity asks'!$B$6:$B$305,$B68)</f>
        <v>0</v>
      </c>
      <c r="G68" s="20" t="n">
        <f aca="false">$C68+$F68</f>
        <v>6</v>
      </c>
      <c r="H68" s="20" t="n">
        <f aca="false">$F68</f>
        <v>0</v>
      </c>
    </row>
    <row r="69" customFormat="false" ht="15" hidden="false" customHeight="false" outlineLevel="4" collapsed="false">
      <c r="A69" s="17" t="s">
        <v>44</v>
      </c>
      <c r="B69" s="18" t="s">
        <v>105</v>
      </c>
      <c r="C69" s="19" t="n">
        <v>7</v>
      </c>
      <c r="D69" s="19" t="n">
        <v>7</v>
      </c>
      <c r="E69" s="19" t="n">
        <v>0</v>
      </c>
      <c r="F69" s="20" t="n">
        <f aca="false">SUMIFS('5. Capacity asks'!$H$6:$H$305,'5. Capacity asks'!$B$6:$B$305,$B69)</f>
        <v>0</v>
      </c>
      <c r="G69" s="20" t="n">
        <f aca="false">$C69+$F69</f>
        <v>7</v>
      </c>
      <c r="H69" s="20" t="n">
        <f aca="false">$F69</f>
        <v>0</v>
      </c>
    </row>
    <row r="70" customFormat="false" ht="15" hidden="false" customHeight="false" outlineLevel="3" collapsed="false">
      <c r="A70" s="17" t="s">
        <v>30</v>
      </c>
      <c r="B70" s="18" t="s">
        <v>106</v>
      </c>
      <c r="C70" s="19" t="n">
        <v>20</v>
      </c>
      <c r="D70" s="19" t="n">
        <v>19</v>
      </c>
      <c r="E70" s="19" t="n">
        <v>1</v>
      </c>
      <c r="F70" s="20" t="n">
        <f aca="false">SUMIFS('5. Capacity asks'!$H$6:$H$305,'5. Capacity asks'!$B$6:$B$305,$B70)</f>
        <v>0</v>
      </c>
      <c r="G70" s="20" t="n">
        <f aca="false">$C70+$F70</f>
        <v>20</v>
      </c>
      <c r="H70" s="20" t="n">
        <f aca="false">$F70</f>
        <v>0</v>
      </c>
    </row>
    <row r="71" customFormat="false" ht="15" hidden="false" customHeight="false" outlineLevel="4" collapsed="false">
      <c r="A71" s="17" t="s">
        <v>44</v>
      </c>
      <c r="B71" s="18" t="s">
        <v>107</v>
      </c>
      <c r="C71" s="19" t="n">
        <v>10</v>
      </c>
      <c r="D71" s="19" t="n">
        <v>10</v>
      </c>
      <c r="E71" s="19" t="n">
        <v>0</v>
      </c>
      <c r="F71" s="20" t="n">
        <f aca="false">SUMIFS('5. Capacity asks'!$H$6:$H$305,'5. Capacity asks'!$B$6:$B$305,$B71)</f>
        <v>0</v>
      </c>
      <c r="G71" s="20" t="n">
        <f aca="false">$C71+$F71</f>
        <v>10</v>
      </c>
      <c r="H71" s="20" t="n">
        <f aca="false">$F71</f>
        <v>0</v>
      </c>
    </row>
    <row r="72" customFormat="false" ht="15" hidden="false" customHeight="false" outlineLevel="4" collapsed="false">
      <c r="A72" s="17" t="s">
        <v>44</v>
      </c>
      <c r="B72" s="18" t="s">
        <v>108</v>
      </c>
      <c r="C72" s="19" t="n">
        <v>9</v>
      </c>
      <c r="D72" s="19" t="n">
        <v>8</v>
      </c>
      <c r="E72" s="19" t="n">
        <v>1</v>
      </c>
      <c r="F72" s="20" t="n">
        <f aca="false">SUMIFS('5. Capacity asks'!$H$6:$H$305,'5. Capacity asks'!$B$6:$B$305,$B72)</f>
        <v>0</v>
      </c>
      <c r="G72" s="20" t="n">
        <f aca="false">$C72+$F72</f>
        <v>9</v>
      </c>
      <c r="H72" s="20" t="n">
        <f aca="false">$F72</f>
        <v>0</v>
      </c>
    </row>
  </sheetData>
  <mergeCells count="1">
    <mergeCell ref="A2:J2"/>
  </mergeCells>
  <conditionalFormatting sqref="H5:H72">
    <cfRule type="cellIs" priority="2" operator="greaterThan" aboveAverage="0" equalAverage="0" bottom="0" percent="0" rank="0" text="" dxfId="0">
      <formula>0</formula>
    </cfRule>
  </conditionalFormatting>
  <conditionalFormatting sqref="E5:E72">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109</v>
      </c>
    </row>
    <row r="2" customFormat="false" ht="15" hidden="false" customHeight="false" outlineLevel="0" collapsed="false">
      <c r="A2" s="2" t="s">
        <v>110</v>
      </c>
      <c r="B2" s="2"/>
      <c r="C2" s="2"/>
      <c r="D2" s="2"/>
      <c r="E2" s="2"/>
      <c r="F2" s="2"/>
      <c r="G2" s="2"/>
      <c r="H2" s="2"/>
      <c r="I2" s="2"/>
      <c r="J2" s="2"/>
    </row>
    <row r="4" customFormat="false" ht="30" hidden="false" customHeight="true" outlineLevel="0" collapsed="false">
      <c r="A4" s="12" t="s">
        <v>30</v>
      </c>
      <c r="B4" s="12" t="s">
        <v>111</v>
      </c>
      <c r="C4" s="12" t="s">
        <v>32</v>
      </c>
      <c r="D4" s="12" t="s">
        <v>33</v>
      </c>
      <c r="E4" s="12" t="s">
        <v>112</v>
      </c>
      <c r="F4" s="12" t="s">
        <v>113</v>
      </c>
      <c r="G4" s="12" t="s">
        <v>114</v>
      </c>
      <c r="H4" s="12" t="s">
        <v>115</v>
      </c>
      <c r="I4" s="12" t="s">
        <v>116</v>
      </c>
      <c r="J4" s="12" t="s">
        <v>117</v>
      </c>
      <c r="K4" s="12" t="s">
        <v>118</v>
      </c>
      <c r="L4" s="12" t="s">
        <v>119</v>
      </c>
      <c r="M4" s="12" t="s">
        <v>120</v>
      </c>
      <c r="N4" s="12" t="s">
        <v>121</v>
      </c>
      <c r="O4" s="12" t="s">
        <v>122</v>
      </c>
    </row>
    <row r="5" customFormat="false" ht="15" hidden="false" customHeight="false" outlineLevel="0" collapsed="false">
      <c r="A5" s="18" t="s">
        <v>123</v>
      </c>
      <c r="B5" s="21" t="n">
        <v>31</v>
      </c>
      <c r="C5" s="21" t="n">
        <v>30</v>
      </c>
      <c r="D5" s="21" t="n">
        <v>1</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124</v>
      </c>
      <c r="B6" s="21" t="n">
        <v>17</v>
      </c>
      <c r="C6" s="21" t="n">
        <v>17</v>
      </c>
      <c r="D6" s="21" t="n">
        <v>0</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125</v>
      </c>
      <c r="B7" s="21" t="n">
        <v>13</v>
      </c>
      <c r="C7" s="21" t="n">
        <v>12</v>
      </c>
      <c r="D7" s="21" t="n">
        <v>1</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126</v>
      </c>
      <c r="B8" s="21" t="n">
        <v>40</v>
      </c>
      <c r="C8" s="21" t="n">
        <v>32</v>
      </c>
      <c r="D8" s="21" t="n">
        <v>8</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127</v>
      </c>
      <c r="B9" s="21" t="n">
        <v>20</v>
      </c>
      <c r="C9" s="21" t="n">
        <v>16</v>
      </c>
      <c r="D9" s="21" t="n">
        <v>4</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128</v>
      </c>
      <c r="B10" s="21" t="n">
        <v>19</v>
      </c>
      <c r="C10" s="21" t="n">
        <v>15</v>
      </c>
      <c r="D10" s="21" t="n">
        <v>4</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129</v>
      </c>
      <c r="B11" s="21" t="n">
        <v>32</v>
      </c>
      <c r="C11" s="21" t="n">
        <v>31</v>
      </c>
      <c r="D11" s="21" t="n">
        <v>1</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130</v>
      </c>
      <c r="B12" s="21" t="n">
        <v>17</v>
      </c>
      <c r="C12" s="21" t="n">
        <v>16</v>
      </c>
      <c r="D12" s="21" t="n">
        <v>1</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131</v>
      </c>
      <c r="B13" s="21" t="n">
        <v>14</v>
      </c>
      <c r="C13" s="21" t="n">
        <v>14</v>
      </c>
      <c r="D13" s="21" t="n">
        <v>0</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132</v>
      </c>
      <c r="B14" s="21" t="n">
        <v>34</v>
      </c>
      <c r="C14" s="21" t="n">
        <v>28</v>
      </c>
      <c r="D14" s="21" t="n">
        <v>6</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133</v>
      </c>
      <c r="B15" s="21" t="n">
        <v>17</v>
      </c>
      <c r="C15" s="21" t="n">
        <v>14</v>
      </c>
      <c r="D15" s="21" t="n">
        <v>3</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134</v>
      </c>
      <c r="B16" s="21" t="n">
        <v>16</v>
      </c>
      <c r="C16" s="21" t="n">
        <v>13</v>
      </c>
      <c r="D16" s="21" t="n">
        <v>3</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7" customFormat="false" ht="15" hidden="false" customHeight="false" outlineLevel="0" collapsed="false">
      <c r="A17" s="18" t="s">
        <v>135</v>
      </c>
      <c r="B17" s="21" t="n">
        <v>35</v>
      </c>
      <c r="C17" s="21" t="n">
        <v>29</v>
      </c>
      <c r="D17" s="21" t="n">
        <v>6</v>
      </c>
      <c r="E17" s="22"/>
      <c r="F17" s="23"/>
      <c r="G17" s="23"/>
      <c r="H17" s="24" t="str">
        <f aca="false">IFERROR($G17/$F17-1,"")</f>
        <v/>
      </c>
      <c r="I17" s="25"/>
      <c r="J17" s="20" t="str">
        <f aca="false">IFERROR($F17/$I17,"")</f>
        <v/>
      </c>
      <c r="K17" s="26"/>
      <c r="L17" s="20" t="str">
        <f aca="false">IFERROR($G17/($J17*(1+IF($K17="",ProductivityDefault,$K17))),"")</f>
        <v/>
      </c>
      <c r="M17" s="20" t="str">
        <f aca="false">IFERROR($L17-$C17,"")</f>
        <v/>
      </c>
      <c r="N17" s="22"/>
      <c r="O17" s="22"/>
    </row>
    <row r="18" customFormat="false" ht="15" hidden="false" customHeight="false" outlineLevel="0" collapsed="false">
      <c r="A18" s="18" t="s">
        <v>136</v>
      </c>
      <c r="B18" s="21" t="n">
        <v>15</v>
      </c>
      <c r="C18" s="21" t="n">
        <v>13</v>
      </c>
      <c r="D18" s="21" t="n">
        <v>2</v>
      </c>
      <c r="E18" s="22"/>
      <c r="F18" s="23"/>
      <c r="G18" s="23"/>
      <c r="H18" s="24" t="str">
        <f aca="false">IFERROR($G18/$F18-1,"")</f>
        <v/>
      </c>
      <c r="I18" s="25"/>
      <c r="J18" s="20" t="str">
        <f aca="false">IFERROR($F18/$I18,"")</f>
        <v/>
      </c>
      <c r="K18" s="26"/>
      <c r="L18" s="20" t="str">
        <f aca="false">IFERROR($G18/($J18*(1+IF($K18="",ProductivityDefault,$K18))),"")</f>
        <v/>
      </c>
      <c r="M18" s="20" t="str">
        <f aca="false">IFERROR($L18-$C18,"")</f>
        <v/>
      </c>
      <c r="N18" s="22"/>
      <c r="O18" s="22"/>
    </row>
    <row r="19" customFormat="false" ht="15" hidden="false" customHeight="false" outlineLevel="0" collapsed="false">
      <c r="A19" s="18" t="s">
        <v>137</v>
      </c>
      <c r="B19" s="21" t="n">
        <v>19</v>
      </c>
      <c r="C19" s="21" t="n">
        <v>15</v>
      </c>
      <c r="D19" s="21" t="n">
        <v>4</v>
      </c>
      <c r="E19" s="22"/>
      <c r="F19" s="23"/>
      <c r="G19" s="23"/>
      <c r="H19" s="24" t="str">
        <f aca="false">IFERROR($G19/$F19-1,"")</f>
        <v/>
      </c>
      <c r="I19" s="25"/>
      <c r="J19" s="20" t="str">
        <f aca="false">IFERROR($F19/$I19,"")</f>
        <v/>
      </c>
      <c r="K19" s="26"/>
      <c r="L19" s="20" t="str">
        <f aca="false">IFERROR($G19/($J19*(1+IF($K19="",ProductivityDefault,$K19))),"")</f>
        <v/>
      </c>
      <c r="M19" s="20" t="str">
        <f aca="false">IFERROR($L19-$C19,"")</f>
        <v/>
      </c>
      <c r="N19" s="22"/>
      <c r="O19" s="22"/>
    </row>
    <row r="20" customFormat="false" ht="15" hidden="false" customHeight="false" outlineLevel="0" collapsed="false">
      <c r="A20" s="18" t="s">
        <v>138</v>
      </c>
      <c r="B20" s="21" t="n">
        <v>37</v>
      </c>
      <c r="C20" s="21" t="n">
        <v>33</v>
      </c>
      <c r="D20" s="21" t="n">
        <v>4</v>
      </c>
      <c r="E20" s="22"/>
      <c r="F20" s="23"/>
      <c r="G20" s="23"/>
      <c r="H20" s="24" t="str">
        <f aca="false">IFERROR($G20/$F20-1,"")</f>
        <v/>
      </c>
      <c r="I20" s="25"/>
      <c r="J20" s="20" t="str">
        <f aca="false">IFERROR($F20/$I20,"")</f>
        <v/>
      </c>
      <c r="K20" s="26"/>
      <c r="L20" s="20" t="str">
        <f aca="false">IFERROR($G20/($J20*(1+IF($K20="",ProductivityDefault,$K20))),"")</f>
        <v/>
      </c>
      <c r="M20" s="20" t="str">
        <f aca="false">IFERROR($L20-$C20,"")</f>
        <v/>
      </c>
      <c r="N20" s="22"/>
      <c r="O20" s="22"/>
    </row>
    <row r="21" customFormat="false" ht="15" hidden="false" customHeight="false" outlineLevel="0" collapsed="false">
      <c r="A21" s="18" t="s">
        <v>139</v>
      </c>
      <c r="B21" s="21" t="n">
        <v>18</v>
      </c>
      <c r="C21" s="21" t="n">
        <v>16</v>
      </c>
      <c r="D21" s="21" t="n">
        <v>2</v>
      </c>
      <c r="E21" s="22"/>
      <c r="F21" s="23"/>
      <c r="G21" s="23"/>
      <c r="H21" s="24" t="str">
        <f aca="false">IFERROR($G21/$F21-1,"")</f>
        <v/>
      </c>
      <c r="I21" s="25"/>
      <c r="J21" s="20" t="str">
        <f aca="false">IFERROR($F21/$I21,"")</f>
        <v/>
      </c>
      <c r="K21" s="26"/>
      <c r="L21" s="20" t="str">
        <f aca="false">IFERROR($G21/($J21*(1+IF($K21="",ProductivityDefault,$K21))),"")</f>
        <v/>
      </c>
      <c r="M21" s="20" t="str">
        <f aca="false">IFERROR($L21-$C21,"")</f>
        <v/>
      </c>
      <c r="N21" s="22"/>
      <c r="O21" s="22"/>
    </row>
    <row r="22" customFormat="false" ht="15" hidden="false" customHeight="false" outlineLevel="0" collapsed="false">
      <c r="A22" s="18" t="s">
        <v>140</v>
      </c>
      <c r="B22" s="21" t="n">
        <v>18</v>
      </c>
      <c r="C22" s="21" t="n">
        <v>16</v>
      </c>
      <c r="D22" s="21" t="n">
        <v>2</v>
      </c>
      <c r="E22" s="22"/>
      <c r="F22" s="23"/>
      <c r="G22" s="23"/>
      <c r="H22" s="24" t="str">
        <f aca="false">IFERROR($G22/$F22-1,"")</f>
        <v/>
      </c>
      <c r="I22" s="25"/>
      <c r="J22" s="20" t="str">
        <f aca="false">IFERROR($F22/$I22,"")</f>
        <v/>
      </c>
      <c r="K22" s="26"/>
      <c r="L22" s="20" t="str">
        <f aca="false">IFERROR($G22/($J22*(1+IF($K22="",ProductivityDefault,$K22))),"")</f>
        <v/>
      </c>
      <c r="M22" s="20" t="str">
        <f aca="false">IFERROR($L22-$C22,"")</f>
        <v/>
      </c>
      <c r="N22" s="22"/>
      <c r="O22" s="22"/>
    </row>
    <row r="23" customFormat="false" ht="15" hidden="false" customHeight="false" outlineLevel="0" collapsed="false">
      <c r="A23" s="18" t="s">
        <v>141</v>
      </c>
      <c r="B23" s="21" t="n">
        <v>38</v>
      </c>
      <c r="C23" s="21" t="n">
        <v>35</v>
      </c>
      <c r="D23" s="21" t="n">
        <v>3</v>
      </c>
      <c r="E23" s="22"/>
      <c r="F23" s="23"/>
      <c r="G23" s="23"/>
      <c r="H23" s="24" t="str">
        <f aca="false">IFERROR($G23/$F23-1,"")</f>
        <v/>
      </c>
      <c r="I23" s="25"/>
      <c r="J23" s="20" t="str">
        <f aca="false">IFERROR($F23/$I23,"")</f>
        <v/>
      </c>
      <c r="K23" s="26"/>
      <c r="L23" s="20" t="str">
        <f aca="false">IFERROR($G23/($J23*(1+IF($K23="",ProductivityDefault,$K23))),"")</f>
        <v/>
      </c>
      <c r="M23" s="20" t="str">
        <f aca="false">IFERROR($L23-$C23,"")</f>
        <v/>
      </c>
      <c r="N23" s="22"/>
      <c r="O23" s="22"/>
    </row>
    <row r="24" customFormat="false" ht="15" hidden="false" customHeight="false" outlineLevel="0" collapsed="false">
      <c r="A24" s="18" t="s">
        <v>142</v>
      </c>
      <c r="B24" s="21" t="n">
        <v>18</v>
      </c>
      <c r="C24" s="21" t="n">
        <v>17</v>
      </c>
      <c r="D24" s="21" t="n">
        <v>1</v>
      </c>
      <c r="E24" s="22"/>
      <c r="F24" s="23"/>
      <c r="G24" s="23"/>
      <c r="H24" s="24" t="str">
        <f aca="false">IFERROR($G24/$F24-1,"")</f>
        <v/>
      </c>
      <c r="I24" s="25"/>
      <c r="J24" s="20" t="str">
        <f aca="false">IFERROR($F24/$I24,"")</f>
        <v/>
      </c>
      <c r="K24" s="26"/>
      <c r="L24" s="20" t="str">
        <f aca="false">IFERROR($G24/($J24*(1+IF($K24="",ProductivityDefault,$K24))),"")</f>
        <v/>
      </c>
      <c r="M24" s="20" t="str">
        <f aca="false">IFERROR($L24-$C24,"")</f>
        <v/>
      </c>
      <c r="N24" s="22"/>
      <c r="O24" s="22"/>
    </row>
    <row r="25" customFormat="false" ht="15" hidden="false" customHeight="false" outlineLevel="0" collapsed="false">
      <c r="A25" s="18" t="s">
        <v>143</v>
      </c>
      <c r="B25" s="21" t="n">
        <v>19</v>
      </c>
      <c r="C25" s="21" t="n">
        <v>17</v>
      </c>
      <c r="D25" s="21" t="n">
        <v>2</v>
      </c>
      <c r="E25" s="22"/>
      <c r="F25" s="23"/>
      <c r="G25" s="23"/>
      <c r="H25" s="24" t="str">
        <f aca="false">IFERROR($G25/$F25-1,"")</f>
        <v/>
      </c>
      <c r="I25" s="25"/>
      <c r="J25" s="20" t="str">
        <f aca="false">IFERROR($F25/$I25,"")</f>
        <v/>
      </c>
      <c r="K25" s="26"/>
      <c r="L25" s="20" t="str">
        <f aca="false">IFERROR($G25/($J25*(1+IF($K25="",ProductivityDefault,$K25))),"")</f>
        <v/>
      </c>
      <c r="M25" s="20" t="str">
        <f aca="false">IFERROR($L25-$C25,"")</f>
        <v/>
      </c>
      <c r="N25" s="22"/>
      <c r="O25" s="22"/>
    </row>
    <row r="26" customFormat="false" ht="15" hidden="false" customHeight="false" outlineLevel="0" collapsed="false">
      <c r="A26" s="18" t="s">
        <v>144</v>
      </c>
      <c r="B26" s="21" t="n">
        <v>38</v>
      </c>
      <c r="C26" s="21" t="n">
        <v>33</v>
      </c>
      <c r="D26" s="21" t="n">
        <v>5</v>
      </c>
      <c r="E26" s="22"/>
      <c r="F26" s="23"/>
      <c r="G26" s="23"/>
      <c r="H26" s="24" t="str">
        <f aca="false">IFERROR($G26/$F26-1,"")</f>
        <v/>
      </c>
      <c r="I26" s="25"/>
      <c r="J26" s="20" t="str">
        <f aca="false">IFERROR($F26/$I26,"")</f>
        <v/>
      </c>
      <c r="K26" s="26"/>
      <c r="L26" s="20" t="str">
        <f aca="false">IFERROR($G26/($J26*(1+IF($K26="",ProductivityDefault,$K26))),"")</f>
        <v/>
      </c>
      <c r="M26" s="20" t="str">
        <f aca="false">IFERROR($L26-$C26,"")</f>
        <v/>
      </c>
      <c r="N26" s="22"/>
      <c r="O26" s="22"/>
    </row>
    <row r="27" customFormat="false" ht="15" hidden="false" customHeight="false" outlineLevel="0" collapsed="false">
      <c r="A27" s="18" t="s">
        <v>145</v>
      </c>
      <c r="B27" s="21" t="n">
        <v>19</v>
      </c>
      <c r="C27" s="21" t="n">
        <v>16</v>
      </c>
      <c r="D27" s="21" t="n">
        <v>3</v>
      </c>
      <c r="E27" s="22"/>
      <c r="F27" s="23"/>
      <c r="G27" s="23"/>
      <c r="H27" s="24" t="str">
        <f aca="false">IFERROR($G27/$F27-1,"")</f>
        <v/>
      </c>
      <c r="I27" s="25"/>
      <c r="J27" s="20" t="str">
        <f aca="false">IFERROR($F27/$I27,"")</f>
        <v/>
      </c>
      <c r="K27" s="26"/>
      <c r="L27" s="20" t="str">
        <f aca="false">IFERROR($G27/($J27*(1+IF($K27="",ProductivityDefault,$K27))),"")</f>
        <v/>
      </c>
      <c r="M27" s="20" t="str">
        <f aca="false">IFERROR($L27-$C27,"")</f>
        <v/>
      </c>
      <c r="N27" s="22"/>
      <c r="O27" s="22"/>
    </row>
    <row r="28" customFormat="false" ht="15" hidden="false" customHeight="false" outlineLevel="0" collapsed="false">
      <c r="A28" s="18" t="s">
        <v>146</v>
      </c>
      <c r="B28" s="21" t="n">
        <v>18</v>
      </c>
      <c r="C28" s="21" t="n">
        <v>16</v>
      </c>
      <c r="D28" s="21" t="n">
        <v>2</v>
      </c>
      <c r="E28" s="22"/>
      <c r="F28" s="23"/>
      <c r="G28" s="23"/>
      <c r="H28" s="24" t="str">
        <f aca="false">IFERROR($G28/$F28-1,"")</f>
        <v/>
      </c>
      <c r="I28" s="25"/>
      <c r="J28" s="20" t="str">
        <f aca="false">IFERROR($F28/$I28,"")</f>
        <v/>
      </c>
      <c r="K28" s="26"/>
      <c r="L28" s="20" t="str">
        <f aca="false">IFERROR($G28/($J28*(1+IF($K28="",ProductivityDefault,$K28))),"")</f>
        <v/>
      </c>
      <c r="M28" s="20" t="str">
        <f aca="false">IFERROR($L28-$C28,"")</f>
        <v/>
      </c>
      <c r="N28" s="22"/>
      <c r="O28" s="22"/>
    </row>
    <row r="29" customFormat="false" ht="15" hidden="false" customHeight="false" outlineLevel="0" collapsed="false">
      <c r="A29" s="18" t="s">
        <v>147</v>
      </c>
      <c r="B29" s="21" t="n">
        <v>35</v>
      </c>
      <c r="C29" s="21" t="n">
        <v>34</v>
      </c>
      <c r="D29" s="21" t="n">
        <v>1</v>
      </c>
      <c r="E29" s="22"/>
      <c r="F29" s="23"/>
      <c r="G29" s="23"/>
      <c r="H29" s="24" t="str">
        <f aca="false">IFERROR($G29/$F29-1,"")</f>
        <v/>
      </c>
      <c r="I29" s="25"/>
      <c r="J29" s="20" t="str">
        <f aca="false">IFERROR($F29/$I29,"")</f>
        <v/>
      </c>
      <c r="K29" s="26"/>
      <c r="L29" s="20" t="str">
        <f aca="false">IFERROR($G29/($J29*(1+IF($K29="",ProductivityDefault,$K29))),"")</f>
        <v/>
      </c>
      <c r="M29" s="20" t="str">
        <f aca="false">IFERROR($L29-$C29,"")</f>
        <v/>
      </c>
      <c r="N29" s="22"/>
      <c r="O29" s="22"/>
    </row>
    <row r="30" customFormat="false" ht="15" hidden="false" customHeight="false" outlineLevel="0" collapsed="false">
      <c r="A30" s="18" t="s">
        <v>148</v>
      </c>
      <c r="B30" s="21" t="n">
        <v>14</v>
      </c>
      <c r="C30" s="21" t="n">
        <v>14</v>
      </c>
      <c r="D30" s="21" t="n">
        <v>0</v>
      </c>
      <c r="E30" s="22"/>
      <c r="F30" s="23"/>
      <c r="G30" s="23"/>
      <c r="H30" s="24" t="str">
        <f aca="false">IFERROR($G30/$F30-1,"")</f>
        <v/>
      </c>
      <c r="I30" s="25"/>
      <c r="J30" s="20" t="str">
        <f aca="false">IFERROR($F30/$I30,"")</f>
        <v/>
      </c>
      <c r="K30" s="26"/>
      <c r="L30" s="20" t="str">
        <f aca="false">IFERROR($G30/($J30*(1+IF($K30="",ProductivityDefault,$K30))),"")</f>
        <v/>
      </c>
      <c r="M30" s="20" t="str">
        <f aca="false">IFERROR($L30-$C30,"")</f>
        <v/>
      </c>
      <c r="N30" s="22"/>
      <c r="O30" s="22"/>
    </row>
    <row r="31" customFormat="false" ht="15" hidden="false" customHeight="false" outlineLevel="0" collapsed="false">
      <c r="A31" s="18" t="s">
        <v>149</v>
      </c>
      <c r="B31" s="21" t="n">
        <v>20</v>
      </c>
      <c r="C31" s="21" t="n">
        <v>19</v>
      </c>
      <c r="D31" s="21" t="n">
        <v>1</v>
      </c>
      <c r="E31" s="22"/>
      <c r="F31" s="23"/>
      <c r="G31" s="23"/>
      <c r="H31" s="24" t="str">
        <f aca="false">IFERROR($G31/$F31-1,"")</f>
        <v/>
      </c>
      <c r="I31" s="25"/>
      <c r="J31" s="20" t="str">
        <f aca="false">IFERROR($F31/$I31,"")</f>
        <v/>
      </c>
      <c r="K31" s="26"/>
      <c r="L31" s="20" t="str">
        <f aca="false">IFERROR($G31/($J31*(1+IF($K31="",ProductivityDefault,$K31))),"")</f>
        <v/>
      </c>
      <c r="M31" s="20" t="str">
        <f aca="false">IFERROR($L31-$C31,"")</f>
        <v/>
      </c>
      <c r="N31" s="22"/>
      <c r="O31" s="22"/>
    </row>
    <row r="33" customFormat="false" ht="25.5" hidden="false" customHeight="true" outlineLevel="0" collapsed="false">
      <c r="A33" s="11" t="s">
        <v>150</v>
      </c>
      <c r="B33" s="11"/>
      <c r="C33" s="11"/>
      <c r="D33" s="11"/>
      <c r="E33" s="11"/>
      <c r="F33" s="11"/>
      <c r="G33" s="11"/>
      <c r="H33" s="11"/>
      <c r="I33" s="11"/>
      <c r="J33" s="11"/>
      <c r="K33" s="11"/>
      <c r="L33" s="11"/>
      <c r="M33" s="11"/>
      <c r="N33" s="11"/>
      <c r="O33" s="11"/>
    </row>
  </sheetData>
  <sheetProtection sheet="true" sort="false" autoFilter="false"/>
  <mergeCells count="2">
    <mergeCell ref="A2:J2"/>
    <mergeCell ref="A33:O33"/>
  </mergeCells>
  <conditionalFormatting sqref="M5:M31">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31" type="list">
      <formula1>WorkloadDrivers</formula1>
      <formula2>0</formula2>
    </dataValidation>
    <dataValidation allowBlank="true" error="1 = plenty of slack, 5 = at breaking point." errorStyle="stop" operator="between" showDropDown="false" showErrorMessage="true" showInputMessage="false" sqref="O5:O31"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151</v>
      </c>
    </row>
    <row r="2" customFormat="false" ht="15" hidden="false" customHeight="false" outlineLevel="0" collapsed="false">
      <c r="A2" s="2" t="s">
        <v>152</v>
      </c>
      <c r="B2" s="2"/>
      <c r="C2" s="2"/>
      <c r="D2" s="2"/>
      <c r="E2" s="2"/>
      <c r="F2" s="2"/>
      <c r="G2" s="2"/>
      <c r="H2" s="2"/>
      <c r="I2" s="2"/>
      <c r="J2" s="2"/>
    </row>
    <row r="4" customFormat="false" ht="15" hidden="false" customHeight="false" outlineLevel="0" collapsed="false">
      <c r="A4" s="3" t="s">
        <v>153</v>
      </c>
    </row>
    <row r="5" customFormat="false" ht="15" hidden="false" customHeight="false" outlineLevel="0" collapsed="false">
      <c r="A5" s="6" t="s">
        <v>154</v>
      </c>
      <c r="B5" s="27" t="n">
        <f aca="false">AttritionDefault</f>
        <v>0.09</v>
      </c>
    </row>
    <row r="6" customFormat="false" ht="15" hidden="false" customHeight="false" outlineLevel="0" collapsed="false">
      <c r="A6" s="6" t="s">
        <v>155</v>
      </c>
      <c r="B6" s="26"/>
      <c r="C6" s="28" t="s">
        <v>156</v>
      </c>
    </row>
    <row r="7" customFormat="false" ht="15" hidden="false" customHeight="false" outlineLevel="0" collapsed="false">
      <c r="A7" s="6" t="s">
        <v>157</v>
      </c>
      <c r="B7" s="19" t="n">
        <v>290</v>
      </c>
      <c r="C7" s="28" t="s">
        <v>158</v>
      </c>
    </row>
    <row r="8" customFormat="false" ht="15" hidden="false" customHeight="false" outlineLevel="0" collapsed="false">
      <c r="A8" s="6" t="s">
        <v>159</v>
      </c>
      <c r="B8" s="19" t="n">
        <f aca="false">ROUND($B$7*IF($B$6="",AttritionDefault,$B$6),0)</f>
        <v>26</v>
      </c>
    </row>
    <row r="9" customFormat="false" ht="15" hidden="false" customHeight="false" outlineLevel="0" collapsed="false">
      <c r="A9" s="6" t="s">
        <v>160</v>
      </c>
      <c r="B9" s="19" t="n">
        <f aca="false">COUNTA($B$14:$B$73)</f>
        <v>17</v>
      </c>
    </row>
    <row r="10" customFormat="false" ht="15" hidden="false" customHeight="false" outlineLevel="0" collapsed="false">
      <c r="A10" s="6" t="s">
        <v>161</v>
      </c>
      <c r="B10" s="19" t="n">
        <f aca="false">MAX(0,$B$8-$B$9)</f>
        <v>9</v>
      </c>
      <c r="C10" s="28" t="s">
        <v>162</v>
      </c>
    </row>
    <row r="12" customFormat="false" ht="15" hidden="false" customHeight="false" outlineLevel="0" collapsed="false">
      <c r="A12" s="3" t="s">
        <v>163</v>
      </c>
      <c r="D12" s="29" t="s">
        <v>164</v>
      </c>
    </row>
    <row r="13" customFormat="false" ht="30" hidden="false" customHeight="true" outlineLevel="0" collapsed="false">
      <c r="A13" s="12" t="s">
        <v>30</v>
      </c>
      <c r="B13" s="12" t="s">
        <v>165</v>
      </c>
      <c r="C13" s="12" t="s">
        <v>166</v>
      </c>
      <c r="D13" s="12" t="s">
        <v>167</v>
      </c>
      <c r="E13" s="12" t="s">
        <v>168</v>
      </c>
      <c r="F13" s="12" t="s">
        <v>169</v>
      </c>
      <c r="G13" s="12" t="s">
        <v>170</v>
      </c>
    </row>
    <row r="14" customFormat="false" ht="15" hidden="false" customHeight="false" outlineLevel="0" collapsed="false">
      <c r="A14" s="0" t="s">
        <v>171</v>
      </c>
      <c r="B14" s="0" t="s">
        <v>172</v>
      </c>
      <c r="C14" s="0" t="s">
        <v>173</v>
      </c>
      <c r="D14" s="0" t="s">
        <v>174</v>
      </c>
      <c r="E14" s="30" t="s">
        <v>175</v>
      </c>
      <c r="F14" s="30" t="s">
        <v>176</v>
      </c>
      <c r="G14" s="22" t="s">
        <v>177</v>
      </c>
    </row>
    <row r="15" customFormat="false" ht="15" hidden="false" customHeight="false" outlineLevel="0" collapsed="false">
      <c r="A15" s="0" t="s">
        <v>178</v>
      </c>
      <c r="B15" s="0" t="s">
        <v>179</v>
      </c>
      <c r="C15" s="0" t="s">
        <v>173</v>
      </c>
      <c r="D15" s="0" t="s">
        <v>180</v>
      </c>
      <c r="E15" s="30" t="s">
        <v>175</v>
      </c>
      <c r="F15" s="30" t="s">
        <v>176</v>
      </c>
      <c r="G15" s="22" t="s">
        <v>177</v>
      </c>
    </row>
    <row r="16" customFormat="false" ht="15" hidden="false" customHeight="false" outlineLevel="0" collapsed="false">
      <c r="A16" s="0" t="s">
        <v>131</v>
      </c>
      <c r="B16" s="0" t="s">
        <v>181</v>
      </c>
      <c r="C16" s="0" t="s">
        <v>182</v>
      </c>
      <c r="D16" s="0" t="s">
        <v>183</v>
      </c>
      <c r="E16" s="30" t="s">
        <v>175</v>
      </c>
      <c r="F16" s="30" t="s">
        <v>176</v>
      </c>
      <c r="G16" s="22" t="s">
        <v>177</v>
      </c>
    </row>
    <row r="17" customFormat="false" ht="15" hidden="false" customHeight="false" outlineLevel="0" collapsed="false">
      <c r="A17" s="0" t="s">
        <v>184</v>
      </c>
      <c r="B17" s="0" t="s">
        <v>185</v>
      </c>
      <c r="C17" s="0" t="s">
        <v>186</v>
      </c>
      <c r="D17" s="0" t="s">
        <v>187</v>
      </c>
      <c r="E17" s="30" t="s">
        <v>188</v>
      </c>
      <c r="F17" s="30" t="s">
        <v>176</v>
      </c>
      <c r="G17" s="22" t="s">
        <v>177</v>
      </c>
    </row>
    <row r="18" customFormat="false" ht="15" hidden="false" customHeight="false" outlineLevel="0" collapsed="false">
      <c r="A18" s="0" t="s">
        <v>128</v>
      </c>
      <c r="B18" s="0" t="s">
        <v>189</v>
      </c>
      <c r="C18" s="0" t="s">
        <v>182</v>
      </c>
      <c r="D18" s="0" t="s">
        <v>190</v>
      </c>
      <c r="E18" s="30" t="s">
        <v>188</v>
      </c>
      <c r="F18" s="30" t="s">
        <v>176</v>
      </c>
      <c r="G18" s="22" t="s">
        <v>177</v>
      </c>
    </row>
    <row r="19" customFormat="false" ht="15" hidden="false" customHeight="false" outlineLevel="0" collapsed="false">
      <c r="A19" s="0" t="s">
        <v>191</v>
      </c>
      <c r="B19" s="0" t="s">
        <v>192</v>
      </c>
      <c r="C19" s="0" t="s">
        <v>173</v>
      </c>
      <c r="D19" s="0" t="s">
        <v>193</v>
      </c>
      <c r="E19" s="30" t="s">
        <v>188</v>
      </c>
      <c r="F19" s="30" t="s">
        <v>176</v>
      </c>
      <c r="G19" s="22" t="s">
        <v>177</v>
      </c>
    </row>
    <row r="20" customFormat="false" ht="15" hidden="false" customHeight="false" outlineLevel="0" collapsed="false">
      <c r="A20" s="0" t="s">
        <v>194</v>
      </c>
      <c r="B20" s="0" t="s">
        <v>195</v>
      </c>
      <c r="C20" s="0" t="s">
        <v>173</v>
      </c>
      <c r="D20" s="0" t="s">
        <v>196</v>
      </c>
      <c r="E20" s="30" t="s">
        <v>188</v>
      </c>
      <c r="F20" s="30" t="s">
        <v>176</v>
      </c>
      <c r="G20" s="22" t="s">
        <v>177</v>
      </c>
    </row>
    <row r="21" customFormat="false" ht="15" hidden="false" customHeight="false" outlineLevel="0" collapsed="false">
      <c r="A21" s="0" t="s">
        <v>191</v>
      </c>
      <c r="B21" s="0" t="s">
        <v>197</v>
      </c>
      <c r="C21" s="0" t="s">
        <v>186</v>
      </c>
      <c r="D21" s="0" t="s">
        <v>198</v>
      </c>
      <c r="E21" s="30" t="s">
        <v>188</v>
      </c>
      <c r="F21" s="30" t="s">
        <v>176</v>
      </c>
      <c r="G21" s="22" t="s">
        <v>177</v>
      </c>
    </row>
    <row r="22" customFormat="false" ht="15" hidden="false" customHeight="false" outlineLevel="0" collapsed="false">
      <c r="A22" s="0" t="s">
        <v>199</v>
      </c>
      <c r="B22" s="0" t="s">
        <v>200</v>
      </c>
      <c r="C22" s="0" t="s">
        <v>201</v>
      </c>
      <c r="D22" s="0" t="s">
        <v>202</v>
      </c>
      <c r="E22" s="30" t="s">
        <v>188</v>
      </c>
      <c r="F22" s="30" t="s">
        <v>176</v>
      </c>
      <c r="G22" s="22" t="s">
        <v>177</v>
      </c>
    </row>
    <row r="23" customFormat="false" ht="15" hidden="false" customHeight="false" outlineLevel="0" collapsed="false">
      <c r="A23" s="0" t="s">
        <v>191</v>
      </c>
      <c r="B23" s="0" t="s">
        <v>203</v>
      </c>
      <c r="C23" s="0" t="s">
        <v>201</v>
      </c>
      <c r="D23" s="0" t="s">
        <v>204</v>
      </c>
      <c r="E23" s="30" t="s">
        <v>188</v>
      </c>
      <c r="F23" s="30" t="s">
        <v>176</v>
      </c>
      <c r="G23" s="22" t="s">
        <v>177</v>
      </c>
    </row>
    <row r="24" customFormat="false" ht="15" hidden="false" customHeight="false" outlineLevel="0" collapsed="false">
      <c r="A24" s="0" t="s">
        <v>205</v>
      </c>
      <c r="B24" s="0" t="s">
        <v>206</v>
      </c>
      <c r="C24" s="0" t="s">
        <v>201</v>
      </c>
      <c r="D24" s="0" t="s">
        <v>207</v>
      </c>
      <c r="E24" s="30" t="s">
        <v>188</v>
      </c>
      <c r="F24" s="30" t="s">
        <v>176</v>
      </c>
      <c r="G24" s="22" t="s">
        <v>177</v>
      </c>
    </row>
    <row r="25" customFormat="false" ht="15" hidden="false" customHeight="false" outlineLevel="0" collapsed="false">
      <c r="A25" s="0" t="s">
        <v>208</v>
      </c>
      <c r="B25" s="0" t="s">
        <v>206</v>
      </c>
      <c r="C25" s="0" t="s">
        <v>173</v>
      </c>
      <c r="D25" s="0" t="s">
        <v>209</v>
      </c>
      <c r="E25" s="30" t="s">
        <v>188</v>
      </c>
      <c r="F25" s="30" t="s">
        <v>176</v>
      </c>
      <c r="G25" s="22" t="s">
        <v>177</v>
      </c>
    </row>
    <row r="26" customFormat="false" ht="15" hidden="false" customHeight="false" outlineLevel="0" collapsed="false">
      <c r="A26" s="0" t="s">
        <v>210</v>
      </c>
      <c r="B26" s="0" t="s">
        <v>211</v>
      </c>
      <c r="C26" s="0" t="s">
        <v>173</v>
      </c>
      <c r="D26" s="0" t="s">
        <v>212</v>
      </c>
      <c r="E26" s="30" t="s">
        <v>188</v>
      </c>
      <c r="F26" s="30" t="s">
        <v>176</v>
      </c>
      <c r="G26" s="22" t="s">
        <v>177</v>
      </c>
    </row>
    <row r="27" customFormat="false" ht="15" hidden="false" customHeight="false" outlineLevel="0" collapsed="false">
      <c r="A27" s="0" t="s">
        <v>213</v>
      </c>
      <c r="B27" s="0" t="s">
        <v>214</v>
      </c>
      <c r="C27" s="0" t="s">
        <v>173</v>
      </c>
      <c r="D27" s="0" t="s">
        <v>215</v>
      </c>
      <c r="E27" s="30" t="s">
        <v>188</v>
      </c>
      <c r="F27" s="30" t="s">
        <v>176</v>
      </c>
      <c r="G27" s="22" t="s">
        <v>177</v>
      </c>
    </row>
    <row r="28" customFormat="false" ht="15" hidden="false" customHeight="false" outlineLevel="0" collapsed="false">
      <c r="A28" s="0" t="s">
        <v>199</v>
      </c>
      <c r="B28" s="0" t="s">
        <v>216</v>
      </c>
      <c r="C28" s="0" t="s">
        <v>173</v>
      </c>
      <c r="D28" s="0" t="s">
        <v>215</v>
      </c>
      <c r="E28" s="30" t="s">
        <v>188</v>
      </c>
      <c r="F28" s="30" t="s">
        <v>176</v>
      </c>
      <c r="G28" s="22" t="s">
        <v>177</v>
      </c>
    </row>
    <row r="29" customFormat="false" ht="15" hidden="false" customHeight="false" outlineLevel="0" collapsed="false">
      <c r="A29" s="0" t="s">
        <v>217</v>
      </c>
      <c r="B29" s="0" t="s">
        <v>203</v>
      </c>
      <c r="C29" s="0" t="s">
        <v>186</v>
      </c>
      <c r="D29" s="0" t="s">
        <v>218</v>
      </c>
      <c r="E29" s="30" t="s">
        <v>188</v>
      </c>
      <c r="F29" s="30" t="s">
        <v>176</v>
      </c>
      <c r="G29" s="22" t="s">
        <v>177</v>
      </c>
    </row>
    <row r="30" customFormat="false" ht="15" hidden="false" customHeight="false" outlineLevel="0" collapsed="false">
      <c r="A30" s="0" t="s">
        <v>219</v>
      </c>
      <c r="B30" s="0" t="s">
        <v>220</v>
      </c>
      <c r="C30" s="0" t="s">
        <v>186</v>
      </c>
      <c r="D30" s="0" t="s">
        <v>221</v>
      </c>
      <c r="E30" s="30" t="s">
        <v>222</v>
      </c>
      <c r="F30" s="30" t="s">
        <v>176</v>
      </c>
      <c r="G30" s="22" t="s">
        <v>177</v>
      </c>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223</v>
      </c>
      <c r="D75" s="29" t="s">
        <v>224</v>
      </c>
    </row>
    <row r="76" customFormat="false" ht="30" hidden="false" customHeight="true" outlineLevel="0" collapsed="false">
      <c r="A76" s="12" t="s">
        <v>30</v>
      </c>
      <c r="B76" s="12" t="s">
        <v>165</v>
      </c>
      <c r="C76" s="12" t="s">
        <v>166</v>
      </c>
      <c r="D76" s="12" t="s">
        <v>225</v>
      </c>
      <c r="E76" s="12" t="s">
        <v>226</v>
      </c>
      <c r="F76" s="12" t="s">
        <v>227</v>
      </c>
    </row>
    <row r="77" customFormat="false" ht="15" hidden="false" customHeight="false" outlineLevel="0" collapsed="false">
      <c r="A77" s="30" t="s">
        <v>191</v>
      </c>
      <c r="B77" s="30" t="s">
        <v>228</v>
      </c>
      <c r="C77" s="30" t="s">
        <v>173</v>
      </c>
      <c r="D77" s="30" t="s">
        <v>229</v>
      </c>
      <c r="E77" s="22"/>
      <c r="F77" s="22"/>
    </row>
    <row r="78" customFormat="false" ht="15" hidden="false" customHeight="false" outlineLevel="0" collapsed="false">
      <c r="A78" s="30" t="s">
        <v>194</v>
      </c>
      <c r="B78" s="30" t="s">
        <v>203</v>
      </c>
      <c r="C78" s="30" t="s">
        <v>201</v>
      </c>
      <c r="D78" s="30"/>
      <c r="E78" s="22"/>
      <c r="F78" s="22"/>
    </row>
    <row r="79" customFormat="false" ht="15" hidden="false" customHeight="false" outlineLevel="0" collapsed="false">
      <c r="A79" s="30" t="s">
        <v>230</v>
      </c>
      <c r="B79" s="30" t="s">
        <v>231</v>
      </c>
      <c r="C79" s="30" t="s">
        <v>186</v>
      </c>
      <c r="D79" s="30" t="s">
        <v>232</v>
      </c>
      <c r="E79" s="22"/>
      <c r="F79" s="22"/>
    </row>
    <row r="80" customFormat="false" ht="15" hidden="false" customHeight="false" outlineLevel="0" collapsed="false">
      <c r="A80" s="30" t="s">
        <v>217</v>
      </c>
      <c r="B80" s="30" t="s">
        <v>195</v>
      </c>
      <c r="C80" s="30" t="s">
        <v>186</v>
      </c>
      <c r="D80" s="30" t="s">
        <v>233</v>
      </c>
      <c r="E80" s="22"/>
      <c r="F80" s="22"/>
    </row>
    <row r="81" customFormat="false" ht="15" hidden="false" customHeight="false" outlineLevel="0" collapsed="false">
      <c r="A81" s="30" t="s">
        <v>234</v>
      </c>
      <c r="B81" s="30" t="s">
        <v>235</v>
      </c>
      <c r="C81" s="30" t="s">
        <v>173</v>
      </c>
      <c r="D81" s="30"/>
      <c r="E81" s="22"/>
      <c r="F81" s="22"/>
    </row>
    <row r="82" customFormat="false" ht="15" hidden="false" customHeight="false" outlineLevel="0" collapsed="false">
      <c r="A82" s="30" t="s">
        <v>213</v>
      </c>
      <c r="B82" s="30" t="s">
        <v>236</v>
      </c>
      <c r="C82" s="30" t="s">
        <v>201</v>
      </c>
      <c r="D82" s="30" t="s">
        <v>237</v>
      </c>
      <c r="E82" s="22"/>
      <c r="F82" s="22"/>
    </row>
    <row r="83" customFormat="false" ht="15" hidden="false" customHeight="false" outlineLevel="0" collapsed="false">
      <c r="A83" s="30" t="s">
        <v>238</v>
      </c>
      <c r="B83" s="30" t="s">
        <v>236</v>
      </c>
      <c r="C83" s="30" t="s">
        <v>186</v>
      </c>
      <c r="D83" s="30" t="s">
        <v>239</v>
      </c>
      <c r="E83" s="22"/>
      <c r="F83" s="22"/>
    </row>
    <row r="84" customFormat="false" ht="15" hidden="false" customHeight="false" outlineLevel="0" collapsed="false">
      <c r="A84" s="30" t="s">
        <v>238</v>
      </c>
      <c r="B84" s="30" t="s">
        <v>240</v>
      </c>
      <c r="C84" s="30" t="s">
        <v>173</v>
      </c>
      <c r="D84" s="30"/>
      <c r="E84" s="22"/>
      <c r="F84" s="22"/>
    </row>
    <row r="85" customFormat="false" ht="15" hidden="false" customHeight="false" outlineLevel="0" collapsed="false">
      <c r="A85" s="30" t="s">
        <v>238</v>
      </c>
      <c r="B85" s="30" t="s">
        <v>241</v>
      </c>
      <c r="C85" s="30" t="s">
        <v>201</v>
      </c>
      <c r="D85" s="30" t="s">
        <v>242</v>
      </c>
      <c r="E85" s="22"/>
      <c r="F85" s="22"/>
    </row>
    <row r="86" customFormat="false" ht="15" hidden="false" customHeight="false" outlineLevel="0" collapsed="false">
      <c r="A86" s="30" t="s">
        <v>243</v>
      </c>
      <c r="B86" s="30" t="s">
        <v>244</v>
      </c>
      <c r="C86" s="30" t="s">
        <v>201</v>
      </c>
      <c r="D86" s="30" t="s">
        <v>245</v>
      </c>
      <c r="E86" s="22"/>
      <c r="F86" s="22"/>
    </row>
    <row r="87" customFormat="false" ht="15" hidden="false" customHeight="false" outlineLevel="0" collapsed="false">
      <c r="A87" s="30" t="s">
        <v>243</v>
      </c>
      <c r="B87" s="30" t="s">
        <v>241</v>
      </c>
      <c r="C87" s="30" t="s">
        <v>173</v>
      </c>
      <c r="D87" s="30" t="s">
        <v>246</v>
      </c>
      <c r="E87" s="22"/>
      <c r="F87" s="22"/>
    </row>
    <row r="88" customFormat="false" ht="15" hidden="false" customHeight="false" outlineLevel="0" collapsed="false">
      <c r="A88" s="30" t="s">
        <v>243</v>
      </c>
      <c r="B88" s="30" t="s">
        <v>247</v>
      </c>
      <c r="C88" s="30" t="s">
        <v>248</v>
      </c>
      <c r="D88" s="30" t="s">
        <v>249</v>
      </c>
      <c r="E88" s="22"/>
      <c r="F88" s="22"/>
    </row>
    <row r="89" customFormat="false" ht="15" hidden="false" customHeight="false" outlineLevel="0" collapsed="false">
      <c r="A89" s="30" t="s">
        <v>250</v>
      </c>
      <c r="B89" s="30" t="s">
        <v>214</v>
      </c>
      <c r="C89" s="30" t="s">
        <v>186</v>
      </c>
      <c r="D89" s="30"/>
      <c r="E89" s="22"/>
      <c r="F89" s="22"/>
    </row>
    <row r="90" customFormat="false" ht="15" hidden="false" customHeight="false" outlineLevel="0" collapsed="false">
      <c r="A90" s="30" t="s">
        <v>145</v>
      </c>
      <c r="B90" s="30" t="s">
        <v>251</v>
      </c>
      <c r="C90" s="30" t="s">
        <v>182</v>
      </c>
      <c r="D90" s="30" t="s">
        <v>252</v>
      </c>
      <c r="E90" s="22"/>
      <c r="F90" s="22"/>
    </row>
    <row r="91" customFormat="false" ht="15" hidden="false" customHeight="false" outlineLevel="0" collapsed="false">
      <c r="A91" s="30" t="s">
        <v>253</v>
      </c>
      <c r="B91" s="30" t="s">
        <v>254</v>
      </c>
      <c r="C91" s="30" t="s">
        <v>186</v>
      </c>
      <c r="D91" s="30"/>
      <c r="E91" s="22"/>
      <c r="F91" s="22"/>
    </row>
    <row r="92" customFormat="false" ht="15" hidden="false" customHeight="false" outlineLevel="0" collapsed="false">
      <c r="A92" s="30" t="s">
        <v>253</v>
      </c>
      <c r="B92" s="30" t="s">
        <v>254</v>
      </c>
      <c r="C92" s="30" t="s">
        <v>201</v>
      </c>
      <c r="D92" s="30"/>
      <c r="E92" s="22"/>
      <c r="F92" s="22"/>
    </row>
    <row r="93" customFormat="false" ht="15" hidden="false" customHeight="false" outlineLevel="0" collapsed="false">
      <c r="A93" s="30" t="s">
        <v>171</v>
      </c>
      <c r="B93" s="30" t="s">
        <v>254</v>
      </c>
      <c r="C93" s="30" t="s">
        <v>201</v>
      </c>
      <c r="D93" s="30" t="s">
        <v>255</v>
      </c>
      <c r="E93" s="22"/>
      <c r="F93" s="22"/>
    </row>
    <row r="94" customFormat="false" ht="15" hidden="false" customHeight="false" outlineLevel="0" collapsed="false">
      <c r="A94" s="30" t="s">
        <v>171</v>
      </c>
      <c r="B94" s="30" t="s">
        <v>254</v>
      </c>
      <c r="C94" s="30" t="s">
        <v>173</v>
      </c>
      <c r="D94" s="30" t="s">
        <v>256</v>
      </c>
      <c r="E94" s="22"/>
      <c r="F94" s="22"/>
    </row>
    <row r="95" customFormat="false" ht="15" hidden="false" customHeight="false" outlineLevel="0" collapsed="false">
      <c r="A95" s="30" t="s">
        <v>133</v>
      </c>
      <c r="B95" s="30" t="s">
        <v>257</v>
      </c>
      <c r="C95" s="30" t="s">
        <v>182</v>
      </c>
      <c r="D95" s="30" t="s">
        <v>258</v>
      </c>
      <c r="E95" s="22"/>
      <c r="F95" s="22"/>
    </row>
    <row r="96" customFormat="false" ht="15" hidden="false" customHeight="false" outlineLevel="0" collapsed="false">
      <c r="A96" s="30" t="s">
        <v>259</v>
      </c>
      <c r="B96" s="30" t="s">
        <v>260</v>
      </c>
      <c r="C96" s="30" t="s">
        <v>186</v>
      </c>
      <c r="D96" s="30"/>
      <c r="E96" s="22"/>
      <c r="F96" s="22"/>
    </row>
    <row r="97" customFormat="false" ht="15" hidden="false" customHeight="false" outlineLevel="0" collapsed="false">
      <c r="A97" s="30" t="s">
        <v>259</v>
      </c>
      <c r="B97" s="30" t="s">
        <v>261</v>
      </c>
      <c r="C97" s="30" t="s">
        <v>173</v>
      </c>
      <c r="D97" s="30"/>
      <c r="E97" s="22"/>
      <c r="F97" s="22"/>
    </row>
    <row r="98" customFormat="false" ht="15" hidden="false" customHeight="false" outlineLevel="0" collapsed="false">
      <c r="A98" s="30" t="s">
        <v>199</v>
      </c>
      <c r="B98" s="30" t="s">
        <v>262</v>
      </c>
      <c r="C98" s="30" t="s">
        <v>173</v>
      </c>
      <c r="D98" s="30" t="s">
        <v>263</v>
      </c>
      <c r="E98" s="22"/>
      <c r="F98" s="22"/>
    </row>
    <row r="99" customFormat="false" ht="15" hidden="false" customHeight="false" outlineLevel="0" collapsed="false">
      <c r="A99" s="30" t="s">
        <v>199</v>
      </c>
      <c r="B99" s="30" t="s">
        <v>200</v>
      </c>
      <c r="C99" s="30" t="s">
        <v>173</v>
      </c>
      <c r="D99" s="30"/>
      <c r="E99" s="22"/>
      <c r="F99" s="22"/>
    </row>
    <row r="100" customFormat="false" ht="15" hidden="false" customHeight="false" outlineLevel="0" collapsed="false">
      <c r="A100" s="30" t="s">
        <v>264</v>
      </c>
      <c r="B100" s="30" t="s">
        <v>260</v>
      </c>
      <c r="C100" s="30" t="s">
        <v>173</v>
      </c>
      <c r="D100" s="30" t="s">
        <v>265</v>
      </c>
      <c r="E100" s="22"/>
      <c r="F100" s="22"/>
    </row>
    <row r="101" customFormat="false" ht="15" hidden="false" customHeight="false" outlineLevel="0" collapsed="false">
      <c r="A101" s="30" t="s">
        <v>136</v>
      </c>
      <c r="B101" s="30" t="s">
        <v>266</v>
      </c>
      <c r="C101" s="30" t="s">
        <v>182</v>
      </c>
      <c r="D101" s="30" t="s">
        <v>267</v>
      </c>
      <c r="E101" s="22"/>
      <c r="F101" s="22"/>
    </row>
    <row r="102" customFormat="false" ht="15" hidden="false" customHeight="false" outlineLevel="0" collapsed="false">
      <c r="A102" s="30" t="s">
        <v>205</v>
      </c>
      <c r="B102" s="30" t="s">
        <v>268</v>
      </c>
      <c r="C102" s="30" t="s">
        <v>173</v>
      </c>
      <c r="D102" s="30" t="s">
        <v>269</v>
      </c>
      <c r="E102" s="22"/>
      <c r="F102" s="22"/>
    </row>
    <row r="103" customFormat="false" ht="15" hidden="false" customHeight="false" outlineLevel="0" collapsed="false">
      <c r="A103" s="30" t="s">
        <v>137</v>
      </c>
      <c r="B103" s="30" t="s">
        <v>266</v>
      </c>
      <c r="C103" s="30" t="s">
        <v>182</v>
      </c>
      <c r="D103" s="30"/>
      <c r="E103" s="22"/>
      <c r="F103" s="22"/>
    </row>
    <row r="104" customFormat="false" ht="15" hidden="false" customHeight="false" outlineLevel="0" collapsed="false">
      <c r="A104" s="30" t="s">
        <v>270</v>
      </c>
      <c r="B104" s="30" t="s">
        <v>206</v>
      </c>
      <c r="C104" s="30" t="s">
        <v>201</v>
      </c>
      <c r="D104" s="30" t="s">
        <v>271</v>
      </c>
      <c r="E104" s="22"/>
      <c r="F104" s="22"/>
    </row>
    <row r="105" customFormat="false" ht="15" hidden="false" customHeight="false" outlineLevel="0" collapsed="false">
      <c r="A105" s="30" t="s">
        <v>270</v>
      </c>
      <c r="B105" s="30" t="s">
        <v>272</v>
      </c>
      <c r="C105" s="30" t="s">
        <v>248</v>
      </c>
      <c r="D105" s="30"/>
      <c r="E105" s="22"/>
      <c r="F105" s="22"/>
    </row>
    <row r="106" customFormat="false" ht="15" hidden="false" customHeight="false" outlineLevel="0" collapsed="false">
      <c r="A106" s="30" t="s">
        <v>208</v>
      </c>
      <c r="B106" s="30" t="s">
        <v>206</v>
      </c>
      <c r="C106" s="30" t="s">
        <v>173</v>
      </c>
      <c r="D106" s="30" t="s">
        <v>242</v>
      </c>
      <c r="E106" s="22"/>
      <c r="F106" s="22"/>
    </row>
    <row r="107" customFormat="false" ht="15" hidden="false" customHeight="false" outlineLevel="0" collapsed="false">
      <c r="A107" s="30" t="s">
        <v>273</v>
      </c>
      <c r="B107" s="30" t="s">
        <v>274</v>
      </c>
      <c r="C107" s="30" t="s">
        <v>173</v>
      </c>
      <c r="D107" s="30" t="s">
        <v>275</v>
      </c>
      <c r="E107" s="22"/>
      <c r="F107" s="22"/>
    </row>
    <row r="108" customFormat="false" ht="15" hidden="false" customHeight="false" outlineLevel="0" collapsed="false">
      <c r="A108" s="30" t="s">
        <v>276</v>
      </c>
      <c r="B108" s="30" t="s">
        <v>274</v>
      </c>
      <c r="C108" s="30" t="s">
        <v>201</v>
      </c>
      <c r="D108" s="30" t="s">
        <v>277</v>
      </c>
      <c r="E108" s="22"/>
      <c r="F108" s="22"/>
    </row>
    <row r="109" customFormat="false" ht="15" hidden="false" customHeight="false" outlineLevel="0" collapsed="false">
      <c r="A109" s="30" t="s">
        <v>276</v>
      </c>
      <c r="B109" s="30" t="s">
        <v>278</v>
      </c>
      <c r="C109" s="30" t="s">
        <v>201</v>
      </c>
      <c r="D109" s="30" t="s">
        <v>279</v>
      </c>
      <c r="E109" s="22"/>
      <c r="F109" s="22"/>
    </row>
    <row r="110" customFormat="false" ht="15" hidden="false" customHeight="false" outlineLevel="0" collapsed="false">
      <c r="A110" s="30" t="s">
        <v>280</v>
      </c>
      <c r="B110" s="30" t="s">
        <v>281</v>
      </c>
      <c r="C110" s="30" t="s">
        <v>186</v>
      </c>
      <c r="D110" s="30"/>
      <c r="E110" s="22"/>
      <c r="F110" s="22"/>
    </row>
    <row r="111" customFormat="false" ht="15" hidden="false" customHeight="false" outlineLevel="0" collapsed="false">
      <c r="A111" s="30" t="s">
        <v>184</v>
      </c>
      <c r="B111" s="30" t="s">
        <v>220</v>
      </c>
      <c r="C111" s="30" t="s">
        <v>173</v>
      </c>
      <c r="D111" s="30" t="s">
        <v>282</v>
      </c>
      <c r="E111" s="22"/>
      <c r="F111" s="22"/>
    </row>
  </sheetData>
  <sheetProtection sheet="true" sort="false" autoFilter="false"/>
  <mergeCells count="1">
    <mergeCell ref="A2:J2"/>
  </mergeCells>
  <conditionalFormatting sqref="A77:F111">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111"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283</v>
      </c>
    </row>
    <row r="2" customFormat="false" ht="15" hidden="false" customHeight="false" outlineLevel="0" collapsed="false">
      <c r="A2" s="2" t="s">
        <v>284</v>
      </c>
      <c r="B2" s="2"/>
      <c r="C2" s="2"/>
      <c r="D2" s="2"/>
      <c r="E2" s="2"/>
      <c r="F2" s="2"/>
      <c r="G2" s="2"/>
      <c r="H2" s="2"/>
      <c r="I2" s="2"/>
      <c r="J2" s="2"/>
    </row>
    <row r="4" customFormat="false" ht="30" hidden="false" customHeight="true" outlineLevel="0" collapsed="false">
      <c r="A4" s="12" t="s">
        <v>285</v>
      </c>
      <c r="B4" s="12" t="s">
        <v>286</v>
      </c>
      <c r="C4" s="12" t="s">
        <v>287</v>
      </c>
      <c r="D4" s="12" t="s">
        <v>29</v>
      </c>
      <c r="E4" s="12" t="s">
        <v>288</v>
      </c>
      <c r="F4" s="12" t="s">
        <v>289</v>
      </c>
      <c r="G4" s="12" t="s">
        <v>290</v>
      </c>
      <c r="H4" s="12" t="s">
        <v>291</v>
      </c>
      <c r="I4" s="12" t="s">
        <v>292</v>
      </c>
      <c r="J4" s="12" t="s">
        <v>293</v>
      </c>
    </row>
    <row r="5" customFormat="false" ht="15" hidden="false" customHeight="false" outlineLevel="0" collapsed="false">
      <c r="A5" s="17" t="s">
        <v>294</v>
      </c>
      <c r="B5" s="22"/>
      <c r="C5" s="22"/>
      <c r="D5" s="22"/>
      <c r="E5" s="22"/>
      <c r="F5" s="22"/>
      <c r="G5" s="22"/>
      <c r="H5" s="23"/>
      <c r="I5" s="22"/>
      <c r="J5" s="17" t="str">
        <f aca="false">IF(AND($B5&lt;&gt;"",$C5&lt;&gt;""),$A5,"")</f>
        <v/>
      </c>
    </row>
    <row r="6" customFormat="false" ht="15" hidden="false" customHeight="false" outlineLevel="0" collapsed="false">
      <c r="A6" s="17" t="s">
        <v>295</v>
      </c>
      <c r="B6" s="22"/>
      <c r="C6" s="22"/>
      <c r="D6" s="22"/>
      <c r="E6" s="22"/>
      <c r="F6" s="22"/>
      <c r="G6" s="22"/>
      <c r="H6" s="23"/>
      <c r="I6" s="22"/>
      <c r="J6" s="17" t="str">
        <f aca="false">IF(AND($B6&lt;&gt;"",$C6&lt;&gt;""),$A6,"")</f>
        <v/>
      </c>
    </row>
    <row r="7" customFormat="false" ht="15" hidden="false" customHeight="false" outlineLevel="0" collapsed="false">
      <c r="A7" s="17" t="s">
        <v>296</v>
      </c>
      <c r="B7" s="22"/>
      <c r="C7" s="22"/>
      <c r="D7" s="22"/>
      <c r="E7" s="22"/>
      <c r="F7" s="22"/>
      <c r="G7" s="22"/>
      <c r="H7" s="23"/>
      <c r="I7" s="22"/>
      <c r="J7" s="17" t="str">
        <f aca="false">IF(AND($B7&lt;&gt;"",$C7&lt;&gt;""),$A7,"")</f>
        <v/>
      </c>
    </row>
    <row r="8" customFormat="false" ht="15" hidden="false" customHeight="false" outlineLevel="0" collapsed="false">
      <c r="A8" s="17" t="s">
        <v>297</v>
      </c>
      <c r="B8" s="22"/>
      <c r="C8" s="22"/>
      <c r="D8" s="22"/>
      <c r="E8" s="22"/>
      <c r="F8" s="22"/>
      <c r="G8" s="22"/>
      <c r="H8" s="23"/>
      <c r="I8" s="22"/>
      <c r="J8" s="17" t="str">
        <f aca="false">IF(AND($B8&lt;&gt;"",$C8&lt;&gt;""),$A8,"")</f>
        <v/>
      </c>
    </row>
    <row r="9" customFormat="false" ht="15" hidden="false" customHeight="false" outlineLevel="0" collapsed="false">
      <c r="A9" s="17" t="s">
        <v>298</v>
      </c>
      <c r="B9" s="22"/>
      <c r="C9" s="22"/>
      <c r="D9" s="22"/>
      <c r="E9" s="22"/>
      <c r="F9" s="22"/>
      <c r="G9" s="22"/>
      <c r="H9" s="23"/>
      <c r="I9" s="22"/>
      <c r="J9" s="17" t="str">
        <f aca="false">IF(AND($B9&lt;&gt;"",$C9&lt;&gt;""),$A9,"")</f>
        <v/>
      </c>
    </row>
    <row r="10" customFormat="false" ht="15" hidden="false" customHeight="false" outlineLevel="0" collapsed="false">
      <c r="A10" s="17" t="s">
        <v>299</v>
      </c>
      <c r="B10" s="22"/>
      <c r="C10" s="22"/>
      <c r="D10" s="22"/>
      <c r="E10" s="22"/>
      <c r="F10" s="22"/>
      <c r="G10" s="22"/>
      <c r="H10" s="23"/>
      <c r="I10" s="22"/>
      <c r="J10" s="17" t="str">
        <f aca="false">IF(AND($B10&lt;&gt;"",$C10&lt;&gt;""),$A10,"")</f>
        <v/>
      </c>
    </row>
    <row r="11" customFormat="false" ht="15" hidden="false" customHeight="false" outlineLevel="0" collapsed="false">
      <c r="A11" s="17" t="s">
        <v>300</v>
      </c>
      <c r="B11" s="22"/>
      <c r="C11" s="22"/>
      <c r="D11" s="22"/>
      <c r="E11" s="22"/>
      <c r="F11" s="22"/>
      <c r="G11" s="22"/>
      <c r="H11" s="23"/>
      <c r="I11" s="22"/>
      <c r="J11" s="17" t="str">
        <f aca="false">IF(AND($B11&lt;&gt;"",$C11&lt;&gt;""),$A11,"")</f>
        <v/>
      </c>
    </row>
    <row r="12" customFormat="false" ht="15" hidden="false" customHeight="false" outlineLevel="0" collapsed="false">
      <c r="A12" s="17" t="s">
        <v>301</v>
      </c>
      <c r="B12" s="22"/>
      <c r="C12" s="22"/>
      <c r="D12" s="22"/>
      <c r="E12" s="22"/>
      <c r="F12" s="22"/>
      <c r="G12" s="22"/>
      <c r="H12" s="23"/>
      <c r="I12" s="22"/>
      <c r="J12" s="17" t="str">
        <f aca="false">IF(AND($B12&lt;&gt;"",$C12&lt;&gt;""),$A12,"")</f>
        <v/>
      </c>
    </row>
    <row r="13" customFormat="false" ht="15" hidden="false" customHeight="false" outlineLevel="0" collapsed="false">
      <c r="A13" s="17" t="s">
        <v>302</v>
      </c>
      <c r="B13" s="22"/>
      <c r="C13" s="22"/>
      <c r="D13" s="22"/>
      <c r="E13" s="22"/>
      <c r="F13" s="22"/>
      <c r="G13" s="22"/>
      <c r="H13" s="23"/>
      <c r="I13" s="22"/>
      <c r="J13" s="17" t="str">
        <f aca="false">IF(AND($B13&lt;&gt;"",$C13&lt;&gt;""),$A13,"")</f>
        <v/>
      </c>
    </row>
    <row r="14" customFormat="false" ht="15" hidden="false" customHeight="false" outlineLevel="0" collapsed="false">
      <c r="A14" s="17" t="s">
        <v>303</v>
      </c>
      <c r="B14" s="22"/>
      <c r="C14" s="22"/>
      <c r="D14" s="22"/>
      <c r="E14" s="22"/>
      <c r="F14" s="22"/>
      <c r="G14" s="22"/>
      <c r="H14" s="23"/>
      <c r="I14" s="22"/>
      <c r="J14" s="17" t="str">
        <f aca="false">IF(AND($B14&lt;&gt;"",$C14&lt;&gt;""),$A14,"")</f>
        <v/>
      </c>
    </row>
    <row r="15" customFormat="false" ht="15" hidden="false" customHeight="false" outlineLevel="0" collapsed="false">
      <c r="A15" s="17" t="s">
        <v>304</v>
      </c>
      <c r="B15" s="22"/>
      <c r="C15" s="22"/>
      <c r="D15" s="22"/>
      <c r="E15" s="22"/>
      <c r="F15" s="22"/>
      <c r="G15" s="22"/>
      <c r="H15" s="23"/>
      <c r="I15" s="22"/>
      <c r="J15" s="17" t="str">
        <f aca="false">IF(AND($B15&lt;&gt;"",$C15&lt;&gt;""),$A15,"")</f>
        <v/>
      </c>
    </row>
    <row r="16" customFormat="false" ht="15" hidden="false" customHeight="false" outlineLevel="0" collapsed="false">
      <c r="A16" s="17" t="s">
        <v>305</v>
      </c>
      <c r="B16" s="22"/>
      <c r="C16" s="22"/>
      <c r="D16" s="22"/>
      <c r="E16" s="22"/>
      <c r="F16" s="22"/>
      <c r="G16" s="22"/>
      <c r="H16" s="23"/>
      <c r="I16" s="22"/>
      <c r="J16" s="17" t="str">
        <f aca="false">IF(AND($B16&lt;&gt;"",$C16&lt;&gt;""),$A16,"")</f>
        <v/>
      </c>
    </row>
    <row r="17" customFormat="false" ht="15" hidden="false" customHeight="false" outlineLevel="0" collapsed="false">
      <c r="A17" s="17" t="s">
        <v>306</v>
      </c>
      <c r="B17" s="22"/>
      <c r="C17" s="22"/>
      <c r="D17" s="22"/>
      <c r="E17" s="22"/>
      <c r="F17" s="22"/>
      <c r="G17" s="22"/>
      <c r="H17" s="23"/>
      <c r="I17" s="22"/>
      <c r="J17" s="17" t="str">
        <f aca="false">IF(AND($B17&lt;&gt;"",$C17&lt;&gt;""),$A17,"")</f>
        <v/>
      </c>
    </row>
    <row r="18" customFormat="false" ht="15" hidden="false" customHeight="false" outlineLevel="0" collapsed="false">
      <c r="A18" s="17" t="s">
        <v>307</v>
      </c>
      <c r="B18" s="22"/>
      <c r="C18" s="22"/>
      <c r="D18" s="22"/>
      <c r="E18" s="22"/>
      <c r="F18" s="22"/>
      <c r="G18" s="22"/>
      <c r="H18" s="23"/>
      <c r="I18" s="22"/>
      <c r="J18" s="17" t="str">
        <f aca="false">IF(AND($B18&lt;&gt;"",$C18&lt;&gt;""),$A18,"")</f>
        <v/>
      </c>
    </row>
    <row r="19" customFormat="false" ht="15" hidden="false" customHeight="false" outlineLevel="0" collapsed="false">
      <c r="A19" s="17" t="s">
        <v>308</v>
      </c>
      <c r="B19" s="22"/>
      <c r="C19" s="22"/>
      <c r="D19" s="22"/>
      <c r="E19" s="22"/>
      <c r="F19" s="22"/>
      <c r="G19" s="22"/>
      <c r="H19" s="23"/>
      <c r="I19" s="22"/>
      <c r="J19" s="17" t="str">
        <f aca="false">IF(AND($B19&lt;&gt;"",$C19&lt;&gt;""),$A19,"")</f>
        <v/>
      </c>
    </row>
    <row r="20" customFormat="false" ht="15" hidden="false" customHeight="false" outlineLevel="0" collapsed="false">
      <c r="A20" s="17" t="s">
        <v>309</v>
      </c>
      <c r="B20" s="22"/>
      <c r="C20" s="22"/>
      <c r="D20" s="22"/>
      <c r="E20" s="22"/>
      <c r="F20" s="22"/>
      <c r="G20" s="22"/>
      <c r="H20" s="23"/>
      <c r="I20" s="22"/>
      <c r="J20" s="17" t="str">
        <f aca="false">IF(AND($B20&lt;&gt;"",$C20&lt;&gt;""),$A20,"")</f>
        <v/>
      </c>
    </row>
    <row r="21" customFormat="false" ht="15" hidden="false" customHeight="false" outlineLevel="0" collapsed="false">
      <c r="A21" s="17" t="s">
        <v>310</v>
      </c>
      <c r="B21" s="22"/>
      <c r="C21" s="22"/>
      <c r="D21" s="22"/>
      <c r="E21" s="22"/>
      <c r="F21" s="22"/>
      <c r="G21" s="22"/>
      <c r="H21" s="23"/>
      <c r="I21" s="22"/>
      <c r="J21" s="17" t="str">
        <f aca="false">IF(AND($B21&lt;&gt;"",$C21&lt;&gt;""),$A21,"")</f>
        <v/>
      </c>
    </row>
    <row r="22" customFormat="false" ht="15" hidden="false" customHeight="false" outlineLevel="0" collapsed="false">
      <c r="A22" s="17" t="s">
        <v>311</v>
      </c>
      <c r="B22" s="22"/>
      <c r="C22" s="22"/>
      <c r="D22" s="22"/>
      <c r="E22" s="22"/>
      <c r="F22" s="22"/>
      <c r="G22" s="22"/>
      <c r="H22" s="23"/>
      <c r="I22" s="22"/>
      <c r="J22" s="17" t="str">
        <f aca="false">IF(AND($B22&lt;&gt;"",$C22&lt;&gt;""),$A22,"")</f>
        <v/>
      </c>
    </row>
    <row r="23" customFormat="false" ht="15" hidden="false" customHeight="false" outlineLevel="0" collapsed="false">
      <c r="A23" s="17" t="s">
        <v>312</v>
      </c>
      <c r="B23" s="22"/>
      <c r="C23" s="22"/>
      <c r="D23" s="22"/>
      <c r="E23" s="22"/>
      <c r="F23" s="22"/>
      <c r="G23" s="22"/>
      <c r="H23" s="23"/>
      <c r="I23" s="22"/>
      <c r="J23" s="17" t="str">
        <f aca="false">IF(AND($B23&lt;&gt;"",$C23&lt;&gt;""),$A23,"")</f>
        <v/>
      </c>
    </row>
    <row r="24" customFormat="false" ht="15" hidden="false" customHeight="false" outlineLevel="0" collapsed="false">
      <c r="A24" s="17" t="s">
        <v>313</v>
      </c>
      <c r="B24" s="22"/>
      <c r="C24" s="22"/>
      <c r="D24" s="22"/>
      <c r="E24" s="22"/>
      <c r="F24" s="22"/>
      <c r="G24" s="22"/>
      <c r="H24" s="23"/>
      <c r="I24" s="22"/>
      <c r="J24" s="17" t="str">
        <f aca="false">IF(AND($B24&lt;&gt;"",$C24&lt;&gt;""),$A24,"")</f>
        <v/>
      </c>
    </row>
    <row r="25" customFormat="false" ht="15" hidden="false" customHeight="false" outlineLevel="0" collapsed="false">
      <c r="A25" s="17" t="s">
        <v>314</v>
      </c>
      <c r="B25" s="22"/>
      <c r="C25" s="22"/>
      <c r="D25" s="22"/>
      <c r="E25" s="22"/>
      <c r="F25" s="22"/>
      <c r="G25" s="22"/>
      <c r="H25" s="23"/>
      <c r="I25" s="22"/>
      <c r="J25" s="17" t="str">
        <f aca="false">IF(AND($B25&lt;&gt;"",$C25&lt;&gt;""),$A25,"")</f>
        <v/>
      </c>
    </row>
    <row r="26" customFormat="false" ht="15" hidden="false" customHeight="false" outlineLevel="0" collapsed="false">
      <c r="A26" s="17" t="s">
        <v>315</v>
      </c>
      <c r="B26" s="22"/>
      <c r="C26" s="22"/>
      <c r="D26" s="22"/>
      <c r="E26" s="22"/>
      <c r="F26" s="22"/>
      <c r="G26" s="22"/>
      <c r="H26" s="23"/>
      <c r="I26" s="22"/>
      <c r="J26" s="17" t="str">
        <f aca="false">IF(AND($B26&lt;&gt;"",$C26&lt;&gt;""),$A26,"")</f>
        <v/>
      </c>
    </row>
    <row r="27" customFormat="false" ht="15" hidden="false" customHeight="false" outlineLevel="0" collapsed="false">
      <c r="A27" s="17" t="s">
        <v>316</v>
      </c>
      <c r="B27" s="22"/>
      <c r="C27" s="22"/>
      <c r="D27" s="22"/>
      <c r="E27" s="22"/>
      <c r="F27" s="22"/>
      <c r="G27" s="22"/>
      <c r="H27" s="23"/>
      <c r="I27" s="22"/>
      <c r="J27" s="17" t="str">
        <f aca="false">IF(AND($B27&lt;&gt;"",$C27&lt;&gt;""),$A27,"")</f>
        <v/>
      </c>
    </row>
    <row r="28" customFormat="false" ht="15" hidden="false" customHeight="false" outlineLevel="0" collapsed="false">
      <c r="A28" s="17" t="s">
        <v>317</v>
      </c>
      <c r="B28" s="22"/>
      <c r="C28" s="22"/>
      <c r="D28" s="22"/>
      <c r="E28" s="22"/>
      <c r="F28" s="22"/>
      <c r="G28" s="22"/>
      <c r="H28" s="23"/>
      <c r="I28" s="22"/>
      <c r="J28" s="17" t="str">
        <f aca="false">IF(AND($B28&lt;&gt;"",$C28&lt;&gt;""),$A28,"")</f>
        <v/>
      </c>
    </row>
    <row r="29" customFormat="false" ht="15" hidden="false" customHeight="false" outlineLevel="0" collapsed="false">
      <c r="A29" s="17" t="s">
        <v>318</v>
      </c>
      <c r="B29" s="22"/>
      <c r="C29" s="22"/>
      <c r="D29" s="22"/>
      <c r="E29" s="22"/>
      <c r="F29" s="22"/>
      <c r="G29" s="22"/>
      <c r="H29" s="23"/>
      <c r="I29" s="22"/>
      <c r="J29" s="17" t="str">
        <f aca="false">IF(AND($B29&lt;&gt;"",$C29&lt;&gt;""),$A29,"")</f>
        <v/>
      </c>
    </row>
    <row r="30" customFormat="false" ht="15" hidden="false" customHeight="false" outlineLevel="0" collapsed="false">
      <c r="A30" s="17" t="s">
        <v>319</v>
      </c>
      <c r="B30" s="22"/>
      <c r="C30" s="22"/>
      <c r="D30" s="22"/>
      <c r="E30" s="22"/>
      <c r="F30" s="22"/>
      <c r="G30" s="22"/>
      <c r="H30" s="23"/>
      <c r="I30" s="22"/>
      <c r="J30" s="17" t="str">
        <f aca="false">IF(AND($B30&lt;&gt;"",$C30&lt;&gt;""),$A30,"")</f>
        <v/>
      </c>
    </row>
    <row r="31" customFormat="false" ht="15" hidden="false" customHeight="false" outlineLevel="0" collapsed="false">
      <c r="A31" s="17" t="s">
        <v>320</v>
      </c>
      <c r="B31" s="22"/>
      <c r="C31" s="22"/>
      <c r="D31" s="22"/>
      <c r="E31" s="22"/>
      <c r="F31" s="22"/>
      <c r="G31" s="22"/>
      <c r="H31" s="23"/>
      <c r="I31" s="22"/>
      <c r="J31" s="17" t="str">
        <f aca="false">IF(AND($B31&lt;&gt;"",$C31&lt;&gt;""),$A31,"")</f>
        <v/>
      </c>
    </row>
    <row r="32" customFormat="false" ht="15" hidden="false" customHeight="false" outlineLevel="0" collapsed="false">
      <c r="A32" s="17" t="s">
        <v>321</v>
      </c>
      <c r="B32" s="22"/>
      <c r="C32" s="22"/>
      <c r="D32" s="22"/>
      <c r="E32" s="22"/>
      <c r="F32" s="22"/>
      <c r="G32" s="22"/>
      <c r="H32" s="23"/>
      <c r="I32" s="22"/>
      <c r="J32" s="17" t="str">
        <f aca="false">IF(AND($B32&lt;&gt;"",$C32&lt;&gt;""),$A32,"")</f>
        <v/>
      </c>
    </row>
    <row r="33" customFormat="false" ht="15" hidden="false" customHeight="false" outlineLevel="0" collapsed="false">
      <c r="A33" s="17" t="s">
        <v>322</v>
      </c>
      <c r="B33" s="22"/>
      <c r="C33" s="22"/>
      <c r="D33" s="22"/>
      <c r="E33" s="22"/>
      <c r="F33" s="22"/>
      <c r="G33" s="22"/>
      <c r="H33" s="23"/>
      <c r="I33" s="22"/>
      <c r="J33" s="17" t="str">
        <f aca="false">IF(AND($B33&lt;&gt;"",$C33&lt;&gt;""),$A33,"")</f>
        <v/>
      </c>
    </row>
    <row r="34" customFormat="false" ht="15" hidden="false" customHeight="false" outlineLevel="0" collapsed="false">
      <c r="A34" s="17" t="s">
        <v>323</v>
      </c>
      <c r="B34" s="22"/>
      <c r="C34" s="22"/>
      <c r="D34" s="22"/>
      <c r="E34" s="22"/>
      <c r="F34" s="22"/>
      <c r="G34" s="22"/>
      <c r="H34" s="23"/>
      <c r="I34" s="22"/>
      <c r="J34" s="17" t="str">
        <f aca="false">IF(AND($B34&lt;&gt;"",$C34&lt;&gt;""),$A34,"")</f>
        <v/>
      </c>
    </row>
    <row r="35" customFormat="false" ht="15" hidden="false" customHeight="false" outlineLevel="0" collapsed="false">
      <c r="A35" s="17" t="s">
        <v>324</v>
      </c>
      <c r="B35" s="22"/>
      <c r="C35" s="22"/>
      <c r="D35" s="22"/>
      <c r="E35" s="22"/>
      <c r="F35" s="22"/>
      <c r="G35" s="22"/>
      <c r="H35" s="23"/>
      <c r="I35" s="22"/>
      <c r="J35" s="17" t="str">
        <f aca="false">IF(AND($B35&lt;&gt;"",$C35&lt;&gt;""),$A35,"")</f>
        <v/>
      </c>
    </row>
    <row r="36" customFormat="false" ht="15" hidden="false" customHeight="false" outlineLevel="0" collapsed="false">
      <c r="A36" s="17" t="s">
        <v>325</v>
      </c>
      <c r="B36" s="22"/>
      <c r="C36" s="22"/>
      <c r="D36" s="22"/>
      <c r="E36" s="22"/>
      <c r="F36" s="22"/>
      <c r="G36" s="22"/>
      <c r="H36" s="23"/>
      <c r="I36" s="22"/>
      <c r="J36" s="17" t="str">
        <f aca="false">IF(AND($B36&lt;&gt;"",$C36&lt;&gt;""),$A36,"")</f>
        <v/>
      </c>
    </row>
    <row r="37" customFormat="false" ht="15" hidden="false" customHeight="false" outlineLevel="0" collapsed="false">
      <c r="A37" s="17" t="s">
        <v>326</v>
      </c>
      <c r="B37" s="22"/>
      <c r="C37" s="22"/>
      <c r="D37" s="22"/>
      <c r="E37" s="22"/>
      <c r="F37" s="22"/>
      <c r="G37" s="22"/>
      <c r="H37" s="23"/>
      <c r="I37" s="22"/>
      <c r="J37" s="17" t="str">
        <f aca="false">IF(AND($B37&lt;&gt;"",$C37&lt;&gt;""),$A37,"")</f>
        <v/>
      </c>
    </row>
    <row r="38" customFormat="false" ht="15" hidden="false" customHeight="false" outlineLevel="0" collapsed="false">
      <c r="A38" s="17" t="s">
        <v>327</v>
      </c>
      <c r="B38" s="22"/>
      <c r="C38" s="22"/>
      <c r="D38" s="22"/>
      <c r="E38" s="22"/>
      <c r="F38" s="22"/>
      <c r="G38" s="22"/>
      <c r="H38" s="23"/>
      <c r="I38" s="22"/>
      <c r="J38" s="17" t="str">
        <f aca="false">IF(AND($B38&lt;&gt;"",$C38&lt;&gt;""),$A38,"")</f>
        <v/>
      </c>
    </row>
    <row r="39" customFormat="false" ht="15" hidden="false" customHeight="false" outlineLevel="0" collapsed="false">
      <c r="A39" s="17" t="s">
        <v>328</v>
      </c>
      <c r="B39" s="22"/>
      <c r="C39" s="22"/>
      <c r="D39" s="22"/>
      <c r="E39" s="22"/>
      <c r="F39" s="22"/>
      <c r="G39" s="22"/>
      <c r="H39" s="23"/>
      <c r="I39" s="22"/>
      <c r="J39" s="17" t="str">
        <f aca="false">IF(AND($B39&lt;&gt;"",$C39&lt;&gt;""),$A39,"")</f>
        <v/>
      </c>
    </row>
    <row r="40" customFormat="false" ht="15" hidden="false" customHeight="false" outlineLevel="0" collapsed="false">
      <c r="A40" s="17" t="s">
        <v>329</v>
      </c>
      <c r="B40" s="22"/>
      <c r="C40" s="22"/>
      <c r="D40" s="22"/>
      <c r="E40" s="22"/>
      <c r="F40" s="22"/>
      <c r="G40" s="22"/>
      <c r="H40" s="23"/>
      <c r="I40" s="22"/>
      <c r="J40" s="17" t="str">
        <f aca="false">IF(AND($B40&lt;&gt;"",$C40&lt;&gt;""),$A40,"")</f>
        <v/>
      </c>
    </row>
    <row r="41" customFormat="false" ht="15" hidden="false" customHeight="false" outlineLevel="0" collapsed="false">
      <c r="A41" s="17" t="s">
        <v>330</v>
      </c>
      <c r="B41" s="22"/>
      <c r="C41" s="22"/>
      <c r="D41" s="22"/>
      <c r="E41" s="22"/>
      <c r="F41" s="22"/>
      <c r="G41" s="22"/>
      <c r="H41" s="23"/>
      <c r="I41" s="22"/>
      <c r="J41" s="17" t="str">
        <f aca="false">IF(AND($B41&lt;&gt;"",$C41&lt;&gt;""),$A41,"")</f>
        <v/>
      </c>
    </row>
    <row r="42" customFormat="false" ht="15" hidden="false" customHeight="false" outlineLevel="0" collapsed="false">
      <c r="A42" s="17" t="s">
        <v>331</v>
      </c>
      <c r="B42" s="22"/>
      <c r="C42" s="22"/>
      <c r="D42" s="22"/>
      <c r="E42" s="22"/>
      <c r="F42" s="22"/>
      <c r="G42" s="22"/>
      <c r="H42" s="23"/>
      <c r="I42" s="22"/>
      <c r="J42" s="17" t="str">
        <f aca="false">IF(AND($B42&lt;&gt;"",$C42&lt;&gt;""),$A42,"")</f>
        <v/>
      </c>
    </row>
    <row r="43" customFormat="false" ht="15" hidden="false" customHeight="false" outlineLevel="0" collapsed="false">
      <c r="A43" s="17" t="s">
        <v>332</v>
      </c>
      <c r="B43" s="22"/>
      <c r="C43" s="22"/>
      <c r="D43" s="22"/>
      <c r="E43" s="22"/>
      <c r="F43" s="22"/>
      <c r="G43" s="22"/>
      <c r="H43" s="23"/>
      <c r="I43" s="22"/>
      <c r="J43" s="17" t="str">
        <f aca="false">IF(AND($B43&lt;&gt;"",$C43&lt;&gt;""),$A43,"")</f>
        <v/>
      </c>
    </row>
    <row r="44" customFormat="false" ht="15" hidden="false" customHeight="false" outlineLevel="0" collapsed="false">
      <c r="A44" s="17" t="s">
        <v>333</v>
      </c>
      <c r="B44" s="22"/>
      <c r="C44" s="22"/>
      <c r="D44" s="22"/>
      <c r="E44" s="22"/>
      <c r="F44" s="22"/>
      <c r="G44" s="22"/>
      <c r="H44" s="23"/>
      <c r="I44" s="22"/>
      <c r="J44" s="17" t="str">
        <f aca="false">IF(AND($B44&lt;&gt;"",$C44&lt;&gt;""),$A44,"")</f>
        <v/>
      </c>
    </row>
    <row r="46" customFormat="false" ht="25.5" hidden="false" customHeight="true" outlineLevel="0" collapsed="false">
      <c r="A46" s="11" t="s">
        <v>334</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335</v>
      </c>
    </row>
    <row r="2" customFormat="false" ht="15" hidden="false" customHeight="false" outlineLevel="0" collapsed="false">
      <c r="A2" s="2" t="s">
        <v>336</v>
      </c>
      <c r="B2" s="2"/>
      <c r="C2" s="2"/>
      <c r="D2" s="2"/>
      <c r="E2" s="2"/>
      <c r="F2" s="2"/>
      <c r="G2" s="2"/>
      <c r="H2" s="2"/>
      <c r="I2" s="2"/>
      <c r="J2" s="2"/>
    </row>
    <row r="5" customFormat="false" ht="30" hidden="false" customHeight="true" outlineLevel="0" collapsed="false">
      <c r="A5" s="12" t="s">
        <v>337</v>
      </c>
      <c r="B5" s="12" t="s">
        <v>338</v>
      </c>
      <c r="C5" s="12" t="s">
        <v>165</v>
      </c>
      <c r="D5" s="12" t="s">
        <v>166</v>
      </c>
      <c r="E5" s="12" t="s">
        <v>339</v>
      </c>
      <c r="F5" s="12" t="s">
        <v>340</v>
      </c>
      <c r="G5" s="12" t="s">
        <v>341</v>
      </c>
      <c r="H5" s="12" t="s">
        <v>342</v>
      </c>
      <c r="I5" s="12" t="s">
        <v>343</v>
      </c>
      <c r="J5" s="12" t="s">
        <v>344</v>
      </c>
      <c r="K5" s="12" t="s">
        <v>345</v>
      </c>
      <c r="L5" s="12" t="s">
        <v>346</v>
      </c>
      <c r="M5" s="12" t="s">
        <v>347</v>
      </c>
      <c r="N5" s="12" t="s">
        <v>348</v>
      </c>
      <c r="O5" s="12" t="s">
        <v>349</v>
      </c>
      <c r="P5" s="12" t="s">
        <v>350</v>
      </c>
      <c r="Q5" s="12" t="s">
        <v>351</v>
      </c>
      <c r="R5" s="12" t="s">
        <v>352</v>
      </c>
      <c r="S5" s="12" t="s">
        <v>353</v>
      </c>
      <c r="T5" s="12" t="s">
        <v>354</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355</v>
      </c>
    </row>
    <row r="2" customFormat="false" ht="15" hidden="false" customHeight="false" outlineLevel="0" collapsed="false">
      <c r="A2" s="2" t="s">
        <v>356</v>
      </c>
      <c r="B2" s="2"/>
      <c r="C2" s="2"/>
      <c r="D2" s="2"/>
      <c r="E2" s="2"/>
      <c r="F2" s="2"/>
      <c r="G2" s="2"/>
      <c r="H2" s="2"/>
      <c r="I2" s="2"/>
      <c r="J2" s="2"/>
    </row>
    <row r="4" customFormat="false" ht="15" hidden="false" customHeight="false" outlineLevel="0" collapsed="false">
      <c r="A4" s="3" t="s">
        <v>357</v>
      </c>
    </row>
    <row r="5" customFormat="false" ht="15" hidden="false" customHeight="false" outlineLevel="0" collapsed="false">
      <c r="A5" s="6" t="s">
        <v>157</v>
      </c>
      <c r="B5" s="19" t="n">
        <v>290</v>
      </c>
    </row>
    <row r="6" customFormat="false" ht="15" hidden="false" customHeight="false" outlineLevel="0" collapsed="false">
      <c r="A6" s="6" t="s">
        <v>358</v>
      </c>
      <c r="B6" s="19" t="n">
        <v>180</v>
      </c>
    </row>
    <row r="7" customFormat="false" ht="15" hidden="false" customHeight="false" outlineLevel="0" collapsed="false">
      <c r="A7" s="6" t="s">
        <v>359</v>
      </c>
      <c r="B7" s="24" t="n">
        <f aca="false">IFERROR($B$6/$B$5,0)</f>
        <v>0.620689655172414</v>
      </c>
    </row>
    <row r="9" customFormat="false" ht="15" hidden="false" customHeight="false" outlineLevel="0" collapsed="false">
      <c r="A9" s="3" t="s">
        <v>360</v>
      </c>
    </row>
    <row r="10" customFormat="false" ht="15" hidden="false" customHeight="false" outlineLevel="0" collapsed="false">
      <c r="A10" s="6" t="s">
        <v>361</v>
      </c>
      <c r="B10" s="33" t="n">
        <f aca="false">SUM('5. Capacity asks'!$H$6:$H$305)</f>
        <v>0</v>
      </c>
    </row>
    <row r="11" customFormat="false" ht="15" hidden="false" customHeight="false" outlineLevel="0" collapsed="false">
      <c r="A11" s="6" t="s">
        <v>362</v>
      </c>
      <c r="B11" s="20" t="n">
        <f aca="false">SUMIFS('5. Capacity asks'!$H$6:$H$305,'5. Capacity asks'!$E$6:$E$305,"Permanent")</f>
        <v>0</v>
      </c>
    </row>
    <row r="12" customFormat="false" ht="15" hidden="false" customHeight="false" outlineLevel="0" collapsed="false">
      <c r="A12" s="6" t="s">
        <v>363</v>
      </c>
      <c r="B12" s="20" t="n">
        <f aca="false">SUMIFS('5. Capacity asks'!$H$6:$H$305,'5. Capacity asks'!$E$6:$E$305,"Insourced")</f>
        <v>0</v>
      </c>
    </row>
    <row r="13" customFormat="false" ht="15" hidden="false" customHeight="false" outlineLevel="0" collapsed="false">
      <c r="A13" s="6" t="s">
        <v>364</v>
      </c>
      <c r="B13" s="20" t="n">
        <f aca="false">SUMIFS('5. Capacity asks'!$H$6:$H$305,'5. Capacity asks'!$E$6:$E$305,"Outsourced")</f>
        <v>0</v>
      </c>
    </row>
    <row r="14" customFormat="false" ht="15" hidden="false" customHeight="false" outlineLevel="0" collapsed="false">
      <c r="A14" s="6" t="s">
        <v>365</v>
      </c>
      <c r="B14" s="34" t="n">
        <f aca="false">SUM('5. Capacity asks'!$Q$6:$Q$305)</f>
        <v>0</v>
      </c>
      <c r="C14" s="28" t="s">
        <v>366</v>
      </c>
    </row>
    <row r="15" customFormat="false" ht="15" hidden="false" customHeight="false" outlineLevel="0" collapsed="false">
      <c r="A15" s="6" t="s">
        <v>367</v>
      </c>
      <c r="B15" s="34" t="n">
        <f aca="false">SUM('5. Capacity asks'!$R$6:$R$305)</f>
        <v>0</v>
      </c>
    </row>
    <row r="17" customFormat="false" ht="15" hidden="false" customHeight="false" outlineLevel="0" collapsed="false">
      <c r="A17" s="3" t="s">
        <v>368</v>
      </c>
    </row>
    <row r="18" customFormat="false" ht="27.75" hidden="false" customHeight="true" outlineLevel="0" collapsed="false">
      <c r="A18" s="12" t="s">
        <v>369</v>
      </c>
      <c r="B18" s="12" t="s">
        <v>370</v>
      </c>
      <c r="C18" s="12" t="s">
        <v>371</v>
      </c>
      <c r="D18" s="12" t="s">
        <v>372</v>
      </c>
      <c r="E18" s="12" t="s">
        <v>373</v>
      </c>
      <c r="F18" s="12"/>
    </row>
    <row r="19" customFormat="false" ht="15" hidden="false" customHeight="false" outlineLevel="0" collapsed="false">
      <c r="A19" s="35" t="s">
        <v>374</v>
      </c>
      <c r="B19" s="36" t="n">
        <f aca="false">CostEnvelope</f>
        <v>4447</v>
      </c>
      <c r="C19" s="37" t="n">
        <f aca="false">$B$14</f>
        <v>0</v>
      </c>
      <c r="D19" s="38" t="n">
        <f aca="false">$B19-$C19</f>
        <v>4447</v>
      </c>
      <c r="E19" s="39" t="str">
        <f aca="false">IF($D19&gt;=0,"Within envelope","Over envelope")</f>
        <v>Within envelope</v>
      </c>
      <c r="F19" s="40" t="s">
        <v>375</v>
      </c>
    </row>
    <row r="20" customFormat="false" ht="15" hidden="false" customHeight="false" outlineLevel="0" collapsed="false">
      <c r="A20" s="35" t="s">
        <v>376</v>
      </c>
      <c r="B20" s="41" t="n">
        <f aca="false">HeadEnvelope</f>
        <v>16</v>
      </c>
      <c r="C20" s="42" t="n">
        <f aca="false">SUM('5. Capacity asks'!$H$6:$H$305)-SUMIFS('4. Structure changes'!$H$5:$H$44,'4. Structure changes'!$B$5:$B$44,"Close")-SUMIFS('4. Structure changes'!$H$5:$H$44,'4. Structure changes'!$B$5:$B$44,"Merge into another unit")</f>
        <v>0</v>
      </c>
      <c r="D20" s="43" t="n">
        <f aca="false">$B20-$C20</f>
        <v>16</v>
      </c>
      <c r="E20" s="39" t="str">
        <f aca="false">IF($D20&gt;=0,"Within envelope","Over envelope")</f>
        <v>Within envelope</v>
      </c>
      <c r="F20" s="40" t="s">
        <v>377</v>
      </c>
    </row>
    <row r="21" customFormat="false" ht="15" hidden="false" customHeight="false" outlineLevel="0" collapsed="false">
      <c r="A21" s="35" t="s">
        <v>378</v>
      </c>
      <c r="B21" s="44" t="n">
        <f aca="false">SaudiTarget</f>
        <v>0.72</v>
      </c>
      <c r="C21" s="45" t="n">
        <f aca="false">($B$6+SUMIFS('5. Capacity asks'!$H$6:$H$305,'5. Capacity asks'!$F$6:$F$305,"Saudi"))/($B$5+SUM('5. Capacity asks'!$H$6:$H$305))</f>
        <v>0.620689655172414</v>
      </c>
      <c r="D21" s="46" t="n">
        <f aca="false">$C21-$B21</f>
        <v>-0.0993103448275862</v>
      </c>
      <c r="E21" s="39" t="str">
        <f aca="false">IF($C21&gt;=$B21,"At or above target","Below target")</f>
        <v>Below target</v>
      </c>
      <c r="F21" s="40" t="s">
        <v>379</v>
      </c>
    </row>
    <row r="23" customFormat="false" ht="15" hidden="false" customHeight="false" outlineLevel="0" collapsed="false">
      <c r="A23" s="3" t="s">
        <v>380</v>
      </c>
      <c r="F23" s="29" t="s">
        <v>381</v>
      </c>
    </row>
    <row r="24" customFormat="false" ht="27.75" hidden="false" customHeight="true" outlineLevel="0" collapsed="false">
      <c r="A24" s="12" t="s">
        <v>382</v>
      </c>
      <c r="B24" s="12" t="s">
        <v>383</v>
      </c>
      <c r="C24" s="12" t="s">
        <v>384</v>
      </c>
      <c r="D24" s="12" t="s">
        <v>385</v>
      </c>
      <c r="E24" s="12" t="s">
        <v>386</v>
      </c>
      <c r="F24" s="12"/>
    </row>
    <row r="25" customFormat="false" ht="15" hidden="false" customHeight="false" outlineLevel="0" collapsed="false">
      <c r="A25" s="9" t="s">
        <v>387</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388</v>
      </c>
    </row>
    <row r="26" customFormat="false" ht="15" hidden="false" customHeight="false" outlineLevel="0" collapsed="false">
      <c r="A26" s="9" t="s">
        <v>389</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390</v>
      </c>
    </row>
    <row r="27" customFormat="false" ht="15" hidden="false" customHeight="false" outlineLevel="0" collapsed="false">
      <c r="A27" s="9" t="s">
        <v>391</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392</v>
      </c>
    </row>
    <row r="28" customFormat="false" ht="15" hidden="false" customHeight="false" outlineLevel="0" collapsed="false">
      <c r="A28" s="9" t="s">
        <v>393</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394</v>
      </c>
    </row>
    <row r="29" customFormat="false" ht="15" hidden="false" customHeight="false" outlineLevel="0" collapsed="false">
      <c r="A29" s="9" t="s">
        <v>395</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396</v>
      </c>
    </row>
    <row r="30" customFormat="false" ht="15" hidden="false" customHeight="false" outlineLevel="0" collapsed="false">
      <c r="A30" s="9" t="s">
        <v>397</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398</v>
      </c>
    </row>
    <row r="32" customFormat="false" ht="15" hidden="false" customHeight="false" outlineLevel="0" collapsed="false">
      <c r="A32" s="3" t="s">
        <v>399</v>
      </c>
    </row>
    <row r="33" customFormat="false" ht="27.75" hidden="false" customHeight="true" outlineLevel="0" collapsed="false">
      <c r="A33" s="12" t="s">
        <v>343</v>
      </c>
      <c r="B33" s="12" t="s">
        <v>400</v>
      </c>
      <c r="C33" s="12" t="s">
        <v>384</v>
      </c>
      <c r="D33" s="12" t="s">
        <v>401</v>
      </c>
      <c r="E33" s="12"/>
      <c r="F33" s="12"/>
    </row>
    <row r="34" customFormat="false" ht="15" hidden="false" customHeight="false" outlineLevel="0" collapsed="false">
      <c r="A34" s="9" t="s">
        <v>222</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402</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175</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188</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403</v>
      </c>
    </row>
    <row r="40" customFormat="false" ht="27.75" hidden="false" customHeight="true" outlineLevel="0" collapsed="false">
      <c r="A40" s="12" t="s">
        <v>112</v>
      </c>
      <c r="B40" s="12" t="s">
        <v>404</v>
      </c>
      <c r="C40" s="12" t="s">
        <v>405</v>
      </c>
      <c r="D40" s="12" t="s">
        <v>119</v>
      </c>
      <c r="E40" s="12" t="s">
        <v>406</v>
      </c>
      <c r="F40" s="12"/>
    </row>
    <row r="41" customFormat="false" ht="15" hidden="false" customHeight="false" outlineLevel="0" collapsed="false">
      <c r="A41" s="9" t="s">
        <v>407</v>
      </c>
      <c r="B41" s="38" t="n">
        <f aca="false">COUNTIF('2. Current capacity'!$E$5:$E$31,"Accounts serviced")</f>
        <v>0</v>
      </c>
      <c r="C41" s="43" t="n">
        <f aca="false">SUMIFS('2. Current capacity'!$C$5:$C$31,'2. Current capacity'!$E$5:$E$31,"Accounts serviced")</f>
        <v>0</v>
      </c>
      <c r="D41" s="43" t="n">
        <f aca="false">SUMIFS('2. Current capacity'!$L$5:$L$31,'2. Current capacity'!$E$5:$E$31,"Accounts serviced")</f>
        <v>0</v>
      </c>
      <c r="E41" s="43" t="n">
        <f aca="false">SUMIFS('2. Current capacity'!$M$5:$M$31,'2. Current capacity'!$E$5:$E$31,"Accounts serviced")</f>
        <v>0</v>
      </c>
      <c r="F41" s="17" t="s">
        <v>408</v>
      </c>
    </row>
    <row r="42" customFormat="false" ht="15" hidden="false" customHeight="false" outlineLevel="0" collapsed="false">
      <c r="A42" s="9" t="s">
        <v>409</v>
      </c>
      <c r="B42" s="38" t="n">
        <f aca="false">COUNTIF('2. Current capacity'!$E$5:$E$31,"Transactions processed")</f>
        <v>0</v>
      </c>
      <c r="C42" s="43" t="n">
        <f aca="false">SUMIFS('2. Current capacity'!$C$5:$C$31,'2. Current capacity'!$E$5:$E$31,"Transactions processed")</f>
        <v>0</v>
      </c>
      <c r="D42" s="43" t="n">
        <f aca="false">SUMIFS('2. Current capacity'!$L$5:$L$31,'2. Current capacity'!$E$5:$E$31,"Transactions processed")</f>
        <v>0</v>
      </c>
      <c r="E42" s="43" t="n">
        <f aca="false">SUMIFS('2. Current capacity'!$M$5:$M$31,'2. Current capacity'!$E$5:$E$31,"Transactions processed")</f>
        <v>0</v>
      </c>
      <c r="F42" s="17" t="s">
        <v>410</v>
      </c>
    </row>
    <row r="43" customFormat="false" ht="15" hidden="false" customHeight="false" outlineLevel="0" collapsed="false">
      <c r="A43" s="9" t="s">
        <v>411</v>
      </c>
      <c r="B43" s="38" t="n">
        <f aca="false">COUNTIF('2. Current capacity'!$E$5:$E$31,"Applications processed")</f>
        <v>0</v>
      </c>
      <c r="C43" s="43" t="n">
        <f aca="false">SUMIFS('2. Current capacity'!$C$5:$C$31,'2. Current capacity'!$E$5:$E$31,"Applications processed")</f>
        <v>0</v>
      </c>
      <c r="D43" s="43" t="n">
        <f aca="false">SUMIFS('2. Current capacity'!$L$5:$L$31,'2. Current capacity'!$E$5:$E$31,"Applications processed")</f>
        <v>0</v>
      </c>
      <c r="E43" s="43" t="n">
        <f aca="false">SUMIFS('2. Current capacity'!$M$5:$M$31,'2. Current capacity'!$E$5:$E$31,"Applications processed")</f>
        <v>0</v>
      </c>
      <c r="F43" s="17" t="s">
        <v>412</v>
      </c>
    </row>
    <row r="44" customFormat="false" ht="15" hidden="false" customHeight="false" outlineLevel="0" collapsed="false">
      <c r="A44" s="9" t="s">
        <v>413</v>
      </c>
      <c r="B44" s="38" t="n">
        <f aca="false">COUNTIF('2. Current capacity'!$E$5:$E$31,"Payments processed")</f>
        <v>0</v>
      </c>
      <c r="C44" s="43" t="n">
        <f aca="false">SUMIFS('2. Current capacity'!$C$5:$C$31,'2. Current capacity'!$E$5:$E$31,"Payments processed")</f>
        <v>0</v>
      </c>
      <c r="D44" s="43" t="n">
        <f aca="false">SUMIFS('2. Current capacity'!$L$5:$L$31,'2. Current capacity'!$E$5:$E$31,"Payments processed")</f>
        <v>0</v>
      </c>
      <c r="E44" s="43" t="n">
        <f aca="false">SUMIFS('2. Current capacity'!$M$5:$M$31,'2. Current capacity'!$E$5:$E$31,"Payments processed")</f>
        <v>0</v>
      </c>
      <c r="F44" s="17" t="s">
        <v>414</v>
      </c>
    </row>
    <row r="45" customFormat="false" ht="15" hidden="false" customHeight="false" outlineLevel="0" collapsed="false">
      <c r="A45" s="9" t="s">
        <v>415</v>
      </c>
      <c r="B45" s="38" t="n">
        <f aca="false">COUNTIF('2. Current capacity'!$E$5:$E$31,"Cases or tickets handled")</f>
        <v>0</v>
      </c>
      <c r="C45" s="43" t="n">
        <f aca="false">SUMIFS('2. Current capacity'!$C$5:$C$31,'2. Current capacity'!$E$5:$E$31,"Cases or tickets handled")</f>
        <v>0</v>
      </c>
      <c r="D45" s="43" t="n">
        <f aca="false">SUMIFS('2. Current capacity'!$L$5:$L$31,'2. Current capacity'!$E$5:$E$31,"Cases or tickets handled")</f>
        <v>0</v>
      </c>
      <c r="E45" s="43" t="n">
        <f aca="false">SUMIFS('2. Current capacity'!$M$5:$M$31,'2. Current capacity'!$E$5:$E$31,"Cases or tickets handled")</f>
        <v>0</v>
      </c>
      <c r="F45" s="17" t="s">
        <v>416</v>
      </c>
    </row>
    <row r="46" customFormat="false" ht="15" hidden="false" customHeight="false" outlineLevel="0" collapsed="false">
      <c r="A46" s="9" t="s">
        <v>417</v>
      </c>
      <c r="B46" s="38" t="n">
        <f aca="false">COUNTIF('2. Current capacity'!$E$5:$E$31,"Calls handled")</f>
        <v>0</v>
      </c>
      <c r="C46" s="43" t="n">
        <f aca="false">SUMIFS('2. Current capacity'!$C$5:$C$31,'2. Current capacity'!$E$5:$E$31,"Calls handled")</f>
        <v>0</v>
      </c>
      <c r="D46" s="43" t="n">
        <f aca="false">SUMIFS('2. Current capacity'!$L$5:$L$31,'2. Current capacity'!$E$5:$E$31,"Calls handled")</f>
        <v>0</v>
      </c>
      <c r="E46" s="43" t="n">
        <f aca="false">SUMIFS('2. Current capacity'!$M$5:$M$31,'2. Current capacity'!$E$5:$E$31,"Calls handled")</f>
        <v>0</v>
      </c>
      <c r="F46" s="17" t="s">
        <v>418</v>
      </c>
    </row>
    <row r="47" customFormat="false" ht="15" hidden="false" customHeight="false" outlineLevel="0" collapsed="false">
      <c r="A47" s="9" t="s">
        <v>419</v>
      </c>
      <c r="B47" s="38" t="n">
        <f aca="false">COUNTIF('2. Current capacity'!$E$5:$E$31,"Customers covered")</f>
        <v>0</v>
      </c>
      <c r="C47" s="43" t="n">
        <f aca="false">SUMIFS('2. Current capacity'!$C$5:$C$31,'2. Current capacity'!$E$5:$E$31,"Customers covered")</f>
        <v>0</v>
      </c>
      <c r="D47" s="43" t="n">
        <f aca="false">SUMIFS('2. Current capacity'!$L$5:$L$31,'2. Current capacity'!$E$5:$E$31,"Customers covered")</f>
        <v>0</v>
      </c>
      <c r="E47" s="43" t="n">
        <f aca="false">SUMIFS('2. Current capacity'!$M$5:$M$31,'2. Current capacity'!$E$5:$E$31,"Customers covered")</f>
        <v>0</v>
      </c>
      <c r="F47" s="17" t="s">
        <v>420</v>
      </c>
    </row>
    <row r="48" customFormat="false" ht="15" hidden="false" customHeight="false" outlineLevel="0" collapsed="false">
      <c r="A48" s="9" t="s">
        <v>421</v>
      </c>
      <c r="B48" s="38" t="n">
        <f aca="false">COUNTIF('2. Current capacity'!$E$5:$E$31,"Branches supported")</f>
        <v>0</v>
      </c>
      <c r="C48" s="43" t="n">
        <f aca="false">SUMIFS('2. Current capacity'!$C$5:$C$31,'2. Current capacity'!$E$5:$E$31,"Branches supported")</f>
        <v>0</v>
      </c>
      <c r="D48" s="43" t="n">
        <f aca="false">SUMIFS('2. Current capacity'!$L$5:$L$31,'2. Current capacity'!$E$5:$E$31,"Branches supported")</f>
        <v>0</v>
      </c>
      <c r="E48" s="43" t="n">
        <f aca="false">SUMIFS('2. Current capacity'!$M$5:$M$31,'2. Current capacity'!$E$5:$E$31,"Branches supported")</f>
        <v>0</v>
      </c>
      <c r="F48" s="17" t="s">
        <v>422</v>
      </c>
    </row>
    <row r="49" customFormat="false" ht="15" hidden="false" customHeight="false" outlineLevel="0" collapsed="false">
      <c r="A49" s="9" t="s">
        <v>423</v>
      </c>
      <c r="B49" s="38" t="n">
        <f aca="false">COUNTIF('2. Current capacity'!$E$5:$E$31,"Audits or reviews delivered")</f>
        <v>0</v>
      </c>
      <c r="C49" s="43" t="n">
        <f aca="false">SUMIFS('2. Current capacity'!$C$5:$C$31,'2. Current capacity'!$E$5:$E$31,"Audits or reviews delivered")</f>
        <v>0</v>
      </c>
      <c r="D49" s="43" t="n">
        <f aca="false">SUMIFS('2. Current capacity'!$L$5:$L$31,'2. Current capacity'!$E$5:$E$31,"Audits or reviews delivered")</f>
        <v>0</v>
      </c>
      <c r="E49" s="43" t="n">
        <f aca="false">SUMIFS('2. Current capacity'!$M$5:$M$31,'2. Current capacity'!$E$5:$E$31,"Audits or reviews delivered")</f>
        <v>0</v>
      </c>
      <c r="F49" s="17" t="s">
        <v>424</v>
      </c>
    </row>
    <row r="50" customFormat="false" ht="15" hidden="false" customHeight="false" outlineLevel="0" collapsed="false">
      <c r="A50" s="9" t="s">
        <v>425</v>
      </c>
      <c r="B50" s="38" t="n">
        <f aca="false">COUNTIF('2. Current capacity'!$E$5:$E$31,"Reports or returns produced")</f>
        <v>0</v>
      </c>
      <c r="C50" s="43" t="n">
        <f aca="false">SUMIFS('2. Current capacity'!$C$5:$C$31,'2. Current capacity'!$E$5:$E$31,"Reports or returns produced")</f>
        <v>0</v>
      </c>
      <c r="D50" s="43" t="n">
        <f aca="false">SUMIFS('2. Current capacity'!$L$5:$L$31,'2. Current capacity'!$E$5:$E$31,"Reports or returns produced")</f>
        <v>0</v>
      </c>
      <c r="E50" s="43" t="n">
        <f aca="false">SUMIFS('2. Current capacity'!$M$5:$M$31,'2. Current capacity'!$E$5:$E$31,"Reports or returns produced")</f>
        <v>0</v>
      </c>
      <c r="F50" s="17" t="s">
        <v>426</v>
      </c>
    </row>
    <row r="51" customFormat="false" ht="15" hidden="false" customHeight="false" outlineLevel="0" collapsed="false">
      <c r="A51" s="9" t="s">
        <v>427</v>
      </c>
      <c r="B51" s="38" t="n">
        <f aca="false">COUNTIF('2. Current capacity'!$E$5:$E$31,"Systems or applications supported")</f>
        <v>0</v>
      </c>
      <c r="C51" s="43" t="n">
        <f aca="false">SUMIFS('2. Current capacity'!$C$5:$C$31,'2. Current capacity'!$E$5:$E$31,"Systems or applications supported")</f>
        <v>0</v>
      </c>
      <c r="D51" s="43" t="n">
        <f aca="false">SUMIFS('2. Current capacity'!$L$5:$L$31,'2. Current capacity'!$E$5:$E$31,"Systems or applications supported")</f>
        <v>0</v>
      </c>
      <c r="E51" s="43" t="n">
        <f aca="false">SUMIFS('2. Current capacity'!$M$5:$M$31,'2. Current capacity'!$E$5:$E$31,"Systems or applications supported")</f>
        <v>0</v>
      </c>
      <c r="F51" s="17" t="s">
        <v>428</v>
      </c>
    </row>
    <row r="52" customFormat="false" ht="15" hidden="false" customHeight="false" outlineLevel="0" collapsed="false">
      <c r="A52" s="9" t="s">
        <v>429</v>
      </c>
      <c r="B52" s="38" t="n">
        <f aca="false">COUNTIF('2. Current capacity'!$E$5:$E$31,"Change requests delivered")</f>
        <v>0</v>
      </c>
      <c r="C52" s="43" t="n">
        <f aca="false">SUMIFS('2. Current capacity'!$C$5:$C$31,'2. Current capacity'!$E$5:$E$31,"Change requests delivered")</f>
        <v>0</v>
      </c>
      <c r="D52" s="43" t="n">
        <f aca="false">SUMIFS('2. Current capacity'!$L$5:$L$31,'2. Current capacity'!$E$5:$E$31,"Change requests delivered")</f>
        <v>0</v>
      </c>
      <c r="E52" s="43" t="n">
        <f aca="false">SUMIFS('2. Current capacity'!$M$5:$M$31,'2. Current capacity'!$E$5:$E$31,"Change requests delivered")</f>
        <v>0</v>
      </c>
      <c r="F52" s="17" t="s">
        <v>430</v>
      </c>
    </row>
    <row r="53" customFormat="false" ht="15" hidden="false" customHeight="false" outlineLevel="0" collapsed="false">
      <c r="A53" s="9" t="s">
        <v>431</v>
      </c>
      <c r="B53" s="38" t="n">
        <f aca="false">COUNTIF('2. Current capacity'!$E$5:$E$31,"Headcount supported")</f>
        <v>0</v>
      </c>
      <c r="C53" s="43" t="n">
        <f aca="false">SUMIFS('2. Current capacity'!$C$5:$C$31,'2. Current capacity'!$E$5:$E$31,"Headcount supported")</f>
        <v>0</v>
      </c>
      <c r="D53" s="43" t="n">
        <f aca="false">SUMIFS('2. Current capacity'!$L$5:$L$31,'2. Current capacity'!$E$5:$E$31,"Headcount supported")</f>
        <v>0</v>
      </c>
      <c r="E53" s="43" t="n">
        <f aca="false">SUMIFS('2. Current capacity'!$M$5:$M$31,'2. Current capacity'!$E$5:$E$31,"Headcount supported")</f>
        <v>0</v>
      </c>
      <c r="F53" s="17" t="s">
        <v>432</v>
      </c>
    </row>
    <row r="54" customFormat="false" ht="15" hidden="false" customHeight="false" outlineLevel="0" collapsed="false">
      <c r="A54" s="9" t="s">
        <v>433</v>
      </c>
      <c r="B54" s="38" t="n">
        <f aca="false">COUNTIF('2. Current capacity'!$E$5:$E$31,"Group-specific driver 1")</f>
        <v>0</v>
      </c>
      <c r="C54" s="43" t="n">
        <f aca="false">SUMIFS('2. Current capacity'!$C$5:$C$31,'2. Current capacity'!$E$5:$E$31,"Group-specific driver 1")</f>
        <v>0</v>
      </c>
      <c r="D54" s="43" t="n">
        <f aca="false">SUMIFS('2. Current capacity'!$L$5:$L$31,'2. Current capacity'!$E$5:$E$31,"Group-specific driver 1")</f>
        <v>0</v>
      </c>
      <c r="E54" s="43" t="n">
        <f aca="false">SUMIFS('2. Current capacity'!$M$5:$M$31,'2. Current capacity'!$E$5:$E$31,"Group-specific driver 1")</f>
        <v>0</v>
      </c>
      <c r="F54" s="17" t="s">
        <v>434</v>
      </c>
    </row>
    <row r="55" customFormat="false" ht="15" hidden="false" customHeight="false" outlineLevel="0" collapsed="false">
      <c r="A55" s="9" t="s">
        <v>435</v>
      </c>
      <c r="B55" s="38" t="n">
        <f aca="false">COUNTIF('2. Current capacity'!$E$5:$E$31,"Group-specific driver 2")</f>
        <v>0</v>
      </c>
      <c r="C55" s="43" t="n">
        <f aca="false">SUMIFS('2. Current capacity'!$C$5:$C$31,'2. Current capacity'!$E$5:$E$31,"Group-specific driver 2")</f>
        <v>0</v>
      </c>
      <c r="D55" s="43" t="n">
        <f aca="false">SUMIFS('2. Current capacity'!$L$5:$L$31,'2. Current capacity'!$E$5:$E$31,"Group-specific driver 2")</f>
        <v>0</v>
      </c>
      <c r="E55" s="43" t="n">
        <f aca="false">SUMIFS('2. Current capacity'!$M$5:$M$31,'2. Current capacity'!$E$5:$E$31,"Group-specific driver 2")</f>
        <v>0</v>
      </c>
      <c r="F55" s="17" t="s">
        <v>434</v>
      </c>
    </row>
    <row r="56" customFormat="false" ht="15" hidden="false" customHeight="false" outlineLevel="0" collapsed="false">
      <c r="A56" s="6" t="s">
        <v>436</v>
      </c>
      <c r="E56" s="47" t="n">
        <f aca="false">SUM($E$41:$E$55)</f>
        <v>0</v>
      </c>
      <c r="F56" s="48" t="s">
        <v>437</v>
      </c>
    </row>
    <row r="57" customFormat="false" ht="22.35" hidden="false" customHeight="false" outlineLevel="0" collapsed="false">
      <c r="A57" s="6" t="s">
        <v>438</v>
      </c>
      <c r="E57" s="47" t="n">
        <f aca="false">$B$10</f>
        <v>0</v>
      </c>
      <c r="F57" s="48" t="s">
        <v>439</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440</v>
      </c>
    </row>
    <row r="2" customFormat="false" ht="15" hidden="false" customHeight="false" outlineLevel="0" collapsed="false">
      <c r="A2" s="2" t="s">
        <v>441</v>
      </c>
      <c r="B2" s="2"/>
      <c r="C2" s="2"/>
      <c r="D2" s="2"/>
      <c r="E2" s="2"/>
      <c r="F2" s="2"/>
      <c r="G2" s="2"/>
      <c r="H2" s="2"/>
      <c r="I2" s="2"/>
      <c r="J2" s="2"/>
    </row>
    <row r="4" customFormat="false" ht="15" hidden="false" customHeight="false" outlineLevel="0" collapsed="false">
      <c r="A4" s="3" t="s">
        <v>442</v>
      </c>
    </row>
    <row r="5" customFormat="false" ht="27.75" hidden="false" customHeight="true" outlineLevel="0" collapsed="false">
      <c r="A5" s="12" t="s">
        <v>443</v>
      </c>
      <c r="B5" s="12" t="s">
        <v>444</v>
      </c>
      <c r="C5" s="12" t="s">
        <v>373</v>
      </c>
      <c r="D5" s="12" t="s">
        <v>2</v>
      </c>
    </row>
    <row r="6" customFormat="false" ht="25.5" hidden="false" customHeight="true" outlineLevel="0" collapsed="false">
      <c r="A6" s="9" t="s">
        <v>445</v>
      </c>
      <c r="B6" s="38" t="n">
        <f aca="false">COUNTIF('5. Capacity asks'!$S$6:$S$305,"?*")</f>
        <v>0</v>
      </c>
      <c r="C6" s="49" t="str">
        <f aca="false">IF($B6=0,"OK","Fix")</f>
        <v>OK</v>
      </c>
      <c r="D6" s="40" t="s">
        <v>446</v>
      </c>
    </row>
    <row r="7" customFormat="false" ht="25.5" hidden="false" customHeight="true" outlineLevel="0" collapsed="false">
      <c r="A7" s="9" t="s">
        <v>447</v>
      </c>
      <c r="B7" s="38" t="n">
        <f aca="false">SUMPRODUCT(('5. Capacity asks'!$B$6:$B$305&lt;&gt;"")*(COUNTIF(UnitList,'5. Capacity asks'!$B$6:$B$305)=0)*(COUNTIF('4. Structure changes'!$J$5:$J$44,'5. Capacity asks'!$B$6:$B$305)=0))</f>
        <v>0</v>
      </c>
      <c r="C7" s="49" t="str">
        <f aca="false">IF($B7=0,"OK","Fix")</f>
        <v>OK</v>
      </c>
      <c r="D7" s="40" t="s">
        <v>448</v>
      </c>
    </row>
    <row r="8" customFormat="false" ht="25.5" hidden="false" customHeight="true" outlineLevel="0" collapsed="false">
      <c r="A8" s="9" t="s">
        <v>449</v>
      </c>
      <c r="B8" s="38" t="n">
        <f aca="false">COUNTBLANK('3. Attrition &amp; pipeline'!$E$77:$E$111)</f>
        <v>35</v>
      </c>
      <c r="C8" s="49" t="str">
        <f aca="false">IF($B8=0,"OK","Fix")</f>
        <v>Fix</v>
      </c>
      <c r="D8" s="40" t="s">
        <v>450</v>
      </c>
    </row>
    <row r="9" customFormat="false" ht="25.5" hidden="false" customHeight="true" outlineLevel="0" collapsed="false">
      <c r="A9" s="9" t="s">
        <v>451</v>
      </c>
      <c r="B9" s="38" t="n">
        <f aca="false">SUMPRODUCT(('3. Attrition &amp; pipeline'!$B$14:$B$73&lt;&gt;"")*('3. Attrition &amp; pipeline'!$G$14:$G$73=""))</f>
        <v>0</v>
      </c>
      <c r="C9" s="49" t="str">
        <f aca="false">IF($B9=0,"OK","Fix")</f>
        <v>OK</v>
      </c>
      <c r="D9" s="40" t="s">
        <v>452</v>
      </c>
    </row>
    <row r="10" customFormat="false" ht="25.5" hidden="false" customHeight="true" outlineLevel="0" collapsed="false">
      <c r="A10" s="9" t="s">
        <v>453</v>
      </c>
      <c r="B10" s="38" t="n">
        <f aca="false">SUMPRODUCT(('2. Current capacity'!$A$5:$A$31&lt;&gt;"")*('2. Current capacity'!$E$5:$E$31=""))</f>
        <v>27</v>
      </c>
      <c r="C10" s="49" t="str">
        <f aca="false">IF($B10=0,"OK","Fix")</f>
        <v>Fix</v>
      </c>
      <c r="D10" s="40" t="s">
        <v>454</v>
      </c>
    </row>
    <row r="11" customFormat="false" ht="25.5" hidden="false" customHeight="true" outlineLevel="0" collapsed="false">
      <c r="A11" s="9" t="s">
        <v>455</v>
      </c>
      <c r="B11" s="38" t="n">
        <f aca="false">SUMPRODUCT(('2. Current capacity'!$E$5:$E$31&lt;&gt;"")*((('2. Current capacity'!$F$5:$F$31="")+('2. Current capacity'!$G$5:$G$31="")+('2. Current capacity'!$I$5:$I$31=""))&gt;0))</f>
        <v>0</v>
      </c>
      <c r="C11" s="49" t="str">
        <f aca="false">IF($B11=0,"OK","Fix")</f>
        <v>OK</v>
      </c>
      <c r="D11" s="40" t="s">
        <v>456</v>
      </c>
    </row>
    <row r="12" customFormat="false" ht="25.5" hidden="false" customHeight="true" outlineLevel="0" collapsed="false">
      <c r="A12" s="9" t="s">
        <v>457</v>
      </c>
      <c r="B12" s="38" t="n">
        <f aca="false">SUMPRODUCT(('4. Structure changes'!$B$5:$B$44&lt;&gt;"")*((('4. Structure changes'!$C$5:$C$44="")+('4. Structure changes'!$D$5:$D$44="")+('4. Structure changes'!$G$5:$G$44=""))&gt;0))</f>
        <v>0</v>
      </c>
      <c r="C12" s="49" t="str">
        <f aca="false">IF($B12=0,"OK","Fix")</f>
        <v>OK</v>
      </c>
      <c r="D12" s="40" t="s">
        <v>458</v>
      </c>
    </row>
    <row r="14" customFormat="false" ht="15" hidden="false" customHeight="false" outlineLevel="0" collapsed="false">
      <c r="A14" s="3" t="s">
        <v>459</v>
      </c>
    </row>
    <row r="15" customFormat="false" ht="27.75" hidden="false" customHeight="true" outlineLevel="0" collapsed="false">
      <c r="A15" s="12" t="s">
        <v>443</v>
      </c>
      <c r="B15" s="12" t="s">
        <v>444</v>
      </c>
      <c r="C15" s="12" t="s">
        <v>373</v>
      </c>
      <c r="D15" s="12" t="s">
        <v>2</v>
      </c>
    </row>
    <row r="16" customFormat="false" ht="25.5" hidden="false" customHeight="true" outlineLevel="0" collapsed="false">
      <c r="A16" s="9" t="s">
        <v>460</v>
      </c>
      <c r="B16" s="38" t="n">
        <f aca="false">IF('6. My position'!$C$19&gt;'6. My position'!$B$19,1,0)</f>
        <v>0</v>
      </c>
      <c r="C16" s="49" t="str">
        <f aca="false">IF($B16=0,"OK","Review")</f>
        <v>OK</v>
      </c>
      <c r="D16" s="40" t="s">
        <v>461</v>
      </c>
    </row>
    <row r="17" customFormat="false" ht="25.5" hidden="false" customHeight="true" outlineLevel="0" collapsed="false">
      <c r="A17" s="9" t="s">
        <v>462</v>
      </c>
      <c r="B17" s="38" t="n">
        <f aca="false">IF('6. My position'!$C$20&gt;'6. My position'!$B$20,1,0)</f>
        <v>0</v>
      </c>
      <c r="C17" s="49" t="str">
        <f aca="false">IF($B17=0,"OK","Review")</f>
        <v>OK</v>
      </c>
      <c r="D17" s="40" t="s">
        <v>463</v>
      </c>
    </row>
    <row r="18" customFormat="false" ht="25.5" hidden="false" customHeight="true" outlineLevel="0" collapsed="false">
      <c r="A18" s="9" t="s">
        <v>464</v>
      </c>
      <c r="B18" s="38" t="n">
        <f aca="false">IF('6. My position'!$C$21&lt;'6. My position'!$B$21,1,0)</f>
        <v>1</v>
      </c>
      <c r="C18" s="49" t="str">
        <f aca="false">IF($B18=0,"OK","Review")</f>
        <v>Review</v>
      </c>
      <c r="D18" s="40" t="s">
        <v>465</v>
      </c>
    </row>
    <row r="20" customFormat="false" ht="15" hidden="false" customHeight="false" outlineLevel="0" collapsed="false">
      <c r="A20" s="3" t="s">
        <v>466</v>
      </c>
      <c r="D20" s="29" t="s">
        <v>467</v>
      </c>
    </row>
    <row r="21" customFormat="false" ht="27.75" hidden="false" customHeight="true" outlineLevel="0" collapsed="false">
      <c r="A21" s="12" t="s">
        <v>468</v>
      </c>
      <c r="B21" s="12" t="s">
        <v>30</v>
      </c>
      <c r="C21" s="12" t="s">
        <v>165</v>
      </c>
      <c r="D21" s="12" t="s">
        <v>469</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470</v>
      </c>
    </row>
    <row r="49" customFormat="false" ht="15" hidden="false" customHeight="false" outlineLevel="0" collapsed="false">
      <c r="A49" s="6" t="s">
        <v>471</v>
      </c>
      <c r="B49" s="51" t="str">
        <f aca="false">IF(SUM($B$6:$B$12)=0,"Yes","No")</f>
        <v>No</v>
      </c>
      <c r="C49" s="28" t="s">
        <v>472</v>
      </c>
    </row>
    <row r="50" customFormat="false" ht="15" hidden="false" customHeight="false" outlineLevel="0" collapsed="false">
      <c r="A50" s="6" t="s">
        <v>473</v>
      </c>
      <c r="B50" s="22"/>
    </row>
    <row r="51" customFormat="false" ht="15" hidden="false" customHeight="false" outlineLevel="0" collapsed="false">
      <c r="A51" s="6" t="s">
        <v>474</v>
      </c>
      <c r="B51" s="22"/>
    </row>
    <row r="52" customFormat="false" ht="15" hidden="false" customHeight="false" outlineLevel="0" collapsed="false">
      <c r="A52" s="6" t="s">
        <v>475</v>
      </c>
      <c r="B52" s="22"/>
    </row>
    <row r="53" customFormat="false" ht="15" hidden="false" customHeight="false" outlineLevel="0" collapsed="false">
      <c r="A53" s="3" t="s">
        <v>476</v>
      </c>
      <c r="B53" s="52" t="s">
        <v>477</v>
      </c>
      <c r="C53" s="28" t="s">
        <v>478</v>
      </c>
    </row>
    <row r="55" customFormat="false" ht="25.5" hidden="false" customHeight="true" outlineLevel="0" collapsed="false">
      <c r="A55" s="11" t="s">
        <v>479</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480</v>
      </c>
    </row>
    <row r="2" customFormat="false" ht="15" hidden="false" customHeight="false" outlineLevel="0" collapsed="false">
      <c r="A2" s="2" t="s">
        <v>481</v>
      </c>
      <c r="B2" s="2"/>
      <c r="C2" s="2"/>
      <c r="D2" s="2"/>
      <c r="E2" s="2"/>
      <c r="F2" s="2"/>
      <c r="G2" s="2"/>
      <c r="H2" s="2"/>
      <c r="I2" s="2"/>
      <c r="J2" s="2"/>
    </row>
    <row r="4" customFormat="false" ht="15" hidden="false" customHeight="false" outlineLevel="0" collapsed="false">
      <c r="A4" s="3" t="s">
        <v>482</v>
      </c>
    </row>
    <row r="5" customFormat="false" ht="15" hidden="false" customHeight="false" outlineLevel="0" collapsed="false">
      <c r="A5" s="6" t="s">
        <v>483</v>
      </c>
      <c r="B5" s="53" t="n">
        <v>2027</v>
      </c>
    </row>
    <row r="6" customFormat="false" ht="15" hidden="false" customHeight="false" outlineLevel="0" collapsed="false">
      <c r="A6" s="6" t="s">
        <v>484</v>
      </c>
      <c r="B6" s="53" t="n">
        <v>2026</v>
      </c>
    </row>
    <row r="7" customFormat="false" ht="15" hidden="false" customHeight="false" outlineLevel="0" collapsed="false">
      <c r="A7" s="6" t="s">
        <v>37</v>
      </c>
      <c r="B7" s="53" t="s">
        <v>38</v>
      </c>
    </row>
    <row r="8" customFormat="false" ht="15" hidden="false" customHeight="false" outlineLevel="0" collapsed="false">
      <c r="A8" s="6" t="s">
        <v>485</v>
      </c>
      <c r="B8" s="54" t="n">
        <v>0.09</v>
      </c>
    </row>
    <row r="9" customFormat="false" ht="15" hidden="false" customHeight="false" outlineLevel="0" collapsed="false">
      <c r="A9" s="6" t="s">
        <v>486</v>
      </c>
      <c r="B9" s="54" t="n">
        <v>0.03</v>
      </c>
    </row>
    <row r="10" customFormat="false" ht="15" hidden="false" customHeight="false" outlineLevel="0" collapsed="false">
      <c r="A10" s="6" t="s">
        <v>487</v>
      </c>
      <c r="B10" s="54" t="n">
        <v>0.04</v>
      </c>
    </row>
    <row r="11" customFormat="false" ht="15" hidden="false" customHeight="false" outlineLevel="0" collapsed="false">
      <c r="A11" s="6" t="s">
        <v>488</v>
      </c>
      <c r="B11" s="54" t="n">
        <v>0.1175</v>
      </c>
    </row>
    <row r="12" customFormat="false" ht="15" hidden="false" customHeight="false" outlineLevel="0" collapsed="false">
      <c r="A12" s="6" t="s">
        <v>489</v>
      </c>
      <c r="B12" s="54" t="n">
        <v>0.02</v>
      </c>
    </row>
    <row r="13" customFormat="false" ht="15" hidden="false" customHeight="false" outlineLevel="0" collapsed="false">
      <c r="A13" s="6" t="s">
        <v>490</v>
      </c>
      <c r="B13" s="55" t="n">
        <v>12</v>
      </c>
    </row>
    <row r="14" customFormat="false" ht="15" hidden="false" customHeight="false" outlineLevel="0" collapsed="false">
      <c r="A14" s="6" t="s">
        <v>491</v>
      </c>
      <c r="B14" s="55" t="n">
        <v>45</v>
      </c>
    </row>
    <row r="16" customFormat="false" ht="15" hidden="false" customHeight="false" outlineLevel="0" collapsed="false">
      <c r="A16" s="3" t="s">
        <v>492</v>
      </c>
    </row>
    <row r="17" customFormat="false" ht="15" hidden="false" customHeight="false" outlineLevel="0" collapsed="false">
      <c r="A17" s="6" t="s">
        <v>493</v>
      </c>
      <c r="B17" s="55" t="n">
        <v>4447</v>
      </c>
    </row>
    <row r="18" customFormat="false" ht="15" hidden="false" customHeight="false" outlineLevel="0" collapsed="false">
      <c r="A18" s="6" t="s">
        <v>494</v>
      </c>
      <c r="B18" s="55" t="n">
        <v>16</v>
      </c>
    </row>
    <row r="19" customFormat="false" ht="15" hidden="false" customHeight="false" outlineLevel="0" collapsed="false">
      <c r="A19" s="6" t="s">
        <v>495</v>
      </c>
      <c r="B19" s="54" t="n">
        <v>0.72</v>
      </c>
    </row>
    <row r="21" customFormat="false" ht="15" hidden="false" customHeight="false" outlineLevel="0" collapsed="false">
      <c r="A21" s="3" t="s">
        <v>496</v>
      </c>
      <c r="F21" s="29" t="s">
        <v>497</v>
      </c>
    </row>
    <row r="22" customFormat="false" ht="30" hidden="false" customHeight="true" outlineLevel="0" collapsed="false">
      <c r="A22" s="12" t="s">
        <v>166</v>
      </c>
      <c r="B22" s="12" t="s">
        <v>498</v>
      </c>
      <c r="C22" s="12" t="s">
        <v>499</v>
      </c>
      <c r="D22" s="12" t="s">
        <v>500</v>
      </c>
      <c r="E22" s="12" t="s">
        <v>501</v>
      </c>
      <c r="F22" s="12" t="s">
        <v>346</v>
      </c>
    </row>
    <row r="23" customFormat="false" ht="15" hidden="false" customHeight="false" outlineLevel="0" collapsed="false">
      <c r="A23" s="0" t="s">
        <v>201</v>
      </c>
      <c r="B23" s="21" t="n">
        <v>96</v>
      </c>
      <c r="C23" s="21" t="n">
        <v>24</v>
      </c>
      <c r="D23" s="21" t="n">
        <v>12</v>
      </c>
      <c r="E23" s="56" t="n">
        <v>0.05</v>
      </c>
      <c r="F23" s="0" t="n">
        <v>1</v>
      </c>
    </row>
    <row r="24" customFormat="false" ht="15" hidden="false" customHeight="false" outlineLevel="0" collapsed="false">
      <c r="A24" s="0" t="s">
        <v>173</v>
      </c>
      <c r="B24" s="21" t="n">
        <v>120</v>
      </c>
      <c r="C24" s="21" t="n">
        <v>30</v>
      </c>
      <c r="D24" s="21" t="n">
        <v>12</v>
      </c>
      <c r="E24" s="56" t="n">
        <v>0.06</v>
      </c>
      <c r="F24" s="0" t="n">
        <v>2</v>
      </c>
    </row>
    <row r="25" customFormat="false" ht="15" hidden="false" customHeight="false" outlineLevel="0" collapsed="false">
      <c r="A25" s="0" t="s">
        <v>186</v>
      </c>
      <c r="B25" s="21" t="n">
        <v>150</v>
      </c>
      <c r="C25" s="21" t="n">
        <v>38</v>
      </c>
      <c r="D25" s="21" t="n">
        <v>14</v>
      </c>
      <c r="E25" s="56" t="n">
        <v>0.08</v>
      </c>
      <c r="F25" s="0" t="n">
        <v>3</v>
      </c>
    </row>
    <row r="26" customFormat="false" ht="15" hidden="false" customHeight="false" outlineLevel="0" collapsed="false">
      <c r="A26" s="0" t="s">
        <v>248</v>
      </c>
      <c r="B26" s="21" t="n">
        <v>192</v>
      </c>
      <c r="C26" s="21" t="n">
        <v>48</v>
      </c>
      <c r="D26" s="21" t="n">
        <v>14</v>
      </c>
      <c r="E26" s="56" t="n">
        <v>0.1</v>
      </c>
      <c r="F26" s="0" t="n">
        <v>4</v>
      </c>
    </row>
    <row r="27" customFormat="false" ht="15" hidden="false" customHeight="false" outlineLevel="0" collapsed="false">
      <c r="A27" s="0" t="s">
        <v>182</v>
      </c>
      <c r="B27" s="21" t="n">
        <v>252</v>
      </c>
      <c r="C27" s="21" t="n">
        <v>63</v>
      </c>
      <c r="D27" s="21" t="n">
        <v>18</v>
      </c>
      <c r="E27" s="56" t="n">
        <v>0.12</v>
      </c>
      <c r="F27" s="0" t="n">
        <v>5</v>
      </c>
    </row>
    <row r="28" customFormat="false" ht="15" hidden="false" customHeight="false" outlineLevel="0" collapsed="false">
      <c r="A28" s="0" t="s">
        <v>502</v>
      </c>
      <c r="B28" s="21" t="n">
        <v>336</v>
      </c>
      <c r="C28" s="21" t="n">
        <v>84</v>
      </c>
      <c r="D28" s="21" t="n">
        <v>18</v>
      </c>
      <c r="E28" s="56" t="n">
        <v>0.15</v>
      </c>
      <c r="F28" s="0" t="n">
        <v>6</v>
      </c>
    </row>
    <row r="29" customFormat="false" ht="15" hidden="false" customHeight="false" outlineLevel="0" collapsed="false">
      <c r="A29" s="0" t="s">
        <v>503</v>
      </c>
      <c r="B29" s="21" t="n">
        <v>450</v>
      </c>
      <c r="C29" s="21" t="n">
        <v>113</v>
      </c>
      <c r="D29" s="21" t="n">
        <v>24</v>
      </c>
      <c r="E29" s="56" t="n">
        <v>0.2</v>
      </c>
      <c r="F29" s="0" t="n">
        <v>7</v>
      </c>
    </row>
    <row r="30" customFormat="false" ht="15" hidden="false" customHeight="false" outlineLevel="0" collapsed="false">
      <c r="A30" s="0" t="s">
        <v>504</v>
      </c>
      <c r="B30" s="21" t="n">
        <v>630</v>
      </c>
      <c r="C30" s="21" t="n">
        <v>158</v>
      </c>
      <c r="D30" s="21" t="n">
        <v>30</v>
      </c>
      <c r="E30" s="56" t="n">
        <v>0.25</v>
      </c>
      <c r="F30" s="0" t="n">
        <v>8</v>
      </c>
    </row>
    <row r="31" customFormat="false" ht="15" hidden="false" customHeight="false" outlineLevel="0" collapsed="false">
      <c r="A31" s="0" t="s">
        <v>505</v>
      </c>
      <c r="B31" s="21" t="n">
        <v>900</v>
      </c>
      <c r="C31" s="21" t="n">
        <v>225</v>
      </c>
      <c r="D31" s="21" t="n">
        <v>36</v>
      </c>
      <c r="E31" s="56" t="n">
        <v>0.3</v>
      </c>
      <c r="F31" s="0" t="n">
        <v>9</v>
      </c>
    </row>
    <row r="33" customFormat="false" ht="15" hidden="false" customHeight="false" outlineLevel="0" collapsed="false">
      <c r="A33" s="3" t="s">
        <v>506</v>
      </c>
    </row>
    <row r="34" customFormat="false" ht="30" hidden="false" customHeight="true" outlineLevel="0" collapsed="false">
      <c r="A34" s="12" t="s">
        <v>344</v>
      </c>
      <c r="B34" s="12" t="s">
        <v>345</v>
      </c>
      <c r="C34" s="12" t="s">
        <v>346</v>
      </c>
    </row>
    <row r="35" customFormat="false" ht="15" hidden="false" customHeight="false" outlineLevel="0" collapsed="false">
      <c r="A35" s="0" t="s">
        <v>507</v>
      </c>
      <c r="B35" s="0" t="s">
        <v>508</v>
      </c>
      <c r="C35" s="0" t="n">
        <v>1</v>
      </c>
    </row>
    <row r="36" customFormat="false" ht="15" hidden="false" customHeight="false" outlineLevel="0" collapsed="false">
      <c r="A36" s="0" t="s">
        <v>509</v>
      </c>
      <c r="B36" s="0" t="s">
        <v>508</v>
      </c>
      <c r="C36" s="0" t="n">
        <v>1</v>
      </c>
    </row>
    <row r="37" customFormat="false" ht="15" hidden="false" customHeight="false" outlineLevel="0" collapsed="false">
      <c r="A37" s="0" t="s">
        <v>510</v>
      </c>
      <c r="B37" s="0" t="s">
        <v>508</v>
      </c>
      <c r="C37" s="0" t="n">
        <v>1</v>
      </c>
    </row>
    <row r="38" customFormat="false" ht="15" hidden="false" customHeight="false" outlineLevel="0" collapsed="false">
      <c r="A38" s="0" t="s">
        <v>511</v>
      </c>
      <c r="B38" s="0" t="s">
        <v>512</v>
      </c>
      <c r="C38" s="0" t="n">
        <v>2</v>
      </c>
    </row>
    <row r="39" customFormat="false" ht="15" hidden="false" customHeight="false" outlineLevel="0" collapsed="false">
      <c r="A39" s="0" t="s">
        <v>513</v>
      </c>
      <c r="B39" s="0" t="s">
        <v>512</v>
      </c>
      <c r="C39" s="0" t="n">
        <v>2</v>
      </c>
    </row>
    <row r="40" customFormat="false" ht="15" hidden="false" customHeight="false" outlineLevel="0" collapsed="false">
      <c r="A40" s="0" t="s">
        <v>514</v>
      </c>
      <c r="B40" s="0" t="s">
        <v>512</v>
      </c>
      <c r="C40" s="0" t="n">
        <v>2</v>
      </c>
    </row>
    <row r="41" customFormat="false" ht="15" hidden="false" customHeight="false" outlineLevel="0" collapsed="false">
      <c r="A41" s="0" t="s">
        <v>515</v>
      </c>
      <c r="B41" s="0" t="s">
        <v>512</v>
      </c>
      <c r="C41" s="0" t="n">
        <v>2</v>
      </c>
    </row>
    <row r="42" customFormat="false" ht="15" hidden="false" customHeight="false" outlineLevel="0" collapsed="false">
      <c r="A42" s="0" t="s">
        <v>516</v>
      </c>
      <c r="B42" s="0" t="s">
        <v>517</v>
      </c>
      <c r="C42" s="0" t="n">
        <v>3</v>
      </c>
    </row>
    <row r="43" customFormat="false" ht="15" hidden="false" customHeight="false" outlineLevel="0" collapsed="false">
      <c r="A43" s="0" t="s">
        <v>518</v>
      </c>
      <c r="B43" s="0" t="s">
        <v>517</v>
      </c>
      <c r="C43" s="0" t="n">
        <v>3</v>
      </c>
    </row>
    <row r="44" customFormat="false" ht="15" hidden="false" customHeight="false" outlineLevel="0" collapsed="false">
      <c r="A44" s="0" t="s">
        <v>519</v>
      </c>
      <c r="B44" s="0" t="s">
        <v>517</v>
      </c>
      <c r="C44" s="0" t="n">
        <v>3</v>
      </c>
    </row>
    <row r="45" customFormat="false" ht="15" hidden="false" customHeight="false" outlineLevel="0" collapsed="false">
      <c r="A45" s="0" t="s">
        <v>520</v>
      </c>
      <c r="B45" s="0" t="s">
        <v>517</v>
      </c>
      <c r="C45" s="0" t="n">
        <v>3</v>
      </c>
    </row>
    <row r="46" customFormat="false" ht="15" hidden="false" customHeight="false" outlineLevel="0" collapsed="false">
      <c r="A46" s="0" t="s">
        <v>521</v>
      </c>
      <c r="B46" s="0" t="s">
        <v>522</v>
      </c>
      <c r="C46" s="0" t="n">
        <v>4</v>
      </c>
    </row>
    <row r="47" customFormat="false" ht="15" hidden="false" customHeight="false" outlineLevel="0" collapsed="false">
      <c r="A47" s="0" t="s">
        <v>523</v>
      </c>
      <c r="B47" s="0" t="s">
        <v>522</v>
      </c>
      <c r="C47" s="0" t="n">
        <v>4</v>
      </c>
    </row>
    <row r="48" customFormat="false" ht="15" hidden="false" customHeight="false" outlineLevel="0" collapsed="false">
      <c r="A48" s="0" t="s">
        <v>524</v>
      </c>
      <c r="B48" s="0" t="s">
        <v>522</v>
      </c>
      <c r="C48" s="0" t="n">
        <v>4</v>
      </c>
    </row>
    <row r="49" customFormat="false" ht="15" hidden="false" customHeight="false" outlineLevel="0" collapsed="false">
      <c r="A49" s="0" t="s">
        <v>525</v>
      </c>
      <c r="B49" s="0" t="s">
        <v>526</v>
      </c>
      <c r="C49" s="0" t="n">
        <v>5</v>
      </c>
    </row>
    <row r="50" customFormat="false" ht="15" hidden="false" customHeight="false" outlineLevel="0" collapsed="false">
      <c r="A50" s="0" t="s">
        <v>527</v>
      </c>
      <c r="B50" s="0" t="s">
        <v>526</v>
      </c>
      <c r="C50" s="0" t="n">
        <v>5</v>
      </c>
    </row>
    <row r="51" customFormat="false" ht="15" hidden="false" customHeight="false" outlineLevel="0" collapsed="false">
      <c r="A51" s="0" t="s">
        <v>528</v>
      </c>
      <c r="B51" s="0" t="s">
        <v>526</v>
      </c>
      <c r="C51" s="0" t="n">
        <v>5</v>
      </c>
    </row>
    <row r="52" customFormat="false" ht="15" hidden="false" customHeight="false" outlineLevel="0" collapsed="false">
      <c r="A52" s="0" t="s">
        <v>529</v>
      </c>
      <c r="B52" s="0" t="s">
        <v>530</v>
      </c>
      <c r="C52" s="0" t="n">
        <v>6</v>
      </c>
    </row>
    <row r="53" customFormat="false" ht="15" hidden="false" customHeight="false" outlineLevel="0" collapsed="false">
      <c r="A53" s="0" t="s">
        <v>531</v>
      </c>
      <c r="B53" s="0" t="s">
        <v>530</v>
      </c>
      <c r="C53" s="0" t="n">
        <v>6</v>
      </c>
    </row>
    <row r="55" customFormat="false" ht="15" hidden="false" customHeight="false" outlineLevel="0" collapsed="false">
      <c r="A55" s="6" t="s">
        <v>532</v>
      </c>
      <c r="C55" s="6" t="s">
        <v>168</v>
      </c>
      <c r="E55" s="6" t="s">
        <v>533</v>
      </c>
      <c r="G55" s="6" t="s">
        <v>534</v>
      </c>
      <c r="I55" s="6" t="s">
        <v>535</v>
      </c>
      <c r="K55" s="6" t="s">
        <v>536</v>
      </c>
      <c r="M55" s="6" t="s">
        <v>537</v>
      </c>
      <c r="O55" s="6" t="s">
        <v>538</v>
      </c>
      <c r="Q55" s="6" t="s">
        <v>404</v>
      </c>
    </row>
    <row r="56" customFormat="false" ht="15" hidden="false" customHeight="false" outlineLevel="0" collapsed="false">
      <c r="A56" s="0" t="s">
        <v>407</v>
      </c>
      <c r="C56" s="0" t="s">
        <v>222</v>
      </c>
      <c r="E56" s="0" t="s">
        <v>539</v>
      </c>
      <c r="G56" s="0" t="s">
        <v>540</v>
      </c>
      <c r="I56" s="0" t="s">
        <v>541</v>
      </c>
      <c r="K56" s="0" t="s">
        <v>542</v>
      </c>
      <c r="M56" s="0" t="s">
        <v>37</v>
      </c>
      <c r="O56" s="0" t="s">
        <v>177</v>
      </c>
      <c r="Q56" s="0" t="s">
        <v>38</v>
      </c>
    </row>
    <row r="57" customFormat="false" ht="15" hidden="false" customHeight="false" outlineLevel="0" collapsed="false">
      <c r="A57" s="0" t="s">
        <v>409</v>
      </c>
      <c r="C57" s="0" t="s">
        <v>402</v>
      </c>
      <c r="E57" s="0" t="s">
        <v>543</v>
      </c>
      <c r="G57" s="0" t="s">
        <v>544</v>
      </c>
      <c r="I57" s="0" t="s">
        <v>522</v>
      </c>
      <c r="K57" s="0" t="s">
        <v>545</v>
      </c>
      <c r="M57" s="0" t="s">
        <v>39</v>
      </c>
      <c r="O57" s="0" t="s">
        <v>546</v>
      </c>
      <c r="Q57" s="0" t="s">
        <v>547</v>
      </c>
    </row>
    <row r="58" customFormat="false" ht="15" hidden="false" customHeight="false" outlineLevel="0" collapsed="false">
      <c r="A58" s="0" t="s">
        <v>411</v>
      </c>
      <c r="C58" s="0" t="s">
        <v>175</v>
      </c>
      <c r="E58" s="0" t="s">
        <v>548</v>
      </c>
      <c r="G58" s="0" t="s">
        <v>549</v>
      </c>
      <c r="I58" s="0" t="s">
        <v>550</v>
      </c>
      <c r="K58" s="0" t="s">
        <v>551</v>
      </c>
      <c r="M58" s="0" t="s">
        <v>41</v>
      </c>
      <c r="Q58" s="0" t="s">
        <v>123</v>
      </c>
    </row>
    <row r="59" customFormat="false" ht="15" hidden="false" customHeight="false" outlineLevel="0" collapsed="false">
      <c r="A59" s="0" t="s">
        <v>413</v>
      </c>
      <c r="C59" s="0" t="s">
        <v>188</v>
      </c>
      <c r="K59" s="0" t="s">
        <v>552</v>
      </c>
      <c r="M59" s="0" t="s">
        <v>30</v>
      </c>
      <c r="Q59" s="0" t="s">
        <v>124</v>
      </c>
    </row>
    <row r="60" customFormat="false" ht="15" hidden="false" customHeight="false" outlineLevel="0" collapsed="false">
      <c r="A60" s="0" t="s">
        <v>415</v>
      </c>
      <c r="K60" s="0" t="s">
        <v>553</v>
      </c>
      <c r="M60" s="0" t="s">
        <v>44</v>
      </c>
      <c r="Q60" s="0" t="s">
        <v>554</v>
      </c>
    </row>
    <row r="61" customFormat="false" ht="15" hidden="false" customHeight="false" outlineLevel="0" collapsed="false">
      <c r="A61" s="0" t="s">
        <v>417</v>
      </c>
      <c r="M61" s="0" t="s">
        <v>555</v>
      </c>
      <c r="Q61" s="0" t="s">
        <v>556</v>
      </c>
    </row>
    <row r="62" customFormat="false" ht="15" hidden="false" customHeight="false" outlineLevel="0" collapsed="false">
      <c r="A62" s="0" t="s">
        <v>419</v>
      </c>
      <c r="Q62" s="0" t="s">
        <v>125</v>
      </c>
    </row>
    <row r="63" customFormat="false" ht="15" hidden="false" customHeight="false" outlineLevel="0" collapsed="false">
      <c r="A63" s="0" t="s">
        <v>421</v>
      </c>
      <c r="Q63" s="0" t="s">
        <v>234</v>
      </c>
    </row>
    <row r="64" customFormat="false" ht="15" hidden="false" customHeight="false" outlineLevel="0" collapsed="false">
      <c r="A64" s="0" t="s">
        <v>423</v>
      </c>
      <c r="Q64" s="0" t="s">
        <v>210</v>
      </c>
    </row>
    <row r="65" customFormat="false" ht="15" hidden="false" customHeight="false" outlineLevel="0" collapsed="false">
      <c r="A65" s="0" t="s">
        <v>425</v>
      </c>
      <c r="Q65" s="0" t="s">
        <v>126</v>
      </c>
    </row>
    <row r="66" customFormat="false" ht="15" hidden="false" customHeight="false" outlineLevel="0" collapsed="false">
      <c r="A66" s="0" t="s">
        <v>427</v>
      </c>
      <c r="Q66" s="0" t="s">
        <v>127</v>
      </c>
    </row>
    <row r="67" customFormat="false" ht="15" hidden="false" customHeight="false" outlineLevel="0" collapsed="false">
      <c r="A67" s="0" t="s">
        <v>429</v>
      </c>
      <c r="Q67" s="0" t="s">
        <v>213</v>
      </c>
    </row>
    <row r="68" customFormat="false" ht="15" hidden="false" customHeight="false" outlineLevel="0" collapsed="false">
      <c r="A68" s="0" t="s">
        <v>431</v>
      </c>
      <c r="Q68" s="0" t="s">
        <v>238</v>
      </c>
    </row>
    <row r="69" customFormat="false" ht="15" hidden="false" customHeight="false" outlineLevel="0" collapsed="false">
      <c r="A69" s="0" t="s">
        <v>433</v>
      </c>
      <c r="Q69" s="0" t="s">
        <v>128</v>
      </c>
    </row>
    <row r="70" customFormat="false" ht="15" hidden="false" customHeight="false" outlineLevel="0" collapsed="false">
      <c r="A70" s="0" t="s">
        <v>435</v>
      </c>
      <c r="Q70" s="0" t="s">
        <v>243</v>
      </c>
    </row>
    <row r="71" customFormat="false" ht="15" hidden="false" customHeight="false" outlineLevel="0" collapsed="false">
      <c r="Q71" s="0" t="s">
        <v>250</v>
      </c>
    </row>
    <row r="72" customFormat="false" ht="15" hidden="false" customHeight="false" outlineLevel="0" collapsed="false">
      <c r="Q72" s="0" t="s">
        <v>129</v>
      </c>
    </row>
    <row r="73" customFormat="false" ht="15" hidden="false" customHeight="false" outlineLevel="0" collapsed="false">
      <c r="Q73" s="0" t="s">
        <v>130</v>
      </c>
    </row>
    <row r="74" customFormat="false" ht="15" hidden="false" customHeight="false" outlineLevel="0" collapsed="false">
      <c r="Q74" s="0" t="s">
        <v>557</v>
      </c>
    </row>
    <row r="75" customFormat="false" ht="15" hidden="false" customHeight="false" outlineLevel="0" collapsed="false">
      <c r="Q75" s="0" t="s">
        <v>280</v>
      </c>
    </row>
    <row r="76" customFormat="false" ht="15" hidden="false" customHeight="false" outlineLevel="0" collapsed="false">
      <c r="Q76" s="0" t="s">
        <v>131</v>
      </c>
    </row>
    <row r="77" customFormat="false" ht="15" hidden="false" customHeight="false" outlineLevel="0" collapsed="false">
      <c r="Q77" s="0" t="s">
        <v>558</v>
      </c>
    </row>
    <row r="78" customFormat="false" ht="15" hidden="false" customHeight="false" outlineLevel="0" collapsed="false">
      <c r="Q78" s="0" t="s">
        <v>559</v>
      </c>
    </row>
    <row r="79" customFormat="false" ht="15" hidden="false" customHeight="false" outlineLevel="0" collapsed="false">
      <c r="Q79" s="0" t="s">
        <v>560</v>
      </c>
    </row>
    <row r="80" customFormat="false" ht="15" hidden="false" customHeight="false" outlineLevel="0" collapsed="false">
      <c r="Q80" s="0" t="s">
        <v>132</v>
      </c>
    </row>
    <row r="81" customFormat="false" ht="15" hidden="false" customHeight="false" outlineLevel="0" collapsed="false">
      <c r="Q81" s="0" t="s">
        <v>133</v>
      </c>
    </row>
    <row r="82" customFormat="false" ht="15" hidden="false" customHeight="false" outlineLevel="0" collapsed="false">
      <c r="Q82" s="0" t="s">
        <v>259</v>
      </c>
    </row>
    <row r="83" customFormat="false" ht="15" hidden="false" customHeight="false" outlineLevel="0" collapsed="false">
      <c r="Q83" s="0" t="s">
        <v>561</v>
      </c>
    </row>
    <row r="84" customFormat="false" ht="15" hidden="false" customHeight="false" outlineLevel="0" collapsed="false">
      <c r="Q84" s="0" t="s">
        <v>134</v>
      </c>
    </row>
    <row r="85" customFormat="false" ht="15" hidden="false" customHeight="false" outlineLevel="0" collapsed="false">
      <c r="Q85" s="0" t="s">
        <v>199</v>
      </c>
    </row>
    <row r="86" customFormat="false" ht="15" hidden="false" customHeight="false" outlineLevel="0" collapsed="false">
      <c r="Q86" s="0" t="s">
        <v>264</v>
      </c>
    </row>
    <row r="87" customFormat="false" ht="15" hidden="false" customHeight="false" outlineLevel="0" collapsed="false">
      <c r="Q87" s="0" t="s">
        <v>135</v>
      </c>
    </row>
    <row r="88" customFormat="false" ht="15" hidden="false" customHeight="false" outlineLevel="0" collapsed="false">
      <c r="Q88" s="0" t="s">
        <v>136</v>
      </c>
    </row>
    <row r="89" customFormat="false" ht="15" hidden="false" customHeight="false" outlineLevel="0" collapsed="false">
      <c r="Q89" s="0" t="s">
        <v>205</v>
      </c>
    </row>
    <row r="90" customFormat="false" ht="15" hidden="false" customHeight="false" outlineLevel="0" collapsed="false">
      <c r="Q90" s="0" t="s">
        <v>562</v>
      </c>
    </row>
    <row r="91" customFormat="false" ht="15" hidden="false" customHeight="false" outlineLevel="0" collapsed="false">
      <c r="Q91" s="0" t="s">
        <v>137</v>
      </c>
    </row>
    <row r="92" customFormat="false" ht="15" hidden="false" customHeight="false" outlineLevel="0" collapsed="false">
      <c r="Q92" s="0" t="s">
        <v>270</v>
      </c>
    </row>
    <row r="93" customFormat="false" ht="15" hidden="false" customHeight="false" outlineLevel="0" collapsed="false">
      <c r="Q93" s="0" t="s">
        <v>208</v>
      </c>
    </row>
    <row r="94" customFormat="false" ht="15" hidden="false" customHeight="false" outlineLevel="0" collapsed="false">
      <c r="Q94" s="0" t="s">
        <v>563</v>
      </c>
    </row>
    <row r="95" customFormat="false" ht="15" hidden="false" customHeight="false" outlineLevel="0" collapsed="false">
      <c r="Q95" s="0" t="s">
        <v>138</v>
      </c>
    </row>
    <row r="96" customFormat="false" ht="15" hidden="false" customHeight="false" outlineLevel="0" collapsed="false">
      <c r="Q96" s="0" t="s">
        <v>139</v>
      </c>
    </row>
    <row r="97" customFormat="false" ht="15" hidden="false" customHeight="false" outlineLevel="0" collapsed="false">
      <c r="Q97" s="0" t="s">
        <v>191</v>
      </c>
    </row>
    <row r="98" customFormat="false" ht="15" hidden="false" customHeight="false" outlineLevel="0" collapsed="false">
      <c r="Q98" s="0" t="s">
        <v>194</v>
      </c>
    </row>
    <row r="99" customFormat="false" ht="15" hidden="false" customHeight="false" outlineLevel="0" collapsed="false">
      <c r="Q99" s="0" t="s">
        <v>140</v>
      </c>
    </row>
    <row r="100" customFormat="false" ht="15" hidden="false" customHeight="false" outlineLevel="0" collapsed="false">
      <c r="Q100" s="0" t="s">
        <v>230</v>
      </c>
    </row>
    <row r="101" customFormat="false" ht="15" hidden="false" customHeight="false" outlineLevel="0" collapsed="false">
      <c r="Q101" s="0" t="s">
        <v>217</v>
      </c>
    </row>
    <row r="102" customFormat="false" ht="15" hidden="false" customHeight="false" outlineLevel="0" collapsed="false">
      <c r="Q102" s="0" t="s">
        <v>141</v>
      </c>
    </row>
    <row r="103" customFormat="false" ht="15" hidden="false" customHeight="false" outlineLevel="0" collapsed="false">
      <c r="Q103" s="0" t="s">
        <v>142</v>
      </c>
    </row>
    <row r="104" customFormat="false" ht="15" hidden="false" customHeight="false" outlineLevel="0" collapsed="false">
      <c r="Q104" s="0" t="s">
        <v>178</v>
      </c>
    </row>
    <row r="105" customFormat="false" ht="15" hidden="false" customHeight="false" outlineLevel="0" collapsed="false">
      <c r="Q105" s="0" t="s">
        <v>273</v>
      </c>
    </row>
    <row r="106" customFormat="false" ht="15" hidden="false" customHeight="false" outlineLevel="0" collapsed="false">
      <c r="Q106" s="0" t="s">
        <v>143</v>
      </c>
    </row>
    <row r="107" customFormat="false" ht="15" hidden="false" customHeight="false" outlineLevel="0" collapsed="false">
      <c r="Q107" s="0" t="s">
        <v>276</v>
      </c>
    </row>
    <row r="108" customFormat="false" ht="15" hidden="false" customHeight="false" outlineLevel="0" collapsed="false">
      <c r="Q108" s="0" t="s">
        <v>564</v>
      </c>
    </row>
    <row r="109" customFormat="false" ht="15" hidden="false" customHeight="false" outlineLevel="0" collapsed="false">
      <c r="Q109" s="0" t="s">
        <v>565</v>
      </c>
    </row>
    <row r="110" customFormat="false" ht="15" hidden="false" customHeight="false" outlineLevel="0" collapsed="false">
      <c r="Q110" s="0" t="s">
        <v>144</v>
      </c>
    </row>
    <row r="111" customFormat="false" ht="15" hidden="false" customHeight="false" outlineLevel="0" collapsed="false">
      <c r="Q111" s="0" t="s">
        <v>145</v>
      </c>
    </row>
    <row r="112" customFormat="false" ht="15" hidden="false" customHeight="false" outlineLevel="0" collapsed="false">
      <c r="Q112" s="0" t="s">
        <v>566</v>
      </c>
    </row>
    <row r="113" customFormat="false" ht="15" hidden="false" customHeight="false" outlineLevel="0" collapsed="false">
      <c r="Q113" s="0" t="s">
        <v>253</v>
      </c>
    </row>
    <row r="114" customFormat="false" ht="15" hidden="false" customHeight="false" outlineLevel="0" collapsed="false">
      <c r="Q114" s="0" t="s">
        <v>146</v>
      </c>
    </row>
    <row r="115" customFormat="false" ht="15" hidden="false" customHeight="false" outlineLevel="0" collapsed="false">
      <c r="Q115" s="0" t="s">
        <v>567</v>
      </c>
    </row>
    <row r="116" customFormat="false" ht="15" hidden="false" customHeight="false" outlineLevel="0" collapsed="false">
      <c r="Q116" s="0" t="s">
        <v>171</v>
      </c>
    </row>
    <row r="117" customFormat="false" ht="15" hidden="false" customHeight="false" outlineLevel="0" collapsed="false">
      <c r="Q117" s="0" t="s">
        <v>147</v>
      </c>
    </row>
    <row r="118" customFormat="false" ht="15" hidden="false" customHeight="false" outlineLevel="0" collapsed="false">
      <c r="Q118" s="0" t="s">
        <v>148</v>
      </c>
    </row>
    <row r="119" customFormat="false" ht="15" hidden="false" customHeight="false" outlineLevel="0" collapsed="false">
      <c r="Q119" s="0" t="s">
        <v>219</v>
      </c>
    </row>
    <row r="120" customFormat="false" ht="15" hidden="false" customHeight="false" outlineLevel="0" collapsed="false">
      <c r="Q120" s="0" t="s">
        <v>568</v>
      </c>
    </row>
    <row r="121" customFormat="false" ht="15" hidden="false" customHeight="false" outlineLevel="0" collapsed="false">
      <c r="Q121" s="0" t="s">
        <v>149</v>
      </c>
    </row>
    <row r="122" customFormat="false" ht="15" hidden="false" customHeight="false" outlineLevel="0" collapsed="false">
      <c r="Q122" s="0" t="s">
        <v>569</v>
      </c>
    </row>
    <row r="123" customFormat="false" ht="15" hidden="false" customHeight="false" outlineLevel="0" collapsed="false">
      <c r="Q123" s="0" t="s">
        <v>184</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2026-09-01T17:08:23Z</dcterms:created>
  <dc:creator>Capacity exercise toolkit</dc:creator>
  <dc:description/>
  <dc:language>en-US</dc:language>
  <cp:lastModifiedBy/>
  <dcterms:modified xsi:type="dcterms:W3CDTF">2026-09-01T17:08:25Z</dcterms:modified>
  <cp:revision>1</cp:revision>
  <dc:subject/>
  <dc:title>2027 Capacity Exercise - Risk Group</dc:title>
</cp:coreProperties>
</file>

<file path=docProps/custom.xml><?xml version="1.0" encoding="utf-8"?>
<Properties xmlns="http://schemas.openxmlformats.org/officeDocument/2006/custom-properties" xmlns:vt="http://schemas.openxmlformats.org/officeDocument/2006/docPropsVTypes"/>
</file>