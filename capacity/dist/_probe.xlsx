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<sst xmlns="http://schemas.openxmlformats.org/spreadsheetml/2006/main" count="34" uniqueCount="27">
  <si>
    <t xml:space="preserve">Grade</t>
  </si>
  <si>
    <t xml:space="preserve">Basic</t>
  </si>
  <si>
    <t xml:space="preserve">Housing</t>
  </si>
  <si>
    <t xml:space="preserve">Bonus%</t>
  </si>
  <si>
    <t xml:space="preserve">GOSI Saudi</t>
  </si>
  <si>
    <t xml:space="preserve">G10</t>
  </si>
  <si>
    <t xml:space="preserve">GOSI Non</t>
  </si>
  <si>
    <t xml:space="preserve">G13</t>
  </si>
  <si>
    <t xml:space="preserve">G15</t>
  </si>
  <si>
    <t xml:space="preserve">Basis</t>
  </si>
  <si>
    <t xml:space="preserve">Qtr</t>
  </si>
  <si>
    <t xml:space="preserve">Rank</t>
  </si>
  <si>
    <t xml:space="preserve">Loaded</t>
  </si>
  <si>
    <t xml:space="preserve">Weight</t>
  </si>
  <si>
    <t xml:space="preserve">InYear</t>
  </si>
  <si>
    <t xml:space="preserve">Key</t>
  </si>
  <si>
    <t xml:space="preserve">CumCost</t>
  </si>
  <si>
    <t xml:space="preserve">Funded</t>
  </si>
  <si>
    <t xml:space="preserve">Saudi</t>
  </si>
  <si>
    <t xml:space="preserve">Q1</t>
  </si>
  <si>
    <t xml:space="preserve">Non-Saudi</t>
  </si>
  <si>
    <t xml:space="preserve">Q3</t>
  </si>
  <si>
    <t xml:space="preserve">Q2</t>
  </si>
  <si>
    <t xml:space="preserve">Q4</t>
  </si>
  <si>
    <t xml:space="preserve">Envelope</t>
  </si>
  <si>
    <t xml:space="preserve">Funded FTE</t>
  </si>
  <si>
    <t xml:space="preserve">Funded cost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</si>
</sst>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  <c r="G1" s="0" t="n">
        <v>0.1175</v>
      </c>
    </row>
    <row r="2" customFormat="false" ht="15" hidden="false" customHeight="false" outlineLevel="0" collapsed="false">
      <c r="A2" s="0" t="s">
        <v>5</v>
      </c>
      <c r="B2" s="0" t="n">
        <v>120</v>
      </c>
      <c r="C2" s="0" t="n">
        <v>30</v>
      </c>
      <c r="D2" s="0" t="n">
        <v>0.06</v>
      </c>
      <c r="F2" s="0" t="s">
        <v>6</v>
      </c>
      <c r="G2" s="0" t="n">
        <v>0.02</v>
      </c>
    </row>
    <row r="3" customFormat="false" ht="15" hidden="false" customHeight="false" outlineLevel="0" collapsed="false">
      <c r="A3" s="0" t="s">
        <v>7</v>
      </c>
      <c r="B3" s="0" t="n">
        <v>252</v>
      </c>
      <c r="C3" s="0" t="n">
        <v>63</v>
      </c>
      <c r="D3" s="0" t="n">
        <v>0.12</v>
      </c>
    </row>
    <row r="4" customFormat="false" ht="15" hidden="false" customHeight="false" outlineLevel="0" collapsed="false">
      <c r="A4" s="0" t="s">
        <v>8</v>
      </c>
      <c r="B4" s="0" t="n">
        <v>450</v>
      </c>
      <c r="C4" s="0" t="n">
        <v>113</v>
      </c>
      <c r="D4" s="0" t="n">
        <v>0.2</v>
      </c>
    </row>
    <row r="6" customFormat="false" ht="15" hidden="false" customHeight="false" outlineLevel="0" collapsed="false">
      <c r="A6" s="0" t="s">
        <v>0</v>
      </c>
      <c r="B6" s="0" t="s">
        <v>9</v>
      </c>
      <c r="C6" s="0" t="s">
        <v>10</v>
      </c>
      <c r="D6" s="0" t="s">
        <v>11</v>
      </c>
      <c r="E6" s="0" t="s">
        <v>12</v>
      </c>
      <c r="F6" s="0" t="s">
        <v>13</v>
      </c>
      <c r="G6" s="0" t="s">
        <v>14</v>
      </c>
      <c r="H6" s="0" t="s">
        <v>15</v>
      </c>
      <c r="I6" s="0" t="s">
        <v>16</v>
      </c>
      <c r="J6" s="0" t="s">
        <v>17</v>
      </c>
    </row>
    <row r="7" customFormat="false" ht="15" hidden="false" customHeight="false" outlineLevel="0" collapsed="false">
      <c r="A7" s="0" t="s">
        <v>7</v>
      </c>
      <c r="B7" s="0" t="s">
        <v>18</v>
      </c>
      <c r="C7" s="0" t="s">
        <v>19</v>
      </c>
      <c r="D7" s="0" t="n">
        <v>1</v>
      </c>
      <c r="E7" s="0" t="n">
        <f aca="false">INDEX($B$2:$B$4,MATCH($A7,$A$2:$A$4,0))+INDEX($C$2:$C$4,MATCH($A7,$A$2:$A$4,0))+INDEX($B$2:$B$4,MATCH($A7,$A$2:$A$4,0))*INDEX($D$2:$D$4,MATCH($A7,$A$2:$A$4,0))+(INDEX($B$2:$B$4,MATCH($A7,$A$2:$A$4,0))+INDEX($C$2:$C$4,MATCH($A7,$A$2:$A$4,0)))*IF($B7="Saudi",$G$1,$G$2)</f>
        <v>382.2525</v>
      </c>
      <c r="F7" s="0" t="n">
        <f aca="false">(5-MATCH($C7,{"Q1";"Q2";"Q3";"Q4"},0))/4</f>
        <v>1</v>
      </c>
      <c r="G7" s="0" t="n">
        <f aca="false">$E7*$F7</f>
        <v>382.2525</v>
      </c>
      <c r="H7" s="0" t="n">
        <f aca="false">$D7*1000000+ROW()</f>
        <v>1000007</v>
      </c>
      <c r="I7" s="0" t="n">
        <f aca="false">SUMIFS($G$7:$G$10,$H$7:$H$10,"&lt;="&amp;$H7)</f>
        <v>382.2525</v>
      </c>
      <c r="J7" s="0" t="n">
        <f aca="false">IF($I7&lt;=$B$13,1,0)</f>
        <v>1</v>
      </c>
    </row>
    <row r="8" customFormat="false" ht="15" hidden="false" customHeight="false" outlineLevel="0" collapsed="false">
      <c r="A8" s="0" t="s">
        <v>8</v>
      </c>
      <c r="B8" s="0" t="s">
        <v>20</v>
      </c>
      <c r="C8" s="0" t="s">
        <v>21</v>
      </c>
      <c r="D8" s="0" t="n">
        <v>3</v>
      </c>
      <c r="E8" s="0" t="n">
        <f aca="false">INDEX($B$2:$B$4,MATCH($A8,$A$2:$A$4,0))+INDEX($C$2:$C$4,MATCH($A8,$A$2:$A$4,0))+INDEX($B$2:$B$4,MATCH($A8,$A$2:$A$4,0))*INDEX($D$2:$D$4,MATCH($A8,$A$2:$A$4,0))+(INDEX($B$2:$B$4,MATCH($A8,$A$2:$A$4,0))+INDEX($C$2:$C$4,MATCH($A8,$A$2:$A$4,0)))*IF($B8="Saudi",$G$1,$G$2)</f>
        <v>664.26</v>
      </c>
      <c r="F8" s="0" t="n">
        <f aca="false">(5-MATCH($C8,{"Q1";"Q2";"Q3";"Q4"},0))/4</f>
        <v>0.5</v>
      </c>
      <c r="G8" s="0" t="n">
        <f aca="false">$E8*$F8</f>
        <v>332.13</v>
      </c>
      <c r="H8" s="0" t="n">
        <f aca="false">$D8*1000000+ROW()</f>
        <v>3000008</v>
      </c>
      <c r="I8" s="0" t="n">
        <f aca="false">SUMIFS($G$7:$G$10,$H$7:$H$10,"&lt;="&amp;$H8)</f>
        <v>809.945625</v>
      </c>
      <c r="J8" s="0" t="n">
        <f aca="false">IF($I8&lt;=$B$13,1,0)</f>
        <v>0</v>
      </c>
    </row>
    <row r="9" customFormat="false" ht="15" hidden="false" customHeight="false" outlineLevel="0" collapsed="false">
      <c r="A9" s="0" t="s">
        <v>5</v>
      </c>
      <c r="B9" s="0" t="s">
        <v>18</v>
      </c>
      <c r="C9" s="0" t="s">
        <v>22</v>
      </c>
      <c r="D9" s="0" t="n">
        <v>6</v>
      </c>
      <c r="E9" s="0" t="n">
        <f aca="false">INDEX($B$2:$B$4,MATCH($A9,$A$2:$A$4,0))+INDEX($C$2:$C$4,MATCH($A9,$A$2:$A$4,0))+INDEX($B$2:$B$4,MATCH($A9,$A$2:$A$4,0))*INDEX($D$2:$D$4,MATCH($A9,$A$2:$A$4,0))+(INDEX($B$2:$B$4,MATCH($A9,$A$2:$A$4,0))+INDEX($C$2:$C$4,MATCH($A9,$A$2:$A$4,0)))*IF($B9="Saudi",$G$1,$G$2)</f>
        <v>174.825</v>
      </c>
      <c r="F9" s="0" t="n">
        <f aca="false">(5-MATCH($C9,{"Q1";"Q2";"Q3";"Q4"},0))/4</f>
        <v>0.75</v>
      </c>
      <c r="G9" s="0" t="n">
        <f aca="false">$E9*$F9</f>
        <v>131.11875</v>
      </c>
      <c r="H9" s="0" t="n">
        <f aca="false">$D9*1000000+ROW()</f>
        <v>6000009</v>
      </c>
      <c r="I9" s="0" t="n">
        <f aca="false">SUMIFS($G$7:$G$10,$H$7:$H$10,"&lt;="&amp;$H9)</f>
        <v>941.064375</v>
      </c>
      <c r="J9" s="0" t="n">
        <f aca="false">IF($I9&lt;=$B$13,1,0)</f>
        <v>0</v>
      </c>
    </row>
    <row r="10" customFormat="false" ht="15" hidden="false" customHeight="false" outlineLevel="0" collapsed="false">
      <c r="A10" s="0" t="s">
        <v>7</v>
      </c>
      <c r="B10" s="0" t="s">
        <v>18</v>
      </c>
      <c r="C10" s="0" t="s">
        <v>23</v>
      </c>
      <c r="D10" s="0" t="n">
        <v>2</v>
      </c>
      <c r="E10" s="0" t="n">
        <f aca="false">INDEX($B$2:$B$4,MATCH($A10,$A$2:$A$4,0))+INDEX($C$2:$C$4,MATCH($A10,$A$2:$A$4,0))+INDEX($B$2:$B$4,MATCH($A10,$A$2:$A$4,0))*INDEX($D$2:$D$4,MATCH($A10,$A$2:$A$4,0))+(INDEX($B$2:$B$4,MATCH($A10,$A$2:$A$4,0))+INDEX($C$2:$C$4,MATCH($A10,$A$2:$A$4,0)))*IF($B10="Saudi",$G$1,$G$2)</f>
        <v>382.2525</v>
      </c>
      <c r="F10" s="0" t="n">
        <f aca="false">(5-MATCH($C10,{"Q1";"Q2";"Q3";"Q4"},0))/4</f>
        <v>0.25</v>
      </c>
      <c r="G10" s="0" t="n">
        <f aca="false">$E10*$F10</f>
        <v>95.563125</v>
      </c>
      <c r="H10" s="0" t="n">
        <f aca="false">$D10*1000000+ROW()</f>
        <v>2000010</v>
      </c>
      <c r="I10" s="0" t="n">
        <f aca="false">SUMIFS($G$7:$G$10,$H$7:$H$10,"&lt;="&amp;$H10)</f>
        <v>477.815625</v>
      </c>
      <c r="J10" s="0" t="n">
        <f aca="false">IF($I10&lt;=$B$13,1,0)</f>
        <v>1</v>
      </c>
    </row>
    <row r="13" customFormat="false" ht="15" hidden="false" customHeight="false" outlineLevel="0" collapsed="false">
      <c r="A13" s="0" t="s">
        <v>24</v>
      </c>
      <c r="B13" s="0" t="n">
        <v>700</v>
      </c>
    </row>
    <row r="14" customFormat="false" ht="15" hidden="false" customHeight="false" outlineLevel="0" collapsed="false">
      <c r="A14" s="0" t="s">
        <v>25</v>
      </c>
      <c r="B14" s="0" t="n">
        <f aca="false">SUM(J7:J10)</f>
        <v>2</v>
      </c>
    </row>
    <row r="15" customFormat="false" ht="15" hidden="false" customHeight="false" outlineLevel="0" collapsed="false">
      <c r="A15" s="0" t="s">
        <v>26</v>
      </c>
      <c r="B15" s="0" t="n">
        <f aca="false">SUMPRODUCT($G$7:$G$10,$J$7:$J$10)</f>
        <v>477.815625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2026-09-01T16:52:48Z</dcterms:created>
  <dc:creator>openpyxl</dc:creator>
  <dc:description/>
  <dc:language>en-US</dc:language>
  <cp:lastModifiedBy/>
  <dcterms:modified xsi:type="dcterms:W3CDTF">2026-09-01T16:52:48Z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